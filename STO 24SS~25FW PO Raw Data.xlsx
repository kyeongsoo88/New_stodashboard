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401\Documents\업무인수인계\6.실적보고\2025년\stodashboard\"/>
    </mc:Choice>
  </mc:AlternateContent>
  <xr:revisionPtr revIDLastSave="0" documentId="8_{48EF3672-773E-4B21-A017-D7B2A6E39F96}" xr6:coauthVersionLast="47" xr6:coauthVersionMax="47" xr10:uidLastSave="{00000000-0000-0000-0000-000000000000}"/>
  <bookViews>
    <workbookView xWindow="-120" yWindow="-120" windowWidth="29040" windowHeight="15720" firstSheet="2" activeTab="3" xr2:uid="{01203F2F-C8FF-46D7-8E0F-0B0FA03D9360}"/>
  </bookViews>
  <sheets>
    <sheet name="25FW Pivot" sheetId="10" state="hidden" r:id="rId1"/>
    <sheet name="24FW Pivot" sheetId="11" state="hidden" r:id="rId2"/>
    <sheet name="SS정리" sheetId="17" r:id="rId3"/>
    <sheet name="FW정리" sheetId="15" r:id="rId4"/>
    <sheet name="25FW" sheetId="4" r:id="rId5"/>
    <sheet name="25SS" sheetId="13" r:id="rId6"/>
    <sheet name="Sheet3" sheetId="16" r:id="rId7"/>
    <sheet name="24FW" sheetId="9" r:id="rId8"/>
    <sheet name="Sheet5" sheetId="18" r:id="rId9"/>
    <sheet name="24SS" sheetId="12" r:id="rId10"/>
  </sheets>
  <definedNames>
    <definedName name="_xlnm._FilterDatabase" localSheetId="7" hidden="1">'24FW'!$B$3:$AK$268</definedName>
    <definedName name="_xlnm._FilterDatabase" localSheetId="9" hidden="1">'24SS'!$A$3:$AK$325</definedName>
    <definedName name="_xlnm._FilterDatabase" localSheetId="4" hidden="1">'25FW'!$A$3:$AK$353</definedName>
    <definedName name="_xlnm._FilterDatabase" localSheetId="5" hidden="1">'25SS'!$A$3:$AK$505</definedName>
    <definedName name="_xlnm._FilterDatabase" localSheetId="3" hidden="1">FW정리!$A$3:$C$31</definedName>
    <definedName name="_xlnm._FilterDatabase" localSheetId="6" hidden="1">Sheet3!$A$3:$C$24</definedName>
    <definedName name="_xlnm._FilterDatabase" localSheetId="8" hidden="1">Sheet5!$A$3:$D$26</definedName>
    <definedName name="_xlnm._FilterDatabase" localSheetId="2" hidden="1">SS정리!$A$3:$C$40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7" l="1"/>
  <c r="D25" i="18"/>
  <c r="E25" i="18" s="1"/>
  <c r="D26" i="18"/>
  <c r="E26" i="18" s="1"/>
  <c r="D27" i="18"/>
  <c r="E27" i="18"/>
  <c r="D5" i="18"/>
  <c r="E5" i="18" s="1"/>
  <c r="D6" i="18"/>
  <c r="E6" i="18"/>
  <c r="D7" i="18"/>
  <c r="E7" i="18"/>
  <c r="D8" i="18"/>
  <c r="E8" i="18" s="1"/>
  <c r="D9" i="18"/>
  <c r="E9" i="18" s="1"/>
  <c r="D10" i="18"/>
  <c r="E10" i="18"/>
  <c r="D11" i="18"/>
  <c r="E11" i="18"/>
  <c r="D12" i="18"/>
  <c r="E12" i="18" s="1"/>
  <c r="D13" i="18"/>
  <c r="E13" i="18" s="1"/>
  <c r="D14" i="18"/>
  <c r="E14" i="18"/>
  <c r="D15" i="18"/>
  <c r="E15" i="18"/>
  <c r="D16" i="18"/>
  <c r="E16" i="18" s="1"/>
  <c r="D17" i="18"/>
  <c r="E17" i="18" s="1"/>
  <c r="D18" i="18"/>
  <c r="E18" i="18"/>
  <c r="D19" i="18"/>
  <c r="E19" i="18"/>
  <c r="D20" i="18"/>
  <c r="E20" i="18" s="1"/>
  <c r="D21" i="18"/>
  <c r="E21" i="18" s="1"/>
  <c r="D22" i="18"/>
  <c r="E22" i="18"/>
  <c r="D23" i="18"/>
  <c r="E23" i="18"/>
  <c r="D24" i="18"/>
  <c r="E24" i="18" s="1"/>
  <c r="E4" i="18"/>
  <c r="D4" i="18"/>
  <c r="D10" i="17"/>
  <c r="E10" i="17"/>
  <c r="D11" i="17"/>
  <c r="E11" i="17"/>
  <c r="D12" i="17"/>
  <c r="E12" i="17" s="1"/>
  <c r="D13" i="17"/>
  <c r="E13" i="17" s="1"/>
  <c r="D14" i="17"/>
  <c r="E14" i="17"/>
  <c r="D15" i="17"/>
  <c r="E15" i="17"/>
  <c r="D16" i="17"/>
  <c r="E16" i="17" s="1"/>
  <c r="D17" i="17"/>
  <c r="E17" i="17" s="1"/>
  <c r="D18" i="17"/>
  <c r="E18" i="17"/>
  <c r="D19" i="17"/>
  <c r="E19" i="17"/>
  <c r="D20" i="17"/>
  <c r="E20" i="17" s="1"/>
  <c r="D21" i="17"/>
  <c r="E21" i="17" s="1"/>
  <c r="D22" i="17"/>
  <c r="E22" i="17"/>
  <c r="D23" i="17"/>
  <c r="E23" i="17"/>
  <c r="D24" i="17"/>
  <c r="E24" i="17" s="1"/>
  <c r="D25" i="17"/>
  <c r="E25" i="17" s="1"/>
  <c r="D26" i="17"/>
  <c r="E26" i="17"/>
  <c r="D27" i="17"/>
  <c r="E27" i="17"/>
  <c r="D28" i="17"/>
  <c r="E28" i="17" s="1"/>
  <c r="D29" i="17"/>
  <c r="E29" i="17" s="1"/>
  <c r="D30" i="17"/>
  <c r="E30" i="17"/>
  <c r="D31" i="17"/>
  <c r="E31" i="17"/>
  <c r="D32" i="17"/>
  <c r="E32" i="17" s="1"/>
  <c r="D33" i="17"/>
  <c r="E33" i="17" s="1"/>
  <c r="D34" i="17"/>
  <c r="E34" i="17"/>
  <c r="D35" i="17"/>
  <c r="E35" i="17"/>
  <c r="D36" i="17"/>
  <c r="E36" i="17" s="1"/>
  <c r="D37" i="17"/>
  <c r="E37" i="17" s="1"/>
  <c r="D38" i="17"/>
  <c r="E38" i="17"/>
  <c r="D39" i="17"/>
  <c r="E39" i="17"/>
  <c r="D40" i="17"/>
  <c r="E40" i="17" s="1"/>
  <c r="E5" i="17"/>
  <c r="E6" i="17"/>
  <c r="E7" i="17"/>
  <c r="E8" i="17"/>
  <c r="E9" i="17"/>
  <c r="E4" i="17"/>
  <c r="D5" i="17"/>
  <c r="D6" i="17"/>
  <c r="D7" i="17"/>
  <c r="D8" i="17"/>
  <c r="D9" i="17"/>
  <c r="D4" i="17"/>
  <c r="E24" i="16"/>
  <c r="D24" i="16"/>
  <c r="D31" i="15"/>
  <c r="E31" i="15" s="1"/>
  <c r="H5" i="16"/>
  <c r="H6" i="16"/>
  <c r="H7" i="16"/>
  <c r="H8" i="16"/>
  <c r="H4" i="16"/>
  <c r="G8" i="16"/>
  <c r="G5" i="16"/>
  <c r="G6" i="16"/>
  <c r="G7" i="16"/>
  <c r="G4" i="16"/>
  <c r="D6" i="15"/>
  <c r="E6" i="15" s="1"/>
  <c r="D7" i="15"/>
  <c r="E7" i="15" s="1"/>
  <c r="D8" i="15"/>
  <c r="E8" i="15" s="1"/>
  <c r="D9" i="15"/>
  <c r="E9" i="15" s="1"/>
  <c r="D10" i="15"/>
  <c r="E10" i="15"/>
  <c r="D11" i="15"/>
  <c r="E11" i="15" s="1"/>
  <c r="D12" i="15"/>
  <c r="E12" i="15" s="1"/>
  <c r="D13" i="15"/>
  <c r="E13" i="15" s="1"/>
  <c r="D14" i="15"/>
  <c r="E14" i="15" s="1"/>
  <c r="D15" i="15"/>
  <c r="E15" i="15"/>
  <c r="D16" i="15"/>
  <c r="E16" i="15" s="1"/>
  <c r="D17" i="15"/>
  <c r="E17" i="15"/>
  <c r="D18" i="15"/>
  <c r="E18" i="15"/>
  <c r="D19" i="15"/>
  <c r="E19" i="15"/>
  <c r="D20" i="15"/>
  <c r="E20" i="15" s="1"/>
  <c r="D21" i="15"/>
  <c r="E21" i="15"/>
  <c r="D22" i="15"/>
  <c r="E22" i="15" s="1"/>
  <c r="D23" i="15"/>
  <c r="E23" i="15" s="1"/>
  <c r="D24" i="15"/>
  <c r="E24" i="15" s="1"/>
  <c r="D25" i="15"/>
  <c r="E25" i="15" s="1"/>
  <c r="D26" i="15"/>
  <c r="E26" i="15" s="1"/>
  <c r="D27" i="15"/>
  <c r="E27" i="15"/>
  <c r="D28" i="15"/>
  <c r="E28" i="15"/>
  <c r="D29" i="15"/>
  <c r="E29" i="15" s="1"/>
  <c r="D30" i="15"/>
  <c r="E30" i="15" s="1"/>
  <c r="D5" i="15"/>
  <c r="E5" i="15" s="1"/>
  <c r="AA505" i="13" l="1"/>
  <c r="Z505" i="13"/>
  <c r="Y505" i="13"/>
  <c r="X505" i="13"/>
  <c r="W505" i="13"/>
  <c r="V505" i="13"/>
  <c r="U505" i="13"/>
  <c r="AJ504" i="13"/>
  <c r="AI504" i="13"/>
  <c r="AG504" i="13"/>
  <c r="AF504" i="13"/>
  <c r="AD504" i="13"/>
  <c r="AC504" i="13"/>
  <c r="AB504" i="13"/>
  <c r="AJ503" i="13"/>
  <c r="AI503" i="13"/>
  <c r="AG503" i="13"/>
  <c r="AF503" i="13"/>
  <c r="AD503" i="13"/>
  <c r="AC503" i="13"/>
  <c r="AB503" i="13"/>
  <c r="AJ502" i="13"/>
  <c r="AI502" i="13"/>
  <c r="AG502" i="13"/>
  <c r="AF502" i="13"/>
  <c r="AD502" i="13"/>
  <c r="AC502" i="13"/>
  <c r="AB502" i="13"/>
  <c r="AJ501" i="13"/>
  <c r="AI501" i="13"/>
  <c r="AG501" i="13"/>
  <c r="AF501" i="13"/>
  <c r="AD501" i="13"/>
  <c r="AC501" i="13"/>
  <c r="AB501" i="13"/>
  <c r="AJ500" i="13"/>
  <c r="AI500" i="13"/>
  <c r="AG500" i="13"/>
  <c r="AF500" i="13"/>
  <c r="AD500" i="13"/>
  <c r="AC500" i="13"/>
  <c r="AB500" i="13"/>
  <c r="AJ499" i="13"/>
  <c r="AI499" i="13"/>
  <c r="AG499" i="13"/>
  <c r="AF499" i="13"/>
  <c r="AD499" i="13"/>
  <c r="AC499" i="13"/>
  <c r="AB499" i="13"/>
  <c r="AJ498" i="13"/>
  <c r="AI498" i="13"/>
  <c r="AG498" i="13"/>
  <c r="AF498" i="13"/>
  <c r="AD498" i="13"/>
  <c r="AC498" i="13"/>
  <c r="AB498" i="13"/>
  <c r="AJ497" i="13"/>
  <c r="AI497" i="13"/>
  <c r="AG497" i="13"/>
  <c r="AF497" i="13"/>
  <c r="AD497" i="13"/>
  <c r="AC497" i="13"/>
  <c r="AB497" i="13"/>
  <c r="AJ496" i="13"/>
  <c r="AI496" i="13"/>
  <c r="AG496" i="13"/>
  <c r="AF496" i="13"/>
  <c r="AD496" i="13"/>
  <c r="AC496" i="13"/>
  <c r="AB496" i="13"/>
  <c r="AJ495" i="13"/>
  <c r="AI495" i="13"/>
  <c r="AG495" i="13"/>
  <c r="AF495" i="13"/>
  <c r="AD495" i="13"/>
  <c r="AC495" i="13"/>
  <c r="AE495" i="13" s="1"/>
  <c r="AB495" i="13"/>
  <c r="AJ494" i="13"/>
  <c r="AI494" i="13"/>
  <c r="AG494" i="13"/>
  <c r="AF494" i="13"/>
  <c r="AD494" i="13"/>
  <c r="AC494" i="13"/>
  <c r="AB494" i="13"/>
  <c r="AJ493" i="13"/>
  <c r="AI493" i="13"/>
  <c r="AG493" i="13"/>
  <c r="AF493" i="13"/>
  <c r="AD493" i="13"/>
  <c r="AC493" i="13"/>
  <c r="AB493" i="13"/>
  <c r="AJ492" i="13"/>
  <c r="AI492" i="13"/>
  <c r="AG492" i="13"/>
  <c r="AF492" i="13"/>
  <c r="AD492" i="13"/>
  <c r="AC492" i="13"/>
  <c r="AB492" i="13"/>
  <c r="AJ491" i="13"/>
  <c r="AI491" i="13"/>
  <c r="AG491" i="13"/>
  <c r="AF491" i="13"/>
  <c r="AD491" i="13"/>
  <c r="AC491" i="13"/>
  <c r="AB491" i="13"/>
  <c r="AJ490" i="13"/>
  <c r="AI490" i="13"/>
  <c r="AG490" i="13"/>
  <c r="AF490" i="13"/>
  <c r="AD490" i="13"/>
  <c r="AC490" i="13"/>
  <c r="AB490" i="13"/>
  <c r="AJ489" i="13"/>
  <c r="AI489" i="13"/>
  <c r="AG489" i="13"/>
  <c r="AF489" i="13"/>
  <c r="AD489" i="13"/>
  <c r="AC489" i="13"/>
  <c r="AB489" i="13"/>
  <c r="AJ488" i="13"/>
  <c r="AI488" i="13"/>
  <c r="AG488" i="13"/>
  <c r="AF488" i="13"/>
  <c r="AD488" i="13"/>
  <c r="AC488" i="13"/>
  <c r="AB488" i="13"/>
  <c r="AJ487" i="13"/>
  <c r="AI487" i="13"/>
  <c r="AG487" i="13"/>
  <c r="AF487" i="13"/>
  <c r="AD487" i="13"/>
  <c r="AC487" i="13"/>
  <c r="AB487" i="13"/>
  <c r="AJ486" i="13"/>
  <c r="AI486" i="13"/>
  <c r="AG486" i="13"/>
  <c r="AF486" i="13"/>
  <c r="AD486" i="13"/>
  <c r="AC486" i="13"/>
  <c r="AB486" i="13"/>
  <c r="AJ485" i="13"/>
  <c r="AI485" i="13"/>
  <c r="AG485" i="13"/>
  <c r="AF485" i="13"/>
  <c r="AD485" i="13"/>
  <c r="AC485" i="13"/>
  <c r="AB485" i="13"/>
  <c r="AJ484" i="13"/>
  <c r="AI484" i="13"/>
  <c r="AG484" i="13"/>
  <c r="AF484" i="13"/>
  <c r="AD484" i="13"/>
  <c r="AC484" i="13"/>
  <c r="AB484" i="13"/>
  <c r="AJ483" i="13"/>
  <c r="AI483" i="13"/>
  <c r="AK483" i="13" s="1"/>
  <c r="AG483" i="13"/>
  <c r="AF483" i="13"/>
  <c r="AD483" i="13"/>
  <c r="AC483" i="13"/>
  <c r="AB483" i="13"/>
  <c r="AJ482" i="13"/>
  <c r="AI482" i="13"/>
  <c r="AG482" i="13"/>
  <c r="AF482" i="13"/>
  <c r="AD482" i="13"/>
  <c r="AC482" i="13"/>
  <c r="AB482" i="13"/>
  <c r="AJ481" i="13"/>
  <c r="AI481" i="13"/>
  <c r="AG481" i="13"/>
  <c r="AF481" i="13"/>
  <c r="AH481" i="13" s="1"/>
  <c r="AD481" i="13"/>
  <c r="AC481" i="13"/>
  <c r="AB481" i="13"/>
  <c r="AJ480" i="13"/>
  <c r="AI480" i="13"/>
  <c r="AG480" i="13"/>
  <c r="AF480" i="13"/>
  <c r="AD480" i="13"/>
  <c r="AC480" i="13"/>
  <c r="AB480" i="13"/>
  <c r="AJ479" i="13"/>
  <c r="AI479" i="13"/>
  <c r="AG479" i="13"/>
  <c r="AF479" i="13"/>
  <c r="AD479" i="13"/>
  <c r="AC479" i="13"/>
  <c r="AE479" i="13" s="1"/>
  <c r="AB479" i="13"/>
  <c r="AJ478" i="13"/>
  <c r="AI478" i="13"/>
  <c r="AG478" i="13"/>
  <c r="AF478" i="13"/>
  <c r="AD478" i="13"/>
  <c r="AC478" i="13"/>
  <c r="AB478" i="13"/>
  <c r="AJ477" i="13"/>
  <c r="AI477" i="13"/>
  <c r="AG477" i="13"/>
  <c r="AF477" i="13"/>
  <c r="AD477" i="13"/>
  <c r="AC477" i="13"/>
  <c r="AB477" i="13"/>
  <c r="AJ476" i="13"/>
  <c r="AI476" i="13"/>
  <c r="AG476" i="13"/>
  <c r="AF476" i="13"/>
  <c r="AD476" i="13"/>
  <c r="AC476" i="13"/>
  <c r="AB476" i="13"/>
  <c r="AJ475" i="13"/>
  <c r="AI475" i="13"/>
  <c r="AG475" i="13"/>
  <c r="AF475" i="13"/>
  <c r="AD475" i="13"/>
  <c r="AC475" i="13"/>
  <c r="AB475" i="13"/>
  <c r="AJ474" i="13"/>
  <c r="AI474" i="13"/>
  <c r="AG474" i="13"/>
  <c r="AF474" i="13"/>
  <c r="AD474" i="13"/>
  <c r="AC474" i="13"/>
  <c r="AB474" i="13"/>
  <c r="AJ473" i="13"/>
  <c r="AI473" i="13"/>
  <c r="AG473" i="13"/>
  <c r="AF473" i="13"/>
  <c r="AD473" i="13"/>
  <c r="AC473" i="13"/>
  <c r="AB473" i="13"/>
  <c r="AJ472" i="13"/>
  <c r="AI472" i="13"/>
  <c r="AG472" i="13"/>
  <c r="AF472" i="13"/>
  <c r="AD472" i="13"/>
  <c r="AC472" i="13"/>
  <c r="AB472" i="13"/>
  <c r="AJ471" i="13"/>
  <c r="AI471" i="13"/>
  <c r="AG471" i="13"/>
  <c r="AF471" i="13"/>
  <c r="AD471" i="13"/>
  <c r="AC471" i="13"/>
  <c r="AB471" i="13"/>
  <c r="AJ470" i="13"/>
  <c r="AI470" i="13"/>
  <c r="AG470" i="13"/>
  <c r="AF470" i="13"/>
  <c r="AD470" i="13"/>
  <c r="AC470" i="13"/>
  <c r="AB470" i="13"/>
  <c r="AJ469" i="13"/>
  <c r="AI469" i="13"/>
  <c r="AK469" i="13" s="1"/>
  <c r="AG469" i="13"/>
  <c r="AF469" i="13"/>
  <c r="AD469" i="13"/>
  <c r="AC469" i="13"/>
  <c r="AB469" i="13"/>
  <c r="AJ468" i="13"/>
  <c r="AI468" i="13"/>
  <c r="AG468" i="13"/>
  <c r="AF468" i="13"/>
  <c r="AD468" i="13"/>
  <c r="AC468" i="13"/>
  <c r="AB468" i="13"/>
  <c r="AJ467" i="13"/>
  <c r="AI467" i="13"/>
  <c r="AG467" i="13"/>
  <c r="AF467" i="13"/>
  <c r="AH467" i="13" s="1"/>
  <c r="AD467" i="13"/>
  <c r="AC467" i="13"/>
  <c r="AB467" i="13"/>
  <c r="AJ466" i="13"/>
  <c r="AI466" i="13"/>
  <c r="AG466" i="13"/>
  <c r="AF466" i="13"/>
  <c r="AD466" i="13"/>
  <c r="AC466" i="13"/>
  <c r="AB466" i="13"/>
  <c r="AJ465" i="13"/>
  <c r="AI465" i="13"/>
  <c r="AG465" i="13"/>
  <c r="AF465" i="13"/>
  <c r="AD465" i="13"/>
  <c r="AC465" i="13"/>
  <c r="AE465" i="13" s="1"/>
  <c r="AB465" i="13"/>
  <c r="AJ464" i="13"/>
  <c r="AI464" i="13"/>
  <c r="AG464" i="13"/>
  <c r="AF464" i="13"/>
  <c r="AD464" i="13"/>
  <c r="AC464" i="13"/>
  <c r="AB464" i="13"/>
  <c r="AJ463" i="13"/>
  <c r="AI463" i="13"/>
  <c r="AG463" i="13"/>
  <c r="AF463" i="13"/>
  <c r="AD463" i="13"/>
  <c r="AC463" i="13"/>
  <c r="AB463" i="13"/>
  <c r="AJ462" i="13"/>
  <c r="AI462" i="13"/>
  <c r="AG462" i="13"/>
  <c r="AF462" i="13"/>
  <c r="AD462" i="13"/>
  <c r="AC462" i="13"/>
  <c r="AB462" i="13"/>
  <c r="AJ461" i="13"/>
  <c r="AI461" i="13"/>
  <c r="AG461" i="13"/>
  <c r="AF461" i="13"/>
  <c r="AD461" i="13"/>
  <c r="AC461" i="13"/>
  <c r="AB461" i="13"/>
  <c r="AJ460" i="13"/>
  <c r="AI460" i="13"/>
  <c r="AG460" i="13"/>
  <c r="AF460" i="13"/>
  <c r="AD460" i="13"/>
  <c r="AC460" i="13"/>
  <c r="AB460" i="13"/>
  <c r="AJ459" i="13"/>
  <c r="AI459" i="13"/>
  <c r="AG459" i="13"/>
  <c r="AF459" i="13"/>
  <c r="AD459" i="13"/>
  <c r="AC459" i="13"/>
  <c r="AB459" i="13"/>
  <c r="AJ458" i="13"/>
  <c r="AI458" i="13"/>
  <c r="AG458" i="13"/>
  <c r="AF458" i="13"/>
  <c r="AD458" i="13"/>
  <c r="AC458" i="13"/>
  <c r="AB458" i="13"/>
  <c r="AJ457" i="13"/>
  <c r="AI457" i="13"/>
  <c r="AG457" i="13"/>
  <c r="AF457" i="13"/>
  <c r="AD457" i="13"/>
  <c r="AC457" i="13"/>
  <c r="AB457" i="13"/>
  <c r="AJ456" i="13"/>
  <c r="AI456" i="13"/>
  <c r="AG456" i="13"/>
  <c r="AF456" i="13"/>
  <c r="AD456" i="13"/>
  <c r="AC456" i="13"/>
  <c r="AB456" i="13"/>
  <c r="AJ455" i="13"/>
  <c r="AI455" i="13"/>
  <c r="AG455" i="13"/>
  <c r="AF455" i="13"/>
  <c r="AD455" i="13"/>
  <c r="AC455" i="13"/>
  <c r="AB455" i="13"/>
  <c r="AJ454" i="13"/>
  <c r="AI454" i="13"/>
  <c r="AG454" i="13"/>
  <c r="AF454" i="13"/>
  <c r="AD454" i="13"/>
  <c r="AC454" i="13"/>
  <c r="AB454" i="13"/>
  <c r="AJ453" i="13"/>
  <c r="AI453" i="13"/>
  <c r="AK453" i="13" s="1"/>
  <c r="AG453" i="13"/>
  <c r="AF453" i="13"/>
  <c r="AD453" i="13"/>
  <c r="AC453" i="13"/>
  <c r="AB453" i="13"/>
  <c r="AJ452" i="13"/>
  <c r="AI452" i="13"/>
  <c r="AG452" i="13"/>
  <c r="AF452" i="13"/>
  <c r="AD452" i="13"/>
  <c r="AC452" i="13"/>
  <c r="AB452" i="13"/>
  <c r="AJ451" i="13"/>
  <c r="AI451" i="13"/>
  <c r="AG451" i="13"/>
  <c r="AF451" i="13"/>
  <c r="AH451" i="13" s="1"/>
  <c r="AD451" i="13"/>
  <c r="AC451" i="13"/>
  <c r="AB451" i="13"/>
  <c r="AJ450" i="13"/>
  <c r="AI450" i="13"/>
  <c r="AG450" i="13"/>
  <c r="AF450" i="13"/>
  <c r="AD450" i="13"/>
  <c r="AC450" i="13"/>
  <c r="AB450" i="13"/>
  <c r="AJ449" i="13"/>
  <c r="AI449" i="13"/>
  <c r="AG449" i="13"/>
  <c r="AF449" i="13"/>
  <c r="AD449" i="13"/>
  <c r="AC449" i="13"/>
  <c r="AB449" i="13"/>
  <c r="AJ448" i="13"/>
  <c r="AI448" i="13"/>
  <c r="AG448" i="13"/>
  <c r="AF448" i="13"/>
  <c r="AD448" i="13"/>
  <c r="AC448" i="13"/>
  <c r="AB448" i="13"/>
  <c r="AJ447" i="13"/>
  <c r="AI447" i="13"/>
  <c r="AG447" i="13"/>
  <c r="AF447" i="13"/>
  <c r="AD447" i="13"/>
  <c r="AC447" i="13"/>
  <c r="AB447" i="13"/>
  <c r="AJ446" i="13"/>
  <c r="AI446" i="13"/>
  <c r="AG446" i="13"/>
  <c r="AF446" i="13"/>
  <c r="AD446" i="13"/>
  <c r="AC446" i="13"/>
  <c r="AB446" i="13"/>
  <c r="AJ445" i="13"/>
  <c r="AI445" i="13"/>
  <c r="AG445" i="13"/>
  <c r="AF445" i="13"/>
  <c r="AD445" i="13"/>
  <c r="AC445" i="13"/>
  <c r="AB445" i="13"/>
  <c r="AJ444" i="13"/>
  <c r="AI444" i="13"/>
  <c r="AG444" i="13"/>
  <c r="AF444" i="13"/>
  <c r="AD444" i="13"/>
  <c r="AC444" i="13"/>
  <c r="AB444" i="13"/>
  <c r="AJ443" i="13"/>
  <c r="AI443" i="13"/>
  <c r="AG443" i="13"/>
  <c r="AF443" i="13"/>
  <c r="AD443" i="13"/>
  <c r="AC443" i="13"/>
  <c r="AB443" i="13"/>
  <c r="AJ442" i="13"/>
  <c r="AI442" i="13"/>
  <c r="AG442" i="13"/>
  <c r="AF442" i="13"/>
  <c r="AD442" i="13"/>
  <c r="AC442" i="13"/>
  <c r="AB442" i="13"/>
  <c r="AJ441" i="13"/>
  <c r="AI441" i="13"/>
  <c r="AG441" i="13"/>
  <c r="AF441" i="13"/>
  <c r="AD441" i="13"/>
  <c r="AC441" i="13"/>
  <c r="AB441" i="13"/>
  <c r="AJ440" i="13"/>
  <c r="AI440" i="13"/>
  <c r="AG440" i="13"/>
  <c r="AF440" i="13"/>
  <c r="AD440" i="13"/>
  <c r="AC440" i="13"/>
  <c r="AB440" i="13"/>
  <c r="AJ439" i="13"/>
  <c r="AI439" i="13"/>
  <c r="AG439" i="13"/>
  <c r="AF439" i="13"/>
  <c r="AD439" i="13"/>
  <c r="AC439" i="13"/>
  <c r="AB439" i="13"/>
  <c r="AJ438" i="13"/>
  <c r="AI438" i="13"/>
  <c r="AG438" i="13"/>
  <c r="AF438" i="13"/>
  <c r="AD438" i="13"/>
  <c r="AC438" i="13"/>
  <c r="AB438" i="13"/>
  <c r="AJ437" i="13"/>
  <c r="AI437" i="13"/>
  <c r="AK437" i="13" s="1"/>
  <c r="AG437" i="13"/>
  <c r="AF437" i="13"/>
  <c r="AD437" i="13"/>
  <c r="AC437" i="13"/>
  <c r="AB437" i="13"/>
  <c r="AJ436" i="13"/>
  <c r="AI436" i="13"/>
  <c r="AG436" i="13"/>
  <c r="AF436" i="13"/>
  <c r="AD436" i="13"/>
  <c r="AC436" i="13"/>
  <c r="AB436" i="13"/>
  <c r="AJ435" i="13"/>
  <c r="AI435" i="13"/>
  <c r="AG435" i="13"/>
  <c r="AF435" i="13"/>
  <c r="AD435" i="13"/>
  <c r="AC435" i="13"/>
  <c r="AB435" i="13"/>
  <c r="AJ434" i="13"/>
  <c r="AI434" i="13"/>
  <c r="AG434" i="13"/>
  <c r="AF434" i="13"/>
  <c r="AD434" i="13"/>
  <c r="AC434" i="13"/>
  <c r="AB434" i="13"/>
  <c r="AJ433" i="13"/>
  <c r="AI433" i="13"/>
  <c r="AG433" i="13"/>
  <c r="AF433" i="13"/>
  <c r="AD433" i="13"/>
  <c r="AC433" i="13"/>
  <c r="AE433" i="13" s="1"/>
  <c r="AB433" i="13"/>
  <c r="AJ432" i="13"/>
  <c r="AI432" i="13"/>
  <c r="AG432" i="13"/>
  <c r="AF432" i="13"/>
  <c r="AD432" i="13"/>
  <c r="AC432" i="13"/>
  <c r="AB432" i="13"/>
  <c r="AJ431" i="13"/>
  <c r="AI431" i="13"/>
  <c r="AG431" i="13"/>
  <c r="AF431" i="13"/>
  <c r="AD431" i="13"/>
  <c r="AC431" i="13"/>
  <c r="AE431" i="13" s="1"/>
  <c r="AB431" i="13"/>
  <c r="AJ430" i="13"/>
  <c r="AI430" i="13"/>
  <c r="AG430" i="13"/>
  <c r="AF430" i="13"/>
  <c r="AD430" i="13"/>
  <c r="AC430" i="13"/>
  <c r="AB430" i="13"/>
  <c r="AJ429" i="13"/>
  <c r="AI429" i="13"/>
  <c r="AG429" i="13"/>
  <c r="AF429" i="13"/>
  <c r="AD429" i="13"/>
  <c r="AC429" i="13"/>
  <c r="AB429" i="13"/>
  <c r="AJ428" i="13"/>
  <c r="AI428" i="13"/>
  <c r="AG428" i="13"/>
  <c r="AF428" i="13"/>
  <c r="AD428" i="13"/>
  <c r="AC428" i="13"/>
  <c r="AB428" i="13"/>
  <c r="AJ427" i="13"/>
  <c r="AI427" i="13"/>
  <c r="AG427" i="13"/>
  <c r="AF427" i="13"/>
  <c r="AD427" i="13"/>
  <c r="AC427" i="13"/>
  <c r="AB427" i="13"/>
  <c r="AJ426" i="13"/>
  <c r="AI426" i="13"/>
  <c r="AG426" i="13"/>
  <c r="AF426" i="13"/>
  <c r="AD426" i="13"/>
  <c r="AC426" i="13"/>
  <c r="AB426" i="13"/>
  <c r="AJ425" i="13"/>
  <c r="AI425" i="13"/>
  <c r="AG425" i="13"/>
  <c r="AF425" i="13"/>
  <c r="AD425" i="13"/>
  <c r="AC425" i="13"/>
  <c r="AB425" i="13"/>
  <c r="AJ424" i="13"/>
  <c r="AI424" i="13"/>
  <c r="AG424" i="13"/>
  <c r="AF424" i="13"/>
  <c r="AD424" i="13"/>
  <c r="AC424" i="13"/>
  <c r="AB424" i="13"/>
  <c r="AJ423" i="13"/>
  <c r="AI423" i="13"/>
  <c r="AG423" i="13"/>
  <c r="AF423" i="13"/>
  <c r="AD423" i="13"/>
  <c r="AC423" i="13"/>
  <c r="AB423" i="13"/>
  <c r="AJ422" i="13"/>
  <c r="AI422" i="13"/>
  <c r="AG422" i="13"/>
  <c r="AF422" i="13"/>
  <c r="AD422" i="13"/>
  <c r="AC422" i="13"/>
  <c r="AB422" i="13"/>
  <c r="AJ421" i="13"/>
  <c r="AI421" i="13"/>
  <c r="AK421" i="13" s="1"/>
  <c r="AG421" i="13"/>
  <c r="AF421" i="13"/>
  <c r="AD421" i="13"/>
  <c r="AC421" i="13"/>
  <c r="AB421" i="13"/>
  <c r="AJ420" i="13"/>
  <c r="AI420" i="13"/>
  <c r="AG420" i="13"/>
  <c r="AF420" i="13"/>
  <c r="AD420" i="13"/>
  <c r="AC420" i="13"/>
  <c r="AB420" i="13"/>
  <c r="AJ419" i="13"/>
  <c r="AI419" i="13"/>
  <c r="AG419" i="13"/>
  <c r="AF419" i="13"/>
  <c r="AH419" i="13" s="1"/>
  <c r="AD419" i="13"/>
  <c r="AC419" i="13"/>
  <c r="AB419" i="13"/>
  <c r="AJ418" i="13"/>
  <c r="AI418" i="13"/>
  <c r="AG418" i="13"/>
  <c r="AF418" i="13"/>
  <c r="AD418" i="13"/>
  <c r="AC418" i="13"/>
  <c r="AB418" i="13"/>
  <c r="AJ417" i="13"/>
  <c r="AI417" i="13"/>
  <c r="AG417" i="13"/>
  <c r="AF417" i="13"/>
  <c r="AD417" i="13"/>
  <c r="AC417" i="13"/>
  <c r="AB417" i="13"/>
  <c r="AJ416" i="13"/>
  <c r="AI416" i="13"/>
  <c r="AG416" i="13"/>
  <c r="AF416" i="13"/>
  <c r="AD416" i="13"/>
  <c r="AC416" i="13"/>
  <c r="AB416" i="13"/>
  <c r="AJ415" i="13"/>
  <c r="AI415" i="13"/>
  <c r="AG415" i="13"/>
  <c r="AF415" i="13"/>
  <c r="AD415" i="13"/>
  <c r="AC415" i="13"/>
  <c r="AE415" i="13" s="1"/>
  <c r="AB415" i="13"/>
  <c r="AJ414" i="13"/>
  <c r="AI414" i="13"/>
  <c r="AG414" i="13"/>
  <c r="AF414" i="13"/>
  <c r="AD414" i="13"/>
  <c r="AC414" i="13"/>
  <c r="AB414" i="13"/>
  <c r="AJ413" i="13"/>
  <c r="AI413" i="13"/>
  <c r="AG413" i="13"/>
  <c r="AF413" i="13"/>
  <c r="AD413" i="13"/>
  <c r="AC413" i="13"/>
  <c r="AB413" i="13"/>
  <c r="AJ412" i="13"/>
  <c r="AI412" i="13"/>
  <c r="AG412" i="13"/>
  <c r="AF412" i="13"/>
  <c r="AD412" i="13"/>
  <c r="AC412" i="13"/>
  <c r="AB412" i="13"/>
  <c r="AJ411" i="13"/>
  <c r="AI411" i="13"/>
  <c r="AG411" i="13"/>
  <c r="AF411" i="13"/>
  <c r="AD411" i="13"/>
  <c r="AC411" i="13"/>
  <c r="AB411" i="13"/>
  <c r="AJ410" i="13"/>
  <c r="AI410" i="13"/>
  <c r="AG410" i="13"/>
  <c r="AF410" i="13"/>
  <c r="AD410" i="13"/>
  <c r="AC410" i="13"/>
  <c r="AE410" i="13" s="1"/>
  <c r="AB410" i="13"/>
  <c r="AJ409" i="13"/>
  <c r="AI409" i="13"/>
  <c r="AG409" i="13"/>
  <c r="AF409" i="13"/>
  <c r="AD409" i="13"/>
  <c r="AC409" i="13"/>
  <c r="AB409" i="13"/>
  <c r="AJ408" i="13"/>
  <c r="AI408" i="13"/>
  <c r="AG408" i="13"/>
  <c r="AF408" i="13"/>
  <c r="AD408" i="13"/>
  <c r="AC408" i="13"/>
  <c r="AB408" i="13"/>
  <c r="AJ407" i="13"/>
  <c r="AI407" i="13"/>
  <c r="AG407" i="13"/>
  <c r="AF407" i="13"/>
  <c r="AD407" i="13"/>
  <c r="AC407" i="13"/>
  <c r="AB407" i="13"/>
  <c r="AJ406" i="13"/>
  <c r="AI406" i="13"/>
  <c r="AG406" i="13"/>
  <c r="AF406" i="13"/>
  <c r="AD406" i="13"/>
  <c r="AC406" i="13"/>
  <c r="AB406" i="13"/>
  <c r="AJ405" i="13"/>
  <c r="AI405" i="13"/>
  <c r="AK405" i="13" s="1"/>
  <c r="AG405" i="13"/>
  <c r="AF405" i="13"/>
  <c r="AD405" i="13"/>
  <c r="AC405" i="13"/>
  <c r="AB405" i="13"/>
  <c r="AJ404" i="13"/>
  <c r="AI404" i="13"/>
  <c r="AG404" i="13"/>
  <c r="AF404" i="13"/>
  <c r="AD404" i="13"/>
  <c r="AC404" i="13"/>
  <c r="AB404" i="13"/>
  <c r="AJ403" i="13"/>
  <c r="AI403" i="13"/>
  <c r="AG403" i="13"/>
  <c r="AF403" i="13"/>
  <c r="AH403" i="13" s="1"/>
  <c r="AD403" i="13"/>
  <c r="AC403" i="13"/>
  <c r="AB403" i="13"/>
  <c r="AJ402" i="13"/>
  <c r="AI402" i="13"/>
  <c r="AG402" i="13"/>
  <c r="AF402" i="13"/>
  <c r="AD402" i="13"/>
  <c r="AC402" i="13"/>
  <c r="AB402" i="13"/>
  <c r="AJ401" i="13"/>
  <c r="AI401" i="13"/>
  <c r="AG401" i="13"/>
  <c r="AF401" i="13"/>
  <c r="AD401" i="13"/>
  <c r="AC401" i="13"/>
  <c r="AE401" i="13" s="1"/>
  <c r="AB401" i="13"/>
  <c r="AJ400" i="13"/>
  <c r="AI400" i="13"/>
  <c r="AG400" i="13"/>
  <c r="AF400" i="13"/>
  <c r="AD400" i="13"/>
  <c r="AC400" i="13"/>
  <c r="AB400" i="13"/>
  <c r="AJ399" i="13"/>
  <c r="AI399" i="13"/>
  <c r="AG399" i="13"/>
  <c r="AF399" i="13"/>
  <c r="AD399" i="13"/>
  <c r="AC399" i="13"/>
  <c r="AE399" i="13" s="1"/>
  <c r="AB399" i="13"/>
  <c r="AJ398" i="13"/>
  <c r="AI398" i="13"/>
  <c r="AK398" i="13" s="1"/>
  <c r="AG398" i="13"/>
  <c r="AF398" i="13"/>
  <c r="AD398" i="13"/>
  <c r="AC398" i="13"/>
  <c r="AB398" i="13"/>
  <c r="AJ397" i="13"/>
  <c r="AI397" i="13"/>
  <c r="AG397" i="13"/>
  <c r="AF397" i="13"/>
  <c r="AD397" i="13"/>
  <c r="AC397" i="13"/>
  <c r="AB397" i="13"/>
  <c r="AJ396" i="13"/>
  <c r="AI396" i="13"/>
  <c r="AG396" i="13"/>
  <c r="AF396" i="13"/>
  <c r="AD396" i="13"/>
  <c r="AC396" i="13"/>
  <c r="AB396" i="13"/>
  <c r="AJ395" i="13"/>
  <c r="AI395" i="13"/>
  <c r="AG395" i="13"/>
  <c r="AF395" i="13"/>
  <c r="AD395" i="13"/>
  <c r="AC395" i="13"/>
  <c r="AB395" i="13"/>
  <c r="AJ394" i="13"/>
  <c r="AI394" i="13"/>
  <c r="AG394" i="13"/>
  <c r="AF394" i="13"/>
  <c r="AD394" i="13"/>
  <c r="AC394" i="13"/>
  <c r="AE394" i="13" s="1"/>
  <c r="AB394" i="13"/>
  <c r="AJ393" i="13"/>
  <c r="AI393" i="13"/>
  <c r="AG393" i="13"/>
  <c r="AF393" i="13"/>
  <c r="AD393" i="13"/>
  <c r="AC393" i="13"/>
  <c r="AB393" i="13"/>
  <c r="AJ392" i="13"/>
  <c r="AI392" i="13"/>
  <c r="AG392" i="13"/>
  <c r="AF392" i="13"/>
  <c r="AD392" i="13"/>
  <c r="AC392" i="13"/>
  <c r="AB392" i="13"/>
  <c r="AJ391" i="13"/>
  <c r="AI391" i="13"/>
  <c r="AG391" i="13"/>
  <c r="AF391" i="13"/>
  <c r="AD391" i="13"/>
  <c r="AC391" i="13"/>
  <c r="AB391" i="13"/>
  <c r="AJ390" i="13"/>
  <c r="AI390" i="13"/>
  <c r="AG390" i="13"/>
  <c r="AF390" i="13"/>
  <c r="AD390" i="13"/>
  <c r="AC390" i="13"/>
  <c r="AB390" i="13"/>
  <c r="AJ389" i="13"/>
  <c r="AI389" i="13"/>
  <c r="AK389" i="13" s="1"/>
  <c r="AG389" i="13"/>
  <c r="AF389" i="13"/>
  <c r="AD389" i="13"/>
  <c r="AC389" i="13"/>
  <c r="AB389" i="13"/>
  <c r="AJ388" i="13"/>
  <c r="AI388" i="13"/>
  <c r="AG388" i="13"/>
  <c r="AF388" i="13"/>
  <c r="AD388" i="13"/>
  <c r="AC388" i="13"/>
  <c r="AB388" i="13"/>
  <c r="AJ387" i="13"/>
  <c r="AI387" i="13"/>
  <c r="AG387" i="13"/>
  <c r="AF387" i="13"/>
  <c r="AH387" i="13" s="1"/>
  <c r="AD387" i="13"/>
  <c r="AC387" i="13"/>
  <c r="AB387" i="13"/>
  <c r="AJ386" i="13"/>
  <c r="AI386" i="13"/>
  <c r="AG386" i="13"/>
  <c r="AF386" i="13"/>
  <c r="AD386" i="13"/>
  <c r="AC386" i="13"/>
  <c r="AB386" i="13"/>
  <c r="AJ385" i="13"/>
  <c r="AI385" i="13"/>
  <c r="AG385" i="13"/>
  <c r="AF385" i="13"/>
  <c r="AD385" i="13"/>
  <c r="AC385" i="13"/>
  <c r="AE385" i="13" s="1"/>
  <c r="AB385" i="13"/>
  <c r="AJ384" i="13"/>
  <c r="AI384" i="13"/>
  <c r="AG384" i="13"/>
  <c r="AF384" i="13"/>
  <c r="AD384" i="13"/>
  <c r="AC384" i="13"/>
  <c r="AB384" i="13"/>
  <c r="AJ383" i="13"/>
  <c r="AI383" i="13"/>
  <c r="AG383" i="13"/>
  <c r="AF383" i="13"/>
  <c r="AD383" i="13"/>
  <c r="AC383" i="13"/>
  <c r="AB383" i="13"/>
  <c r="AJ382" i="13"/>
  <c r="AI382" i="13"/>
  <c r="AG382" i="13"/>
  <c r="AF382" i="13"/>
  <c r="AD382" i="13"/>
  <c r="AC382" i="13"/>
  <c r="AB382" i="13"/>
  <c r="AJ381" i="13"/>
  <c r="AI381" i="13"/>
  <c r="AG381" i="13"/>
  <c r="AF381" i="13"/>
  <c r="AD381" i="13"/>
  <c r="AC381" i="13"/>
  <c r="AB381" i="13"/>
  <c r="AJ380" i="13"/>
  <c r="AI380" i="13"/>
  <c r="AG380" i="13"/>
  <c r="AF380" i="13"/>
  <c r="AD380" i="13"/>
  <c r="AC380" i="13"/>
  <c r="AB380" i="13"/>
  <c r="AJ379" i="13"/>
  <c r="AI379" i="13"/>
  <c r="AG379" i="13"/>
  <c r="AF379" i="13"/>
  <c r="AD379" i="13"/>
  <c r="AC379" i="13"/>
  <c r="AB379" i="13"/>
  <c r="AJ378" i="13"/>
  <c r="AI378" i="13"/>
  <c r="AG378" i="13"/>
  <c r="AF378" i="13"/>
  <c r="AD378" i="13"/>
  <c r="AC378" i="13"/>
  <c r="AB378" i="13"/>
  <c r="AJ377" i="13"/>
  <c r="AI377" i="13"/>
  <c r="AG377" i="13"/>
  <c r="AF377" i="13"/>
  <c r="AD377" i="13"/>
  <c r="AC377" i="13"/>
  <c r="AB377" i="13"/>
  <c r="AJ376" i="13"/>
  <c r="AI376" i="13"/>
  <c r="AG376" i="13"/>
  <c r="AF376" i="13"/>
  <c r="AD376" i="13"/>
  <c r="AC376" i="13"/>
  <c r="AB376" i="13"/>
  <c r="AJ375" i="13"/>
  <c r="AI375" i="13"/>
  <c r="AG375" i="13"/>
  <c r="AF375" i="13"/>
  <c r="AD375" i="13"/>
  <c r="AC375" i="13"/>
  <c r="AB375" i="13"/>
  <c r="AJ374" i="13"/>
  <c r="AI374" i="13"/>
  <c r="AG374" i="13"/>
  <c r="AF374" i="13"/>
  <c r="AD374" i="13"/>
  <c r="AC374" i="13"/>
  <c r="AB374" i="13"/>
  <c r="AJ373" i="13"/>
  <c r="AI373" i="13"/>
  <c r="AK373" i="13" s="1"/>
  <c r="AG373" i="13"/>
  <c r="AF373" i="13"/>
  <c r="AD373" i="13"/>
  <c r="AC373" i="13"/>
  <c r="AB373" i="13"/>
  <c r="AJ372" i="13"/>
  <c r="AI372" i="13"/>
  <c r="AG372" i="13"/>
  <c r="AF372" i="13"/>
  <c r="AD372" i="13"/>
  <c r="AC372" i="13"/>
  <c r="AB372" i="13"/>
  <c r="AJ371" i="13"/>
  <c r="AI371" i="13"/>
  <c r="AG371" i="13"/>
  <c r="AF371" i="13"/>
  <c r="AH371" i="13" s="1"/>
  <c r="AD371" i="13"/>
  <c r="AC371" i="13"/>
  <c r="AB371" i="13"/>
  <c r="AJ370" i="13"/>
  <c r="AI370" i="13"/>
  <c r="AG370" i="13"/>
  <c r="AF370" i="13"/>
  <c r="AD370" i="13"/>
  <c r="AC370" i="13"/>
  <c r="AB370" i="13"/>
  <c r="AJ369" i="13"/>
  <c r="AI369" i="13"/>
  <c r="AG369" i="13"/>
  <c r="AF369" i="13"/>
  <c r="AD369" i="13"/>
  <c r="AC369" i="13"/>
  <c r="AE369" i="13" s="1"/>
  <c r="AB369" i="13"/>
  <c r="AJ368" i="13"/>
  <c r="AI368" i="13"/>
  <c r="AG368" i="13"/>
  <c r="AF368" i="13"/>
  <c r="AD368" i="13"/>
  <c r="AC368" i="13"/>
  <c r="AB368" i="13"/>
  <c r="AJ367" i="13"/>
  <c r="AI367" i="13"/>
  <c r="AG367" i="13"/>
  <c r="AF367" i="13"/>
  <c r="AD367" i="13"/>
  <c r="AC367" i="13"/>
  <c r="AE367" i="13" s="1"/>
  <c r="AB367" i="13"/>
  <c r="AJ366" i="13"/>
  <c r="AI366" i="13"/>
  <c r="AG366" i="13"/>
  <c r="AF366" i="13"/>
  <c r="AD366" i="13"/>
  <c r="AC366" i="13"/>
  <c r="AB366" i="13"/>
  <c r="AJ365" i="13"/>
  <c r="AI365" i="13"/>
  <c r="AG365" i="13"/>
  <c r="AF365" i="13"/>
  <c r="AD365" i="13"/>
  <c r="AC365" i="13"/>
  <c r="AB365" i="13"/>
  <c r="AJ364" i="13"/>
  <c r="AI364" i="13"/>
  <c r="AG364" i="13"/>
  <c r="AF364" i="13"/>
  <c r="AH364" i="13" s="1"/>
  <c r="AD364" i="13"/>
  <c r="AC364" i="13"/>
  <c r="AB364" i="13"/>
  <c r="AJ363" i="13"/>
  <c r="AI363" i="13"/>
  <c r="AG363" i="13"/>
  <c r="AF363" i="13"/>
  <c r="AD363" i="13"/>
  <c r="AC363" i="13"/>
  <c r="AB363" i="13"/>
  <c r="AJ362" i="13"/>
  <c r="AI362" i="13"/>
  <c r="AG362" i="13"/>
  <c r="AF362" i="13"/>
  <c r="AD362" i="13"/>
  <c r="AC362" i="13"/>
  <c r="AE362" i="13" s="1"/>
  <c r="AB362" i="13"/>
  <c r="AJ361" i="13"/>
  <c r="AI361" i="13"/>
  <c r="AG361" i="13"/>
  <c r="AF361" i="13"/>
  <c r="AD361" i="13"/>
  <c r="AC361" i="13"/>
  <c r="AB361" i="13"/>
  <c r="AJ360" i="13"/>
  <c r="AI360" i="13"/>
  <c r="AG360" i="13"/>
  <c r="AF360" i="13"/>
  <c r="AD360" i="13"/>
  <c r="AC360" i="13"/>
  <c r="AB360" i="13"/>
  <c r="AJ359" i="13"/>
  <c r="AI359" i="13"/>
  <c r="AG359" i="13"/>
  <c r="AF359" i="13"/>
  <c r="AD359" i="13"/>
  <c r="AC359" i="13"/>
  <c r="AB359" i="13"/>
  <c r="AJ358" i="13"/>
  <c r="AI358" i="13"/>
  <c r="AG358" i="13"/>
  <c r="AF358" i="13"/>
  <c r="AD358" i="13"/>
  <c r="AC358" i="13"/>
  <c r="AB358" i="13"/>
  <c r="AJ357" i="13"/>
  <c r="AI357" i="13"/>
  <c r="AG357" i="13"/>
  <c r="AF357" i="13"/>
  <c r="AD357" i="13"/>
  <c r="AC357" i="13"/>
  <c r="AB357" i="13"/>
  <c r="AJ356" i="13"/>
  <c r="AI356" i="13"/>
  <c r="AG356" i="13"/>
  <c r="AF356" i="13"/>
  <c r="AD356" i="13"/>
  <c r="AC356" i="13"/>
  <c r="AB356" i="13"/>
  <c r="AJ355" i="13"/>
  <c r="AI355" i="13"/>
  <c r="AK355" i="13" s="1"/>
  <c r="AG355" i="13"/>
  <c r="AF355" i="13"/>
  <c r="AD355" i="13"/>
  <c r="AC355" i="13"/>
  <c r="AB355" i="13"/>
  <c r="AJ354" i="13"/>
  <c r="AI354" i="13"/>
  <c r="AG354" i="13"/>
  <c r="AF354" i="13"/>
  <c r="AD354" i="13"/>
  <c r="AC354" i="13"/>
  <c r="AB354" i="13"/>
  <c r="AJ353" i="13"/>
  <c r="AI353" i="13"/>
  <c r="AG353" i="13"/>
  <c r="AF353" i="13"/>
  <c r="AH353" i="13" s="1"/>
  <c r="AD353" i="13"/>
  <c r="AC353" i="13"/>
  <c r="AB353" i="13"/>
  <c r="AJ352" i="13"/>
  <c r="AI352" i="13"/>
  <c r="AG352" i="13"/>
  <c r="AF352" i="13"/>
  <c r="AD352" i="13"/>
  <c r="AC352" i="13"/>
  <c r="AB352" i="13"/>
  <c r="AJ351" i="13"/>
  <c r="AI351" i="13"/>
  <c r="AG351" i="13"/>
  <c r="AF351" i="13"/>
  <c r="AD351" i="13"/>
  <c r="AC351" i="13"/>
  <c r="AB351" i="13"/>
  <c r="AJ350" i="13"/>
  <c r="AI350" i="13"/>
  <c r="AK350" i="13" s="1"/>
  <c r="AG350" i="13"/>
  <c r="AF350" i="13"/>
  <c r="AD350" i="13"/>
  <c r="AC350" i="13"/>
  <c r="AB350" i="13"/>
  <c r="AJ349" i="13"/>
  <c r="AI349" i="13"/>
  <c r="AG349" i="13"/>
  <c r="AF349" i="13"/>
  <c r="AD349" i="13"/>
  <c r="AC349" i="13"/>
  <c r="AB349" i="13"/>
  <c r="AJ348" i="13"/>
  <c r="AI348" i="13"/>
  <c r="AG348" i="13"/>
  <c r="AF348" i="13"/>
  <c r="AH348" i="13" s="1"/>
  <c r="AD348" i="13"/>
  <c r="AC348" i="13"/>
  <c r="AB348" i="13"/>
  <c r="AJ347" i="13"/>
  <c r="AI347" i="13"/>
  <c r="AG347" i="13"/>
  <c r="AF347" i="13"/>
  <c r="AD347" i="13"/>
  <c r="AC347" i="13"/>
  <c r="AB347" i="13"/>
  <c r="AJ346" i="13"/>
  <c r="AI346" i="13"/>
  <c r="AG346" i="13"/>
  <c r="AF346" i="13"/>
  <c r="AD346" i="13"/>
  <c r="AC346" i="13"/>
  <c r="AE346" i="13" s="1"/>
  <c r="AB346" i="13"/>
  <c r="AJ345" i="13"/>
  <c r="AI345" i="13"/>
  <c r="AG345" i="13"/>
  <c r="AF345" i="13"/>
  <c r="AD345" i="13"/>
  <c r="AC345" i="13"/>
  <c r="AB345" i="13"/>
  <c r="AJ344" i="13"/>
  <c r="AI344" i="13"/>
  <c r="AG344" i="13"/>
  <c r="AF344" i="13"/>
  <c r="AD344" i="13"/>
  <c r="AC344" i="13"/>
  <c r="AB344" i="13"/>
  <c r="AJ343" i="13"/>
  <c r="AI343" i="13"/>
  <c r="AG343" i="13"/>
  <c r="AF343" i="13"/>
  <c r="AD343" i="13"/>
  <c r="AC343" i="13"/>
  <c r="AB343" i="13"/>
  <c r="AJ342" i="13"/>
  <c r="AI342" i="13"/>
  <c r="AG342" i="13"/>
  <c r="AF342" i="13"/>
  <c r="AD342" i="13"/>
  <c r="AC342" i="13"/>
  <c r="AB342" i="13"/>
  <c r="AJ341" i="13"/>
  <c r="AI341" i="13"/>
  <c r="AG341" i="13"/>
  <c r="AF341" i="13"/>
  <c r="AD341" i="13"/>
  <c r="AC341" i="13"/>
  <c r="AB341" i="13"/>
  <c r="AJ340" i="13"/>
  <c r="AI340" i="13"/>
  <c r="AG340" i="13"/>
  <c r="AF340" i="13"/>
  <c r="AD340" i="13"/>
  <c r="AC340" i="13"/>
  <c r="AB340" i="13"/>
  <c r="AJ339" i="13"/>
  <c r="AI339" i="13"/>
  <c r="AG339" i="13"/>
  <c r="AF339" i="13"/>
  <c r="AD339" i="13"/>
  <c r="AC339" i="13"/>
  <c r="AB339" i="13"/>
  <c r="AJ338" i="13"/>
  <c r="AI338" i="13"/>
  <c r="AG338" i="13"/>
  <c r="AF338" i="13"/>
  <c r="AD338" i="13"/>
  <c r="AC338" i="13"/>
  <c r="AB338" i="13"/>
  <c r="AJ337" i="13"/>
  <c r="AI337" i="13"/>
  <c r="AG337" i="13"/>
  <c r="AF337" i="13"/>
  <c r="AD337" i="13"/>
  <c r="AC337" i="13"/>
  <c r="AB337" i="13"/>
  <c r="AJ336" i="13"/>
  <c r="AI336" i="13"/>
  <c r="AG336" i="13"/>
  <c r="AF336" i="13"/>
  <c r="AD336" i="13"/>
  <c r="AC336" i="13"/>
  <c r="AB336" i="13"/>
  <c r="AJ335" i="13"/>
  <c r="AI335" i="13"/>
  <c r="AG335" i="13"/>
  <c r="AF335" i="13"/>
  <c r="AD335" i="13"/>
  <c r="AC335" i="13"/>
  <c r="AB335" i="13"/>
  <c r="AJ334" i="13"/>
  <c r="AI334" i="13"/>
  <c r="AK334" i="13" s="1"/>
  <c r="AG334" i="13"/>
  <c r="AF334" i="13"/>
  <c r="AD334" i="13"/>
  <c r="AC334" i="13"/>
  <c r="AB334" i="13"/>
  <c r="AJ333" i="13"/>
  <c r="AI333" i="13"/>
  <c r="AG333" i="13"/>
  <c r="AF333" i="13"/>
  <c r="AD333" i="13"/>
  <c r="AC333" i="13"/>
  <c r="AB333" i="13"/>
  <c r="AJ332" i="13"/>
  <c r="AI332" i="13"/>
  <c r="AG332" i="13"/>
  <c r="AF332" i="13"/>
  <c r="AH332" i="13" s="1"/>
  <c r="AD332" i="13"/>
  <c r="AC332" i="13"/>
  <c r="AB332" i="13"/>
  <c r="AJ331" i="13"/>
  <c r="AI331" i="13"/>
  <c r="AG331" i="13"/>
  <c r="AF331" i="13"/>
  <c r="AD331" i="13"/>
  <c r="AC331" i="13"/>
  <c r="AB331" i="13"/>
  <c r="AJ330" i="13"/>
  <c r="AI330" i="13"/>
  <c r="AG330" i="13"/>
  <c r="AF330" i="13"/>
  <c r="AD330" i="13"/>
  <c r="AC330" i="13"/>
  <c r="AB330" i="13"/>
  <c r="AJ329" i="13"/>
  <c r="AI329" i="13"/>
  <c r="AG329" i="13"/>
  <c r="AF329" i="13"/>
  <c r="AD329" i="13"/>
  <c r="AC329" i="13"/>
  <c r="AB329" i="13"/>
  <c r="AJ328" i="13"/>
  <c r="AI328" i="13"/>
  <c r="AG328" i="13"/>
  <c r="AF328" i="13"/>
  <c r="AD328" i="13"/>
  <c r="AC328" i="13"/>
  <c r="AB328" i="13"/>
  <c r="AJ327" i="13"/>
  <c r="AI327" i="13"/>
  <c r="AG327" i="13"/>
  <c r="AF327" i="13"/>
  <c r="AD327" i="13"/>
  <c r="AC327" i="13"/>
  <c r="AB327" i="13"/>
  <c r="AJ326" i="13"/>
  <c r="AI326" i="13"/>
  <c r="AG326" i="13"/>
  <c r="AF326" i="13"/>
  <c r="AD326" i="13"/>
  <c r="AC326" i="13"/>
  <c r="AB326" i="13"/>
  <c r="AJ325" i="13"/>
  <c r="AI325" i="13"/>
  <c r="AK325" i="13" s="1"/>
  <c r="AG325" i="13"/>
  <c r="AF325" i="13"/>
  <c r="AD325" i="13"/>
  <c r="AC325" i="13"/>
  <c r="AB325" i="13"/>
  <c r="AJ324" i="13"/>
  <c r="AI324" i="13"/>
  <c r="AG324" i="13"/>
  <c r="AF324" i="13"/>
  <c r="AD324" i="13"/>
  <c r="AC324" i="13"/>
  <c r="AB324" i="13"/>
  <c r="AJ323" i="13"/>
  <c r="AI323" i="13"/>
  <c r="AG323" i="13"/>
  <c r="AF323" i="13"/>
  <c r="AD323" i="13"/>
  <c r="AC323" i="13"/>
  <c r="AB323" i="13"/>
  <c r="AJ322" i="13"/>
  <c r="AI322" i="13"/>
  <c r="AG322" i="13"/>
  <c r="AF322" i="13"/>
  <c r="AD322" i="13"/>
  <c r="AC322" i="13"/>
  <c r="AB322" i="13"/>
  <c r="AJ321" i="13"/>
  <c r="AI321" i="13"/>
  <c r="AG321" i="13"/>
  <c r="AF321" i="13"/>
  <c r="AD321" i="13"/>
  <c r="AC321" i="13"/>
  <c r="AE321" i="13" s="1"/>
  <c r="AB321" i="13"/>
  <c r="AJ320" i="13"/>
  <c r="AI320" i="13"/>
  <c r="AG320" i="13"/>
  <c r="AF320" i="13"/>
  <c r="AD320" i="13"/>
  <c r="AC320" i="13"/>
  <c r="AB320" i="13"/>
  <c r="AJ319" i="13"/>
  <c r="AI319" i="13"/>
  <c r="AG319" i="13"/>
  <c r="AF319" i="13"/>
  <c r="AD319" i="13"/>
  <c r="AC319" i="13"/>
  <c r="AE319" i="13" s="1"/>
  <c r="AB319" i="13"/>
  <c r="AJ318" i="13"/>
  <c r="AI318" i="13"/>
  <c r="AG318" i="13"/>
  <c r="AF318" i="13"/>
  <c r="AD318" i="13"/>
  <c r="AC318" i="13"/>
  <c r="AB318" i="13"/>
  <c r="AJ317" i="13"/>
  <c r="AI317" i="13"/>
  <c r="AG317" i="13"/>
  <c r="AF317" i="13"/>
  <c r="AD317" i="13"/>
  <c r="AC317" i="13"/>
  <c r="AB317" i="13"/>
  <c r="AJ316" i="13"/>
  <c r="AI316" i="13"/>
  <c r="AG316" i="13"/>
  <c r="AF316" i="13"/>
  <c r="AD316" i="13"/>
  <c r="AC316" i="13"/>
  <c r="AB316" i="13"/>
  <c r="AJ315" i="13"/>
  <c r="AI315" i="13"/>
  <c r="AG315" i="13"/>
  <c r="AF315" i="13"/>
  <c r="AD315" i="13"/>
  <c r="AC315" i="13"/>
  <c r="AB315" i="13"/>
  <c r="AJ314" i="13"/>
  <c r="AI314" i="13"/>
  <c r="AG314" i="13"/>
  <c r="AF314" i="13"/>
  <c r="AD314" i="13"/>
  <c r="AC314" i="13"/>
  <c r="AB314" i="13"/>
  <c r="AJ313" i="13"/>
  <c r="AI313" i="13"/>
  <c r="AG313" i="13"/>
  <c r="AF313" i="13"/>
  <c r="AD313" i="13"/>
  <c r="AC313" i="13"/>
  <c r="AB313" i="13"/>
  <c r="AJ312" i="13"/>
  <c r="AI312" i="13"/>
  <c r="AG312" i="13"/>
  <c r="AF312" i="13"/>
  <c r="AD312" i="13"/>
  <c r="AC312" i="13"/>
  <c r="AB312" i="13"/>
  <c r="AJ311" i="13"/>
  <c r="AI311" i="13"/>
  <c r="AG311" i="13"/>
  <c r="AF311" i="13"/>
  <c r="AD311" i="13"/>
  <c r="AC311" i="13"/>
  <c r="AB311" i="13"/>
  <c r="AJ310" i="13"/>
  <c r="AI310" i="13"/>
  <c r="AG310" i="13"/>
  <c r="AF310" i="13"/>
  <c r="AD310" i="13"/>
  <c r="AC310" i="13"/>
  <c r="AB310" i="13"/>
  <c r="AJ309" i="13"/>
  <c r="AI309" i="13"/>
  <c r="AK309" i="13" s="1"/>
  <c r="AG309" i="13"/>
  <c r="AF309" i="13"/>
  <c r="AD309" i="13"/>
  <c r="AC309" i="13"/>
  <c r="AB309" i="13"/>
  <c r="AJ308" i="13"/>
  <c r="AI308" i="13"/>
  <c r="AG308" i="13"/>
  <c r="AF308" i="13"/>
  <c r="AD308" i="13"/>
  <c r="AC308" i="13"/>
  <c r="AB308" i="13"/>
  <c r="AJ307" i="13"/>
  <c r="AI307" i="13"/>
  <c r="AG307" i="13"/>
  <c r="AF307" i="13"/>
  <c r="AH307" i="13" s="1"/>
  <c r="AD307" i="13"/>
  <c r="AC307" i="13"/>
  <c r="AB307" i="13"/>
  <c r="AJ306" i="13"/>
  <c r="AI306" i="13"/>
  <c r="AG306" i="13"/>
  <c r="AF306" i="13"/>
  <c r="AD306" i="13"/>
  <c r="AC306" i="13"/>
  <c r="AB306" i="13"/>
  <c r="AJ305" i="13"/>
  <c r="AI305" i="13"/>
  <c r="AG305" i="13"/>
  <c r="AF305" i="13"/>
  <c r="AD305" i="13"/>
  <c r="AC305" i="13"/>
  <c r="AE305" i="13" s="1"/>
  <c r="AB305" i="13"/>
  <c r="AJ304" i="13"/>
  <c r="AI304" i="13"/>
  <c r="AG304" i="13"/>
  <c r="AF304" i="13"/>
  <c r="AD304" i="13"/>
  <c r="AC304" i="13"/>
  <c r="AB304" i="13"/>
  <c r="AJ303" i="13"/>
  <c r="AI303" i="13"/>
  <c r="AG303" i="13"/>
  <c r="AF303" i="13"/>
  <c r="AD303" i="13"/>
  <c r="AC303" i="13"/>
  <c r="AB303" i="13"/>
  <c r="AJ302" i="13"/>
  <c r="AI302" i="13"/>
  <c r="AG302" i="13"/>
  <c r="AF302" i="13"/>
  <c r="AD302" i="13"/>
  <c r="AC302" i="13"/>
  <c r="AB302" i="13"/>
  <c r="AJ301" i="13"/>
  <c r="AI301" i="13"/>
  <c r="AG301" i="13"/>
  <c r="AF301" i="13"/>
  <c r="AD301" i="13"/>
  <c r="AC301" i="13"/>
  <c r="AB301" i="13"/>
  <c r="AJ300" i="13"/>
  <c r="AI300" i="13"/>
  <c r="AG300" i="13"/>
  <c r="AF300" i="13"/>
  <c r="AD300" i="13"/>
  <c r="AC300" i="13"/>
  <c r="AB300" i="13"/>
  <c r="AJ299" i="13"/>
  <c r="AI299" i="13"/>
  <c r="AG299" i="13"/>
  <c r="AF299" i="13"/>
  <c r="AD299" i="13"/>
  <c r="AC299" i="13"/>
  <c r="AB299" i="13"/>
  <c r="AJ298" i="13"/>
  <c r="AI298" i="13"/>
  <c r="AG298" i="13"/>
  <c r="AF298" i="13"/>
  <c r="AD298" i="13"/>
  <c r="AC298" i="13"/>
  <c r="AB298" i="13"/>
  <c r="AJ297" i="13"/>
  <c r="AI297" i="13"/>
  <c r="AG297" i="13"/>
  <c r="AF297" i="13"/>
  <c r="AD297" i="13"/>
  <c r="AC297" i="13"/>
  <c r="AB297" i="13"/>
  <c r="AJ296" i="13"/>
  <c r="AI296" i="13"/>
  <c r="AG296" i="13"/>
  <c r="AF296" i="13"/>
  <c r="AD296" i="13"/>
  <c r="AC296" i="13"/>
  <c r="AB296" i="13"/>
  <c r="AJ295" i="13"/>
  <c r="AI295" i="13"/>
  <c r="AG295" i="13"/>
  <c r="AF295" i="13"/>
  <c r="AD295" i="13"/>
  <c r="AC295" i="13"/>
  <c r="AB295" i="13"/>
  <c r="AJ294" i="13"/>
  <c r="AI294" i="13"/>
  <c r="AG294" i="13"/>
  <c r="AF294" i="13"/>
  <c r="AD294" i="13"/>
  <c r="AC294" i="13"/>
  <c r="AB294" i="13"/>
  <c r="AJ293" i="13"/>
  <c r="AI293" i="13"/>
  <c r="AG293" i="13"/>
  <c r="AF293" i="13"/>
  <c r="AD293" i="13"/>
  <c r="AC293" i="13"/>
  <c r="AB293" i="13"/>
  <c r="AJ292" i="13"/>
  <c r="AI292" i="13"/>
  <c r="AG292" i="13"/>
  <c r="AF292" i="13"/>
  <c r="AD292" i="13"/>
  <c r="AC292" i="13"/>
  <c r="AB292" i="13"/>
  <c r="AJ291" i="13"/>
  <c r="AI291" i="13"/>
  <c r="AK291" i="13" s="1"/>
  <c r="AG291" i="13"/>
  <c r="AF291" i="13"/>
  <c r="AD291" i="13"/>
  <c r="AC291" i="13"/>
  <c r="AB291" i="13"/>
  <c r="AJ290" i="13"/>
  <c r="AI290" i="13"/>
  <c r="AG290" i="13"/>
  <c r="AF290" i="13"/>
  <c r="AD290" i="13"/>
  <c r="AC290" i="13"/>
  <c r="AB290" i="13"/>
  <c r="AJ289" i="13"/>
  <c r="AI289" i="13"/>
  <c r="AG289" i="13"/>
  <c r="AF289" i="13"/>
  <c r="AH289" i="13" s="1"/>
  <c r="AD289" i="13"/>
  <c r="AC289" i="13"/>
  <c r="AB289" i="13"/>
  <c r="AJ288" i="13"/>
  <c r="AI288" i="13"/>
  <c r="AG288" i="13"/>
  <c r="AF288" i="13"/>
  <c r="AD288" i="13"/>
  <c r="AC288" i="13"/>
  <c r="AB288" i="13"/>
  <c r="AJ287" i="13"/>
  <c r="AI287" i="13"/>
  <c r="AG287" i="13"/>
  <c r="AF287" i="13"/>
  <c r="AD287" i="13"/>
  <c r="AC287" i="13"/>
  <c r="AE287" i="13" s="1"/>
  <c r="AB287" i="13"/>
  <c r="AJ286" i="13"/>
  <c r="AI286" i="13"/>
  <c r="AG286" i="13"/>
  <c r="AF286" i="13"/>
  <c r="AD286" i="13"/>
  <c r="AC286" i="13"/>
  <c r="AB286" i="13"/>
  <c r="AJ285" i="13"/>
  <c r="AI285" i="13"/>
  <c r="AG285" i="13"/>
  <c r="AF285" i="13"/>
  <c r="AD285" i="13"/>
  <c r="AC285" i="13"/>
  <c r="AB285" i="13"/>
  <c r="AJ284" i="13"/>
  <c r="AI284" i="13"/>
  <c r="AG284" i="13"/>
  <c r="AF284" i="13"/>
  <c r="AD284" i="13"/>
  <c r="AC284" i="13"/>
  <c r="AB284" i="13"/>
  <c r="AJ283" i="13"/>
  <c r="AI283" i="13"/>
  <c r="AG283" i="13"/>
  <c r="AF283" i="13"/>
  <c r="AD283" i="13"/>
  <c r="AC283" i="13"/>
  <c r="AB283" i="13"/>
  <c r="AJ282" i="13"/>
  <c r="AI282" i="13"/>
  <c r="AG282" i="13"/>
  <c r="AF282" i="13"/>
  <c r="AD282" i="13"/>
  <c r="AC282" i="13"/>
  <c r="AB282" i="13"/>
  <c r="AJ281" i="13"/>
  <c r="AI281" i="13"/>
  <c r="AG281" i="13"/>
  <c r="AF281" i="13"/>
  <c r="AD281" i="13"/>
  <c r="AC281" i="13"/>
  <c r="AB281" i="13"/>
  <c r="AJ280" i="13"/>
  <c r="AI280" i="13"/>
  <c r="AG280" i="13"/>
  <c r="AF280" i="13"/>
  <c r="AD280" i="13"/>
  <c r="AC280" i="13"/>
  <c r="AB280" i="13"/>
  <c r="AJ279" i="13"/>
  <c r="AI279" i="13"/>
  <c r="AG279" i="13"/>
  <c r="AF279" i="13"/>
  <c r="AD279" i="13"/>
  <c r="AC279" i="13"/>
  <c r="AB279" i="13"/>
  <c r="AJ278" i="13"/>
  <c r="AI278" i="13"/>
  <c r="AG278" i="13"/>
  <c r="AF278" i="13"/>
  <c r="AD278" i="13"/>
  <c r="AC278" i="13"/>
  <c r="AB278" i="13"/>
  <c r="AJ277" i="13"/>
  <c r="AI277" i="13"/>
  <c r="AK277" i="13" s="1"/>
  <c r="AG277" i="13"/>
  <c r="AF277" i="13"/>
  <c r="AD277" i="13"/>
  <c r="AC277" i="13"/>
  <c r="AB277" i="13"/>
  <c r="AJ276" i="13"/>
  <c r="AI276" i="13"/>
  <c r="AG276" i="13"/>
  <c r="AF276" i="13"/>
  <c r="AD276" i="13"/>
  <c r="AC276" i="13"/>
  <c r="AB276" i="13"/>
  <c r="AJ275" i="13"/>
  <c r="AI275" i="13"/>
  <c r="AK275" i="13" s="1"/>
  <c r="AG275" i="13"/>
  <c r="AF275" i="13"/>
  <c r="AD275" i="13"/>
  <c r="AC275" i="13"/>
  <c r="AB275" i="13"/>
  <c r="AJ274" i="13"/>
  <c r="AI274" i="13"/>
  <c r="AG274" i="13"/>
  <c r="AF274" i="13"/>
  <c r="AD274" i="13"/>
  <c r="AC274" i="13"/>
  <c r="AB274" i="13"/>
  <c r="AJ273" i="13"/>
  <c r="AI273" i="13"/>
  <c r="AG273" i="13"/>
  <c r="AF273" i="13"/>
  <c r="AD273" i="13"/>
  <c r="AC273" i="13"/>
  <c r="AB273" i="13"/>
  <c r="AJ272" i="13"/>
  <c r="AI272" i="13"/>
  <c r="AG272" i="13"/>
  <c r="AF272" i="13"/>
  <c r="AD272" i="13"/>
  <c r="AC272" i="13"/>
  <c r="AB272" i="13"/>
  <c r="AJ271" i="13"/>
  <c r="AI271" i="13"/>
  <c r="AG271" i="13"/>
  <c r="AF271" i="13"/>
  <c r="AD271" i="13"/>
  <c r="AC271" i="13"/>
  <c r="AB271" i="13"/>
  <c r="AJ270" i="13"/>
  <c r="AI270" i="13"/>
  <c r="AG270" i="13"/>
  <c r="AF270" i="13"/>
  <c r="AD270" i="13"/>
  <c r="AC270" i="13"/>
  <c r="AB270" i="13"/>
  <c r="AJ269" i="13"/>
  <c r="AI269" i="13"/>
  <c r="AG269" i="13"/>
  <c r="AF269" i="13"/>
  <c r="AD269" i="13"/>
  <c r="AC269" i="13"/>
  <c r="AB269" i="13"/>
  <c r="AJ268" i="13"/>
  <c r="AI268" i="13"/>
  <c r="AG268" i="13"/>
  <c r="AF268" i="13"/>
  <c r="AD268" i="13"/>
  <c r="AC268" i="13"/>
  <c r="AB268" i="13"/>
  <c r="AJ267" i="13"/>
  <c r="AI267" i="13"/>
  <c r="AG267" i="13"/>
  <c r="AF267" i="13"/>
  <c r="AD267" i="13"/>
  <c r="AC267" i="13"/>
  <c r="AB267" i="13"/>
  <c r="AJ266" i="13"/>
  <c r="AI266" i="13"/>
  <c r="AG266" i="13"/>
  <c r="AF266" i="13"/>
  <c r="AD266" i="13"/>
  <c r="AC266" i="13"/>
  <c r="AB266" i="13"/>
  <c r="AJ265" i="13"/>
  <c r="AI265" i="13"/>
  <c r="AG265" i="13"/>
  <c r="AF265" i="13"/>
  <c r="AD265" i="13"/>
  <c r="AC265" i="13"/>
  <c r="AB265" i="13"/>
  <c r="AJ264" i="13"/>
  <c r="AI264" i="13"/>
  <c r="AG264" i="13"/>
  <c r="AF264" i="13"/>
  <c r="AD264" i="13"/>
  <c r="AC264" i="13"/>
  <c r="AB264" i="13"/>
  <c r="AJ263" i="13"/>
  <c r="AI263" i="13"/>
  <c r="AG263" i="13"/>
  <c r="AF263" i="13"/>
  <c r="AD263" i="13"/>
  <c r="AC263" i="13"/>
  <c r="AB263" i="13"/>
  <c r="AJ262" i="13"/>
  <c r="AI262" i="13"/>
  <c r="AG262" i="13"/>
  <c r="AF262" i="13"/>
  <c r="AD262" i="13"/>
  <c r="AC262" i="13"/>
  <c r="AB262" i="13"/>
  <c r="AJ261" i="13"/>
  <c r="AI261" i="13"/>
  <c r="AG261" i="13"/>
  <c r="AF261" i="13"/>
  <c r="AD261" i="13"/>
  <c r="AC261" i="13"/>
  <c r="AB261" i="13"/>
  <c r="AJ260" i="13"/>
  <c r="AI260" i="13"/>
  <c r="AG260" i="13"/>
  <c r="AF260" i="13"/>
  <c r="AD260" i="13"/>
  <c r="AC260" i="13"/>
  <c r="AB260" i="13"/>
  <c r="AJ259" i="13"/>
  <c r="AI259" i="13"/>
  <c r="AG259" i="13"/>
  <c r="AF259" i="13"/>
  <c r="AD259" i="13"/>
  <c r="AC259" i="13"/>
  <c r="AB259" i="13"/>
  <c r="AJ258" i="13"/>
  <c r="AI258" i="13"/>
  <c r="AG258" i="13"/>
  <c r="AF258" i="13"/>
  <c r="AD258" i="13"/>
  <c r="AC258" i="13"/>
  <c r="AB258" i="13"/>
  <c r="AJ257" i="13"/>
  <c r="AI257" i="13"/>
  <c r="AG257" i="13"/>
  <c r="AF257" i="13"/>
  <c r="AD257" i="13"/>
  <c r="AC257" i="13"/>
  <c r="AB257" i="13"/>
  <c r="AJ256" i="13"/>
  <c r="AI256" i="13"/>
  <c r="AG256" i="13"/>
  <c r="AF256" i="13"/>
  <c r="AD256" i="13"/>
  <c r="AC256" i="13"/>
  <c r="AB256" i="13"/>
  <c r="AJ255" i="13"/>
  <c r="AI255" i="13"/>
  <c r="AG255" i="13"/>
  <c r="AF255" i="13"/>
  <c r="AD255" i="13"/>
  <c r="AC255" i="13"/>
  <c r="AE255" i="13" s="1"/>
  <c r="AB255" i="13"/>
  <c r="AJ254" i="13"/>
  <c r="AI254" i="13"/>
  <c r="AG254" i="13"/>
  <c r="AF254" i="13"/>
  <c r="AD254" i="13"/>
  <c r="AC254" i="13"/>
  <c r="AB254" i="13"/>
  <c r="AJ253" i="13"/>
  <c r="AI253" i="13"/>
  <c r="AG253" i="13"/>
  <c r="AF253" i="13"/>
  <c r="AD253" i="13"/>
  <c r="AC253" i="13"/>
  <c r="AB253" i="13"/>
  <c r="AJ252" i="13"/>
  <c r="AI252" i="13"/>
  <c r="AG252" i="13"/>
  <c r="AF252" i="13"/>
  <c r="AH252" i="13" s="1"/>
  <c r="AD252" i="13"/>
  <c r="AC252" i="13"/>
  <c r="AB252" i="13"/>
  <c r="AJ251" i="13"/>
  <c r="AI251" i="13"/>
  <c r="AG251" i="13"/>
  <c r="AF251" i="13"/>
  <c r="AD251" i="13"/>
  <c r="AC251" i="13"/>
  <c r="AB251" i="13"/>
  <c r="AJ250" i="13"/>
  <c r="AI250" i="13"/>
  <c r="AG250" i="13"/>
  <c r="AF250" i="13"/>
  <c r="AD250" i="13"/>
  <c r="AC250" i="13"/>
  <c r="AB250" i="13"/>
  <c r="AJ249" i="13"/>
  <c r="AI249" i="13"/>
  <c r="AG249" i="13"/>
  <c r="AF249" i="13"/>
  <c r="AD249" i="13"/>
  <c r="AC249" i="13"/>
  <c r="AB249" i="13"/>
  <c r="AJ248" i="13"/>
  <c r="AI248" i="13"/>
  <c r="AG248" i="13"/>
  <c r="AF248" i="13"/>
  <c r="AD248" i="13"/>
  <c r="AC248" i="13"/>
  <c r="AB248" i="13"/>
  <c r="AJ247" i="13"/>
  <c r="AI247" i="13"/>
  <c r="AG247" i="13"/>
  <c r="AF247" i="13"/>
  <c r="AD247" i="13"/>
  <c r="AC247" i="13"/>
  <c r="AB247" i="13"/>
  <c r="AJ246" i="13"/>
  <c r="AI246" i="13"/>
  <c r="AG246" i="13"/>
  <c r="AF246" i="13"/>
  <c r="AD246" i="13"/>
  <c r="AC246" i="13"/>
  <c r="AB246" i="13"/>
  <c r="AJ245" i="13"/>
  <c r="AI245" i="13"/>
  <c r="AG245" i="13"/>
  <c r="AF245" i="13"/>
  <c r="AD245" i="13"/>
  <c r="AC245" i="13"/>
  <c r="AB245" i="13"/>
  <c r="AJ244" i="13"/>
  <c r="AI244" i="13"/>
  <c r="AG244" i="13"/>
  <c r="AF244" i="13"/>
  <c r="AD244" i="13"/>
  <c r="AC244" i="13"/>
  <c r="AB244" i="13"/>
  <c r="AJ243" i="13"/>
  <c r="AI243" i="13"/>
  <c r="AG243" i="13"/>
  <c r="AF243" i="13"/>
  <c r="AD243" i="13"/>
  <c r="AC243" i="13"/>
  <c r="AB243" i="13"/>
  <c r="AJ242" i="13"/>
  <c r="AI242" i="13"/>
  <c r="AG242" i="13"/>
  <c r="AF242" i="13"/>
  <c r="AD242" i="13"/>
  <c r="AC242" i="13"/>
  <c r="AB242" i="13"/>
  <c r="AJ241" i="13"/>
  <c r="AI241" i="13"/>
  <c r="AG241" i="13"/>
  <c r="AF241" i="13"/>
  <c r="AD241" i="13"/>
  <c r="AC241" i="13"/>
  <c r="AB241" i="13"/>
  <c r="AJ240" i="13"/>
  <c r="AI240" i="13"/>
  <c r="AG240" i="13"/>
  <c r="AF240" i="13"/>
  <c r="AD240" i="13"/>
  <c r="AC240" i="13"/>
  <c r="AB240" i="13"/>
  <c r="AJ239" i="13"/>
  <c r="AI239" i="13"/>
  <c r="AG239" i="13"/>
  <c r="AF239" i="13"/>
  <c r="AD239" i="13"/>
  <c r="AC239" i="13"/>
  <c r="AE239" i="13" s="1"/>
  <c r="AB239" i="13"/>
  <c r="AJ238" i="13"/>
  <c r="AI238" i="13"/>
  <c r="AG238" i="13"/>
  <c r="AF238" i="13"/>
  <c r="AD238" i="13"/>
  <c r="AC238" i="13"/>
  <c r="AB238" i="13"/>
  <c r="AJ237" i="13"/>
  <c r="AI237" i="13"/>
  <c r="AG237" i="13"/>
  <c r="AF237" i="13"/>
  <c r="AD237" i="13"/>
  <c r="AC237" i="13"/>
  <c r="AB237" i="13"/>
  <c r="AJ236" i="13"/>
  <c r="AI236" i="13"/>
  <c r="AG236" i="13"/>
  <c r="AF236" i="13"/>
  <c r="AD236" i="13"/>
  <c r="AC236" i="13"/>
  <c r="AB236" i="13"/>
  <c r="AJ235" i="13"/>
  <c r="AI235" i="13"/>
  <c r="AG235" i="13"/>
  <c r="AF235" i="13"/>
  <c r="AD235" i="13"/>
  <c r="AC235" i="13"/>
  <c r="AB235" i="13"/>
  <c r="AJ234" i="13"/>
  <c r="AI234" i="13"/>
  <c r="AG234" i="13"/>
  <c r="AF234" i="13"/>
  <c r="AD234" i="13"/>
  <c r="AC234" i="13"/>
  <c r="AE234" i="13" s="1"/>
  <c r="AB234" i="13"/>
  <c r="AJ233" i="13"/>
  <c r="AI233" i="13"/>
  <c r="AG233" i="13"/>
  <c r="AF233" i="13"/>
  <c r="AD233" i="13"/>
  <c r="AC233" i="13"/>
  <c r="AB233" i="13"/>
  <c r="AJ232" i="13"/>
  <c r="AI232" i="13"/>
  <c r="AG232" i="13"/>
  <c r="AF232" i="13"/>
  <c r="AD232" i="13"/>
  <c r="AC232" i="13"/>
  <c r="AB232" i="13"/>
  <c r="AJ231" i="13"/>
  <c r="AI231" i="13"/>
  <c r="AG231" i="13"/>
  <c r="AF231" i="13"/>
  <c r="AD231" i="13"/>
  <c r="AC231" i="13"/>
  <c r="AB231" i="13"/>
  <c r="AJ230" i="13"/>
  <c r="AI230" i="13"/>
  <c r="AG230" i="13"/>
  <c r="AF230" i="13"/>
  <c r="AD230" i="13"/>
  <c r="AC230" i="13"/>
  <c r="AB230" i="13"/>
  <c r="AJ229" i="13"/>
  <c r="AI229" i="13"/>
  <c r="AK229" i="13" s="1"/>
  <c r="AG229" i="13"/>
  <c r="AF229" i="13"/>
  <c r="AD229" i="13"/>
  <c r="AC229" i="13"/>
  <c r="AB229" i="13"/>
  <c r="AJ228" i="13"/>
  <c r="AI228" i="13"/>
  <c r="AG228" i="13"/>
  <c r="AF228" i="13"/>
  <c r="AD228" i="13"/>
  <c r="AC228" i="13"/>
  <c r="AB228" i="13"/>
  <c r="AJ227" i="13"/>
  <c r="AI227" i="13"/>
  <c r="AG227" i="13"/>
  <c r="AF227" i="13"/>
  <c r="AD227" i="13"/>
  <c r="AC227" i="13"/>
  <c r="AB227" i="13"/>
  <c r="AJ226" i="13"/>
  <c r="AI226" i="13"/>
  <c r="AG226" i="13"/>
  <c r="AF226" i="13"/>
  <c r="AD226" i="13"/>
  <c r="AC226" i="13"/>
  <c r="AB226" i="13"/>
  <c r="AJ225" i="13"/>
  <c r="AI225" i="13"/>
  <c r="AG225" i="13"/>
  <c r="AF225" i="13"/>
  <c r="AD225" i="13"/>
  <c r="AC225" i="13"/>
  <c r="AE225" i="13" s="1"/>
  <c r="AB225" i="13"/>
  <c r="AJ224" i="13"/>
  <c r="AI224" i="13"/>
  <c r="AG224" i="13"/>
  <c r="AF224" i="13"/>
  <c r="AD224" i="13"/>
  <c r="AC224" i="13"/>
  <c r="AB224" i="13"/>
  <c r="AJ223" i="13"/>
  <c r="AI223" i="13"/>
  <c r="AG223" i="13"/>
  <c r="AF223" i="13"/>
  <c r="AD223" i="13"/>
  <c r="AC223" i="13"/>
  <c r="AB223" i="13"/>
  <c r="AJ222" i="13"/>
  <c r="AI222" i="13"/>
  <c r="AK222" i="13" s="1"/>
  <c r="AG222" i="13"/>
  <c r="AF222" i="13"/>
  <c r="AD222" i="13"/>
  <c r="AC222" i="13"/>
  <c r="AB222" i="13"/>
  <c r="AJ221" i="13"/>
  <c r="AI221" i="13"/>
  <c r="AG221" i="13"/>
  <c r="AF221" i="13"/>
  <c r="AD221" i="13"/>
  <c r="AC221" i="13"/>
  <c r="AB221" i="13"/>
  <c r="AJ220" i="13"/>
  <c r="AI220" i="13"/>
  <c r="AG220" i="13"/>
  <c r="AF220" i="13"/>
  <c r="AH220" i="13" s="1"/>
  <c r="AD220" i="13"/>
  <c r="AC220" i="13"/>
  <c r="AB220" i="13"/>
  <c r="AJ219" i="13"/>
  <c r="AI219" i="13"/>
  <c r="AG219" i="13"/>
  <c r="AF219" i="13"/>
  <c r="AD219" i="13"/>
  <c r="AC219" i="13"/>
  <c r="AB219" i="13"/>
  <c r="AJ218" i="13"/>
  <c r="AI218" i="13"/>
  <c r="AG218" i="13"/>
  <c r="AF218" i="13"/>
  <c r="AD218" i="13"/>
  <c r="AC218" i="13"/>
  <c r="AE218" i="13" s="1"/>
  <c r="AB218" i="13"/>
  <c r="AJ217" i="13"/>
  <c r="AI217" i="13"/>
  <c r="AG217" i="13"/>
  <c r="AF217" i="13"/>
  <c r="AD217" i="13"/>
  <c r="AC217" i="13"/>
  <c r="AB217" i="13"/>
  <c r="AJ216" i="13"/>
  <c r="AI216" i="13"/>
  <c r="AG216" i="13"/>
  <c r="AF216" i="13"/>
  <c r="AD216" i="13"/>
  <c r="AC216" i="13"/>
  <c r="AB216" i="13"/>
  <c r="AJ215" i="13"/>
  <c r="AI215" i="13"/>
  <c r="AG215" i="13"/>
  <c r="AF215" i="13"/>
  <c r="AD215" i="13"/>
  <c r="AC215" i="13"/>
  <c r="AB215" i="13"/>
  <c r="AJ214" i="13"/>
  <c r="AI214" i="13"/>
  <c r="AG214" i="13"/>
  <c r="AF214" i="13"/>
  <c r="AD214" i="13"/>
  <c r="AC214" i="13"/>
  <c r="AB214" i="13"/>
  <c r="AJ213" i="13"/>
  <c r="AI213" i="13"/>
  <c r="AK213" i="13" s="1"/>
  <c r="AG213" i="13"/>
  <c r="AF213" i="13"/>
  <c r="AD213" i="13"/>
  <c r="AC213" i="13"/>
  <c r="AB213" i="13"/>
  <c r="AJ212" i="13"/>
  <c r="AI212" i="13"/>
  <c r="AG212" i="13"/>
  <c r="AF212" i="13"/>
  <c r="AD212" i="13"/>
  <c r="AC212" i="13"/>
  <c r="AB212" i="13"/>
  <c r="AJ211" i="13"/>
  <c r="AI211" i="13"/>
  <c r="AG211" i="13"/>
  <c r="AF211" i="13"/>
  <c r="AD211" i="13"/>
  <c r="AC211" i="13"/>
  <c r="AB211" i="13"/>
  <c r="AJ210" i="13"/>
  <c r="AI210" i="13"/>
  <c r="AG210" i="13"/>
  <c r="AF210" i="13"/>
  <c r="AD210" i="13"/>
  <c r="AC210" i="13"/>
  <c r="AB210" i="13"/>
  <c r="AJ209" i="13"/>
  <c r="AI209" i="13"/>
  <c r="AG209" i="13"/>
  <c r="AF209" i="13"/>
  <c r="AD209" i="13"/>
  <c r="AC209" i="13"/>
  <c r="AB209" i="13"/>
  <c r="AJ208" i="13"/>
  <c r="AI208" i="13"/>
  <c r="AG208" i="13"/>
  <c r="AF208" i="13"/>
  <c r="AD208" i="13"/>
  <c r="AC208" i="13"/>
  <c r="AB208" i="13"/>
  <c r="AJ207" i="13"/>
  <c r="AI207" i="13"/>
  <c r="AG207" i="13"/>
  <c r="AF207" i="13"/>
  <c r="AD207" i="13"/>
  <c r="AC207" i="13"/>
  <c r="AE207" i="13" s="1"/>
  <c r="AB207" i="13"/>
  <c r="AJ206" i="13"/>
  <c r="AI206" i="13"/>
  <c r="AG206" i="13"/>
  <c r="AF206" i="13"/>
  <c r="AD206" i="13"/>
  <c r="AC206" i="13"/>
  <c r="AB206" i="13"/>
  <c r="AJ205" i="13"/>
  <c r="AI205" i="13"/>
  <c r="AG205" i="13"/>
  <c r="AF205" i="13"/>
  <c r="AD205" i="13"/>
  <c r="AC205" i="13"/>
  <c r="AB205" i="13"/>
  <c r="AJ204" i="13"/>
  <c r="AI204" i="13"/>
  <c r="AG204" i="13"/>
  <c r="AF204" i="13"/>
  <c r="AH204" i="13" s="1"/>
  <c r="AD204" i="13"/>
  <c r="AC204" i="13"/>
  <c r="AB204" i="13"/>
  <c r="AJ203" i="13"/>
  <c r="AI203" i="13"/>
  <c r="AG203" i="13"/>
  <c r="AF203" i="13"/>
  <c r="AD203" i="13"/>
  <c r="AC203" i="13"/>
  <c r="AB203" i="13"/>
  <c r="AJ202" i="13"/>
  <c r="AI202" i="13"/>
  <c r="AG202" i="13"/>
  <c r="AF202" i="13"/>
  <c r="AD202" i="13"/>
  <c r="AC202" i="13"/>
  <c r="AE202" i="13" s="1"/>
  <c r="AB202" i="13"/>
  <c r="AJ201" i="13"/>
  <c r="AI201" i="13"/>
  <c r="AG201" i="13"/>
  <c r="AF201" i="13"/>
  <c r="AD201" i="13"/>
  <c r="AC201" i="13"/>
  <c r="AB201" i="13"/>
  <c r="AJ200" i="13"/>
  <c r="AI200" i="13"/>
  <c r="AG200" i="13"/>
  <c r="AF200" i="13"/>
  <c r="AD200" i="13"/>
  <c r="AC200" i="13"/>
  <c r="AB200" i="13"/>
  <c r="AJ199" i="13"/>
  <c r="AI199" i="13"/>
  <c r="AG199" i="13"/>
  <c r="AF199" i="13"/>
  <c r="AD199" i="13"/>
  <c r="AC199" i="13"/>
  <c r="AB199" i="13"/>
  <c r="AJ198" i="13"/>
  <c r="AI198" i="13"/>
  <c r="AG198" i="13"/>
  <c r="AF198" i="13"/>
  <c r="AD198" i="13"/>
  <c r="AC198" i="13"/>
  <c r="AB198" i="13"/>
  <c r="AJ197" i="13"/>
  <c r="AI197" i="13"/>
  <c r="AG197" i="13"/>
  <c r="AF197" i="13"/>
  <c r="AD197" i="13"/>
  <c r="AC197" i="13"/>
  <c r="AB197" i="13"/>
  <c r="AJ196" i="13"/>
  <c r="AI196" i="13"/>
  <c r="AG196" i="13"/>
  <c r="AF196" i="13"/>
  <c r="AD196" i="13"/>
  <c r="AC196" i="13"/>
  <c r="AB196" i="13"/>
  <c r="AJ195" i="13"/>
  <c r="AI195" i="13"/>
  <c r="AG195" i="13"/>
  <c r="AF195" i="13"/>
  <c r="AD195" i="13"/>
  <c r="AC195" i="13"/>
  <c r="AB195" i="13"/>
  <c r="AJ194" i="13"/>
  <c r="AI194" i="13"/>
  <c r="AG194" i="13"/>
  <c r="AF194" i="13"/>
  <c r="AD194" i="13"/>
  <c r="AC194" i="13"/>
  <c r="AB194" i="13"/>
  <c r="AJ193" i="13"/>
  <c r="AI193" i="13"/>
  <c r="AG193" i="13"/>
  <c r="AF193" i="13"/>
  <c r="AD193" i="13"/>
  <c r="AC193" i="13"/>
  <c r="AE193" i="13" s="1"/>
  <c r="AB193" i="13"/>
  <c r="AJ192" i="13"/>
  <c r="AI192" i="13"/>
  <c r="AG192" i="13"/>
  <c r="AF192" i="13"/>
  <c r="AD192" i="13"/>
  <c r="AC192" i="13"/>
  <c r="AB192" i="13"/>
  <c r="AJ191" i="13"/>
  <c r="AI191" i="13"/>
  <c r="AG191" i="13"/>
  <c r="AF191" i="13"/>
  <c r="AD191" i="13"/>
  <c r="AC191" i="13"/>
  <c r="AB191" i="13"/>
  <c r="AJ190" i="13"/>
  <c r="AI190" i="13"/>
  <c r="AG190" i="13"/>
  <c r="AF190" i="13"/>
  <c r="AD190" i="13"/>
  <c r="AC190" i="13"/>
  <c r="AB190" i="13"/>
  <c r="AJ189" i="13"/>
  <c r="AI189" i="13"/>
  <c r="AG189" i="13"/>
  <c r="AF189" i="13"/>
  <c r="AD189" i="13"/>
  <c r="AC189" i="13"/>
  <c r="AB189" i="13"/>
  <c r="AJ188" i="13"/>
  <c r="AI188" i="13"/>
  <c r="AG188" i="13"/>
  <c r="AF188" i="13"/>
  <c r="AD188" i="13"/>
  <c r="AC188" i="13"/>
  <c r="AB188" i="13"/>
  <c r="AJ187" i="13"/>
  <c r="AI187" i="13"/>
  <c r="AG187" i="13"/>
  <c r="AF187" i="13"/>
  <c r="AD187" i="13"/>
  <c r="AC187" i="13"/>
  <c r="AB187" i="13"/>
  <c r="AJ186" i="13"/>
  <c r="AI186" i="13"/>
  <c r="AG186" i="13"/>
  <c r="AF186" i="13"/>
  <c r="AD186" i="13"/>
  <c r="AC186" i="13"/>
  <c r="AB186" i="13"/>
  <c r="AJ185" i="13"/>
  <c r="AI185" i="13"/>
  <c r="AG185" i="13"/>
  <c r="AF185" i="13"/>
  <c r="AD185" i="13"/>
  <c r="AC185" i="13"/>
  <c r="AB185" i="13"/>
  <c r="AJ184" i="13"/>
  <c r="AI184" i="13"/>
  <c r="AG184" i="13"/>
  <c r="AF184" i="13"/>
  <c r="AD184" i="13"/>
  <c r="AC184" i="13"/>
  <c r="AB184" i="13"/>
  <c r="AJ183" i="13"/>
  <c r="AI183" i="13"/>
  <c r="AG183" i="13"/>
  <c r="AF183" i="13"/>
  <c r="AD183" i="13"/>
  <c r="AC183" i="13"/>
  <c r="AB183" i="13"/>
  <c r="AJ182" i="13"/>
  <c r="AI182" i="13"/>
  <c r="AG182" i="13"/>
  <c r="AF182" i="13"/>
  <c r="AD182" i="13"/>
  <c r="AC182" i="13"/>
  <c r="AB182" i="13"/>
  <c r="AJ181" i="13"/>
  <c r="AI181" i="13"/>
  <c r="AG181" i="13"/>
  <c r="AF181" i="13"/>
  <c r="AD181" i="13"/>
  <c r="AC181" i="13"/>
  <c r="AB181" i="13"/>
  <c r="AJ180" i="13"/>
  <c r="AI180" i="13"/>
  <c r="AG180" i="13"/>
  <c r="AF180" i="13"/>
  <c r="AD180" i="13"/>
  <c r="AC180" i="13"/>
  <c r="AB180" i="13"/>
  <c r="AJ179" i="13"/>
  <c r="AI179" i="13"/>
  <c r="AG179" i="13"/>
  <c r="AF179" i="13"/>
  <c r="AD179" i="13"/>
  <c r="AC179" i="13"/>
  <c r="AB179" i="13"/>
  <c r="AJ178" i="13"/>
  <c r="AI178" i="13"/>
  <c r="AG178" i="13"/>
  <c r="AF178" i="13"/>
  <c r="AD178" i="13"/>
  <c r="AC178" i="13"/>
  <c r="AB178" i="13"/>
  <c r="AJ177" i="13"/>
  <c r="AI177" i="13"/>
  <c r="AG177" i="13"/>
  <c r="AF177" i="13"/>
  <c r="AD177" i="13"/>
  <c r="AC177" i="13"/>
  <c r="AB177" i="13"/>
  <c r="AJ176" i="13"/>
  <c r="AI176" i="13"/>
  <c r="AG176" i="13"/>
  <c r="AF176" i="13"/>
  <c r="AD176" i="13"/>
  <c r="AC176" i="13"/>
  <c r="AB176" i="13"/>
  <c r="AJ175" i="13"/>
  <c r="AI175" i="13"/>
  <c r="AG175" i="13"/>
  <c r="AF175" i="13"/>
  <c r="AD175" i="13"/>
  <c r="AC175" i="13"/>
  <c r="AB175" i="13"/>
  <c r="AJ174" i="13"/>
  <c r="AI174" i="13"/>
  <c r="AK174" i="13" s="1"/>
  <c r="AG174" i="13"/>
  <c r="AF174" i="13"/>
  <c r="AD174" i="13"/>
  <c r="AC174" i="13"/>
  <c r="AB174" i="13"/>
  <c r="AJ173" i="13"/>
  <c r="AI173" i="13"/>
  <c r="AG173" i="13"/>
  <c r="AF173" i="13"/>
  <c r="AD173" i="13"/>
  <c r="AC173" i="13"/>
  <c r="AB173" i="13"/>
  <c r="AJ172" i="13"/>
  <c r="AI172" i="13"/>
  <c r="AG172" i="13"/>
  <c r="AF172" i="13"/>
  <c r="AD172" i="13"/>
  <c r="AC172" i="13"/>
  <c r="AB172" i="13"/>
  <c r="AJ171" i="13"/>
  <c r="AI171" i="13"/>
  <c r="AG171" i="13"/>
  <c r="AF171" i="13"/>
  <c r="AD171" i="13"/>
  <c r="AC171" i="13"/>
  <c r="AB171" i="13"/>
  <c r="AJ170" i="13"/>
  <c r="AI170" i="13"/>
  <c r="AG170" i="13"/>
  <c r="AF170" i="13"/>
  <c r="AD170" i="13"/>
  <c r="AC170" i="13"/>
  <c r="AB170" i="13"/>
  <c r="AJ169" i="13"/>
  <c r="AI169" i="13"/>
  <c r="AG169" i="13"/>
  <c r="AF169" i="13"/>
  <c r="AD169" i="13"/>
  <c r="AC169" i="13"/>
  <c r="AB169" i="13"/>
  <c r="AJ168" i="13"/>
  <c r="AI168" i="13"/>
  <c r="AG168" i="13"/>
  <c r="AF168" i="13"/>
  <c r="AD168" i="13"/>
  <c r="AC168" i="13"/>
  <c r="AB168" i="13"/>
  <c r="AJ167" i="13"/>
  <c r="AI167" i="13"/>
  <c r="AG167" i="13"/>
  <c r="AF167" i="13"/>
  <c r="AD167" i="13"/>
  <c r="AC167" i="13"/>
  <c r="AB167" i="13"/>
  <c r="AJ166" i="13"/>
  <c r="AI166" i="13"/>
  <c r="AG166" i="13"/>
  <c r="AF166" i="13"/>
  <c r="AD166" i="13"/>
  <c r="AC166" i="13"/>
  <c r="AB166" i="13"/>
  <c r="AJ165" i="13"/>
  <c r="AI165" i="13"/>
  <c r="AK165" i="13" s="1"/>
  <c r="AG165" i="13"/>
  <c r="AF165" i="13"/>
  <c r="AD165" i="13"/>
  <c r="AC165" i="13"/>
  <c r="AB165" i="13"/>
  <c r="AJ164" i="13"/>
  <c r="AI164" i="13"/>
  <c r="AG164" i="13"/>
  <c r="AF164" i="13"/>
  <c r="AD164" i="13"/>
  <c r="AC164" i="13"/>
  <c r="AB164" i="13"/>
  <c r="AJ163" i="13"/>
  <c r="AI163" i="13"/>
  <c r="AG163" i="13"/>
  <c r="AF163" i="13"/>
  <c r="AD163" i="13"/>
  <c r="AC163" i="13"/>
  <c r="AB163" i="13"/>
  <c r="AJ162" i="13"/>
  <c r="AI162" i="13"/>
  <c r="AG162" i="13"/>
  <c r="AF162" i="13"/>
  <c r="AD162" i="13"/>
  <c r="AC162" i="13"/>
  <c r="AB162" i="13"/>
  <c r="AJ161" i="13"/>
  <c r="AI161" i="13"/>
  <c r="AG161" i="13"/>
  <c r="AF161" i="13"/>
  <c r="AD161" i="13"/>
  <c r="AC161" i="13"/>
  <c r="AE161" i="13" s="1"/>
  <c r="AB161" i="13"/>
  <c r="AJ160" i="13"/>
  <c r="AI160" i="13"/>
  <c r="AG160" i="13"/>
  <c r="AF160" i="13"/>
  <c r="AD160" i="13"/>
  <c r="AC160" i="13"/>
  <c r="AB160" i="13"/>
  <c r="AJ159" i="13"/>
  <c r="AI159" i="13"/>
  <c r="AG159" i="13"/>
  <c r="AF159" i="13"/>
  <c r="AD159" i="13"/>
  <c r="AC159" i="13"/>
  <c r="AB159" i="13"/>
  <c r="AJ158" i="13"/>
  <c r="AI158" i="13"/>
  <c r="AG158" i="13"/>
  <c r="AF158" i="13"/>
  <c r="AD158" i="13"/>
  <c r="AC158" i="13"/>
  <c r="AB158" i="13"/>
  <c r="AJ157" i="13"/>
  <c r="AI157" i="13"/>
  <c r="AG157" i="13"/>
  <c r="AF157" i="13"/>
  <c r="AD157" i="13"/>
  <c r="AC157" i="13"/>
  <c r="AB157" i="13"/>
  <c r="AJ156" i="13"/>
  <c r="AI156" i="13"/>
  <c r="AG156" i="13"/>
  <c r="AF156" i="13"/>
  <c r="AH156" i="13" s="1"/>
  <c r="AD156" i="13"/>
  <c r="AC156" i="13"/>
  <c r="AB156" i="13"/>
  <c r="AJ155" i="13"/>
  <c r="AI155" i="13"/>
  <c r="AG155" i="13"/>
  <c r="AF155" i="13"/>
  <c r="AD155" i="13"/>
  <c r="AC155" i="13"/>
  <c r="AB155" i="13"/>
  <c r="AJ154" i="13"/>
  <c r="AI154" i="13"/>
  <c r="AG154" i="13"/>
  <c r="AF154" i="13"/>
  <c r="AD154" i="13"/>
  <c r="AC154" i="13"/>
  <c r="AB154" i="13"/>
  <c r="AJ153" i="13"/>
  <c r="AI153" i="13"/>
  <c r="AG153" i="13"/>
  <c r="AF153" i="13"/>
  <c r="AD153" i="13"/>
  <c r="AC153" i="13"/>
  <c r="AB153" i="13"/>
  <c r="AJ152" i="13"/>
  <c r="AI152" i="13"/>
  <c r="AG152" i="13"/>
  <c r="AF152" i="13"/>
  <c r="AD152" i="13"/>
  <c r="AC152" i="13"/>
  <c r="AB152" i="13"/>
  <c r="AJ151" i="13"/>
  <c r="AI151" i="13"/>
  <c r="AG151" i="13"/>
  <c r="AF151" i="13"/>
  <c r="AD151" i="13"/>
  <c r="AC151" i="13"/>
  <c r="AB151" i="13"/>
  <c r="AJ150" i="13"/>
  <c r="AI150" i="13"/>
  <c r="AG150" i="13"/>
  <c r="AF150" i="13"/>
  <c r="AD150" i="13"/>
  <c r="AC150" i="13"/>
  <c r="AB150" i="13"/>
  <c r="AJ149" i="13"/>
  <c r="AI149" i="13"/>
  <c r="AK149" i="13" s="1"/>
  <c r="AG149" i="13"/>
  <c r="AF149" i="13"/>
  <c r="AD149" i="13"/>
  <c r="AC149" i="13"/>
  <c r="AB149" i="13"/>
  <c r="AJ148" i="13"/>
  <c r="AI148" i="13"/>
  <c r="AG148" i="13"/>
  <c r="AF148" i="13"/>
  <c r="AD148" i="13"/>
  <c r="AC148" i="13"/>
  <c r="AB148" i="13"/>
  <c r="AJ147" i="13"/>
  <c r="AI147" i="13"/>
  <c r="AG147" i="13"/>
  <c r="AF147" i="13"/>
  <c r="AH147" i="13" s="1"/>
  <c r="AD147" i="13"/>
  <c r="AC147" i="13"/>
  <c r="AB147" i="13"/>
  <c r="AJ146" i="13"/>
  <c r="AI146" i="13"/>
  <c r="AG146" i="13"/>
  <c r="AF146" i="13"/>
  <c r="AD146" i="13"/>
  <c r="AC146" i="13"/>
  <c r="AB146" i="13"/>
  <c r="AJ145" i="13"/>
  <c r="AI145" i="13"/>
  <c r="AG145" i="13"/>
  <c r="AF145" i="13"/>
  <c r="AD145" i="13"/>
  <c r="AC145" i="13"/>
  <c r="AE145" i="13" s="1"/>
  <c r="AB145" i="13"/>
  <c r="AJ144" i="13"/>
  <c r="AI144" i="13"/>
  <c r="AG144" i="13"/>
  <c r="AF144" i="13"/>
  <c r="AD144" i="13"/>
  <c r="AC144" i="13"/>
  <c r="AB144" i="13"/>
  <c r="AJ143" i="13"/>
  <c r="AI143" i="13"/>
  <c r="AG143" i="13"/>
  <c r="AF143" i="13"/>
  <c r="AD143" i="13"/>
  <c r="AC143" i="13"/>
  <c r="AB143" i="13"/>
  <c r="AJ142" i="13"/>
  <c r="AI142" i="13"/>
  <c r="AG142" i="13"/>
  <c r="AF142" i="13"/>
  <c r="AD142" i="13"/>
  <c r="AC142" i="13"/>
  <c r="AB142" i="13"/>
  <c r="AJ141" i="13"/>
  <c r="AI141" i="13"/>
  <c r="AG141" i="13"/>
  <c r="AF141" i="13"/>
  <c r="AD141" i="13"/>
  <c r="AC141" i="13"/>
  <c r="AB141" i="13"/>
  <c r="AJ140" i="13"/>
  <c r="AI140" i="13"/>
  <c r="AG140" i="13"/>
  <c r="AF140" i="13"/>
  <c r="AD140" i="13"/>
  <c r="AC140" i="13"/>
  <c r="AB140" i="13"/>
  <c r="AJ139" i="13"/>
  <c r="AI139" i="13"/>
  <c r="AG139" i="13"/>
  <c r="AF139" i="13"/>
  <c r="AD139" i="13"/>
  <c r="AC139" i="13"/>
  <c r="AB139" i="13"/>
  <c r="AJ138" i="13"/>
  <c r="AI138" i="13"/>
  <c r="AG138" i="13"/>
  <c r="AF138" i="13"/>
  <c r="AD138" i="13"/>
  <c r="AC138" i="13"/>
  <c r="AB138" i="13"/>
  <c r="AJ137" i="13"/>
  <c r="AI137" i="13"/>
  <c r="AG137" i="13"/>
  <c r="AF137" i="13"/>
  <c r="AD137" i="13"/>
  <c r="AC137" i="13"/>
  <c r="AB137" i="13"/>
  <c r="AJ136" i="13"/>
  <c r="AI136" i="13"/>
  <c r="AG136" i="13"/>
  <c r="AF136" i="13"/>
  <c r="AD136" i="13"/>
  <c r="AC136" i="13"/>
  <c r="AB136" i="13"/>
  <c r="AJ135" i="13"/>
  <c r="AI135" i="13"/>
  <c r="AG135" i="13"/>
  <c r="AF135" i="13"/>
  <c r="AD135" i="13"/>
  <c r="AC135" i="13"/>
  <c r="AB135" i="13"/>
  <c r="AJ134" i="13"/>
  <c r="AI134" i="13"/>
  <c r="AG134" i="13"/>
  <c r="AF134" i="13"/>
  <c r="AD134" i="13"/>
  <c r="AC134" i="13"/>
  <c r="AB134" i="13"/>
  <c r="AJ133" i="13"/>
  <c r="AI133" i="13"/>
  <c r="AG133" i="13"/>
  <c r="AF133" i="13"/>
  <c r="AD133" i="13"/>
  <c r="AC133" i="13"/>
  <c r="AB133" i="13"/>
  <c r="AJ132" i="13"/>
  <c r="AI132" i="13"/>
  <c r="AG132" i="13"/>
  <c r="AF132" i="13"/>
  <c r="AD132" i="13"/>
  <c r="AC132" i="13"/>
  <c r="AB132" i="13"/>
  <c r="AJ131" i="13"/>
  <c r="AI131" i="13"/>
  <c r="AG131" i="13"/>
  <c r="AF131" i="13"/>
  <c r="AD131" i="13"/>
  <c r="AC131" i="13"/>
  <c r="AB131" i="13"/>
  <c r="AJ130" i="13"/>
  <c r="AI130" i="13"/>
  <c r="AG130" i="13"/>
  <c r="AF130" i="13"/>
  <c r="AD130" i="13"/>
  <c r="AC130" i="13"/>
  <c r="AB130" i="13"/>
  <c r="AJ129" i="13"/>
  <c r="AI129" i="13"/>
  <c r="AG129" i="13"/>
  <c r="AF129" i="13"/>
  <c r="AD129" i="13"/>
  <c r="AC129" i="13"/>
  <c r="AB129" i="13"/>
  <c r="AJ128" i="13"/>
  <c r="AI128" i="13"/>
  <c r="AG128" i="13"/>
  <c r="AF128" i="13"/>
  <c r="AD128" i="13"/>
  <c r="AC128" i="13"/>
  <c r="AB128" i="13"/>
  <c r="AJ127" i="13"/>
  <c r="AI127" i="13"/>
  <c r="AG127" i="13"/>
  <c r="AF127" i="13"/>
  <c r="AD127" i="13"/>
  <c r="AC127" i="13"/>
  <c r="AB127" i="13"/>
  <c r="AJ126" i="13"/>
  <c r="AI126" i="13"/>
  <c r="AG126" i="13"/>
  <c r="AF126" i="13"/>
  <c r="AD126" i="13"/>
  <c r="AC126" i="13"/>
  <c r="AB126" i="13"/>
  <c r="AJ125" i="13"/>
  <c r="AI125" i="13"/>
  <c r="AG125" i="13"/>
  <c r="AF125" i="13"/>
  <c r="AD125" i="13"/>
  <c r="AC125" i="13"/>
  <c r="AB125" i="13"/>
  <c r="AJ124" i="13"/>
  <c r="AI124" i="13"/>
  <c r="AG124" i="13"/>
  <c r="AF124" i="13"/>
  <c r="AD124" i="13"/>
  <c r="AC124" i="13"/>
  <c r="AB124" i="13"/>
  <c r="AJ123" i="13"/>
  <c r="AI123" i="13"/>
  <c r="AG123" i="13"/>
  <c r="AF123" i="13"/>
  <c r="AD123" i="13"/>
  <c r="AC123" i="13"/>
  <c r="AB123" i="13"/>
  <c r="AJ122" i="13"/>
  <c r="AI122" i="13"/>
  <c r="AG122" i="13"/>
  <c r="AF122" i="13"/>
  <c r="AD122" i="13"/>
  <c r="AC122" i="13"/>
  <c r="AB122" i="13"/>
  <c r="AJ121" i="13"/>
  <c r="AI121" i="13"/>
  <c r="AG121" i="13"/>
  <c r="AF121" i="13"/>
  <c r="AD121" i="13"/>
  <c r="AC121" i="13"/>
  <c r="AB121" i="13"/>
  <c r="AJ120" i="13"/>
  <c r="AI120" i="13"/>
  <c r="AG120" i="13"/>
  <c r="AF120" i="13"/>
  <c r="AD120" i="13"/>
  <c r="AC120" i="13"/>
  <c r="AB120" i="13"/>
  <c r="AJ119" i="13"/>
  <c r="AI119" i="13"/>
  <c r="AG119" i="13"/>
  <c r="AF119" i="13"/>
  <c r="AD119" i="13"/>
  <c r="AC119" i="13"/>
  <c r="AB119" i="13"/>
  <c r="AJ118" i="13"/>
  <c r="AI118" i="13"/>
  <c r="AG118" i="13"/>
  <c r="AF118" i="13"/>
  <c r="AD118" i="13"/>
  <c r="AC118" i="13"/>
  <c r="AB118" i="13"/>
  <c r="AJ117" i="13"/>
  <c r="AI117" i="13"/>
  <c r="AK117" i="13" s="1"/>
  <c r="AG117" i="13"/>
  <c r="AF117" i="13"/>
  <c r="AD117" i="13"/>
  <c r="AC117" i="13"/>
  <c r="AB117" i="13"/>
  <c r="AJ116" i="13"/>
  <c r="AI116" i="13"/>
  <c r="AG116" i="13"/>
  <c r="AF116" i="13"/>
  <c r="AD116" i="13"/>
  <c r="AC116" i="13"/>
  <c r="AB116" i="13"/>
  <c r="AJ115" i="13"/>
  <c r="AI115" i="13"/>
  <c r="AG115" i="13"/>
  <c r="AF115" i="13"/>
  <c r="AH115" i="13" s="1"/>
  <c r="AD115" i="13"/>
  <c r="AC115" i="13"/>
  <c r="AB115" i="13"/>
  <c r="AJ114" i="13"/>
  <c r="AI114" i="13"/>
  <c r="AG114" i="13"/>
  <c r="AF114" i="13"/>
  <c r="AD114" i="13"/>
  <c r="AC114" i="13"/>
  <c r="AB114" i="13"/>
  <c r="AJ113" i="13"/>
  <c r="AI113" i="13"/>
  <c r="AG113" i="13"/>
  <c r="AF113" i="13"/>
  <c r="AD113" i="13"/>
  <c r="AC113" i="13"/>
  <c r="AB113" i="13"/>
  <c r="AJ112" i="13"/>
  <c r="AI112" i="13"/>
  <c r="AG112" i="13"/>
  <c r="AF112" i="13"/>
  <c r="AD112" i="13"/>
  <c r="AC112" i="13"/>
  <c r="AB112" i="13"/>
  <c r="AJ111" i="13"/>
  <c r="AI111" i="13"/>
  <c r="AG111" i="13"/>
  <c r="AF111" i="13"/>
  <c r="AD111" i="13"/>
  <c r="AC111" i="13"/>
  <c r="AB111" i="13"/>
  <c r="AJ110" i="13"/>
  <c r="AI110" i="13"/>
  <c r="AG110" i="13"/>
  <c r="AF110" i="13"/>
  <c r="AD110" i="13"/>
  <c r="AC110" i="13"/>
  <c r="AB110" i="13"/>
  <c r="AJ109" i="13"/>
  <c r="AI109" i="13"/>
  <c r="AG109" i="13"/>
  <c r="AF109" i="13"/>
  <c r="AD109" i="13"/>
  <c r="AC109" i="13"/>
  <c r="AB109" i="13"/>
  <c r="AJ108" i="13"/>
  <c r="AI108" i="13"/>
  <c r="AG108" i="13"/>
  <c r="AF108" i="13"/>
  <c r="AD108" i="13"/>
  <c r="AC108" i="13"/>
  <c r="AB108" i="13"/>
  <c r="AJ107" i="13"/>
  <c r="AI107" i="13"/>
  <c r="AG107" i="13"/>
  <c r="AF107" i="13"/>
  <c r="AD107" i="13"/>
  <c r="AC107" i="13"/>
  <c r="AB107" i="13"/>
  <c r="AJ106" i="13"/>
  <c r="AI106" i="13"/>
  <c r="AG106" i="13"/>
  <c r="AF106" i="13"/>
  <c r="AD106" i="13"/>
  <c r="AC106" i="13"/>
  <c r="AB106" i="13"/>
  <c r="AJ105" i="13"/>
  <c r="AI105" i="13"/>
  <c r="AG105" i="13"/>
  <c r="AF105" i="13"/>
  <c r="AD105" i="13"/>
  <c r="AC105" i="13"/>
  <c r="AB105" i="13"/>
  <c r="AJ104" i="13"/>
  <c r="AI104" i="13"/>
  <c r="AG104" i="13"/>
  <c r="AF104" i="13"/>
  <c r="AD104" i="13"/>
  <c r="AC104" i="13"/>
  <c r="AB104" i="13"/>
  <c r="AJ103" i="13"/>
  <c r="AI103" i="13"/>
  <c r="AG103" i="13"/>
  <c r="AF103" i="13"/>
  <c r="AD103" i="13"/>
  <c r="AC103" i="13"/>
  <c r="AB103" i="13"/>
  <c r="AJ102" i="13"/>
  <c r="AI102" i="13"/>
  <c r="AG102" i="13"/>
  <c r="AF102" i="13"/>
  <c r="AD102" i="13"/>
  <c r="AC102" i="13"/>
  <c r="AB102" i="13"/>
  <c r="AJ101" i="13"/>
  <c r="AI101" i="13"/>
  <c r="AK101" i="13" s="1"/>
  <c r="AG101" i="13"/>
  <c r="AF101" i="13"/>
  <c r="AD101" i="13"/>
  <c r="AC101" i="13"/>
  <c r="AB101" i="13"/>
  <c r="AJ100" i="13"/>
  <c r="AI100" i="13"/>
  <c r="AG100" i="13"/>
  <c r="AF100" i="13"/>
  <c r="AD100" i="13"/>
  <c r="AC100" i="13"/>
  <c r="AB100" i="13"/>
  <c r="AJ99" i="13"/>
  <c r="AI99" i="13"/>
  <c r="AG99" i="13"/>
  <c r="AF99" i="13"/>
  <c r="AD99" i="13"/>
  <c r="AC99" i="13"/>
  <c r="AB99" i="13"/>
  <c r="AJ98" i="13"/>
  <c r="AI98" i="13"/>
  <c r="AG98" i="13"/>
  <c r="AF98" i="13"/>
  <c r="AD98" i="13"/>
  <c r="AC98" i="13"/>
  <c r="AB98" i="13"/>
  <c r="AJ97" i="13"/>
  <c r="AI97" i="13"/>
  <c r="AG97" i="13"/>
  <c r="AF97" i="13"/>
  <c r="AD97" i="13"/>
  <c r="AC97" i="13"/>
  <c r="AE97" i="13" s="1"/>
  <c r="AB97" i="13"/>
  <c r="AJ96" i="13"/>
  <c r="AI96" i="13"/>
  <c r="AG96" i="13"/>
  <c r="AF96" i="13"/>
  <c r="AD96" i="13"/>
  <c r="AC96" i="13"/>
  <c r="AB96" i="13"/>
  <c r="AJ95" i="13"/>
  <c r="AI95" i="13"/>
  <c r="AG95" i="13"/>
  <c r="AF95" i="13"/>
  <c r="AD95" i="13"/>
  <c r="AC95" i="13"/>
  <c r="AB95" i="13"/>
  <c r="AJ94" i="13"/>
  <c r="AI94" i="13"/>
  <c r="AG94" i="13"/>
  <c r="AF94" i="13"/>
  <c r="AD94" i="13"/>
  <c r="AC94" i="13"/>
  <c r="AB94" i="13"/>
  <c r="AJ93" i="13"/>
  <c r="AI93" i="13"/>
  <c r="AG93" i="13"/>
  <c r="AF93" i="13"/>
  <c r="AD93" i="13"/>
  <c r="AC93" i="13"/>
  <c r="AB93" i="13"/>
  <c r="AJ92" i="13"/>
  <c r="AI92" i="13"/>
  <c r="AG92" i="13"/>
  <c r="AF92" i="13"/>
  <c r="AD92" i="13"/>
  <c r="AC92" i="13"/>
  <c r="AB92" i="13"/>
  <c r="AJ91" i="13"/>
  <c r="AI91" i="13"/>
  <c r="AG91" i="13"/>
  <c r="AF91" i="13"/>
  <c r="AD91" i="13"/>
  <c r="AC91" i="13"/>
  <c r="AB91" i="13"/>
  <c r="AJ90" i="13"/>
  <c r="AI90" i="13"/>
  <c r="AG90" i="13"/>
  <c r="AF90" i="13"/>
  <c r="AD90" i="13"/>
  <c r="AC90" i="13"/>
  <c r="AB90" i="13"/>
  <c r="AJ89" i="13"/>
  <c r="AI89" i="13"/>
  <c r="AG89" i="13"/>
  <c r="AF89" i="13"/>
  <c r="AD89" i="13"/>
  <c r="AC89" i="13"/>
  <c r="AB89" i="13"/>
  <c r="AJ88" i="13"/>
  <c r="AI88" i="13"/>
  <c r="AG88" i="13"/>
  <c r="AF88" i="13"/>
  <c r="AD88" i="13"/>
  <c r="AC88" i="13"/>
  <c r="AB88" i="13"/>
  <c r="AJ87" i="13"/>
  <c r="AI87" i="13"/>
  <c r="AG87" i="13"/>
  <c r="AF87" i="13"/>
  <c r="AD87" i="13"/>
  <c r="AC87" i="13"/>
  <c r="AB87" i="13"/>
  <c r="AJ86" i="13"/>
  <c r="AI86" i="13"/>
  <c r="AG86" i="13"/>
  <c r="AF86" i="13"/>
  <c r="AD86" i="13"/>
  <c r="AC86" i="13"/>
  <c r="AE86" i="13" s="1"/>
  <c r="AB86" i="13"/>
  <c r="AJ85" i="13"/>
  <c r="AI85" i="13"/>
  <c r="AK85" i="13" s="1"/>
  <c r="AG85" i="13"/>
  <c r="AF85" i="13"/>
  <c r="AD85" i="13"/>
  <c r="AC85" i="13"/>
  <c r="AB85" i="13"/>
  <c r="AJ84" i="13"/>
  <c r="AI84" i="13"/>
  <c r="AG84" i="13"/>
  <c r="AF84" i="13"/>
  <c r="AD84" i="13"/>
  <c r="AC84" i="13"/>
  <c r="AB84" i="13"/>
  <c r="AJ83" i="13"/>
  <c r="AI83" i="13"/>
  <c r="AG83" i="13"/>
  <c r="AF83" i="13"/>
  <c r="AH83" i="13" s="1"/>
  <c r="AD83" i="13"/>
  <c r="AC83" i="13"/>
  <c r="AB83" i="13"/>
  <c r="AJ82" i="13"/>
  <c r="AI82" i="13"/>
  <c r="AG82" i="13"/>
  <c r="AF82" i="13"/>
  <c r="AD82" i="13"/>
  <c r="AC82" i="13"/>
  <c r="AB82" i="13"/>
  <c r="AJ81" i="13"/>
  <c r="AI81" i="13"/>
  <c r="AG81" i="13"/>
  <c r="AF81" i="13"/>
  <c r="AD81" i="13"/>
  <c r="AC81" i="13"/>
  <c r="AE81" i="13" s="1"/>
  <c r="AB81" i="13"/>
  <c r="AJ80" i="13"/>
  <c r="AI80" i="13"/>
  <c r="AG80" i="13"/>
  <c r="AF80" i="13"/>
  <c r="AD80" i="13"/>
  <c r="AC80" i="13"/>
  <c r="AB80" i="13"/>
  <c r="AJ79" i="13"/>
  <c r="AI79" i="13"/>
  <c r="AG79" i="13"/>
  <c r="AF79" i="13"/>
  <c r="AD79" i="13"/>
  <c r="AC79" i="13"/>
  <c r="AB79" i="13"/>
  <c r="AJ78" i="13"/>
  <c r="AI78" i="13"/>
  <c r="AG78" i="13"/>
  <c r="AF78" i="13"/>
  <c r="AD78" i="13"/>
  <c r="AC78" i="13"/>
  <c r="AB78" i="13"/>
  <c r="AJ77" i="13"/>
  <c r="AI77" i="13"/>
  <c r="AG77" i="13"/>
  <c r="AF77" i="13"/>
  <c r="AD77" i="13"/>
  <c r="AC77" i="13"/>
  <c r="AB77" i="13"/>
  <c r="AJ76" i="13"/>
  <c r="AI76" i="13"/>
  <c r="AG76" i="13"/>
  <c r="AF76" i="13"/>
  <c r="AD76" i="13"/>
  <c r="AC76" i="13"/>
  <c r="AB76" i="13"/>
  <c r="AJ75" i="13"/>
  <c r="AI75" i="13"/>
  <c r="AG75" i="13"/>
  <c r="AF75" i="13"/>
  <c r="AD75" i="13"/>
  <c r="AC75" i="13"/>
  <c r="AB75" i="13"/>
  <c r="AJ74" i="13"/>
  <c r="AI74" i="13"/>
  <c r="AG74" i="13"/>
  <c r="AF74" i="13"/>
  <c r="AD74" i="13"/>
  <c r="AC74" i="13"/>
  <c r="AB74" i="13"/>
  <c r="AJ73" i="13"/>
  <c r="AI73" i="13"/>
  <c r="AG73" i="13"/>
  <c r="AF73" i="13"/>
  <c r="AD73" i="13"/>
  <c r="AC73" i="13"/>
  <c r="AB73" i="13"/>
  <c r="AJ72" i="13"/>
  <c r="AI72" i="13"/>
  <c r="AG72" i="13"/>
  <c r="AF72" i="13"/>
  <c r="AD72" i="13"/>
  <c r="AC72" i="13"/>
  <c r="AB72" i="13"/>
  <c r="AJ71" i="13"/>
  <c r="AI71" i="13"/>
  <c r="AG71" i="13"/>
  <c r="AF71" i="13"/>
  <c r="AD71" i="13"/>
  <c r="AC71" i="13"/>
  <c r="AB71" i="13"/>
  <c r="AJ70" i="13"/>
  <c r="AI70" i="13"/>
  <c r="AG70" i="13"/>
  <c r="AF70" i="13"/>
  <c r="AD70" i="13"/>
  <c r="AC70" i="13"/>
  <c r="AB70" i="13"/>
  <c r="AJ69" i="13"/>
  <c r="AI69" i="13"/>
  <c r="AG69" i="13"/>
  <c r="AF69" i="13"/>
  <c r="AD69" i="13"/>
  <c r="AC69" i="13"/>
  <c r="AB69" i="13"/>
  <c r="AJ68" i="13"/>
  <c r="AI68" i="13"/>
  <c r="AG68" i="13"/>
  <c r="AF68" i="13"/>
  <c r="AD68" i="13"/>
  <c r="AC68" i="13"/>
  <c r="AB68" i="13"/>
  <c r="AJ67" i="13"/>
  <c r="AI67" i="13"/>
  <c r="AG67" i="13"/>
  <c r="AF67" i="13"/>
  <c r="AD67" i="13"/>
  <c r="AC67" i="13"/>
  <c r="AB67" i="13"/>
  <c r="AJ66" i="13"/>
  <c r="AI66" i="13"/>
  <c r="AG66" i="13"/>
  <c r="AF66" i="13"/>
  <c r="AD66" i="13"/>
  <c r="AC66" i="13"/>
  <c r="AB66" i="13"/>
  <c r="AJ65" i="13"/>
  <c r="AI65" i="13"/>
  <c r="AG65" i="13"/>
  <c r="AF65" i="13"/>
  <c r="AD65" i="13"/>
  <c r="AC65" i="13"/>
  <c r="AB65" i="13"/>
  <c r="AJ64" i="13"/>
  <c r="AI64" i="13"/>
  <c r="AG64" i="13"/>
  <c r="AF64" i="13"/>
  <c r="AD64" i="13"/>
  <c r="AC64" i="13"/>
  <c r="AB64" i="13"/>
  <c r="AJ63" i="13"/>
  <c r="AI63" i="13"/>
  <c r="AG63" i="13"/>
  <c r="AF63" i="13"/>
  <c r="AD63" i="13"/>
  <c r="AC63" i="13"/>
  <c r="AB63" i="13"/>
  <c r="AJ62" i="13"/>
  <c r="AI62" i="13"/>
  <c r="AG62" i="13"/>
  <c r="AF62" i="13"/>
  <c r="AD62" i="13"/>
  <c r="AC62" i="13"/>
  <c r="AB62" i="13"/>
  <c r="AJ61" i="13"/>
  <c r="AI61" i="13"/>
  <c r="AG61" i="13"/>
  <c r="AF61" i="13"/>
  <c r="AD61" i="13"/>
  <c r="AC61" i="13"/>
  <c r="AB61" i="13"/>
  <c r="AJ60" i="13"/>
  <c r="AI60" i="13"/>
  <c r="AG60" i="13"/>
  <c r="AF60" i="13"/>
  <c r="AD60" i="13"/>
  <c r="AC60" i="13"/>
  <c r="AB60" i="13"/>
  <c r="AJ59" i="13"/>
  <c r="AI59" i="13"/>
  <c r="AG59" i="13"/>
  <c r="AF59" i="13"/>
  <c r="AD59" i="13"/>
  <c r="AC59" i="13"/>
  <c r="AB59" i="13"/>
  <c r="AJ58" i="13"/>
  <c r="AI58" i="13"/>
  <c r="AG58" i="13"/>
  <c r="AF58" i="13"/>
  <c r="AD58" i="13"/>
  <c r="AC58" i="13"/>
  <c r="AB58" i="13"/>
  <c r="AJ57" i="13"/>
  <c r="AI57" i="13"/>
  <c r="AG57" i="13"/>
  <c r="AF57" i="13"/>
  <c r="AD57" i="13"/>
  <c r="AC57" i="13"/>
  <c r="AB57" i="13"/>
  <c r="AJ56" i="13"/>
  <c r="AI56" i="13"/>
  <c r="AG56" i="13"/>
  <c r="AF56" i="13"/>
  <c r="AD56" i="13"/>
  <c r="AC56" i="13"/>
  <c r="AB56" i="13"/>
  <c r="AJ55" i="13"/>
  <c r="AI55" i="13"/>
  <c r="AG55" i="13"/>
  <c r="AF55" i="13"/>
  <c r="AD55" i="13"/>
  <c r="AC55" i="13"/>
  <c r="AB55" i="13"/>
  <c r="AJ54" i="13"/>
  <c r="AI54" i="13"/>
  <c r="AG54" i="13"/>
  <c r="AF54" i="13"/>
  <c r="AD54" i="13"/>
  <c r="AC54" i="13"/>
  <c r="AB54" i="13"/>
  <c r="AJ53" i="13"/>
  <c r="AI53" i="13"/>
  <c r="AG53" i="13"/>
  <c r="AF53" i="13"/>
  <c r="AD53" i="13"/>
  <c r="AC53" i="13"/>
  <c r="AB53" i="13"/>
  <c r="AJ52" i="13"/>
  <c r="AI52" i="13"/>
  <c r="AG52" i="13"/>
  <c r="AF52" i="13"/>
  <c r="AD52" i="13"/>
  <c r="AC52" i="13"/>
  <c r="AB52" i="13"/>
  <c r="AJ51" i="13"/>
  <c r="AI51" i="13"/>
  <c r="AG51" i="13"/>
  <c r="AF51" i="13"/>
  <c r="AD51" i="13"/>
  <c r="AC51" i="13"/>
  <c r="AB51" i="13"/>
  <c r="AJ50" i="13"/>
  <c r="AI50" i="13"/>
  <c r="AG50" i="13"/>
  <c r="AF50" i="13"/>
  <c r="AD50" i="13"/>
  <c r="AC50" i="13"/>
  <c r="AB50" i="13"/>
  <c r="AJ49" i="13"/>
  <c r="AI49" i="13"/>
  <c r="AG49" i="13"/>
  <c r="AF49" i="13"/>
  <c r="AD49" i="13"/>
  <c r="AC49" i="13"/>
  <c r="AB49" i="13"/>
  <c r="AJ48" i="13"/>
  <c r="AI48" i="13"/>
  <c r="AG48" i="13"/>
  <c r="AF48" i="13"/>
  <c r="AD48" i="13"/>
  <c r="AC48" i="13"/>
  <c r="AB48" i="13"/>
  <c r="AJ47" i="13"/>
  <c r="AI47" i="13"/>
  <c r="AG47" i="13"/>
  <c r="AF47" i="13"/>
  <c r="AD47" i="13"/>
  <c r="AC47" i="13"/>
  <c r="AB47" i="13"/>
  <c r="AJ46" i="13"/>
  <c r="AI46" i="13"/>
  <c r="AK46" i="13" s="1"/>
  <c r="AG46" i="13"/>
  <c r="AF46" i="13"/>
  <c r="AD46" i="13"/>
  <c r="AC46" i="13"/>
  <c r="AB46" i="13"/>
  <c r="AJ45" i="13"/>
  <c r="AI45" i="13"/>
  <c r="AG45" i="13"/>
  <c r="AF45" i="13"/>
  <c r="AD45" i="13"/>
  <c r="AC45" i="13"/>
  <c r="AB45" i="13"/>
  <c r="AJ44" i="13"/>
  <c r="AI44" i="13"/>
  <c r="AG44" i="13"/>
  <c r="AF44" i="13"/>
  <c r="AH44" i="13" s="1"/>
  <c r="AD44" i="13"/>
  <c r="AC44" i="13"/>
  <c r="AB44" i="13"/>
  <c r="AJ43" i="13"/>
  <c r="AI43" i="13"/>
  <c r="AG43" i="13"/>
  <c r="AF43" i="13"/>
  <c r="AD43" i="13"/>
  <c r="AC43" i="13"/>
  <c r="AB43" i="13"/>
  <c r="AJ42" i="13"/>
  <c r="AI42" i="13"/>
  <c r="AG42" i="13"/>
  <c r="AF42" i="13"/>
  <c r="AD42" i="13"/>
  <c r="AC42" i="13"/>
  <c r="AE42" i="13" s="1"/>
  <c r="AB42" i="13"/>
  <c r="AJ41" i="13"/>
  <c r="AI41" i="13"/>
  <c r="AG41" i="13"/>
  <c r="AF41" i="13"/>
  <c r="AD41" i="13"/>
  <c r="AC41" i="13"/>
  <c r="AB41" i="13"/>
  <c r="AJ40" i="13"/>
  <c r="AI40" i="13"/>
  <c r="AG40" i="13"/>
  <c r="AF40" i="13"/>
  <c r="AD40" i="13"/>
  <c r="AC40" i="13"/>
  <c r="AB40" i="13"/>
  <c r="AJ39" i="13"/>
  <c r="AI39" i="13"/>
  <c r="AG39" i="13"/>
  <c r="AF39" i="13"/>
  <c r="AD39" i="13"/>
  <c r="AC39" i="13"/>
  <c r="AB39" i="13"/>
  <c r="AJ38" i="13"/>
  <c r="AI38" i="13"/>
  <c r="AG38" i="13"/>
  <c r="AF38" i="13"/>
  <c r="AD38" i="13"/>
  <c r="AC38" i="13"/>
  <c r="AB38" i="13"/>
  <c r="AJ37" i="13"/>
  <c r="AI37" i="13"/>
  <c r="AG37" i="13"/>
  <c r="AF37" i="13"/>
  <c r="AD37" i="13"/>
  <c r="AC37" i="13"/>
  <c r="AB37" i="13"/>
  <c r="AJ36" i="13"/>
  <c r="AI36" i="13"/>
  <c r="AG36" i="13"/>
  <c r="AF36" i="13"/>
  <c r="AD36" i="13"/>
  <c r="AC36" i="13"/>
  <c r="AB36" i="13"/>
  <c r="AJ35" i="13"/>
  <c r="AI35" i="13"/>
  <c r="AG35" i="13"/>
  <c r="AF35" i="13"/>
  <c r="AD35" i="13"/>
  <c r="AC35" i="13"/>
  <c r="AB35" i="13"/>
  <c r="AJ34" i="13"/>
  <c r="AI34" i="13"/>
  <c r="AG34" i="13"/>
  <c r="AF34" i="13"/>
  <c r="AD34" i="13"/>
  <c r="AC34" i="13"/>
  <c r="AB34" i="13"/>
  <c r="AJ33" i="13"/>
  <c r="AI33" i="13"/>
  <c r="AG33" i="13"/>
  <c r="AF33" i="13"/>
  <c r="AD33" i="13"/>
  <c r="AC33" i="13"/>
  <c r="AB33" i="13"/>
  <c r="AJ32" i="13"/>
  <c r="AI32" i="13"/>
  <c r="AG32" i="13"/>
  <c r="AF32" i="13"/>
  <c r="AD32" i="13"/>
  <c r="AC32" i="13"/>
  <c r="AB32" i="13"/>
  <c r="AJ31" i="13"/>
  <c r="AI31" i="13"/>
  <c r="AG31" i="13"/>
  <c r="AF31" i="13"/>
  <c r="AD31" i="13"/>
  <c r="AC31" i="13"/>
  <c r="AB31" i="13"/>
  <c r="AJ30" i="13"/>
  <c r="AI30" i="13"/>
  <c r="AG30" i="13"/>
  <c r="AF30" i="13"/>
  <c r="AD30" i="13"/>
  <c r="AC30" i="13"/>
  <c r="AB30" i="13"/>
  <c r="AJ29" i="13"/>
  <c r="AI29" i="13"/>
  <c r="AG29" i="13"/>
  <c r="AF29" i="13"/>
  <c r="AD29" i="13"/>
  <c r="AC29" i="13"/>
  <c r="AB29" i="13"/>
  <c r="AJ28" i="13"/>
  <c r="AI28" i="13"/>
  <c r="AG28" i="13"/>
  <c r="AF28" i="13"/>
  <c r="AD28" i="13"/>
  <c r="AC28" i="13"/>
  <c r="AB28" i="13"/>
  <c r="AJ27" i="13"/>
  <c r="AI27" i="13"/>
  <c r="AG27" i="13"/>
  <c r="AF27" i="13"/>
  <c r="AD27" i="13"/>
  <c r="AC27" i="13"/>
  <c r="AB27" i="13"/>
  <c r="AJ26" i="13"/>
  <c r="AI26" i="13"/>
  <c r="AG26" i="13"/>
  <c r="AF26" i="13"/>
  <c r="AD26" i="13"/>
  <c r="AC26" i="13"/>
  <c r="AB26" i="13"/>
  <c r="AJ25" i="13"/>
  <c r="AI25" i="13"/>
  <c r="AG25" i="13"/>
  <c r="AF25" i="13"/>
  <c r="AD25" i="13"/>
  <c r="AC25" i="13"/>
  <c r="AB25" i="13"/>
  <c r="AJ24" i="13"/>
  <c r="AI24" i="13"/>
  <c r="AG24" i="13"/>
  <c r="AF24" i="13"/>
  <c r="AD24" i="13"/>
  <c r="AC24" i="13"/>
  <c r="AB24" i="13"/>
  <c r="AJ23" i="13"/>
  <c r="AI23" i="13"/>
  <c r="AG23" i="13"/>
  <c r="AF23" i="13"/>
  <c r="AD23" i="13"/>
  <c r="AC23" i="13"/>
  <c r="AB23" i="13"/>
  <c r="AJ22" i="13"/>
  <c r="AI22" i="13"/>
  <c r="AG22" i="13"/>
  <c r="AF22" i="13"/>
  <c r="AD22" i="13"/>
  <c r="AC22" i="13"/>
  <c r="AB22" i="13"/>
  <c r="AJ21" i="13"/>
  <c r="AI21" i="13"/>
  <c r="AK21" i="13" s="1"/>
  <c r="AG21" i="13"/>
  <c r="AF21" i="13"/>
  <c r="AD21" i="13"/>
  <c r="AC21" i="13"/>
  <c r="AB21" i="13"/>
  <c r="AJ20" i="13"/>
  <c r="AI20" i="13"/>
  <c r="AG20" i="13"/>
  <c r="AF20" i="13"/>
  <c r="AD20" i="13"/>
  <c r="AC20" i="13"/>
  <c r="AB20" i="13"/>
  <c r="AJ19" i="13"/>
  <c r="AI19" i="13"/>
  <c r="AG19" i="13"/>
  <c r="AF19" i="13"/>
  <c r="AD19" i="13"/>
  <c r="AC19" i="13"/>
  <c r="AB19" i="13"/>
  <c r="AJ18" i="13"/>
  <c r="AI18" i="13"/>
  <c r="AG18" i="13"/>
  <c r="AF18" i="13"/>
  <c r="AD18" i="13"/>
  <c r="AC18" i="13"/>
  <c r="AB18" i="13"/>
  <c r="AJ17" i="13"/>
  <c r="AI17" i="13"/>
  <c r="AG17" i="13"/>
  <c r="AF17" i="13"/>
  <c r="AD17" i="13"/>
  <c r="AC17" i="13"/>
  <c r="AB17" i="13"/>
  <c r="AJ16" i="13"/>
  <c r="AI16" i="13"/>
  <c r="AG16" i="13"/>
  <c r="AF16" i="13"/>
  <c r="AD16" i="13"/>
  <c r="AC16" i="13"/>
  <c r="AB16" i="13"/>
  <c r="AJ15" i="13"/>
  <c r="AI15" i="13"/>
  <c r="AG15" i="13"/>
  <c r="AF15" i="13"/>
  <c r="AD15" i="13"/>
  <c r="AC15" i="13"/>
  <c r="AB15" i="13"/>
  <c r="AJ14" i="13"/>
  <c r="AI14" i="13"/>
  <c r="AG14" i="13"/>
  <c r="AF14" i="13"/>
  <c r="AD14" i="13"/>
  <c r="AC14" i="13"/>
  <c r="AB14" i="13"/>
  <c r="AJ13" i="13"/>
  <c r="AI13" i="13"/>
  <c r="AG13" i="13"/>
  <c r="AF13" i="13"/>
  <c r="AD13" i="13"/>
  <c r="AC13" i="13"/>
  <c r="AB13" i="13"/>
  <c r="AJ12" i="13"/>
  <c r="AI12" i="13"/>
  <c r="AG12" i="13"/>
  <c r="AF12" i="13"/>
  <c r="AH12" i="13" s="1"/>
  <c r="AD12" i="13"/>
  <c r="AC12" i="13"/>
  <c r="AB12" i="13"/>
  <c r="AJ11" i="13"/>
  <c r="AI11" i="13"/>
  <c r="AG11" i="13"/>
  <c r="AF11" i="13"/>
  <c r="AD11" i="13"/>
  <c r="AC11" i="13"/>
  <c r="AB11" i="13"/>
  <c r="AJ10" i="13"/>
  <c r="AI10" i="13"/>
  <c r="AG10" i="13"/>
  <c r="AF10" i="13"/>
  <c r="AD10" i="13"/>
  <c r="AC10" i="13"/>
  <c r="AE10" i="13" s="1"/>
  <c r="AB10" i="13"/>
  <c r="AJ9" i="13"/>
  <c r="AI9" i="13"/>
  <c r="AG9" i="13"/>
  <c r="AF9" i="13"/>
  <c r="AD9" i="13"/>
  <c r="AC9" i="13"/>
  <c r="AB9" i="13"/>
  <c r="AJ8" i="13"/>
  <c r="AI8" i="13"/>
  <c r="AG8" i="13"/>
  <c r="AF8" i="13"/>
  <c r="AD8" i="13"/>
  <c r="AC8" i="13"/>
  <c r="AB8" i="13"/>
  <c r="AJ7" i="13"/>
  <c r="AI7" i="13"/>
  <c r="AG7" i="13"/>
  <c r="AF7" i="13"/>
  <c r="AD7" i="13"/>
  <c r="AC7" i="13"/>
  <c r="AB7" i="13"/>
  <c r="AJ6" i="13"/>
  <c r="AI6" i="13"/>
  <c r="AG6" i="13"/>
  <c r="AF6" i="13"/>
  <c r="AD6" i="13"/>
  <c r="AC6" i="13"/>
  <c r="AB6" i="13"/>
  <c r="AJ5" i="13"/>
  <c r="AI5" i="13"/>
  <c r="AK5" i="13" s="1"/>
  <c r="AG5" i="13"/>
  <c r="AF5" i="13"/>
  <c r="AD5" i="13"/>
  <c r="AC5" i="13"/>
  <c r="AB5" i="13"/>
  <c r="AJ4" i="13"/>
  <c r="AI4" i="13"/>
  <c r="AG4" i="13"/>
  <c r="AF4" i="13"/>
  <c r="AD4" i="13"/>
  <c r="AC4" i="13"/>
  <c r="AB4" i="13"/>
  <c r="AE11" i="13" l="1"/>
  <c r="AH13" i="13"/>
  <c r="AK15" i="13"/>
  <c r="AE19" i="13"/>
  <c r="AH21" i="13"/>
  <c r="AK23" i="13"/>
  <c r="AE27" i="13"/>
  <c r="AK31" i="13"/>
  <c r="AK39" i="13"/>
  <c r="AE43" i="13"/>
  <c r="AK47" i="13"/>
  <c r="AK55" i="13"/>
  <c r="AE59" i="13"/>
  <c r="AH61" i="13"/>
  <c r="AK63" i="13"/>
  <c r="AE75" i="13"/>
  <c r="AH77" i="13"/>
  <c r="AE83" i="13"/>
  <c r="AH85" i="13"/>
  <c r="AK87" i="13"/>
  <c r="AK103" i="13"/>
  <c r="AK111" i="13"/>
  <c r="AE115" i="13"/>
  <c r="AH117" i="13"/>
  <c r="AE123" i="13"/>
  <c r="AE131" i="13"/>
  <c r="AH141" i="13"/>
  <c r="AK143" i="13"/>
  <c r="AK175" i="13"/>
  <c r="AE187" i="13"/>
  <c r="AH189" i="13"/>
  <c r="AK191" i="13"/>
  <c r="AH205" i="13"/>
  <c r="AE219" i="13"/>
  <c r="AH221" i="13"/>
  <c r="AH261" i="13"/>
  <c r="AK263" i="13"/>
  <c r="AH277" i="13"/>
  <c r="AK279" i="13"/>
  <c r="AK295" i="13"/>
  <c r="AH333" i="13"/>
  <c r="AH349" i="13"/>
  <c r="AK351" i="13"/>
  <c r="AE363" i="13"/>
  <c r="AH365" i="13"/>
  <c r="AE371" i="13"/>
  <c r="AH373" i="13"/>
  <c r="AE387" i="13"/>
  <c r="AH389" i="13"/>
  <c r="AK391" i="13"/>
  <c r="AE395" i="13"/>
  <c r="AH397" i="13"/>
  <c r="AK399" i="13"/>
  <c r="AE411" i="13"/>
  <c r="AE419" i="13"/>
  <c r="AH421" i="13"/>
  <c r="AK423" i="13"/>
  <c r="AH429" i="13"/>
  <c r="AK431" i="13"/>
  <c r="AE435" i="13"/>
  <c r="AH437" i="13"/>
  <c r="AK439" i="13"/>
  <c r="AE443" i="13"/>
  <c r="AH445" i="13"/>
  <c r="AK447" i="13"/>
  <c r="AE451" i="13"/>
  <c r="AH453" i="13"/>
  <c r="AK455" i="13"/>
  <c r="AE459" i="13"/>
  <c r="AH461" i="13"/>
  <c r="AK463" i="13"/>
  <c r="AE467" i="13"/>
  <c r="AH477" i="13"/>
  <c r="AK479" i="13"/>
  <c r="AH26" i="13"/>
  <c r="AK28" i="13"/>
  <c r="AE40" i="13"/>
  <c r="AH42" i="13"/>
  <c r="AK252" i="13"/>
  <c r="AE296" i="13"/>
  <c r="AE360" i="13"/>
  <c r="AK380" i="13"/>
  <c r="AK396" i="13"/>
  <c r="AH426" i="13"/>
  <c r="AK460" i="13"/>
  <c r="AE159" i="13"/>
  <c r="AH369" i="13"/>
  <c r="AH401" i="13"/>
  <c r="AH497" i="13"/>
  <c r="AK6" i="13"/>
  <c r="AK22" i="13"/>
  <c r="AE50" i="13"/>
  <c r="AK54" i="13"/>
  <c r="AE66" i="13"/>
  <c r="AH68" i="13"/>
  <c r="AE114" i="13"/>
  <c r="AK278" i="13"/>
  <c r="AE322" i="13"/>
  <c r="AH324" i="13"/>
  <c r="AK326" i="13"/>
  <c r="AH340" i="13"/>
  <c r="AK342" i="13"/>
  <c r="AE354" i="13"/>
  <c r="AH356" i="13"/>
  <c r="AK358" i="13"/>
  <c r="AH420" i="13"/>
  <c r="AK422" i="13"/>
  <c r="AE434" i="13"/>
  <c r="AK438" i="13"/>
  <c r="AK454" i="13"/>
  <c r="AE466" i="13"/>
  <c r="AE482" i="13"/>
  <c r="AH484" i="13"/>
  <c r="AK486" i="13"/>
  <c r="AE498" i="13"/>
  <c r="AH500" i="13"/>
  <c r="AK502" i="13"/>
  <c r="AK359" i="13"/>
  <c r="AH410" i="13"/>
  <c r="AK412" i="13"/>
  <c r="AE488" i="13"/>
  <c r="AK492" i="13"/>
  <c r="AE18" i="13"/>
  <c r="AE34" i="13"/>
  <c r="AK70" i="13"/>
  <c r="AK118" i="13"/>
  <c r="AH148" i="13"/>
  <c r="AK150" i="13"/>
  <c r="AE162" i="13"/>
  <c r="AH164" i="13"/>
  <c r="AK230" i="13"/>
  <c r="AE386" i="13"/>
  <c r="AK366" i="13"/>
  <c r="AK382" i="13"/>
  <c r="AE271" i="13"/>
  <c r="AH273" i="13"/>
  <c r="AK7" i="13"/>
  <c r="AK357" i="13"/>
  <c r="AK339" i="13"/>
  <c r="AE7" i="13"/>
  <c r="AE87" i="13"/>
  <c r="AH89" i="13"/>
  <c r="AE16" i="13"/>
  <c r="AH18" i="13"/>
  <c r="AK20" i="13"/>
  <c r="AE48" i="13"/>
  <c r="AH50" i="13"/>
  <c r="AK52" i="13"/>
  <c r="AE64" i="13"/>
  <c r="AH66" i="13"/>
  <c r="AK68" i="13"/>
  <c r="AE160" i="13"/>
  <c r="AE176" i="13"/>
  <c r="AK180" i="13"/>
  <c r="AK196" i="13"/>
  <c r="AK212" i="13"/>
  <c r="AE240" i="13"/>
  <c r="AH242" i="13"/>
  <c r="AK244" i="13"/>
  <c r="AK276" i="13"/>
  <c r="AH290" i="13"/>
  <c r="AK292" i="13"/>
  <c r="AK308" i="13"/>
  <c r="AE320" i="13"/>
  <c r="AK324" i="13"/>
  <c r="AE352" i="13"/>
  <c r="AK356" i="13"/>
  <c r="AK404" i="13"/>
  <c r="AE266" i="13"/>
  <c r="AK41" i="13"/>
  <c r="AK57" i="13"/>
  <c r="AE85" i="13"/>
  <c r="AE101" i="13"/>
  <c r="AK105" i="13"/>
  <c r="AK121" i="13"/>
  <c r="AE133" i="13"/>
  <c r="AE213" i="13"/>
  <c r="AE229" i="13"/>
  <c r="AK122" i="13"/>
  <c r="AH469" i="13"/>
  <c r="AH412" i="13"/>
  <c r="AK501" i="13"/>
  <c r="AE15" i="13"/>
  <c r="AH136" i="13"/>
  <c r="AK407" i="13"/>
  <c r="AE491" i="13"/>
  <c r="AE103" i="13"/>
  <c r="AH405" i="13"/>
  <c r="AH231" i="13"/>
  <c r="AK364" i="13"/>
  <c r="AH45" i="13"/>
  <c r="AE5" i="13"/>
  <c r="AE21" i="13"/>
  <c r="AE149" i="13"/>
  <c r="AK153" i="13"/>
  <c r="AE197" i="13"/>
  <c r="AE186" i="13"/>
  <c r="AE416" i="13"/>
  <c r="AH418" i="13"/>
  <c r="AK420" i="13"/>
  <c r="AE448" i="13"/>
  <c r="AK484" i="13"/>
  <c r="AE157" i="13"/>
  <c r="AE173" i="13"/>
  <c r="AK177" i="13"/>
  <c r="AK193" i="13"/>
  <c r="AE205" i="13"/>
  <c r="AK209" i="13"/>
  <c r="AE221" i="13"/>
  <c r="AK225" i="13"/>
  <c r="AE237" i="13"/>
  <c r="AE301" i="13"/>
  <c r="AE9" i="13"/>
  <c r="AK13" i="13"/>
  <c r="AE25" i="13"/>
  <c r="AH27" i="13"/>
  <c r="AK29" i="13"/>
  <c r="AE41" i="13"/>
  <c r="AH43" i="13"/>
  <c r="AK45" i="13"/>
  <c r="AE57" i="13"/>
  <c r="AH59" i="13"/>
  <c r="AK61" i="13"/>
  <c r="AK77" i="13"/>
  <c r="AE89" i="13"/>
  <c r="AK93" i="13"/>
  <c r="AK141" i="13"/>
  <c r="AE153" i="13"/>
  <c r="AH155" i="13"/>
  <c r="AE297" i="13"/>
  <c r="AK301" i="13"/>
  <c r="AH315" i="13"/>
  <c r="AK317" i="13"/>
  <c r="AE329" i="13"/>
  <c r="AH331" i="13"/>
  <c r="AK333" i="13"/>
  <c r="AE361" i="13"/>
  <c r="AK365" i="13"/>
  <c r="AE377" i="13"/>
  <c r="AH379" i="13"/>
  <c r="AK381" i="13"/>
  <c r="AE393" i="13"/>
  <c r="AK397" i="13"/>
  <c r="AE409" i="13"/>
  <c r="AE425" i="13"/>
  <c r="AH427" i="13"/>
  <c r="AK429" i="13"/>
  <c r="AE441" i="13"/>
  <c r="AK445" i="13"/>
  <c r="AE473" i="13"/>
  <c r="AH475" i="13"/>
  <c r="AK477" i="13"/>
  <c r="AH428" i="13"/>
  <c r="AK430" i="13"/>
  <c r="AE158" i="13"/>
  <c r="AK162" i="13"/>
  <c r="AE190" i="13"/>
  <c r="AH192" i="13"/>
  <c r="AE206" i="13"/>
  <c r="AH208" i="13"/>
  <c r="AE222" i="13"/>
  <c r="AH224" i="13"/>
  <c r="AE238" i="13"/>
  <c r="AE270" i="13"/>
  <c r="AH272" i="13"/>
  <c r="AK274" i="13"/>
  <c r="AE286" i="13"/>
  <c r="AH288" i="13"/>
  <c r="AK290" i="13"/>
  <c r="AE302" i="13"/>
  <c r="AH304" i="13"/>
  <c r="AH320" i="13"/>
  <c r="AK322" i="13"/>
  <c r="AE438" i="13"/>
  <c r="AH440" i="13"/>
  <c r="AH6" i="13"/>
  <c r="AE20" i="13"/>
  <c r="AH22" i="13"/>
  <c r="AK24" i="13"/>
  <c r="AE36" i="13"/>
  <c r="AH38" i="13"/>
  <c r="AE52" i="13"/>
  <c r="AH54" i="13"/>
  <c r="AK56" i="13"/>
  <c r="AE68" i="13"/>
  <c r="AH70" i="13"/>
  <c r="AK72" i="13"/>
  <c r="AK120" i="13"/>
  <c r="AE132" i="13"/>
  <c r="AH134" i="13"/>
  <c r="AK136" i="13"/>
  <c r="AH150" i="13"/>
  <c r="AK152" i="13"/>
  <c r="AE164" i="13"/>
  <c r="AK168" i="13"/>
  <c r="AE180" i="13"/>
  <c r="AH182" i="13"/>
  <c r="AK184" i="13"/>
  <c r="AE196" i="13"/>
  <c r="AE212" i="13"/>
  <c r="AH214" i="13"/>
  <c r="AK216" i="13"/>
  <c r="AE228" i="13"/>
  <c r="AH262" i="13"/>
  <c r="AK264" i="13"/>
  <c r="AE276" i="13"/>
  <c r="AE308" i="13"/>
  <c r="AK360" i="13"/>
  <c r="AH374" i="13"/>
  <c r="AE388" i="13"/>
  <c r="AE404" i="13"/>
  <c r="AK408" i="13"/>
  <c r="AE436" i="13"/>
  <c r="AK440" i="13"/>
  <c r="AK456" i="13"/>
  <c r="AE468" i="13"/>
  <c r="AH470" i="13"/>
  <c r="AK472" i="13"/>
  <c r="AE484" i="13"/>
  <c r="AH486" i="13"/>
  <c r="AK488" i="13"/>
  <c r="AE500" i="13"/>
  <c r="AH502" i="13"/>
  <c r="AK504" i="13"/>
  <c r="AH105" i="13"/>
  <c r="AK107" i="13"/>
  <c r="AE119" i="13"/>
  <c r="AE135" i="13"/>
  <c r="AH137" i="13"/>
  <c r="AK139" i="13"/>
  <c r="AE151" i="13"/>
  <c r="AK155" i="13"/>
  <c r="AE366" i="13"/>
  <c r="AE398" i="13"/>
  <c r="AH400" i="13"/>
  <c r="AK402" i="13"/>
  <c r="AE414" i="13"/>
  <c r="AH416" i="13"/>
  <c r="AK418" i="13"/>
  <c r="AK434" i="13"/>
  <c r="AH448" i="13"/>
  <c r="AE462" i="13"/>
  <c r="AH464" i="13"/>
  <c r="AE478" i="13"/>
  <c r="AH480" i="13"/>
  <c r="AK482" i="13"/>
  <c r="AE494" i="13"/>
  <c r="AH496" i="13"/>
  <c r="AE28" i="13"/>
  <c r="AK32" i="13"/>
  <c r="AE76" i="13"/>
  <c r="AE124" i="13"/>
  <c r="AH126" i="13"/>
  <c r="AK128" i="13"/>
  <c r="AE140" i="13"/>
  <c r="AK160" i="13"/>
  <c r="AE172" i="13"/>
  <c r="AH190" i="13"/>
  <c r="AK192" i="13"/>
  <c r="AE204" i="13"/>
  <c r="AH206" i="13"/>
  <c r="AK208" i="13"/>
  <c r="AE220" i="13"/>
  <c r="AH222" i="13"/>
  <c r="AK224" i="13"/>
  <c r="AE236" i="13"/>
  <c r="AH238" i="13"/>
  <c r="AE284" i="13"/>
  <c r="AE332" i="13"/>
  <c r="AE348" i="13"/>
  <c r="AE397" i="13"/>
  <c r="AH251" i="13"/>
  <c r="AE30" i="13"/>
  <c r="AE46" i="13"/>
  <c r="AH48" i="13"/>
  <c r="AK50" i="13"/>
  <c r="AE62" i="13"/>
  <c r="AH64" i="13"/>
  <c r="AK66" i="13"/>
  <c r="AE94" i="13"/>
  <c r="AK98" i="13"/>
  <c r="AH112" i="13"/>
  <c r="AK114" i="13"/>
  <c r="AE126" i="13"/>
  <c r="AH128" i="13"/>
  <c r="AE142" i="13"/>
  <c r="AE167" i="13"/>
  <c r="AH169" i="13"/>
  <c r="AE199" i="13"/>
  <c r="AE263" i="13"/>
  <c r="AH265" i="13"/>
  <c r="AK267" i="13"/>
  <c r="AE279" i="13"/>
  <c r="AH281" i="13"/>
  <c r="AE295" i="13"/>
  <c r="AH297" i="13"/>
  <c r="AK299" i="13"/>
  <c r="AE311" i="13"/>
  <c r="AE327" i="13"/>
  <c r="AK331" i="13"/>
  <c r="AH345" i="13"/>
  <c r="AK347" i="13"/>
  <c r="AE359" i="13"/>
  <c r="AE375" i="13"/>
  <c r="AH377" i="13"/>
  <c r="AK379" i="13"/>
  <c r="AE391" i="13"/>
  <c r="AH393" i="13"/>
  <c r="AK395" i="13"/>
  <c r="AE407" i="13"/>
  <c r="AH409" i="13"/>
  <c r="AK411" i="13"/>
  <c r="AE423" i="13"/>
  <c r="AH425" i="13"/>
  <c r="AK427" i="13"/>
  <c r="AE439" i="13"/>
  <c r="AH441" i="13"/>
  <c r="AK443" i="13"/>
  <c r="AK459" i="13"/>
  <c r="AE471" i="13"/>
  <c r="AH473" i="13"/>
  <c r="AK475" i="13"/>
  <c r="AE487" i="13"/>
  <c r="AE503" i="13"/>
  <c r="AH503" i="13"/>
  <c r="AK327" i="13"/>
  <c r="AE49" i="13"/>
  <c r="AK69" i="13"/>
  <c r="AH88" i="13"/>
  <c r="AE102" i="13"/>
  <c r="AE127" i="13"/>
  <c r="AH161" i="13"/>
  <c r="AE175" i="13"/>
  <c r="AH177" i="13"/>
  <c r="AH209" i="13"/>
  <c r="AE223" i="13"/>
  <c r="AH241" i="13"/>
  <c r="AK243" i="13"/>
  <c r="AH257" i="13"/>
  <c r="AH321" i="13"/>
  <c r="AE335" i="13"/>
  <c r="AK371" i="13"/>
  <c r="AE383" i="13"/>
  <c r="AK419" i="13"/>
  <c r="AE154" i="13"/>
  <c r="AH300" i="13"/>
  <c r="AE120" i="13"/>
  <c r="AE29" i="13"/>
  <c r="AK33" i="13"/>
  <c r="AK49" i="13"/>
  <c r="AE61" i="13"/>
  <c r="AK65" i="13"/>
  <c r="AE77" i="13"/>
  <c r="AK81" i="13"/>
  <c r="AK97" i="13"/>
  <c r="AH111" i="13"/>
  <c r="AH168" i="13"/>
  <c r="AK170" i="13"/>
  <c r="AH184" i="13"/>
  <c r="AK186" i="13"/>
  <c r="AE198" i="13"/>
  <c r="AK202" i="13"/>
  <c r="AE214" i="13"/>
  <c r="AH216" i="13"/>
  <c r="AK218" i="13"/>
  <c r="AE246" i="13"/>
  <c r="AH248" i="13"/>
  <c r="AH296" i="13"/>
  <c r="AK298" i="13"/>
  <c r="AH312" i="13"/>
  <c r="AK314" i="13"/>
  <c r="AH328" i="13"/>
  <c r="AK330" i="13"/>
  <c r="AE342" i="13"/>
  <c r="AK346" i="13"/>
  <c r="AE358" i="13"/>
  <c r="AK362" i="13"/>
  <c r="AK378" i="13"/>
  <c r="AE390" i="13"/>
  <c r="AK394" i="13"/>
  <c r="AE406" i="13"/>
  <c r="AK410" i="13"/>
  <c r="AH424" i="13"/>
  <c r="AE454" i="13"/>
  <c r="AE470" i="13"/>
  <c r="AK474" i="13"/>
  <c r="AE502" i="13"/>
  <c r="AH504" i="13"/>
  <c r="AH102" i="13"/>
  <c r="AH255" i="13"/>
  <c r="AE278" i="13"/>
  <c r="AE294" i="13"/>
  <c r="AH9" i="13"/>
  <c r="AK11" i="13"/>
  <c r="AH75" i="13"/>
  <c r="AH91" i="13"/>
  <c r="AE105" i="13"/>
  <c r="AH107" i="13"/>
  <c r="AK109" i="13"/>
  <c r="AE121" i="13"/>
  <c r="AK125" i="13"/>
  <c r="AE137" i="13"/>
  <c r="AK166" i="13"/>
  <c r="AK182" i="13"/>
  <c r="AK223" i="13"/>
  <c r="AH228" i="13"/>
  <c r="AE242" i="13"/>
  <c r="AK246" i="13"/>
  <c r="AH294" i="13"/>
  <c r="AK296" i="13"/>
  <c r="AH310" i="13"/>
  <c r="AK312" i="13"/>
  <c r="AE324" i="13"/>
  <c r="AH326" i="13"/>
  <c r="AK328" i="13"/>
  <c r="AH360" i="13"/>
  <c r="AH392" i="13"/>
  <c r="AH456" i="13"/>
  <c r="AK458" i="13"/>
  <c r="AE486" i="13"/>
  <c r="AH488" i="13"/>
  <c r="AE262" i="13"/>
  <c r="AK257" i="13"/>
  <c r="AE440" i="13"/>
  <c r="AE456" i="13"/>
  <c r="AE14" i="13"/>
  <c r="AH16" i="13"/>
  <c r="AE23" i="13"/>
  <c r="AH25" i="13"/>
  <c r="AK27" i="13"/>
  <c r="AE71" i="13"/>
  <c r="AE112" i="13"/>
  <c r="AH114" i="13"/>
  <c r="AK116" i="13"/>
  <c r="AE144" i="13"/>
  <c r="AK148" i="13"/>
  <c r="AH171" i="13"/>
  <c r="AK173" i="13"/>
  <c r="AE185" i="13"/>
  <c r="AH187" i="13"/>
  <c r="AK189" i="13"/>
  <c r="AH203" i="13"/>
  <c r="AK205" i="13"/>
  <c r="AE217" i="13"/>
  <c r="AH219" i="13"/>
  <c r="AK221" i="13"/>
  <c r="AE258" i="13"/>
  <c r="AH260" i="13"/>
  <c r="AE299" i="13"/>
  <c r="AH301" i="13"/>
  <c r="AK303" i="13"/>
  <c r="AK319" i="13"/>
  <c r="AE331" i="13"/>
  <c r="AE340" i="13"/>
  <c r="AH342" i="13"/>
  <c r="AK344" i="13"/>
  <c r="AE356" i="13"/>
  <c r="AH358" i="13"/>
  <c r="AE365" i="13"/>
  <c r="AE381" i="13"/>
  <c r="AE413" i="13"/>
  <c r="AE445" i="13"/>
  <c r="AH447" i="13"/>
  <c r="AK449" i="13"/>
  <c r="AE461" i="13"/>
  <c r="AH463" i="13"/>
  <c r="AE493" i="13"/>
  <c r="AK269" i="13"/>
  <c r="AH71" i="13"/>
  <c r="AH283" i="13"/>
  <c r="AE26" i="13"/>
  <c r="AH28" i="13"/>
  <c r="AH76" i="13"/>
  <c r="AH92" i="13"/>
  <c r="AK94" i="13"/>
  <c r="AE106" i="13"/>
  <c r="AK110" i="13"/>
  <c r="AE122" i="13"/>
  <c r="AH124" i="13"/>
  <c r="AK126" i="13"/>
  <c r="AE138" i="13"/>
  <c r="AH165" i="13"/>
  <c r="AH181" i="13"/>
  <c r="AK183" i="13"/>
  <c r="AE195" i="13"/>
  <c r="AH197" i="13"/>
  <c r="AK215" i="13"/>
  <c r="AE227" i="13"/>
  <c r="AH229" i="13"/>
  <c r="AK231" i="13"/>
  <c r="AE243" i="13"/>
  <c r="AE252" i="13"/>
  <c r="AH254" i="13"/>
  <c r="AK256" i="13"/>
  <c r="AE268" i="13"/>
  <c r="AE293" i="13"/>
  <c r="AE343" i="13"/>
  <c r="AE368" i="13"/>
  <c r="AH370" i="13"/>
  <c r="AE384" i="13"/>
  <c r="AH386" i="13"/>
  <c r="AK253" i="13"/>
  <c r="AH267" i="13"/>
  <c r="AE256" i="13"/>
  <c r="AK285" i="13"/>
  <c r="AH388" i="13"/>
  <c r="AH188" i="13"/>
  <c r="AK190" i="13"/>
  <c r="AH236" i="13"/>
  <c r="AH286" i="13"/>
  <c r="AK288" i="13"/>
  <c r="AE300" i="13"/>
  <c r="AE316" i="13"/>
  <c r="AE334" i="13"/>
  <c r="AH336" i="13"/>
  <c r="AH368" i="13"/>
  <c r="AK370" i="13"/>
  <c r="AE382" i="13"/>
  <c r="AK498" i="13"/>
  <c r="AH258" i="13"/>
  <c r="AE6" i="13"/>
  <c r="AK10" i="13"/>
  <c r="AE31" i="13"/>
  <c r="AK35" i="13"/>
  <c r="AK76" i="13"/>
  <c r="AK92" i="13"/>
  <c r="AE104" i="13"/>
  <c r="AK108" i="13"/>
  <c r="AK181" i="13"/>
  <c r="AH195" i="13"/>
  <c r="AK197" i="13"/>
  <c r="AK254" i="13"/>
  <c r="AH309" i="13"/>
  <c r="AE323" i="13"/>
  <c r="AH325" i="13"/>
  <c r="AH350" i="13"/>
  <c r="AK352" i="13"/>
  <c r="AE373" i="13"/>
  <c r="AE389" i="13"/>
  <c r="AE421" i="13"/>
  <c r="AE437" i="13"/>
  <c r="AE453" i="13"/>
  <c r="AE469" i="13"/>
  <c r="AE485" i="13"/>
  <c r="AE501" i="13"/>
  <c r="AE420" i="13"/>
  <c r="AK178" i="13"/>
  <c r="AK17" i="13"/>
  <c r="AE22" i="13"/>
  <c r="AH24" i="13"/>
  <c r="AK26" i="13"/>
  <c r="AE38" i="13"/>
  <c r="AK58" i="13"/>
  <c r="AE70" i="13"/>
  <c r="AH72" i="13"/>
  <c r="AK74" i="13"/>
  <c r="AE79" i="13"/>
  <c r="AH81" i="13"/>
  <c r="AK83" i="13"/>
  <c r="AE95" i="13"/>
  <c r="AE111" i="13"/>
  <c r="AH129" i="13"/>
  <c r="AK131" i="13"/>
  <c r="AK156" i="13"/>
  <c r="AH170" i="13"/>
  <c r="AH186" i="13"/>
  <c r="AH202" i="13"/>
  <c r="AK204" i="13"/>
  <c r="AE216" i="13"/>
  <c r="AK220" i="13"/>
  <c r="AH259" i="13"/>
  <c r="AK261" i="13"/>
  <c r="AE273" i="13"/>
  <c r="AH275" i="13"/>
  <c r="AE282" i="13"/>
  <c r="AE314" i="13"/>
  <c r="AK318" i="13"/>
  <c r="AE339" i="13"/>
  <c r="AH341" i="13"/>
  <c r="AK343" i="13"/>
  <c r="AE364" i="13"/>
  <c r="AH366" i="13"/>
  <c r="AK368" i="13"/>
  <c r="AE380" i="13"/>
  <c r="AK384" i="13"/>
  <c r="AH398" i="13"/>
  <c r="AE412" i="13"/>
  <c r="AH414" i="13"/>
  <c r="AK416" i="13"/>
  <c r="AE428" i="13"/>
  <c r="AH430" i="13"/>
  <c r="AK432" i="13"/>
  <c r="AE444" i="13"/>
  <c r="AK448" i="13"/>
  <c r="AE460" i="13"/>
  <c r="AH462" i="13"/>
  <c r="AE476" i="13"/>
  <c r="AH478" i="13"/>
  <c r="AK480" i="13"/>
  <c r="AE492" i="13"/>
  <c r="AH494" i="13"/>
  <c r="AK496" i="13"/>
  <c r="AK217" i="13"/>
  <c r="AH263" i="13"/>
  <c r="AE452" i="13"/>
  <c r="AH411" i="13"/>
  <c r="AE357" i="13"/>
  <c r="AH434" i="13"/>
  <c r="AH143" i="13"/>
  <c r="AH359" i="13"/>
  <c r="AH159" i="13"/>
  <c r="AH132" i="13"/>
  <c r="AK132" i="13"/>
  <c r="AH287" i="13"/>
  <c r="AK289" i="13"/>
  <c r="AH319" i="13"/>
  <c r="AK321" i="13"/>
  <c r="AK60" i="13"/>
  <c r="AK42" i="13"/>
  <c r="AK465" i="13"/>
  <c r="AH438" i="13"/>
  <c r="AH454" i="13"/>
  <c r="AE400" i="13"/>
  <c r="AH495" i="13"/>
  <c r="AH152" i="13"/>
  <c r="AK82" i="13"/>
  <c r="AK123" i="13"/>
  <c r="AK228" i="13"/>
  <c r="AH276" i="13"/>
  <c r="AE292" i="13"/>
  <c r="AE315" i="13"/>
  <c r="AH215" i="13"/>
  <c r="AH15" i="13"/>
  <c r="AK265" i="13"/>
  <c r="AE168" i="13"/>
  <c r="AK413" i="13"/>
  <c r="AE432" i="13"/>
  <c r="AK361" i="13"/>
  <c r="AE353" i="13"/>
  <c r="AE33" i="13"/>
  <c r="AH35" i="13"/>
  <c r="AK37" i="13"/>
  <c r="AE92" i="13"/>
  <c r="AH94" i="13"/>
  <c r="AK96" i="13"/>
  <c r="AE231" i="13"/>
  <c r="AK235" i="13"/>
  <c r="AH274" i="13"/>
  <c r="AE281" i="13"/>
  <c r="AH292" i="13"/>
  <c r="AK294" i="13"/>
  <c r="AE306" i="13"/>
  <c r="AH308" i="13"/>
  <c r="AK310" i="13"/>
  <c r="AH5" i="13"/>
  <c r="AE12" i="13"/>
  <c r="AH14" i="13"/>
  <c r="AK16" i="13"/>
  <c r="AK25" i="13"/>
  <c r="AK34" i="13"/>
  <c r="AE55" i="13"/>
  <c r="AH57" i="13"/>
  <c r="AE73" i="13"/>
  <c r="AE100" i="13"/>
  <c r="AH104" i="13"/>
  <c r="AH113" i="13"/>
  <c r="AE129" i="13"/>
  <c r="AH140" i="13"/>
  <c r="AH149" i="13"/>
  <c r="AK151" i="13"/>
  <c r="AE156" i="13"/>
  <c r="AE174" i="13"/>
  <c r="AE183" i="13"/>
  <c r="AH194" i="13"/>
  <c r="AE201" i="13"/>
  <c r="AE210" i="13"/>
  <c r="AH212" i="13"/>
  <c r="AK214" i="13"/>
  <c r="AH230" i="13"/>
  <c r="AK232" i="13"/>
  <c r="AE244" i="13"/>
  <c r="AH246" i="13"/>
  <c r="AK248" i="13"/>
  <c r="AH282" i="13"/>
  <c r="AH291" i="13"/>
  <c r="AK293" i="13"/>
  <c r="AH318" i="13"/>
  <c r="AE325" i="13"/>
  <c r="AE336" i="13"/>
  <c r="AK349" i="13"/>
  <c r="AE372" i="13"/>
  <c r="AE379" i="13"/>
  <c r="AH381" i="13"/>
  <c r="AK383" i="13"/>
  <c r="AH390" i="13"/>
  <c r="AK401" i="13"/>
  <c r="AH408" i="13"/>
  <c r="AH417" i="13"/>
  <c r="AE424" i="13"/>
  <c r="AK428" i="13"/>
  <c r="AE458" i="13"/>
  <c r="AH380" i="13"/>
  <c r="AE396" i="13"/>
  <c r="AH47" i="13"/>
  <c r="AE117" i="13"/>
  <c r="AH279" i="13"/>
  <c r="AE376" i="13"/>
  <c r="AE455" i="13"/>
  <c r="AE232" i="13"/>
  <c r="AE349" i="13"/>
  <c r="AK99" i="13"/>
  <c r="AK164" i="13"/>
  <c r="AK234" i="13"/>
  <c r="AK369" i="13"/>
  <c r="AK464" i="13"/>
  <c r="AK95" i="13"/>
  <c r="AK169" i="13"/>
  <c r="AH176" i="13"/>
  <c r="AE235" i="13"/>
  <c r="AH237" i="13"/>
  <c r="AK239" i="13"/>
  <c r="AE251" i="13"/>
  <c r="AE253" i="13"/>
  <c r="AE269" i="13"/>
  <c r="AH316" i="13"/>
  <c r="AK320" i="13"/>
  <c r="AH327" i="13"/>
  <c r="AK329" i="13"/>
  <c r="AH363" i="13"/>
  <c r="AE370" i="13"/>
  <c r="AH406" i="13"/>
  <c r="AH433" i="13"/>
  <c r="AK435" i="13"/>
  <c r="AK444" i="13"/>
  <c r="AH460" i="13"/>
  <c r="AH476" i="13"/>
  <c r="AH487" i="13"/>
  <c r="AK461" i="13"/>
  <c r="AK4" i="13"/>
  <c r="AK245" i="13"/>
  <c r="AH268" i="13"/>
  <c r="AH295" i="13"/>
  <c r="AK493" i="13"/>
  <c r="AH97" i="13"/>
  <c r="AH151" i="13"/>
  <c r="AE118" i="13"/>
  <c r="AE447" i="13"/>
  <c r="AK487" i="13"/>
  <c r="AK497" i="13"/>
  <c r="AH234" i="13"/>
  <c r="AH313" i="13"/>
  <c r="AH351" i="13"/>
  <c r="AK135" i="13"/>
  <c r="AK36" i="13"/>
  <c r="AE93" i="13"/>
  <c r="AE264" i="13"/>
  <c r="AH367" i="13"/>
  <c r="AE17" i="13"/>
  <c r="AK30" i="13"/>
  <c r="AE35" i="13"/>
  <c r="AH37" i="13"/>
  <c r="AE44" i="13"/>
  <c r="AK48" i="13"/>
  <c r="AE60" i="13"/>
  <c r="AH62" i="13"/>
  <c r="AK64" i="13"/>
  <c r="AE80" i="13"/>
  <c r="AH82" i="13"/>
  <c r="AK84" i="13"/>
  <c r="AE116" i="13"/>
  <c r="AH118" i="13"/>
  <c r="AE125" i="13"/>
  <c r="AK129" i="13"/>
  <c r="AK138" i="13"/>
  <c r="AE143" i="13"/>
  <c r="AH145" i="13"/>
  <c r="AK147" i="13"/>
  <c r="AK158" i="13"/>
  <c r="AK167" i="13"/>
  <c r="AH174" i="13"/>
  <c r="AH183" i="13"/>
  <c r="AK185" i="13"/>
  <c r="AE188" i="13"/>
  <c r="AE215" i="13"/>
  <c r="AE233" i="13"/>
  <c r="AK237" i="13"/>
  <c r="AE249" i="13"/>
  <c r="AE260" i="13"/>
  <c r="AH269" i="13"/>
  <c r="AH278" i="13"/>
  <c r="AK280" i="13"/>
  <c r="AE285" i="13"/>
  <c r="AE303" i="13"/>
  <c r="AH305" i="13"/>
  <c r="AK307" i="13"/>
  <c r="AH314" i="13"/>
  <c r="AK336" i="13"/>
  <c r="AE341" i="13"/>
  <c r="AH343" i="13"/>
  <c r="AE350" i="13"/>
  <c r="AH352" i="13"/>
  <c r="AK354" i="13"/>
  <c r="AE402" i="13"/>
  <c r="AH404" i="13"/>
  <c r="AH415" i="13"/>
  <c r="AK417" i="13"/>
  <c r="AH422" i="13"/>
  <c r="AK424" i="13"/>
  <c r="AE429" i="13"/>
  <c r="AK442" i="13"/>
  <c r="AH449" i="13"/>
  <c r="AH458" i="13"/>
  <c r="AE463" i="13"/>
  <c r="AK467" i="13"/>
  <c r="AK476" i="13"/>
  <c r="AK485" i="13"/>
  <c r="AE490" i="13"/>
  <c r="AH492" i="13"/>
  <c r="AK494" i="13"/>
  <c r="AE499" i="13"/>
  <c r="AH501" i="13"/>
  <c r="AK142" i="13"/>
  <c r="AH383" i="13"/>
  <c r="AH120" i="13"/>
  <c r="AK385" i="13"/>
  <c r="AK374" i="13"/>
  <c r="AK89" i="13"/>
  <c r="AH226" i="13"/>
  <c r="AE345" i="13"/>
  <c r="AE248" i="13"/>
  <c r="AK100" i="13"/>
  <c r="AE504" i="13"/>
  <c r="AE224" i="13"/>
  <c r="AH442" i="13"/>
  <c r="AE54" i="13"/>
  <c r="AK78" i="13"/>
  <c r="AK38" i="13"/>
  <c r="AH52" i="13"/>
  <c r="AE326" i="13"/>
  <c r="AE24" i="13"/>
  <c r="AH250" i="13"/>
  <c r="AH239" i="13"/>
  <c r="AH87" i="13"/>
  <c r="AK226" i="13"/>
  <c r="AE39" i="13"/>
  <c r="AH41" i="13"/>
  <c r="AK43" i="13"/>
  <c r="AH207" i="13"/>
  <c r="AE254" i="13"/>
  <c r="AH256" i="13"/>
  <c r="AK258" i="13"/>
  <c r="AE272" i="13"/>
  <c r="AE136" i="13"/>
  <c r="AK241" i="13"/>
  <c r="AH96" i="13"/>
  <c r="AH455" i="13"/>
  <c r="AH56" i="13"/>
  <c r="AE72" i="13"/>
  <c r="AE90" i="13"/>
  <c r="AH63" i="13"/>
  <c r="AK353" i="13"/>
  <c r="AH347" i="13"/>
  <c r="AE37" i="13"/>
  <c r="AH196" i="13"/>
  <c r="AK198" i="13"/>
  <c r="AE203" i="13"/>
  <c r="AE250" i="13"/>
  <c r="AE261" i="13"/>
  <c r="AE328" i="13"/>
  <c r="AH330" i="13"/>
  <c r="AK332" i="13"/>
  <c r="AE337" i="13"/>
  <c r="AH339" i="13"/>
  <c r="AK341" i="13"/>
  <c r="AK387" i="13"/>
  <c r="AH362" i="13"/>
  <c r="AE449" i="13"/>
  <c r="AE496" i="13"/>
  <c r="AE192" i="13"/>
  <c r="AK426" i="13"/>
  <c r="AK194" i="13"/>
  <c r="AH354" i="13"/>
  <c r="AH108" i="13"/>
  <c r="AE288" i="13"/>
  <c r="AK130" i="13"/>
  <c r="AH167" i="13"/>
  <c r="AE184" i="13"/>
  <c r="AE208" i="13"/>
  <c r="AE312" i="13"/>
  <c r="AE155" i="13"/>
  <c r="AH431" i="13"/>
  <c r="AH471" i="13"/>
  <c r="AK18" i="13"/>
  <c r="AH135" i="13"/>
  <c r="AK137" i="13"/>
  <c r="AH163" i="13"/>
  <c r="AK199" i="13"/>
  <c r="AH225" i="13"/>
  <c r="AH299" i="13"/>
  <c r="AE408" i="13"/>
  <c r="AK473" i="13"/>
  <c r="AK490" i="13"/>
  <c r="AK313" i="13"/>
  <c r="AH11" i="13"/>
  <c r="AE333" i="13"/>
  <c r="AH233" i="13"/>
  <c r="AH322" i="13"/>
  <c r="AH335" i="13"/>
  <c r="AH443" i="13"/>
  <c r="AH479" i="13"/>
  <c r="AH33" i="13"/>
  <c r="AH303" i="13"/>
  <c r="AK9" i="13"/>
  <c r="AH31" i="13"/>
  <c r="AH199" i="13"/>
  <c r="AH439" i="13"/>
  <c r="AH210" i="13"/>
  <c r="AH395" i="13"/>
  <c r="AE65" i="13"/>
  <c r="AH67" i="13"/>
  <c r="AK71" i="13"/>
  <c r="AK73" i="13"/>
  <c r="AE78" i="13"/>
  <c r="AH80" i="13"/>
  <c r="AE98" i="13"/>
  <c r="AK106" i="13"/>
  <c r="AE109" i="13"/>
  <c r="AK115" i="13"/>
  <c r="AH133" i="13"/>
  <c r="AH144" i="13"/>
  <c r="AK146" i="13"/>
  <c r="AK163" i="13"/>
  <c r="AH172" i="13"/>
  <c r="AE178" i="13"/>
  <c r="AH271" i="13"/>
  <c r="AK273" i="13"/>
  <c r="AE280" i="13"/>
  <c r="AH284" i="13"/>
  <c r="AH391" i="13"/>
  <c r="AK414" i="13"/>
  <c r="AK471" i="13"/>
  <c r="AE480" i="13"/>
  <c r="AH482" i="13"/>
  <c r="AK345" i="13"/>
  <c r="AK489" i="13"/>
  <c r="AE169" i="13"/>
  <c r="AE257" i="13"/>
  <c r="AH337" i="13"/>
  <c r="AH498" i="13"/>
  <c r="AK337" i="13"/>
  <c r="AH119" i="13"/>
  <c r="AE146" i="13"/>
  <c r="AK233" i="13"/>
  <c r="AK281" i="13"/>
  <c r="AK305" i="13"/>
  <c r="AH7" i="13"/>
  <c r="AE163" i="13"/>
  <c r="AH490" i="13"/>
  <c r="AH95" i="13"/>
  <c r="AH106" i="13"/>
  <c r="AK119" i="13"/>
  <c r="AH146" i="13"/>
  <c r="AE310" i="13"/>
  <c r="AE56" i="13"/>
  <c r="AH58" i="13"/>
  <c r="AH100" i="13"/>
  <c r="AK104" i="13"/>
  <c r="AK113" i="13"/>
  <c r="AH122" i="13"/>
  <c r="AK124" i="13"/>
  <c r="AH131" i="13"/>
  <c r="AH142" i="13"/>
  <c r="AK144" i="13"/>
  <c r="AH153" i="13"/>
  <c r="AH180" i="13"/>
  <c r="AE189" i="13"/>
  <c r="AE191" i="13"/>
  <c r="AH193" i="13"/>
  <c r="AH245" i="13"/>
  <c r="AH247" i="13"/>
  <c r="AK249" i="13"/>
  <c r="AE265" i="13"/>
  <c r="AK271" i="13"/>
  <c r="AH280" i="13"/>
  <c r="AK284" i="13"/>
  <c r="AE291" i="13"/>
  <c r="AE347" i="13"/>
  <c r="AH355" i="13"/>
  <c r="AH357" i="13"/>
  <c r="AH376" i="13"/>
  <c r="AH450" i="13"/>
  <c r="AH465" i="13"/>
  <c r="AE474" i="13"/>
  <c r="AK250" i="13"/>
  <c r="AH311" i="13"/>
  <c r="AE318" i="13"/>
  <c r="AH39" i="13"/>
  <c r="AH175" i="13"/>
  <c r="AK207" i="13"/>
  <c r="AH218" i="13"/>
  <c r="AK311" i="13"/>
  <c r="AH407" i="13"/>
  <c r="AH20" i="13"/>
  <c r="AE165" i="13"/>
  <c r="AH201" i="13"/>
  <c r="AK409" i="13"/>
  <c r="AK481" i="13"/>
  <c r="AH139" i="13"/>
  <c r="AK201" i="13"/>
  <c r="AH435" i="13"/>
  <c r="AE113" i="13"/>
  <c r="AH329" i="13"/>
  <c r="AH399" i="13"/>
  <c r="AE45" i="13"/>
  <c r="AK51" i="13"/>
  <c r="AE63" i="13"/>
  <c r="AH65" i="13"/>
  <c r="AE74" i="13"/>
  <c r="AH78" i="13"/>
  <c r="AK80" i="13"/>
  <c r="AK91" i="13"/>
  <c r="AE96" i="13"/>
  <c r="AH98" i="13"/>
  <c r="AK102" i="13"/>
  <c r="AE107" i="13"/>
  <c r="AH109" i="13"/>
  <c r="AK133" i="13"/>
  <c r="AE147" i="13"/>
  <c r="AK157" i="13"/>
  <c r="AK159" i="13"/>
  <c r="AK161" i="13"/>
  <c r="AE166" i="13"/>
  <c r="AH243" i="13"/>
  <c r="AE274" i="13"/>
  <c r="AK282" i="13"/>
  <c r="AE289" i="13"/>
  <c r="AH293" i="13"/>
  <c r="AH372" i="13"/>
  <c r="AK376" i="13"/>
  <c r="AH385" i="13"/>
  <c r="AK393" i="13"/>
  <c r="AK446" i="13"/>
  <c r="AK450" i="13"/>
  <c r="AE457" i="13"/>
  <c r="AH459" i="13"/>
  <c r="AE472" i="13"/>
  <c r="AE53" i="13"/>
  <c r="AE88" i="13"/>
  <c r="AE304" i="13"/>
  <c r="AE8" i="13"/>
  <c r="AH10" i="13"/>
  <c r="AK12" i="13"/>
  <c r="AH23" i="13"/>
  <c r="AE51" i="13"/>
  <c r="AH53" i="13"/>
  <c r="AE69" i="13"/>
  <c r="AH79" i="13"/>
  <c r="AK90" i="13"/>
  <c r="AE99" i="13"/>
  <c r="AH103" i="13"/>
  <c r="AE110" i="13"/>
  <c r="AK127" i="13"/>
  <c r="AH166" i="13"/>
  <c r="AK176" i="13"/>
  <c r="AH191" i="13"/>
  <c r="AE200" i="13"/>
  <c r="AH223" i="13"/>
  <c r="AK259" i="13"/>
  <c r="AH285" i="13"/>
  <c r="AK306" i="13"/>
  <c r="AH317" i="13"/>
  <c r="AH323" i="13"/>
  <c r="AH346" i="13"/>
  <c r="AK375" i="13"/>
  <c r="AH394" i="13"/>
  <c r="AK441" i="13"/>
  <c r="AE464" i="13"/>
  <c r="AH468" i="13"/>
  <c r="AH472" i="13"/>
  <c r="AK478" i="13"/>
  <c r="AH499" i="13"/>
  <c r="AK14" i="13"/>
  <c r="AH55" i="13"/>
  <c r="AH116" i="13"/>
  <c r="AH127" i="13"/>
  <c r="AK210" i="13"/>
  <c r="AK297" i="13"/>
  <c r="AK335" i="13"/>
  <c r="AH375" i="13"/>
  <c r="AE392" i="13"/>
  <c r="AK406" i="13"/>
  <c r="AK433" i="13"/>
  <c r="AK457" i="13"/>
  <c r="AH8" i="13"/>
  <c r="AH19" i="13"/>
  <c r="AE32" i="13"/>
  <c r="AH36" i="13"/>
  <c r="AH40" i="13"/>
  <c r="AK44" i="13"/>
  <c r="AK79" i="13"/>
  <c r="AE84" i="13"/>
  <c r="AH99" i="13"/>
  <c r="AH123" i="13"/>
  <c r="AE130" i="13"/>
  <c r="AE152" i="13"/>
  <c r="AH185" i="13"/>
  <c r="AH200" i="13"/>
  <c r="AK206" i="13"/>
  <c r="AE211" i="13"/>
  <c r="AH217" i="13"/>
  <c r="AH240" i="13"/>
  <c r="AK242" i="13"/>
  <c r="AH253" i="13"/>
  <c r="AH266" i="13"/>
  <c r="AH270" i="13"/>
  <c r="AK272" i="13"/>
  <c r="AK323" i="13"/>
  <c r="AH338" i="13"/>
  <c r="AH344" i="13"/>
  <c r="AK400" i="13"/>
  <c r="AH413" i="13"/>
  <c r="AK425" i="13"/>
  <c r="AE446" i="13"/>
  <c r="AH466" i="13"/>
  <c r="AK468" i="13"/>
  <c r="AE483" i="13"/>
  <c r="AE489" i="13"/>
  <c r="AH491" i="13"/>
  <c r="AH493" i="13"/>
  <c r="AK499" i="13"/>
  <c r="AK59" i="13"/>
  <c r="AE134" i="13"/>
  <c r="AH178" i="13"/>
  <c r="AH244" i="13"/>
  <c r="AH306" i="13"/>
  <c r="AE317" i="13"/>
  <c r="AE344" i="13"/>
  <c r="AK377" i="13"/>
  <c r="AH396" i="13"/>
  <c r="AH402" i="13"/>
  <c r="AH423" i="13"/>
  <c r="AH474" i="13"/>
  <c r="AE497" i="13"/>
  <c r="AH17" i="13"/>
  <c r="AH34" i="13"/>
  <c r="AE47" i="13"/>
  <c r="AH51" i="13"/>
  <c r="AK53" i="13"/>
  <c r="AE67" i="13"/>
  <c r="AH69" i="13"/>
  <c r="AH73" i="13"/>
  <c r="AE82" i="13"/>
  <c r="AH86" i="13"/>
  <c r="AK88" i="13"/>
  <c r="AE108" i="13"/>
  <c r="AH110" i="13"/>
  <c r="AE141" i="13"/>
  <c r="AK145" i="13"/>
  <c r="AH158" i="13"/>
  <c r="AH160" i="13"/>
  <c r="AE171" i="13"/>
  <c r="AE181" i="13"/>
  <c r="AK187" i="13"/>
  <c r="AE209" i="13"/>
  <c r="AH213" i="13"/>
  <c r="AK219" i="13"/>
  <c r="AE230" i="13"/>
  <c r="AE247" i="13"/>
  <c r="AH249" i="13"/>
  <c r="AK268" i="13"/>
  <c r="AE275" i="13"/>
  <c r="AE277" i="13"/>
  <c r="AK283" i="13"/>
  <c r="AK287" i="13"/>
  <c r="AH302" i="13"/>
  <c r="AK304" i="13"/>
  <c r="AE313" i="13"/>
  <c r="AK340" i="13"/>
  <c r="AE355" i="13"/>
  <c r="AH382" i="13"/>
  <c r="AH384" i="13"/>
  <c r="AK386" i="13"/>
  <c r="AK388" i="13"/>
  <c r="AK390" i="13"/>
  <c r="AK392" i="13"/>
  <c r="AE405" i="13"/>
  <c r="AE430" i="13"/>
  <c r="AE450" i="13"/>
  <c r="AK466" i="13"/>
  <c r="AK470" i="13"/>
  <c r="AE481" i="13"/>
  <c r="AH485" i="13"/>
  <c r="AK503" i="13"/>
  <c r="AK8" i="13"/>
  <c r="AE13" i="13"/>
  <c r="AK19" i="13"/>
  <c r="AH30" i="13"/>
  <c r="AH32" i="13"/>
  <c r="AK40" i="13"/>
  <c r="AH49" i="13"/>
  <c r="AE58" i="13"/>
  <c r="AH60" i="13"/>
  <c r="AK62" i="13"/>
  <c r="AK75" i="13"/>
  <c r="AH84" i="13"/>
  <c r="AE91" i="13"/>
  <c r="AK112" i="13"/>
  <c r="AH121" i="13"/>
  <c r="AE128" i="13"/>
  <c r="AH130" i="13"/>
  <c r="AK134" i="13"/>
  <c r="AE148" i="13"/>
  <c r="AE150" i="13"/>
  <c r="AH154" i="13"/>
  <c r="AH173" i="13"/>
  <c r="AE177" i="13"/>
  <c r="AE179" i="13"/>
  <c r="AE194" i="13"/>
  <c r="AH198" i="13"/>
  <c r="AK200" i="13"/>
  <c r="AE226" i="13"/>
  <c r="AH232" i="13"/>
  <c r="AK236" i="13"/>
  <c r="AK238" i="13"/>
  <c r="AK240" i="13"/>
  <c r="AE245" i="13"/>
  <c r="AK251" i="13"/>
  <c r="AK255" i="13"/>
  <c r="AH264" i="13"/>
  <c r="AK266" i="13"/>
  <c r="AK270" i="13"/>
  <c r="AE290" i="13"/>
  <c r="AH298" i="13"/>
  <c r="AE307" i="13"/>
  <c r="AE309" i="13"/>
  <c r="AK315" i="13"/>
  <c r="AE330" i="13"/>
  <c r="AH334" i="13"/>
  <c r="AK338" i="13"/>
  <c r="AE351" i="13"/>
  <c r="AH361" i="13"/>
  <c r="AK363" i="13"/>
  <c r="AK367" i="13"/>
  <c r="AE374" i="13"/>
  <c r="AH378" i="13"/>
  <c r="AK415" i="13"/>
  <c r="AE422" i="13"/>
  <c r="AE426" i="13"/>
  <c r="AH432" i="13"/>
  <c r="AH436" i="13"/>
  <c r="AH444" i="13"/>
  <c r="AH446" i="13"/>
  <c r="AH452" i="13"/>
  <c r="AK462" i="13"/>
  <c r="AE477" i="13"/>
  <c r="AH483" i="13"/>
  <c r="AH489" i="13"/>
  <c r="AK491" i="13"/>
  <c r="AK495" i="13"/>
  <c r="AB505" i="13"/>
  <c r="AE4" i="13"/>
  <c r="AC505" i="13"/>
  <c r="AH46" i="13"/>
  <c r="AH162" i="13"/>
  <c r="AE182" i="13"/>
  <c r="AH211" i="13"/>
  <c r="AE267" i="13"/>
  <c r="AK300" i="13"/>
  <c r="AD505" i="13"/>
  <c r="AK86" i="13"/>
  <c r="AH90" i="13"/>
  <c r="AK203" i="13"/>
  <c r="AH227" i="13"/>
  <c r="AH235" i="13"/>
  <c r="AE241" i="13"/>
  <c r="AE259" i="13"/>
  <c r="AK302" i="13"/>
  <c r="AE417" i="13"/>
  <c r="AK436" i="13"/>
  <c r="AF505" i="13"/>
  <c r="AG505" i="13"/>
  <c r="AH4" i="13"/>
  <c r="AI505" i="13"/>
  <c r="AK140" i="13"/>
  <c r="AK154" i="13"/>
  <c r="AE170" i="13"/>
  <c r="AK260" i="13"/>
  <c r="AE283" i="13"/>
  <c r="AK286" i="13"/>
  <c r="AK372" i="13"/>
  <c r="AE378" i="13"/>
  <c r="AK67" i="13"/>
  <c r="AH101" i="13"/>
  <c r="AH125" i="13"/>
  <c r="AE139" i="13"/>
  <c r="AH179" i="13"/>
  <c r="AK188" i="13"/>
  <c r="AK247" i="13"/>
  <c r="AK262" i="13"/>
  <c r="AE298" i="13"/>
  <c r="AK316" i="13"/>
  <c r="AK403" i="13"/>
  <c r="AE418" i="13"/>
  <c r="AE427" i="13"/>
  <c r="AH457" i="13"/>
  <c r="AK500" i="13"/>
  <c r="AH74" i="13"/>
  <c r="AH138" i="13"/>
  <c r="AK171" i="13"/>
  <c r="AE338" i="13"/>
  <c r="AK348" i="13"/>
  <c r="AE403" i="13"/>
  <c r="AK451" i="13"/>
  <c r="AJ505" i="13"/>
  <c r="AH29" i="13"/>
  <c r="AH93" i="13"/>
  <c r="AH157" i="13"/>
  <c r="AK172" i="13"/>
  <c r="AK179" i="13"/>
  <c r="AK195" i="13"/>
  <c r="AK211" i="13"/>
  <c r="AK227" i="13"/>
  <c r="AE442" i="13"/>
  <c r="AK452" i="13"/>
  <c r="AE475" i="13"/>
  <c r="AK505" i="13" l="1"/>
  <c r="AH505" i="13"/>
  <c r="AE505" i="13"/>
  <c r="AA325" i="12" l="1"/>
  <c r="Z325" i="12"/>
  <c r="Y325" i="12"/>
  <c r="X325" i="12"/>
  <c r="W325" i="12"/>
  <c r="V325" i="12"/>
  <c r="U325" i="12"/>
  <c r="AJ324" i="12"/>
  <c r="AI324" i="12"/>
  <c r="AG324" i="12"/>
  <c r="AF324" i="12"/>
  <c r="AH324" i="12" s="1"/>
  <c r="AD324" i="12"/>
  <c r="AC324" i="12"/>
  <c r="AE324" i="12" s="1"/>
  <c r="AB324" i="12"/>
  <c r="AJ323" i="12"/>
  <c r="AK323" i="12" s="1"/>
  <c r="AI323" i="12"/>
  <c r="AG323" i="12"/>
  <c r="AF323" i="12"/>
  <c r="AH323" i="12" s="1"/>
  <c r="AD323" i="12"/>
  <c r="AC323" i="12"/>
  <c r="AB323" i="12"/>
  <c r="AJ322" i="12"/>
  <c r="AI322" i="12"/>
  <c r="AG322" i="12"/>
  <c r="AF322" i="12"/>
  <c r="AH322" i="12" s="1"/>
  <c r="AD322" i="12"/>
  <c r="AC322" i="12"/>
  <c r="AE322" i="12" s="1"/>
  <c r="AB322" i="12"/>
  <c r="AJ321" i="12"/>
  <c r="AI321" i="12"/>
  <c r="AG321" i="12"/>
  <c r="AF321" i="12"/>
  <c r="AD321" i="12"/>
  <c r="AC321" i="12"/>
  <c r="AB321" i="12"/>
  <c r="AJ320" i="12"/>
  <c r="AI320" i="12"/>
  <c r="AG320" i="12"/>
  <c r="AF320" i="12"/>
  <c r="AD320" i="12"/>
  <c r="AC320" i="12"/>
  <c r="AE320" i="12" s="1"/>
  <c r="AB320" i="12"/>
  <c r="AJ319" i="12"/>
  <c r="AI319" i="12"/>
  <c r="AG319" i="12"/>
  <c r="AF319" i="12"/>
  <c r="AH319" i="12" s="1"/>
  <c r="AD319" i="12"/>
  <c r="AC319" i="12"/>
  <c r="AB319" i="12"/>
  <c r="AJ318" i="12"/>
  <c r="AI318" i="12"/>
  <c r="AK318" i="12" s="1"/>
  <c r="AG318" i="12"/>
  <c r="AF318" i="12"/>
  <c r="AD318" i="12"/>
  <c r="AC318" i="12"/>
  <c r="AB318" i="12"/>
  <c r="AJ317" i="12"/>
  <c r="AI317" i="12"/>
  <c r="AK317" i="12" s="1"/>
  <c r="AG317" i="12"/>
  <c r="AF317" i="12"/>
  <c r="AH317" i="12" s="1"/>
  <c r="AD317" i="12"/>
  <c r="AC317" i="12"/>
  <c r="AB317" i="12"/>
  <c r="AJ316" i="12"/>
  <c r="AI316" i="12"/>
  <c r="AG316" i="12"/>
  <c r="AF316" i="12"/>
  <c r="AH316" i="12" s="1"/>
  <c r="AD316" i="12"/>
  <c r="AC316" i="12"/>
  <c r="AE316" i="12" s="1"/>
  <c r="AB316" i="12"/>
  <c r="AJ315" i="12"/>
  <c r="AI315" i="12"/>
  <c r="AK315" i="12" s="1"/>
  <c r="AG315" i="12"/>
  <c r="AF315" i="12"/>
  <c r="AD315" i="12"/>
  <c r="AC315" i="12"/>
  <c r="AE315" i="12" s="1"/>
  <c r="AB315" i="12"/>
  <c r="AJ314" i="12"/>
  <c r="AI314" i="12"/>
  <c r="AK314" i="12" s="1"/>
  <c r="AG314" i="12"/>
  <c r="AF314" i="12"/>
  <c r="AD314" i="12"/>
  <c r="AC314" i="12"/>
  <c r="AB314" i="12"/>
  <c r="AJ313" i="12"/>
  <c r="AI313" i="12"/>
  <c r="AK313" i="12" s="1"/>
  <c r="AG313" i="12"/>
  <c r="AF313" i="12"/>
  <c r="AD313" i="12"/>
  <c r="AC313" i="12"/>
  <c r="AE313" i="12" s="1"/>
  <c r="AB313" i="12"/>
  <c r="AJ312" i="12"/>
  <c r="AI312" i="12"/>
  <c r="AG312" i="12"/>
  <c r="AF312" i="12"/>
  <c r="AH312" i="12" s="1"/>
  <c r="AD312" i="12"/>
  <c r="AC312" i="12"/>
  <c r="AE312" i="12" s="1"/>
  <c r="AB312" i="12"/>
  <c r="AJ311" i="12"/>
  <c r="AI311" i="12"/>
  <c r="AK311" i="12" s="1"/>
  <c r="AG311" i="12"/>
  <c r="AF311" i="12"/>
  <c r="AD311" i="12"/>
  <c r="AC311" i="12"/>
  <c r="AB311" i="12"/>
  <c r="AJ310" i="12"/>
  <c r="AI310" i="12"/>
  <c r="AK310" i="12" s="1"/>
  <c r="AG310" i="12"/>
  <c r="AF310" i="12"/>
  <c r="AH310" i="12" s="1"/>
  <c r="AD310" i="12"/>
  <c r="AC310" i="12"/>
  <c r="AB310" i="12"/>
  <c r="AJ309" i="12"/>
  <c r="AI309" i="12"/>
  <c r="AK309" i="12" s="1"/>
  <c r="AG309" i="12"/>
  <c r="AF309" i="12"/>
  <c r="AD309" i="12"/>
  <c r="AE309" i="12" s="1"/>
  <c r="AC309" i="12"/>
  <c r="AB309" i="12"/>
  <c r="AJ308" i="12"/>
  <c r="AI308" i="12"/>
  <c r="AK308" i="12" s="1"/>
  <c r="AG308" i="12"/>
  <c r="AF308" i="12"/>
  <c r="AD308" i="12"/>
  <c r="AC308" i="12"/>
  <c r="AE308" i="12" s="1"/>
  <c r="AB308" i="12"/>
  <c r="AJ307" i="12"/>
  <c r="AI307" i="12"/>
  <c r="AK307" i="12" s="1"/>
  <c r="AG307" i="12"/>
  <c r="AF307" i="12"/>
  <c r="AD307" i="12"/>
  <c r="AC307" i="12"/>
  <c r="AE307" i="12" s="1"/>
  <c r="AB307" i="12"/>
  <c r="AJ306" i="12"/>
  <c r="AI306" i="12"/>
  <c r="AK306" i="12" s="1"/>
  <c r="AG306" i="12"/>
  <c r="AF306" i="12"/>
  <c r="AH306" i="12" s="1"/>
  <c r="AD306" i="12"/>
  <c r="AC306" i="12"/>
  <c r="AE306" i="12" s="1"/>
  <c r="AB306" i="12"/>
  <c r="AJ305" i="12"/>
  <c r="AI305" i="12"/>
  <c r="AG305" i="12"/>
  <c r="AF305" i="12"/>
  <c r="AH305" i="12" s="1"/>
  <c r="AD305" i="12"/>
  <c r="AC305" i="12"/>
  <c r="AB305" i="12"/>
  <c r="AJ304" i="12"/>
  <c r="AI304" i="12"/>
  <c r="AG304" i="12"/>
  <c r="AF304" i="12"/>
  <c r="AH304" i="12" s="1"/>
  <c r="AD304" i="12"/>
  <c r="AC304" i="12"/>
  <c r="AE304" i="12" s="1"/>
  <c r="AB304" i="12"/>
  <c r="AJ303" i="12"/>
  <c r="AI303" i="12"/>
  <c r="AK303" i="12" s="1"/>
  <c r="AG303" i="12"/>
  <c r="AF303" i="12"/>
  <c r="AH303" i="12" s="1"/>
  <c r="AD303" i="12"/>
  <c r="AC303" i="12"/>
  <c r="AE303" i="12" s="1"/>
  <c r="AB303" i="12"/>
  <c r="AJ302" i="12"/>
  <c r="AI302" i="12"/>
  <c r="AK302" i="12" s="1"/>
  <c r="AG302" i="12"/>
  <c r="AF302" i="12"/>
  <c r="AH302" i="12" s="1"/>
  <c r="AD302" i="12"/>
  <c r="AC302" i="12"/>
  <c r="AE302" i="12" s="1"/>
  <c r="AB302" i="12"/>
  <c r="AJ301" i="12"/>
  <c r="AI301" i="12"/>
  <c r="AK301" i="12" s="1"/>
  <c r="AG301" i="12"/>
  <c r="AF301" i="12"/>
  <c r="AH301" i="12" s="1"/>
  <c r="AD301" i="12"/>
  <c r="AC301" i="12"/>
  <c r="AE301" i="12" s="1"/>
  <c r="AB301" i="12"/>
  <c r="AJ300" i="12"/>
  <c r="AI300" i="12"/>
  <c r="AG300" i="12"/>
  <c r="AF300" i="12"/>
  <c r="AH300" i="12" s="1"/>
  <c r="AD300" i="12"/>
  <c r="AC300" i="12"/>
  <c r="AE300" i="12" s="1"/>
  <c r="AB300" i="12"/>
  <c r="AJ299" i="12"/>
  <c r="AI299" i="12"/>
  <c r="AK299" i="12" s="1"/>
  <c r="AG299" i="12"/>
  <c r="AF299" i="12"/>
  <c r="AD299" i="12"/>
  <c r="AC299" i="12"/>
  <c r="AB299" i="12"/>
  <c r="AJ298" i="12"/>
  <c r="AI298" i="12"/>
  <c r="AK298" i="12" s="1"/>
  <c r="AG298" i="12"/>
  <c r="AF298" i="12"/>
  <c r="AD298" i="12"/>
  <c r="AC298" i="12"/>
  <c r="AB298" i="12"/>
  <c r="AJ297" i="12"/>
  <c r="AI297" i="12"/>
  <c r="AK297" i="12" s="1"/>
  <c r="AG297" i="12"/>
  <c r="AF297" i="12"/>
  <c r="AH297" i="12" s="1"/>
  <c r="AD297" i="12"/>
  <c r="AC297" i="12"/>
  <c r="AB297" i="12"/>
  <c r="AJ296" i="12"/>
  <c r="AI296" i="12"/>
  <c r="AK296" i="12" s="1"/>
  <c r="AG296" i="12"/>
  <c r="AF296" i="12"/>
  <c r="AD296" i="12"/>
  <c r="AC296" i="12"/>
  <c r="AB296" i="12"/>
  <c r="AJ295" i="12"/>
  <c r="AI295" i="12"/>
  <c r="AK295" i="12" s="1"/>
  <c r="AG295" i="12"/>
  <c r="AF295" i="12"/>
  <c r="AH295" i="12" s="1"/>
  <c r="AD295" i="12"/>
  <c r="AC295" i="12"/>
  <c r="AE295" i="12" s="1"/>
  <c r="AB295" i="12"/>
  <c r="AJ294" i="12"/>
  <c r="AI294" i="12"/>
  <c r="AK294" i="12" s="1"/>
  <c r="AG294" i="12"/>
  <c r="AF294" i="12"/>
  <c r="AD294" i="12"/>
  <c r="AC294" i="12"/>
  <c r="AE294" i="12" s="1"/>
  <c r="AB294" i="12"/>
  <c r="AJ293" i="12"/>
  <c r="AI293" i="12"/>
  <c r="AG293" i="12"/>
  <c r="AF293" i="12"/>
  <c r="AH293" i="12" s="1"/>
  <c r="AD293" i="12"/>
  <c r="AC293" i="12"/>
  <c r="AE293" i="12" s="1"/>
  <c r="AB293" i="12"/>
  <c r="AJ292" i="12"/>
  <c r="AI292" i="12"/>
  <c r="AK292" i="12" s="1"/>
  <c r="AG292" i="12"/>
  <c r="AF292" i="12"/>
  <c r="AD292" i="12"/>
  <c r="AC292" i="12"/>
  <c r="AE292" i="12" s="1"/>
  <c r="AB292" i="12"/>
  <c r="AJ291" i="12"/>
  <c r="AI291" i="12"/>
  <c r="AG291" i="12"/>
  <c r="AF291" i="12"/>
  <c r="AD291" i="12"/>
  <c r="AC291" i="12"/>
  <c r="AE291" i="12" s="1"/>
  <c r="AB291" i="12"/>
  <c r="AJ290" i="12"/>
  <c r="AI290" i="12"/>
  <c r="AK290" i="12" s="1"/>
  <c r="AG290" i="12"/>
  <c r="AF290" i="12"/>
  <c r="AH290" i="12" s="1"/>
  <c r="AD290" i="12"/>
  <c r="AC290" i="12"/>
  <c r="AB290" i="12"/>
  <c r="AJ289" i="12"/>
  <c r="AI289" i="12"/>
  <c r="AG289" i="12"/>
  <c r="AF289" i="12"/>
  <c r="AD289" i="12"/>
  <c r="AC289" i="12"/>
  <c r="AB289" i="12"/>
  <c r="AJ288" i="12"/>
  <c r="AI288" i="12"/>
  <c r="AK288" i="12" s="1"/>
  <c r="AG288" i="12"/>
  <c r="AF288" i="12"/>
  <c r="AH288" i="12" s="1"/>
  <c r="AD288" i="12"/>
  <c r="AC288" i="12"/>
  <c r="AE288" i="12" s="1"/>
  <c r="AB288" i="12"/>
  <c r="AJ287" i="12"/>
  <c r="AI287" i="12"/>
  <c r="AG287" i="12"/>
  <c r="AF287" i="12"/>
  <c r="AD287" i="12"/>
  <c r="AC287" i="12"/>
  <c r="AE287" i="12" s="1"/>
  <c r="AB287" i="12"/>
  <c r="AJ286" i="12"/>
  <c r="AI286" i="12"/>
  <c r="AG286" i="12"/>
  <c r="AF286" i="12"/>
  <c r="AH286" i="12" s="1"/>
  <c r="AD286" i="12"/>
  <c r="AC286" i="12"/>
  <c r="AE286" i="12" s="1"/>
  <c r="AB286" i="12"/>
  <c r="AJ285" i="12"/>
  <c r="AI285" i="12"/>
  <c r="AG285" i="12"/>
  <c r="AF285" i="12"/>
  <c r="AD285" i="12"/>
  <c r="AC285" i="12"/>
  <c r="AB285" i="12"/>
  <c r="AJ284" i="12"/>
  <c r="AI284" i="12"/>
  <c r="AG284" i="12"/>
  <c r="AF284" i="12"/>
  <c r="AH284" i="12" s="1"/>
  <c r="AD284" i="12"/>
  <c r="AC284" i="12"/>
  <c r="AE284" i="12" s="1"/>
  <c r="AB284" i="12"/>
  <c r="AJ283" i="12"/>
  <c r="AI283" i="12"/>
  <c r="AK283" i="12" s="1"/>
  <c r="AG283" i="12"/>
  <c r="AF283" i="12"/>
  <c r="AD283" i="12"/>
  <c r="AC283" i="12"/>
  <c r="AE283" i="12" s="1"/>
  <c r="AB283" i="12"/>
  <c r="AJ282" i="12"/>
  <c r="AI282" i="12"/>
  <c r="AG282" i="12"/>
  <c r="AF282" i="12"/>
  <c r="AD282" i="12"/>
  <c r="AC282" i="12"/>
  <c r="AB282" i="12"/>
  <c r="AJ281" i="12"/>
  <c r="AI281" i="12"/>
  <c r="AG281" i="12"/>
  <c r="AF281" i="12"/>
  <c r="AD281" i="12"/>
  <c r="AC281" i="12"/>
  <c r="AB281" i="12"/>
  <c r="AJ280" i="12"/>
  <c r="AI280" i="12"/>
  <c r="AK280" i="12" s="1"/>
  <c r="AG280" i="12"/>
  <c r="AF280" i="12"/>
  <c r="AD280" i="12"/>
  <c r="AC280" i="12"/>
  <c r="AB280" i="12"/>
  <c r="AJ279" i="12"/>
  <c r="AI279" i="12"/>
  <c r="AK279" i="12" s="1"/>
  <c r="AG279" i="12"/>
  <c r="AF279" i="12"/>
  <c r="AH279" i="12" s="1"/>
  <c r="AD279" i="12"/>
  <c r="AC279" i="12"/>
  <c r="AB279" i="12"/>
  <c r="AJ278" i="12"/>
  <c r="AI278" i="12"/>
  <c r="AG278" i="12"/>
  <c r="AF278" i="12"/>
  <c r="AH278" i="12" s="1"/>
  <c r="AD278" i="12"/>
  <c r="AC278" i="12"/>
  <c r="AB278" i="12"/>
  <c r="AJ277" i="12"/>
  <c r="AI277" i="12"/>
  <c r="AK277" i="12" s="1"/>
  <c r="AG277" i="12"/>
  <c r="AF277" i="12"/>
  <c r="AD277" i="12"/>
  <c r="AC277" i="12"/>
  <c r="AE277" i="12" s="1"/>
  <c r="AB277" i="12"/>
  <c r="AJ276" i="12"/>
  <c r="AI276" i="12"/>
  <c r="AK276" i="12" s="1"/>
  <c r="AG276" i="12"/>
  <c r="AF276" i="12"/>
  <c r="AD276" i="12"/>
  <c r="AC276" i="12"/>
  <c r="AE276" i="12" s="1"/>
  <c r="AB276" i="12"/>
  <c r="AJ275" i="12"/>
  <c r="AI275" i="12"/>
  <c r="AG275" i="12"/>
  <c r="AF275" i="12"/>
  <c r="AD275" i="12"/>
  <c r="AC275" i="12"/>
  <c r="AE275" i="12" s="1"/>
  <c r="AB275" i="12"/>
  <c r="AJ274" i="12"/>
  <c r="AI274" i="12"/>
  <c r="AK274" i="12" s="1"/>
  <c r="AG274" i="12"/>
  <c r="AF274" i="12"/>
  <c r="AD274" i="12"/>
  <c r="AC274" i="12"/>
  <c r="AB274" i="12"/>
  <c r="AJ273" i="12"/>
  <c r="AI273" i="12"/>
  <c r="AG273" i="12"/>
  <c r="AF273" i="12"/>
  <c r="AD273" i="12"/>
  <c r="AC273" i="12"/>
  <c r="AE273" i="12" s="1"/>
  <c r="AB273" i="12"/>
  <c r="AJ272" i="12"/>
  <c r="AI272" i="12"/>
  <c r="AK272" i="12" s="1"/>
  <c r="AG272" i="12"/>
  <c r="AF272" i="12"/>
  <c r="AD272" i="12"/>
  <c r="AC272" i="12"/>
  <c r="AE272" i="12" s="1"/>
  <c r="AB272" i="12"/>
  <c r="AJ271" i="12"/>
  <c r="AI271" i="12"/>
  <c r="AK271" i="12" s="1"/>
  <c r="AG271" i="12"/>
  <c r="AF271" i="12"/>
  <c r="AD271" i="12"/>
  <c r="AC271" i="12"/>
  <c r="AB271" i="12"/>
  <c r="AJ270" i="12"/>
  <c r="AI270" i="12"/>
  <c r="AK270" i="12" s="1"/>
  <c r="AG270" i="12"/>
  <c r="AF270" i="12"/>
  <c r="AH270" i="12" s="1"/>
  <c r="AD270" i="12"/>
  <c r="AC270" i="12"/>
  <c r="AE270" i="12" s="1"/>
  <c r="AB270" i="12"/>
  <c r="AJ269" i="12"/>
  <c r="AI269" i="12"/>
  <c r="AG269" i="12"/>
  <c r="AF269" i="12"/>
  <c r="AH269" i="12" s="1"/>
  <c r="AD269" i="12"/>
  <c r="AE269" i="12" s="1"/>
  <c r="AC269" i="12"/>
  <c r="AB269" i="12"/>
  <c r="AJ268" i="12"/>
  <c r="AI268" i="12"/>
  <c r="AG268" i="12"/>
  <c r="AF268" i="12"/>
  <c r="AH268" i="12" s="1"/>
  <c r="AD268" i="12"/>
  <c r="AC268" i="12"/>
  <c r="AB268" i="12"/>
  <c r="AJ267" i="12"/>
  <c r="AI267" i="12"/>
  <c r="AK267" i="12" s="1"/>
  <c r="AG267" i="12"/>
  <c r="AF267" i="12"/>
  <c r="AD267" i="12"/>
  <c r="AC267" i="12"/>
  <c r="AE267" i="12" s="1"/>
  <c r="AB267" i="12"/>
  <c r="AJ266" i="12"/>
  <c r="AI266" i="12"/>
  <c r="AK266" i="12" s="1"/>
  <c r="AG266" i="12"/>
  <c r="AF266" i="12"/>
  <c r="AD266" i="12"/>
  <c r="AC266" i="12"/>
  <c r="AE266" i="12" s="1"/>
  <c r="AB266" i="12"/>
  <c r="AJ265" i="12"/>
  <c r="AI265" i="12"/>
  <c r="AK265" i="12" s="1"/>
  <c r="AG265" i="12"/>
  <c r="AF265" i="12"/>
  <c r="AH265" i="12" s="1"/>
  <c r="AD265" i="12"/>
  <c r="AC265" i="12"/>
  <c r="AB265" i="12"/>
  <c r="AJ264" i="12"/>
  <c r="AI264" i="12"/>
  <c r="AK264" i="12" s="1"/>
  <c r="AG264" i="12"/>
  <c r="AF264" i="12"/>
  <c r="AH264" i="12" s="1"/>
  <c r="AD264" i="12"/>
  <c r="AC264" i="12"/>
  <c r="AE264" i="12" s="1"/>
  <c r="AB264" i="12"/>
  <c r="AJ263" i="12"/>
  <c r="AI263" i="12"/>
  <c r="AK263" i="12" s="1"/>
  <c r="AG263" i="12"/>
  <c r="AF263" i="12"/>
  <c r="AH263" i="12" s="1"/>
  <c r="AD263" i="12"/>
  <c r="AC263" i="12"/>
  <c r="AB263" i="12"/>
  <c r="AJ262" i="12"/>
  <c r="AI262" i="12"/>
  <c r="AK262" i="12" s="1"/>
  <c r="AG262" i="12"/>
  <c r="AF262" i="12"/>
  <c r="AD262" i="12"/>
  <c r="AC262" i="12"/>
  <c r="AB262" i="12"/>
  <c r="AJ261" i="12"/>
  <c r="AI261" i="12"/>
  <c r="AK261" i="12" s="1"/>
  <c r="AG261" i="12"/>
  <c r="AF261" i="12"/>
  <c r="AD261" i="12"/>
  <c r="AC261" i="12"/>
  <c r="AE261" i="12" s="1"/>
  <c r="AB261" i="12"/>
  <c r="AK260" i="12"/>
  <c r="AJ260" i="12"/>
  <c r="AI260" i="12"/>
  <c r="AG260" i="12"/>
  <c r="AF260" i="12"/>
  <c r="AH260" i="12" s="1"/>
  <c r="AD260" i="12"/>
  <c r="AC260" i="12"/>
  <c r="AE260" i="12" s="1"/>
  <c r="AB260" i="12"/>
  <c r="AJ259" i="12"/>
  <c r="AI259" i="12"/>
  <c r="AG259" i="12"/>
  <c r="AF259" i="12"/>
  <c r="AD259" i="12"/>
  <c r="AC259" i="12"/>
  <c r="AE259" i="12" s="1"/>
  <c r="AB259" i="12"/>
  <c r="AJ258" i="12"/>
  <c r="AI258" i="12"/>
  <c r="AG258" i="12"/>
  <c r="AF258" i="12"/>
  <c r="AD258" i="12"/>
  <c r="AC258" i="12"/>
  <c r="AE258" i="12" s="1"/>
  <c r="AB258" i="12"/>
  <c r="AK257" i="12"/>
  <c r="AJ257" i="12"/>
  <c r="AI257" i="12"/>
  <c r="AG257" i="12"/>
  <c r="AF257" i="12"/>
  <c r="AH257" i="12" s="1"/>
  <c r="AD257" i="12"/>
  <c r="AC257" i="12"/>
  <c r="AE257" i="12" s="1"/>
  <c r="AB257" i="12"/>
  <c r="AJ256" i="12"/>
  <c r="AI256" i="12"/>
  <c r="AG256" i="12"/>
  <c r="AF256" i="12"/>
  <c r="AD256" i="12"/>
  <c r="AC256" i="12"/>
  <c r="AE256" i="12" s="1"/>
  <c r="AB256" i="12"/>
  <c r="AJ255" i="12"/>
  <c r="AI255" i="12"/>
  <c r="AG255" i="12"/>
  <c r="AF255" i="12"/>
  <c r="AD255" i="12"/>
  <c r="AC255" i="12"/>
  <c r="AE255" i="12" s="1"/>
  <c r="AB255" i="12"/>
  <c r="AJ254" i="12"/>
  <c r="AI254" i="12"/>
  <c r="AG254" i="12"/>
  <c r="AF254" i="12"/>
  <c r="AH254" i="12" s="1"/>
  <c r="AD254" i="12"/>
  <c r="AC254" i="12"/>
  <c r="AE254" i="12" s="1"/>
  <c r="AB254" i="12"/>
  <c r="AJ253" i="12"/>
  <c r="AI253" i="12"/>
  <c r="AG253" i="12"/>
  <c r="AF253" i="12"/>
  <c r="AD253" i="12"/>
  <c r="AC253" i="12"/>
  <c r="AE253" i="12" s="1"/>
  <c r="AB253" i="12"/>
  <c r="AJ252" i="12"/>
  <c r="AI252" i="12"/>
  <c r="AK252" i="12" s="1"/>
  <c r="AG252" i="12"/>
  <c r="AF252" i="12"/>
  <c r="AH252" i="12" s="1"/>
  <c r="AD252" i="12"/>
  <c r="AC252" i="12"/>
  <c r="AB252" i="12"/>
  <c r="AJ251" i="12"/>
  <c r="AI251" i="12"/>
  <c r="AG251" i="12"/>
  <c r="AF251" i="12"/>
  <c r="AD251" i="12"/>
  <c r="AC251" i="12"/>
  <c r="AE251" i="12" s="1"/>
  <c r="AB251" i="12"/>
  <c r="AJ250" i="12"/>
  <c r="AI250" i="12"/>
  <c r="AG250" i="12"/>
  <c r="AF250" i="12"/>
  <c r="AH250" i="12" s="1"/>
  <c r="AD250" i="12"/>
  <c r="AC250" i="12"/>
  <c r="AB250" i="12"/>
  <c r="AJ249" i="12"/>
  <c r="AI249" i="12"/>
  <c r="AK249" i="12" s="1"/>
  <c r="AG249" i="12"/>
  <c r="AF249" i="12"/>
  <c r="AH249" i="12" s="1"/>
  <c r="AD249" i="12"/>
  <c r="AC249" i="12"/>
  <c r="AE249" i="12" s="1"/>
  <c r="AB249" i="12"/>
  <c r="AJ248" i="12"/>
  <c r="AI248" i="12"/>
  <c r="AG248" i="12"/>
  <c r="AF248" i="12"/>
  <c r="AH248" i="12" s="1"/>
  <c r="AD248" i="12"/>
  <c r="AC248" i="12"/>
  <c r="AB248" i="12"/>
  <c r="AJ247" i="12"/>
  <c r="AI247" i="12"/>
  <c r="AG247" i="12"/>
  <c r="AF247" i="12"/>
  <c r="AD247" i="12"/>
  <c r="AC247" i="12"/>
  <c r="AB247" i="12"/>
  <c r="AJ246" i="12"/>
  <c r="AI246" i="12"/>
  <c r="AG246" i="12"/>
  <c r="AF246" i="12"/>
  <c r="AH246" i="12" s="1"/>
  <c r="AD246" i="12"/>
  <c r="AC246" i="12"/>
  <c r="AE246" i="12" s="1"/>
  <c r="AB246" i="12"/>
  <c r="AJ245" i="12"/>
  <c r="AI245" i="12"/>
  <c r="AK245" i="12" s="1"/>
  <c r="AG245" i="12"/>
  <c r="AF245" i="12"/>
  <c r="AD245" i="12"/>
  <c r="AC245" i="12"/>
  <c r="AE245" i="12" s="1"/>
  <c r="AB245" i="12"/>
  <c r="AK244" i="12"/>
  <c r="AJ244" i="12"/>
  <c r="AI244" i="12"/>
  <c r="AG244" i="12"/>
  <c r="AF244" i="12"/>
  <c r="AH244" i="12" s="1"/>
  <c r="AD244" i="12"/>
  <c r="AC244" i="12"/>
  <c r="AE244" i="12" s="1"/>
  <c r="AB244" i="12"/>
  <c r="AJ243" i="12"/>
  <c r="AI243" i="12"/>
  <c r="AK243" i="12" s="1"/>
  <c r="AG243" i="12"/>
  <c r="AF243" i="12"/>
  <c r="AD243" i="12"/>
  <c r="AC243" i="12"/>
  <c r="AE243" i="12" s="1"/>
  <c r="AB243" i="12"/>
  <c r="AJ242" i="12"/>
  <c r="AI242" i="12"/>
  <c r="AK242" i="12" s="1"/>
  <c r="AG242" i="12"/>
  <c r="AF242" i="12"/>
  <c r="AD242" i="12"/>
  <c r="AC242" i="12"/>
  <c r="AE242" i="12" s="1"/>
  <c r="AB242" i="12"/>
  <c r="AJ241" i="12"/>
  <c r="AI241" i="12"/>
  <c r="AK241" i="12" s="1"/>
  <c r="AG241" i="12"/>
  <c r="AF241" i="12"/>
  <c r="AH241" i="12" s="1"/>
  <c r="AD241" i="12"/>
  <c r="AC241" i="12"/>
  <c r="AB241" i="12"/>
  <c r="AJ240" i="12"/>
  <c r="AI240" i="12"/>
  <c r="AK240" i="12" s="1"/>
  <c r="AG240" i="12"/>
  <c r="AF240" i="12"/>
  <c r="AD240" i="12"/>
  <c r="AE240" i="12" s="1"/>
  <c r="AC240" i="12"/>
  <c r="AB240" i="12"/>
  <c r="AJ239" i="12"/>
  <c r="AI239" i="12"/>
  <c r="AK239" i="12" s="1"/>
  <c r="AG239" i="12"/>
  <c r="AF239" i="12"/>
  <c r="AD239" i="12"/>
  <c r="AC239" i="12"/>
  <c r="AE239" i="12" s="1"/>
  <c r="AB239" i="12"/>
  <c r="AJ238" i="12"/>
  <c r="AI238" i="12"/>
  <c r="AG238" i="12"/>
  <c r="AF238" i="12"/>
  <c r="AH238" i="12" s="1"/>
  <c r="AD238" i="12"/>
  <c r="AC238" i="12"/>
  <c r="AB238" i="12"/>
  <c r="AJ237" i="12"/>
  <c r="AI237" i="12"/>
  <c r="AG237" i="12"/>
  <c r="AF237" i="12"/>
  <c r="AH237" i="12" s="1"/>
  <c r="AD237" i="12"/>
  <c r="AC237" i="12"/>
  <c r="AE237" i="12" s="1"/>
  <c r="AB237" i="12"/>
  <c r="AJ236" i="12"/>
  <c r="AI236" i="12"/>
  <c r="AG236" i="12"/>
  <c r="AF236" i="12"/>
  <c r="AD236" i="12"/>
  <c r="AC236" i="12"/>
  <c r="AE236" i="12" s="1"/>
  <c r="AB236" i="12"/>
  <c r="AJ235" i="12"/>
  <c r="AI235" i="12"/>
  <c r="AG235" i="12"/>
  <c r="AF235" i="12"/>
  <c r="AD235" i="12"/>
  <c r="AC235" i="12"/>
  <c r="AE235" i="12" s="1"/>
  <c r="AB235" i="12"/>
  <c r="AJ234" i="12"/>
  <c r="AI234" i="12"/>
  <c r="AG234" i="12"/>
  <c r="AF234" i="12"/>
  <c r="AH234" i="12" s="1"/>
  <c r="AD234" i="12"/>
  <c r="AC234" i="12"/>
  <c r="AB234" i="12"/>
  <c r="AK233" i="12"/>
  <c r="AJ233" i="12"/>
  <c r="AI233" i="12"/>
  <c r="AG233" i="12"/>
  <c r="AF233" i="12"/>
  <c r="AH233" i="12" s="1"/>
  <c r="AD233" i="12"/>
  <c r="AC233" i="12"/>
  <c r="AE233" i="12" s="1"/>
  <c r="AB233" i="12"/>
  <c r="AJ232" i="12"/>
  <c r="AI232" i="12"/>
  <c r="AG232" i="12"/>
  <c r="AF232" i="12"/>
  <c r="AH232" i="12" s="1"/>
  <c r="AD232" i="12"/>
  <c r="AC232" i="12"/>
  <c r="AB232" i="12"/>
  <c r="AJ231" i="12"/>
  <c r="AI231" i="12"/>
  <c r="AG231" i="12"/>
  <c r="AF231" i="12"/>
  <c r="AD231" i="12"/>
  <c r="AC231" i="12"/>
  <c r="AE231" i="12" s="1"/>
  <c r="AB231" i="12"/>
  <c r="AJ230" i="12"/>
  <c r="AI230" i="12"/>
  <c r="AK230" i="12" s="1"/>
  <c r="AG230" i="12"/>
  <c r="AF230" i="12"/>
  <c r="AH230" i="12" s="1"/>
  <c r="AD230" i="12"/>
  <c r="AC230" i="12"/>
  <c r="AE230" i="12" s="1"/>
  <c r="AB230" i="12"/>
  <c r="AJ229" i="12"/>
  <c r="AI229" i="12"/>
  <c r="AG229" i="12"/>
  <c r="AF229" i="12"/>
  <c r="AD229" i="12"/>
  <c r="AC229" i="12"/>
  <c r="AE229" i="12" s="1"/>
  <c r="AB229" i="12"/>
  <c r="AJ228" i="12"/>
  <c r="AI228" i="12"/>
  <c r="AG228" i="12"/>
  <c r="AF228" i="12"/>
  <c r="AD228" i="12"/>
  <c r="AC228" i="12"/>
  <c r="AE228" i="12" s="1"/>
  <c r="AB228" i="12"/>
  <c r="AJ227" i="12"/>
  <c r="AI227" i="12"/>
  <c r="AK227" i="12" s="1"/>
  <c r="AG227" i="12"/>
  <c r="AH227" i="12" s="1"/>
  <c r="AF227" i="12"/>
  <c r="AD227" i="12"/>
  <c r="AC227" i="12"/>
  <c r="AB227" i="12"/>
  <c r="AJ226" i="12"/>
  <c r="AI226" i="12"/>
  <c r="AG226" i="12"/>
  <c r="AF226" i="12"/>
  <c r="AD226" i="12"/>
  <c r="AC226" i="12"/>
  <c r="AB226" i="12"/>
  <c r="AJ225" i="12"/>
  <c r="AI225" i="12"/>
  <c r="AK225" i="12" s="1"/>
  <c r="AG225" i="12"/>
  <c r="AF225" i="12"/>
  <c r="AD225" i="12"/>
  <c r="AC225" i="12"/>
  <c r="AB225" i="12"/>
  <c r="AJ224" i="12"/>
  <c r="AI224" i="12"/>
  <c r="AG224" i="12"/>
  <c r="AF224" i="12"/>
  <c r="AD224" i="12"/>
  <c r="AC224" i="12"/>
  <c r="AE224" i="12" s="1"/>
  <c r="AB224" i="12"/>
  <c r="AJ223" i="12"/>
  <c r="AI223" i="12"/>
  <c r="AK223" i="12" s="1"/>
  <c r="AG223" i="12"/>
  <c r="AF223" i="12"/>
  <c r="AD223" i="12"/>
  <c r="AC223" i="12"/>
  <c r="AB223" i="12"/>
  <c r="AJ222" i="12"/>
  <c r="AI222" i="12"/>
  <c r="AK222" i="12" s="1"/>
  <c r="AG222" i="12"/>
  <c r="AF222" i="12"/>
  <c r="AH222" i="12" s="1"/>
  <c r="AD222" i="12"/>
  <c r="AC222" i="12"/>
  <c r="AB222" i="12"/>
  <c r="AJ221" i="12"/>
  <c r="AI221" i="12"/>
  <c r="AK221" i="12" s="1"/>
  <c r="AG221" i="12"/>
  <c r="AF221" i="12"/>
  <c r="AH221" i="12" s="1"/>
  <c r="AD221" i="12"/>
  <c r="AC221" i="12"/>
  <c r="AE221" i="12" s="1"/>
  <c r="AB221" i="12"/>
  <c r="AJ220" i="12"/>
  <c r="AI220" i="12"/>
  <c r="AG220" i="12"/>
  <c r="AF220" i="12"/>
  <c r="AH220" i="12" s="1"/>
  <c r="AD220" i="12"/>
  <c r="AC220" i="12"/>
  <c r="AE220" i="12" s="1"/>
  <c r="AB220" i="12"/>
  <c r="AJ219" i="12"/>
  <c r="AI219" i="12"/>
  <c r="AG219" i="12"/>
  <c r="AF219" i="12"/>
  <c r="AH219" i="12" s="1"/>
  <c r="AD219" i="12"/>
  <c r="AC219" i="12"/>
  <c r="AB219" i="12"/>
  <c r="AJ218" i="12"/>
  <c r="AI218" i="12"/>
  <c r="AK218" i="12" s="1"/>
  <c r="AG218" i="12"/>
  <c r="AF218" i="12"/>
  <c r="AD218" i="12"/>
  <c r="AC218" i="12"/>
  <c r="AB218" i="12"/>
  <c r="AJ217" i="12"/>
  <c r="AI217" i="12"/>
  <c r="AG217" i="12"/>
  <c r="AF217" i="12"/>
  <c r="AH217" i="12" s="1"/>
  <c r="AD217" i="12"/>
  <c r="AC217" i="12"/>
  <c r="AB217" i="12"/>
  <c r="AJ216" i="12"/>
  <c r="AI216" i="12"/>
  <c r="AK216" i="12" s="1"/>
  <c r="AG216" i="12"/>
  <c r="AF216" i="12"/>
  <c r="AH216" i="12" s="1"/>
  <c r="AD216" i="12"/>
  <c r="AE216" i="12" s="1"/>
  <c r="AC216" i="12"/>
  <c r="AB216" i="12"/>
  <c r="AJ215" i="12"/>
  <c r="AI215" i="12"/>
  <c r="AG215" i="12"/>
  <c r="AF215" i="12"/>
  <c r="AD215" i="12"/>
  <c r="AC215" i="12"/>
  <c r="AB215" i="12"/>
  <c r="AJ214" i="12"/>
  <c r="AI214" i="12"/>
  <c r="AG214" i="12"/>
  <c r="AF214" i="12"/>
  <c r="AH214" i="12" s="1"/>
  <c r="AD214" i="12"/>
  <c r="AC214" i="12"/>
  <c r="AE214" i="12" s="1"/>
  <c r="AB214" i="12"/>
  <c r="AJ213" i="12"/>
  <c r="AI213" i="12"/>
  <c r="AK213" i="12" s="1"/>
  <c r="AG213" i="12"/>
  <c r="AF213" i="12"/>
  <c r="AD213" i="12"/>
  <c r="AC213" i="12"/>
  <c r="AB213" i="12"/>
  <c r="AJ212" i="12"/>
  <c r="AI212" i="12"/>
  <c r="AK212" i="12" s="1"/>
  <c r="AG212" i="12"/>
  <c r="AF212" i="12"/>
  <c r="AH212" i="12" s="1"/>
  <c r="AD212" i="12"/>
  <c r="AC212" i="12"/>
  <c r="AE212" i="12" s="1"/>
  <c r="AB212" i="12"/>
  <c r="AK211" i="12"/>
  <c r="AJ211" i="12"/>
  <c r="AI211" i="12"/>
  <c r="AG211" i="12"/>
  <c r="AF211" i="12"/>
  <c r="AD211" i="12"/>
  <c r="AC211" i="12"/>
  <c r="AE211" i="12" s="1"/>
  <c r="AB211" i="12"/>
  <c r="AJ210" i="12"/>
  <c r="AI210" i="12"/>
  <c r="AG210" i="12"/>
  <c r="AF210" i="12"/>
  <c r="AH210" i="12" s="1"/>
  <c r="AD210" i="12"/>
  <c r="AC210" i="12"/>
  <c r="AE210" i="12" s="1"/>
  <c r="AB210" i="12"/>
  <c r="AJ209" i="12"/>
  <c r="AI209" i="12"/>
  <c r="AK209" i="12" s="1"/>
  <c r="AG209" i="12"/>
  <c r="AF209" i="12"/>
  <c r="AD209" i="12"/>
  <c r="AC209" i="12"/>
  <c r="AB209" i="12"/>
  <c r="AJ208" i="12"/>
  <c r="AI208" i="12"/>
  <c r="AG208" i="12"/>
  <c r="AF208" i="12"/>
  <c r="AD208" i="12"/>
  <c r="AC208" i="12"/>
  <c r="AE208" i="12" s="1"/>
  <c r="AB208" i="12"/>
  <c r="AJ207" i="12"/>
  <c r="AI207" i="12"/>
  <c r="AK207" i="12" s="1"/>
  <c r="AG207" i="12"/>
  <c r="AF207" i="12"/>
  <c r="AD207" i="12"/>
  <c r="AC207" i="12"/>
  <c r="AB207" i="12"/>
  <c r="AJ206" i="12"/>
  <c r="AI206" i="12"/>
  <c r="AG206" i="12"/>
  <c r="AF206" i="12"/>
  <c r="AD206" i="12"/>
  <c r="AC206" i="12"/>
  <c r="AB206" i="12"/>
  <c r="AJ205" i="12"/>
  <c r="AI205" i="12"/>
  <c r="AK205" i="12" s="1"/>
  <c r="AG205" i="12"/>
  <c r="AF205" i="12"/>
  <c r="AD205" i="12"/>
  <c r="AC205" i="12"/>
  <c r="AE205" i="12" s="1"/>
  <c r="AB205" i="12"/>
  <c r="AJ204" i="12"/>
  <c r="AI204" i="12"/>
  <c r="AK204" i="12" s="1"/>
  <c r="AG204" i="12"/>
  <c r="AF204" i="12"/>
  <c r="AD204" i="12"/>
  <c r="AC204" i="12"/>
  <c r="AB204" i="12"/>
  <c r="AJ203" i="12"/>
  <c r="AI203" i="12"/>
  <c r="AG203" i="12"/>
  <c r="AF203" i="12"/>
  <c r="AD203" i="12"/>
  <c r="AC203" i="12"/>
  <c r="AE203" i="12" s="1"/>
  <c r="AB203" i="12"/>
  <c r="AJ202" i="12"/>
  <c r="AI202" i="12"/>
  <c r="AG202" i="12"/>
  <c r="AF202" i="12"/>
  <c r="AH202" i="12" s="1"/>
  <c r="AD202" i="12"/>
  <c r="AC202" i="12"/>
  <c r="AB202" i="12"/>
  <c r="AJ201" i="12"/>
  <c r="AK201" i="12" s="1"/>
  <c r="AI201" i="12"/>
  <c r="AG201" i="12"/>
  <c r="AF201" i="12"/>
  <c r="AD201" i="12"/>
  <c r="AC201" i="12"/>
  <c r="AE201" i="12" s="1"/>
  <c r="AB201" i="12"/>
  <c r="AJ200" i="12"/>
  <c r="AI200" i="12"/>
  <c r="AG200" i="12"/>
  <c r="AF200" i="12"/>
  <c r="AD200" i="12"/>
  <c r="AC200" i="12"/>
  <c r="AE200" i="12" s="1"/>
  <c r="AB200" i="12"/>
  <c r="AJ199" i="12"/>
  <c r="AI199" i="12"/>
  <c r="AG199" i="12"/>
  <c r="AF199" i="12"/>
  <c r="AD199" i="12"/>
  <c r="AC199" i="12"/>
  <c r="AE199" i="12" s="1"/>
  <c r="AB199" i="12"/>
  <c r="AJ198" i="12"/>
  <c r="AI198" i="12"/>
  <c r="AK198" i="12" s="1"/>
  <c r="AG198" i="12"/>
  <c r="AF198" i="12"/>
  <c r="AH198" i="12" s="1"/>
  <c r="AD198" i="12"/>
  <c r="AC198" i="12"/>
  <c r="AB198" i="12"/>
  <c r="AJ197" i="12"/>
  <c r="AI197" i="12"/>
  <c r="AG197" i="12"/>
  <c r="AF197" i="12"/>
  <c r="AD197" i="12"/>
  <c r="AC197" i="12"/>
  <c r="AB197" i="12"/>
  <c r="AJ196" i="12"/>
  <c r="AI196" i="12"/>
  <c r="AG196" i="12"/>
  <c r="AF196" i="12"/>
  <c r="AH196" i="12" s="1"/>
  <c r="AD196" i="12"/>
  <c r="AC196" i="12"/>
  <c r="AE196" i="12" s="1"/>
  <c r="AB196" i="12"/>
  <c r="AJ195" i="12"/>
  <c r="AI195" i="12"/>
  <c r="AK195" i="12" s="1"/>
  <c r="AG195" i="12"/>
  <c r="AH195" i="12" s="1"/>
  <c r="AF195" i="12"/>
  <c r="AD195" i="12"/>
  <c r="AC195" i="12"/>
  <c r="AB195" i="12"/>
  <c r="AJ194" i="12"/>
  <c r="AI194" i="12"/>
  <c r="AK194" i="12" s="1"/>
  <c r="AG194" i="12"/>
  <c r="AF194" i="12"/>
  <c r="AD194" i="12"/>
  <c r="AC194" i="12"/>
  <c r="AE194" i="12" s="1"/>
  <c r="AB194" i="12"/>
  <c r="AJ193" i="12"/>
  <c r="AI193" i="12"/>
  <c r="AG193" i="12"/>
  <c r="AF193" i="12"/>
  <c r="AH193" i="12" s="1"/>
  <c r="AD193" i="12"/>
  <c r="AC193" i="12"/>
  <c r="AB193" i="12"/>
  <c r="AJ192" i="12"/>
  <c r="AI192" i="12"/>
  <c r="AG192" i="12"/>
  <c r="AF192" i="12"/>
  <c r="AD192" i="12"/>
  <c r="AC192" i="12"/>
  <c r="AE192" i="12" s="1"/>
  <c r="AB192" i="12"/>
  <c r="AJ191" i="12"/>
  <c r="AI191" i="12"/>
  <c r="AK191" i="12" s="1"/>
  <c r="AG191" i="12"/>
  <c r="AF191" i="12"/>
  <c r="AD191" i="12"/>
  <c r="AC191" i="12"/>
  <c r="AB191" i="12"/>
  <c r="AJ190" i="12"/>
  <c r="AI190" i="12"/>
  <c r="AK190" i="12" s="1"/>
  <c r="AG190" i="12"/>
  <c r="AF190" i="12"/>
  <c r="AD190" i="12"/>
  <c r="AC190" i="12"/>
  <c r="AB190" i="12"/>
  <c r="AJ189" i="12"/>
  <c r="AI189" i="12"/>
  <c r="AK189" i="12" s="1"/>
  <c r="AG189" i="12"/>
  <c r="AF189" i="12"/>
  <c r="AD189" i="12"/>
  <c r="AC189" i="12"/>
  <c r="AB189" i="12"/>
  <c r="AJ188" i="12"/>
  <c r="AI188" i="12"/>
  <c r="AK188" i="12" s="1"/>
  <c r="AG188" i="12"/>
  <c r="AF188" i="12"/>
  <c r="AD188" i="12"/>
  <c r="AC188" i="12"/>
  <c r="AB188" i="12"/>
  <c r="AJ187" i="12"/>
  <c r="AI187" i="12"/>
  <c r="AG187" i="12"/>
  <c r="AF187" i="12"/>
  <c r="AD187" i="12"/>
  <c r="AC187" i="12"/>
  <c r="AE187" i="12" s="1"/>
  <c r="AB187" i="12"/>
  <c r="AJ186" i="12"/>
  <c r="AI186" i="12"/>
  <c r="AG186" i="12"/>
  <c r="AF186" i="12"/>
  <c r="AD186" i="12"/>
  <c r="AC186" i="12"/>
  <c r="AE186" i="12" s="1"/>
  <c r="AB186" i="12"/>
  <c r="AJ185" i="12"/>
  <c r="AI185" i="12"/>
  <c r="AG185" i="12"/>
  <c r="AF185" i="12"/>
  <c r="AH185" i="12" s="1"/>
  <c r="AD185" i="12"/>
  <c r="AC185" i="12"/>
  <c r="AE185" i="12" s="1"/>
  <c r="AB185" i="12"/>
  <c r="AJ184" i="12"/>
  <c r="AI184" i="12"/>
  <c r="AG184" i="12"/>
  <c r="AF184" i="12"/>
  <c r="AD184" i="12"/>
  <c r="AC184" i="12"/>
  <c r="AB184" i="12"/>
  <c r="AJ183" i="12"/>
  <c r="AI183" i="12"/>
  <c r="AG183" i="12"/>
  <c r="AF183" i="12"/>
  <c r="AD183" i="12"/>
  <c r="AC183" i="12"/>
  <c r="AE183" i="12" s="1"/>
  <c r="AB183" i="12"/>
  <c r="AJ182" i="12"/>
  <c r="AI182" i="12"/>
  <c r="AK182" i="12" s="1"/>
  <c r="AG182" i="12"/>
  <c r="AF182" i="12"/>
  <c r="AD182" i="12"/>
  <c r="AC182" i="12"/>
  <c r="AE182" i="12" s="1"/>
  <c r="AB182" i="12"/>
  <c r="AJ181" i="12"/>
  <c r="AI181" i="12"/>
  <c r="AK181" i="12" s="1"/>
  <c r="AG181" i="12"/>
  <c r="AF181" i="12"/>
  <c r="AD181" i="12"/>
  <c r="AC181" i="12"/>
  <c r="AB181" i="12"/>
  <c r="AJ180" i="12"/>
  <c r="AI180" i="12"/>
  <c r="AK180" i="12" s="1"/>
  <c r="AG180" i="12"/>
  <c r="AF180" i="12"/>
  <c r="AH180" i="12" s="1"/>
  <c r="AD180" i="12"/>
  <c r="AC180" i="12"/>
  <c r="AB180" i="12"/>
  <c r="AJ179" i="12"/>
  <c r="AI179" i="12"/>
  <c r="AK179" i="12" s="1"/>
  <c r="AG179" i="12"/>
  <c r="AF179" i="12"/>
  <c r="AD179" i="12"/>
  <c r="AE179" i="12" s="1"/>
  <c r="AC179" i="12"/>
  <c r="AB179" i="12"/>
  <c r="AJ178" i="12"/>
  <c r="AI178" i="12"/>
  <c r="AK178" i="12" s="1"/>
  <c r="AG178" i="12"/>
  <c r="AF178" i="12"/>
  <c r="AH178" i="12" s="1"/>
  <c r="AD178" i="12"/>
  <c r="AC178" i="12"/>
  <c r="AB178" i="12"/>
  <c r="AJ177" i="12"/>
  <c r="AI177" i="12"/>
  <c r="AG177" i="12"/>
  <c r="AF177" i="12"/>
  <c r="AH177" i="12" s="1"/>
  <c r="AD177" i="12"/>
  <c r="AC177" i="12"/>
  <c r="AB177" i="12"/>
  <c r="AJ176" i="12"/>
  <c r="AI176" i="12"/>
  <c r="AG176" i="12"/>
  <c r="AF176" i="12"/>
  <c r="AH176" i="12" s="1"/>
  <c r="AD176" i="12"/>
  <c r="AC176" i="12"/>
  <c r="AE176" i="12" s="1"/>
  <c r="AB176" i="12"/>
  <c r="AJ175" i="12"/>
  <c r="AI175" i="12"/>
  <c r="AG175" i="12"/>
  <c r="AF175" i="12"/>
  <c r="AD175" i="12"/>
  <c r="AC175" i="12"/>
  <c r="AB175" i="12"/>
  <c r="AJ174" i="12"/>
  <c r="AI174" i="12"/>
  <c r="AK174" i="12" s="1"/>
  <c r="AG174" i="12"/>
  <c r="AF174" i="12"/>
  <c r="AD174" i="12"/>
  <c r="AC174" i="12"/>
  <c r="AB174" i="12"/>
  <c r="AJ173" i="12"/>
  <c r="AI173" i="12"/>
  <c r="AK173" i="12" s="1"/>
  <c r="AG173" i="12"/>
  <c r="AF173" i="12"/>
  <c r="AD173" i="12"/>
  <c r="AC173" i="12"/>
  <c r="AB173" i="12"/>
  <c r="AJ172" i="12"/>
  <c r="AI172" i="12"/>
  <c r="AG172" i="12"/>
  <c r="AF172" i="12"/>
  <c r="AH172" i="12" s="1"/>
  <c r="AD172" i="12"/>
  <c r="AC172" i="12"/>
  <c r="AE172" i="12" s="1"/>
  <c r="AB172" i="12"/>
  <c r="AJ171" i="12"/>
  <c r="AI171" i="12"/>
  <c r="AK171" i="12" s="1"/>
  <c r="AG171" i="12"/>
  <c r="AF171" i="12"/>
  <c r="AD171" i="12"/>
  <c r="AC171" i="12"/>
  <c r="AE171" i="12" s="1"/>
  <c r="AB171" i="12"/>
  <c r="AJ170" i="12"/>
  <c r="AI170" i="12"/>
  <c r="AK170" i="12" s="1"/>
  <c r="AG170" i="12"/>
  <c r="AF170" i="12"/>
  <c r="AD170" i="12"/>
  <c r="AC170" i="12"/>
  <c r="AE170" i="12" s="1"/>
  <c r="AB170" i="12"/>
  <c r="AJ169" i="12"/>
  <c r="AI169" i="12"/>
  <c r="AK169" i="12" s="1"/>
  <c r="AG169" i="12"/>
  <c r="AF169" i="12"/>
  <c r="AH169" i="12" s="1"/>
  <c r="AD169" i="12"/>
  <c r="AC169" i="12"/>
  <c r="AB169" i="12"/>
  <c r="AJ168" i="12"/>
  <c r="AI168" i="12"/>
  <c r="AG168" i="12"/>
  <c r="AF168" i="12"/>
  <c r="AH168" i="12" s="1"/>
  <c r="AE168" i="12"/>
  <c r="AD168" i="12"/>
  <c r="AC168" i="12"/>
  <c r="AB168" i="12"/>
  <c r="AJ167" i="12"/>
  <c r="AI167" i="12"/>
  <c r="AK167" i="12" s="1"/>
  <c r="AG167" i="12"/>
  <c r="AF167" i="12"/>
  <c r="AD167" i="12"/>
  <c r="AC167" i="12"/>
  <c r="AE167" i="12" s="1"/>
  <c r="AB167" i="12"/>
  <c r="AJ166" i="12"/>
  <c r="AK166" i="12" s="1"/>
  <c r="AI166" i="12"/>
  <c r="AG166" i="12"/>
  <c r="AF166" i="12"/>
  <c r="AH166" i="12" s="1"/>
  <c r="AD166" i="12"/>
  <c r="AC166" i="12"/>
  <c r="AB166" i="12"/>
  <c r="AJ165" i="12"/>
  <c r="AI165" i="12"/>
  <c r="AG165" i="12"/>
  <c r="AF165" i="12"/>
  <c r="AH165" i="12" s="1"/>
  <c r="AD165" i="12"/>
  <c r="AC165" i="12"/>
  <c r="AB165" i="12"/>
  <c r="AJ164" i="12"/>
  <c r="AI164" i="12"/>
  <c r="AG164" i="12"/>
  <c r="AF164" i="12"/>
  <c r="AD164" i="12"/>
  <c r="AC164" i="12"/>
  <c r="AE164" i="12" s="1"/>
  <c r="AB164" i="12"/>
  <c r="AJ163" i="12"/>
  <c r="AI163" i="12"/>
  <c r="AG163" i="12"/>
  <c r="AF163" i="12"/>
  <c r="AD163" i="12"/>
  <c r="AC163" i="12"/>
  <c r="AE163" i="12" s="1"/>
  <c r="AB163" i="12"/>
  <c r="AJ162" i="12"/>
  <c r="AI162" i="12"/>
  <c r="AG162" i="12"/>
  <c r="AF162" i="12"/>
  <c r="AH162" i="12" s="1"/>
  <c r="AD162" i="12"/>
  <c r="AC162" i="12"/>
  <c r="AB162" i="12"/>
  <c r="AJ161" i="12"/>
  <c r="AK161" i="12" s="1"/>
  <c r="AI161" i="12"/>
  <c r="AG161" i="12"/>
  <c r="AF161" i="12"/>
  <c r="AH161" i="12" s="1"/>
  <c r="AD161" i="12"/>
  <c r="AC161" i="12"/>
  <c r="AE161" i="12" s="1"/>
  <c r="AB161" i="12"/>
  <c r="AJ160" i="12"/>
  <c r="AI160" i="12"/>
  <c r="AG160" i="12"/>
  <c r="AF160" i="12"/>
  <c r="AD160" i="12"/>
  <c r="AC160" i="12"/>
  <c r="AE160" i="12" s="1"/>
  <c r="AB160" i="12"/>
  <c r="AJ159" i="12"/>
  <c r="AI159" i="12"/>
  <c r="AG159" i="12"/>
  <c r="AF159" i="12"/>
  <c r="AD159" i="12"/>
  <c r="AC159" i="12"/>
  <c r="AB159" i="12"/>
  <c r="AJ158" i="12"/>
  <c r="AI158" i="12"/>
  <c r="AK158" i="12" s="1"/>
  <c r="AG158" i="12"/>
  <c r="AF158" i="12"/>
  <c r="AH158" i="12" s="1"/>
  <c r="AD158" i="12"/>
  <c r="AC158" i="12"/>
  <c r="AE158" i="12" s="1"/>
  <c r="AB158" i="12"/>
  <c r="AJ157" i="12"/>
  <c r="AI157" i="12"/>
  <c r="AG157" i="12"/>
  <c r="AF157" i="12"/>
  <c r="AH157" i="12" s="1"/>
  <c r="AD157" i="12"/>
  <c r="AC157" i="12"/>
  <c r="AB157" i="12"/>
  <c r="AJ156" i="12"/>
  <c r="AI156" i="12"/>
  <c r="AG156" i="12"/>
  <c r="AF156" i="12"/>
  <c r="AH156" i="12" s="1"/>
  <c r="AD156" i="12"/>
  <c r="AC156" i="12"/>
  <c r="AE156" i="12" s="1"/>
  <c r="AB156" i="12"/>
  <c r="AJ155" i="12"/>
  <c r="AI155" i="12"/>
  <c r="AG155" i="12"/>
  <c r="AF155" i="12"/>
  <c r="AD155" i="12"/>
  <c r="AC155" i="12"/>
  <c r="AE155" i="12" s="1"/>
  <c r="AB155" i="12"/>
  <c r="AJ154" i="12"/>
  <c r="AI154" i="12"/>
  <c r="AK154" i="12" s="1"/>
  <c r="AG154" i="12"/>
  <c r="AF154" i="12"/>
  <c r="AD154" i="12"/>
  <c r="AC154" i="12"/>
  <c r="AB154" i="12"/>
  <c r="AJ153" i="12"/>
  <c r="AI153" i="12"/>
  <c r="AG153" i="12"/>
  <c r="AF153" i="12"/>
  <c r="AH153" i="12" s="1"/>
  <c r="AD153" i="12"/>
  <c r="AC153" i="12"/>
  <c r="AB153" i="12"/>
  <c r="AJ152" i="12"/>
  <c r="AI152" i="12"/>
  <c r="AK152" i="12" s="1"/>
  <c r="AG152" i="12"/>
  <c r="AF152" i="12"/>
  <c r="AH152" i="12" s="1"/>
  <c r="AD152" i="12"/>
  <c r="AE152" i="12" s="1"/>
  <c r="AC152" i="12"/>
  <c r="AB152" i="12"/>
  <c r="AJ151" i="12"/>
  <c r="AI151" i="12"/>
  <c r="AG151" i="12"/>
  <c r="AF151" i="12"/>
  <c r="AH151" i="12" s="1"/>
  <c r="AD151" i="12"/>
  <c r="AC151" i="12"/>
  <c r="AB151" i="12"/>
  <c r="AJ150" i="12"/>
  <c r="AI150" i="12"/>
  <c r="AG150" i="12"/>
  <c r="AF150" i="12"/>
  <c r="AH150" i="12" s="1"/>
  <c r="AD150" i="12"/>
  <c r="AC150" i="12"/>
  <c r="AE150" i="12" s="1"/>
  <c r="AB150" i="12"/>
  <c r="AJ149" i="12"/>
  <c r="AI149" i="12"/>
  <c r="AG149" i="12"/>
  <c r="AF149" i="12"/>
  <c r="AD149" i="12"/>
  <c r="AC149" i="12"/>
  <c r="AB149" i="12"/>
  <c r="AJ148" i="12"/>
  <c r="AI148" i="12"/>
  <c r="AK148" i="12" s="1"/>
  <c r="AG148" i="12"/>
  <c r="AF148" i="12"/>
  <c r="AD148" i="12"/>
  <c r="AC148" i="12"/>
  <c r="AE148" i="12" s="1"/>
  <c r="AB148" i="12"/>
  <c r="AJ147" i="12"/>
  <c r="AI147" i="12"/>
  <c r="AG147" i="12"/>
  <c r="AH147" i="12" s="1"/>
  <c r="AF147" i="12"/>
  <c r="AD147" i="12"/>
  <c r="AC147" i="12"/>
  <c r="AE147" i="12" s="1"/>
  <c r="AB147" i="12"/>
  <c r="AJ146" i="12"/>
  <c r="AI146" i="12"/>
  <c r="AG146" i="12"/>
  <c r="AF146" i="12"/>
  <c r="AD146" i="12"/>
  <c r="AC146" i="12"/>
  <c r="AB146" i="12"/>
  <c r="AJ145" i="12"/>
  <c r="AI145" i="12"/>
  <c r="AG145" i="12"/>
  <c r="AF145" i="12"/>
  <c r="AH145" i="12" s="1"/>
  <c r="AD145" i="12"/>
  <c r="AC145" i="12"/>
  <c r="AB145" i="12"/>
  <c r="AJ144" i="12"/>
  <c r="AI144" i="12"/>
  <c r="AG144" i="12"/>
  <c r="AF144" i="12"/>
  <c r="AH144" i="12" s="1"/>
  <c r="AD144" i="12"/>
  <c r="AC144" i="12"/>
  <c r="AB144" i="12"/>
  <c r="AJ143" i="12"/>
  <c r="AI143" i="12"/>
  <c r="AG143" i="12"/>
  <c r="AF143" i="12"/>
  <c r="AH143" i="12" s="1"/>
  <c r="AD143" i="12"/>
  <c r="AC143" i="12"/>
  <c r="AB143" i="12"/>
  <c r="AJ142" i="12"/>
  <c r="AI142" i="12"/>
  <c r="AG142" i="12"/>
  <c r="AF142" i="12"/>
  <c r="AH142" i="12" s="1"/>
  <c r="AD142" i="12"/>
  <c r="AC142" i="12"/>
  <c r="AE142" i="12" s="1"/>
  <c r="AB142" i="12"/>
  <c r="AJ141" i="12"/>
  <c r="AI141" i="12"/>
  <c r="AG141" i="12"/>
  <c r="AF141" i="12"/>
  <c r="AH141" i="12" s="1"/>
  <c r="AD141" i="12"/>
  <c r="AC141" i="12"/>
  <c r="AB141" i="12"/>
  <c r="AJ140" i="12"/>
  <c r="AI140" i="12"/>
  <c r="AG140" i="12"/>
  <c r="AF140" i="12"/>
  <c r="AH140" i="12" s="1"/>
  <c r="AD140" i="12"/>
  <c r="AC140" i="12"/>
  <c r="AE140" i="12" s="1"/>
  <c r="AB140" i="12"/>
  <c r="AJ139" i="12"/>
  <c r="AI139" i="12"/>
  <c r="AK139" i="12" s="1"/>
  <c r="AG139" i="12"/>
  <c r="AH139" i="12" s="1"/>
  <c r="AF139" i="12"/>
  <c r="AD139" i="12"/>
  <c r="AC139" i="12"/>
  <c r="AE139" i="12" s="1"/>
  <c r="AB139" i="12"/>
  <c r="AJ138" i="12"/>
  <c r="AI138" i="12"/>
  <c r="AK138" i="12" s="1"/>
  <c r="AG138" i="12"/>
  <c r="AF138" i="12"/>
  <c r="AD138" i="12"/>
  <c r="AC138" i="12"/>
  <c r="AE138" i="12" s="1"/>
  <c r="AB138" i="12"/>
  <c r="AJ137" i="12"/>
  <c r="AI137" i="12"/>
  <c r="AG137" i="12"/>
  <c r="AF137" i="12"/>
  <c r="AH137" i="12" s="1"/>
  <c r="AD137" i="12"/>
  <c r="AC137" i="12"/>
  <c r="AB137" i="12"/>
  <c r="AJ136" i="12"/>
  <c r="AI136" i="12"/>
  <c r="AG136" i="12"/>
  <c r="AF136" i="12"/>
  <c r="AH136" i="12" s="1"/>
  <c r="AD136" i="12"/>
  <c r="AC136" i="12"/>
  <c r="AE136" i="12" s="1"/>
  <c r="AB136" i="12"/>
  <c r="AJ135" i="12"/>
  <c r="AI135" i="12"/>
  <c r="AG135" i="12"/>
  <c r="AF135" i="12"/>
  <c r="AH135" i="12" s="1"/>
  <c r="AD135" i="12"/>
  <c r="AC135" i="12"/>
  <c r="AB135" i="12"/>
  <c r="AJ134" i="12"/>
  <c r="AK134" i="12" s="1"/>
  <c r="AI134" i="12"/>
  <c r="AG134" i="12"/>
  <c r="AF134" i="12"/>
  <c r="AH134" i="12" s="1"/>
  <c r="AD134" i="12"/>
  <c r="AC134" i="12"/>
  <c r="AB134" i="12"/>
  <c r="AJ133" i="12"/>
  <c r="AI133" i="12"/>
  <c r="AG133" i="12"/>
  <c r="AF133" i="12"/>
  <c r="AH133" i="12" s="1"/>
  <c r="AD133" i="12"/>
  <c r="AC133" i="12"/>
  <c r="AE133" i="12" s="1"/>
  <c r="AB133" i="12"/>
  <c r="AJ132" i="12"/>
  <c r="AI132" i="12"/>
  <c r="AG132" i="12"/>
  <c r="AF132" i="12"/>
  <c r="AD132" i="12"/>
  <c r="AC132" i="12"/>
  <c r="AE132" i="12" s="1"/>
  <c r="AB132" i="12"/>
  <c r="AJ131" i="12"/>
  <c r="AI131" i="12"/>
  <c r="AK131" i="12" s="1"/>
  <c r="AG131" i="12"/>
  <c r="AF131" i="12"/>
  <c r="AD131" i="12"/>
  <c r="AC131" i="12"/>
  <c r="AE131" i="12" s="1"/>
  <c r="AB131" i="12"/>
  <c r="AJ130" i="12"/>
  <c r="AI130" i="12"/>
  <c r="AG130" i="12"/>
  <c r="AF130" i="12"/>
  <c r="AH130" i="12" s="1"/>
  <c r="AD130" i="12"/>
  <c r="AC130" i="12"/>
  <c r="AB130" i="12"/>
  <c r="AJ129" i="12"/>
  <c r="AI129" i="12"/>
  <c r="AG129" i="12"/>
  <c r="AF129" i="12"/>
  <c r="AH129" i="12" s="1"/>
  <c r="AD129" i="12"/>
  <c r="AC129" i="12"/>
  <c r="AE129" i="12" s="1"/>
  <c r="AB129" i="12"/>
  <c r="AJ128" i="12"/>
  <c r="AI128" i="12"/>
  <c r="AK128" i="12" s="1"/>
  <c r="AG128" i="12"/>
  <c r="AF128" i="12"/>
  <c r="AD128" i="12"/>
  <c r="AC128" i="12"/>
  <c r="AB128" i="12"/>
  <c r="AJ127" i="12"/>
  <c r="AI127" i="12"/>
  <c r="AK127" i="12" s="1"/>
  <c r="AG127" i="12"/>
  <c r="AF127" i="12"/>
  <c r="AD127" i="12"/>
  <c r="AC127" i="12"/>
  <c r="AE127" i="12" s="1"/>
  <c r="AB127" i="12"/>
  <c r="AJ126" i="12"/>
  <c r="AI126" i="12"/>
  <c r="AG126" i="12"/>
  <c r="AF126" i="12"/>
  <c r="AH126" i="12" s="1"/>
  <c r="AD126" i="12"/>
  <c r="AC126" i="12"/>
  <c r="AB126" i="12"/>
  <c r="AJ125" i="12"/>
  <c r="AI125" i="12"/>
  <c r="AG125" i="12"/>
  <c r="AF125" i="12"/>
  <c r="AH125" i="12" s="1"/>
  <c r="AD125" i="12"/>
  <c r="AC125" i="12"/>
  <c r="AB125" i="12"/>
  <c r="AJ124" i="12"/>
  <c r="AI124" i="12"/>
  <c r="AG124" i="12"/>
  <c r="AF124" i="12"/>
  <c r="AH124" i="12" s="1"/>
  <c r="AD124" i="12"/>
  <c r="AC124" i="12"/>
  <c r="AE124" i="12" s="1"/>
  <c r="AB124" i="12"/>
  <c r="AJ123" i="12"/>
  <c r="AI123" i="12"/>
  <c r="AG123" i="12"/>
  <c r="AF123" i="12"/>
  <c r="AD123" i="12"/>
  <c r="AC123" i="12"/>
  <c r="AB123" i="12"/>
  <c r="AJ122" i="12"/>
  <c r="AI122" i="12"/>
  <c r="AK122" i="12" s="1"/>
  <c r="AG122" i="12"/>
  <c r="AF122" i="12"/>
  <c r="AD122" i="12"/>
  <c r="AC122" i="12"/>
  <c r="AE122" i="12" s="1"/>
  <c r="AB122" i="12"/>
  <c r="AJ121" i="12"/>
  <c r="AI121" i="12"/>
  <c r="AG121" i="12"/>
  <c r="AF121" i="12"/>
  <c r="AH121" i="12" s="1"/>
  <c r="AD121" i="12"/>
  <c r="AC121" i="12"/>
  <c r="AB121" i="12"/>
  <c r="AJ120" i="12"/>
  <c r="AI120" i="12"/>
  <c r="AG120" i="12"/>
  <c r="AF120" i="12"/>
  <c r="AD120" i="12"/>
  <c r="AC120" i="12"/>
  <c r="AB120" i="12"/>
  <c r="AJ119" i="12"/>
  <c r="AI119" i="12"/>
  <c r="AK119" i="12" s="1"/>
  <c r="AG119" i="12"/>
  <c r="AH119" i="12" s="1"/>
  <c r="AF119" i="12"/>
  <c r="AD119" i="12"/>
  <c r="AC119" i="12"/>
  <c r="AB119" i="12"/>
  <c r="AJ118" i="12"/>
  <c r="AI118" i="12"/>
  <c r="AK118" i="12" s="1"/>
  <c r="AG118" i="12"/>
  <c r="AF118" i="12"/>
  <c r="AD118" i="12"/>
  <c r="AC118" i="12"/>
  <c r="AE118" i="12" s="1"/>
  <c r="AB118" i="12"/>
  <c r="AJ117" i="12"/>
  <c r="AI117" i="12"/>
  <c r="AK117" i="12" s="1"/>
  <c r="AG117" i="12"/>
  <c r="AF117" i="12"/>
  <c r="AH117" i="12" s="1"/>
  <c r="AD117" i="12"/>
  <c r="AC117" i="12"/>
  <c r="AB117" i="12"/>
  <c r="AJ116" i="12"/>
  <c r="AI116" i="12"/>
  <c r="AK116" i="12" s="1"/>
  <c r="AG116" i="12"/>
  <c r="AF116" i="12"/>
  <c r="AH116" i="12" s="1"/>
  <c r="AD116" i="12"/>
  <c r="AC116" i="12"/>
  <c r="AB116" i="12"/>
  <c r="AJ115" i="12"/>
  <c r="AI115" i="12"/>
  <c r="AG115" i="12"/>
  <c r="AF115" i="12"/>
  <c r="AD115" i="12"/>
  <c r="AC115" i="12"/>
  <c r="AB115" i="12"/>
  <c r="AJ114" i="12"/>
  <c r="AI114" i="12"/>
  <c r="AG114" i="12"/>
  <c r="AF114" i="12"/>
  <c r="AH114" i="12" s="1"/>
  <c r="AD114" i="12"/>
  <c r="AC114" i="12"/>
  <c r="AB114" i="12"/>
  <c r="AJ113" i="12"/>
  <c r="AK113" i="12" s="1"/>
  <c r="AI113" i="12"/>
  <c r="AG113" i="12"/>
  <c r="AF113" i="12"/>
  <c r="AD113" i="12"/>
  <c r="AC113" i="12"/>
  <c r="AE113" i="12" s="1"/>
  <c r="AB113" i="12"/>
  <c r="AJ112" i="12"/>
  <c r="AI112" i="12"/>
  <c r="AK112" i="12" s="1"/>
  <c r="AG112" i="12"/>
  <c r="AF112" i="12"/>
  <c r="AD112" i="12"/>
  <c r="AC112" i="12"/>
  <c r="AE112" i="12" s="1"/>
  <c r="AB112" i="12"/>
  <c r="AJ111" i="12"/>
  <c r="AI111" i="12"/>
  <c r="AG111" i="12"/>
  <c r="AH111" i="12" s="1"/>
  <c r="AF111" i="12"/>
  <c r="AD111" i="12"/>
  <c r="AC111" i="12"/>
  <c r="AE111" i="12" s="1"/>
  <c r="AB111" i="12"/>
  <c r="AJ110" i="12"/>
  <c r="AI110" i="12"/>
  <c r="AG110" i="12"/>
  <c r="AF110" i="12"/>
  <c r="AH110" i="12" s="1"/>
  <c r="AD110" i="12"/>
  <c r="AC110" i="12"/>
  <c r="AB110" i="12"/>
  <c r="AJ109" i="12"/>
  <c r="AI109" i="12"/>
  <c r="AG109" i="12"/>
  <c r="AF109" i="12"/>
  <c r="AH109" i="12" s="1"/>
  <c r="AD109" i="12"/>
  <c r="AC109" i="12"/>
  <c r="AB109" i="12"/>
  <c r="AJ108" i="12"/>
  <c r="AI108" i="12"/>
  <c r="AK108" i="12" s="1"/>
  <c r="AG108" i="12"/>
  <c r="AF108" i="12"/>
  <c r="AH108" i="12" s="1"/>
  <c r="AD108" i="12"/>
  <c r="AC108" i="12"/>
  <c r="AB108" i="12"/>
  <c r="AJ107" i="12"/>
  <c r="AI107" i="12"/>
  <c r="AK107" i="12" s="1"/>
  <c r="AG107" i="12"/>
  <c r="AF107" i="12"/>
  <c r="AE107" i="12"/>
  <c r="AD107" i="12"/>
  <c r="AC107" i="12"/>
  <c r="AB107" i="12"/>
  <c r="AJ106" i="12"/>
  <c r="AI106" i="12"/>
  <c r="AK106" i="12" s="1"/>
  <c r="AG106" i="12"/>
  <c r="AF106" i="12"/>
  <c r="AD106" i="12"/>
  <c r="AC106" i="12"/>
  <c r="AB106" i="12"/>
  <c r="AJ105" i="12"/>
  <c r="AI105" i="12"/>
  <c r="AK105" i="12" s="1"/>
  <c r="AG105" i="12"/>
  <c r="AF105" i="12"/>
  <c r="AD105" i="12"/>
  <c r="AC105" i="12"/>
  <c r="AB105" i="12"/>
  <c r="AJ104" i="12"/>
  <c r="AI104" i="12"/>
  <c r="AK104" i="12" s="1"/>
  <c r="AG104" i="12"/>
  <c r="AF104" i="12"/>
  <c r="AD104" i="12"/>
  <c r="AC104" i="12"/>
  <c r="AB104" i="12"/>
  <c r="AJ103" i="12"/>
  <c r="AI103" i="12"/>
  <c r="AG103" i="12"/>
  <c r="AF103" i="12"/>
  <c r="AD103" i="12"/>
  <c r="AC103" i="12"/>
  <c r="AB103" i="12"/>
  <c r="AJ102" i="12"/>
  <c r="AI102" i="12"/>
  <c r="AG102" i="12"/>
  <c r="AF102" i="12"/>
  <c r="AH102" i="12" s="1"/>
  <c r="AD102" i="12"/>
  <c r="AC102" i="12"/>
  <c r="AB102" i="12"/>
  <c r="AJ101" i="12"/>
  <c r="AI101" i="12"/>
  <c r="AK101" i="12" s="1"/>
  <c r="AG101" i="12"/>
  <c r="AF101" i="12"/>
  <c r="AD101" i="12"/>
  <c r="AC101" i="12"/>
  <c r="AE101" i="12" s="1"/>
  <c r="AB101" i="12"/>
  <c r="AJ100" i="12"/>
  <c r="AI100" i="12"/>
  <c r="AK100" i="12" s="1"/>
  <c r="AG100" i="12"/>
  <c r="AF100" i="12"/>
  <c r="AD100" i="12"/>
  <c r="AC100" i="12"/>
  <c r="AE100" i="12" s="1"/>
  <c r="AB100" i="12"/>
  <c r="AJ99" i="12"/>
  <c r="AI99" i="12"/>
  <c r="AG99" i="12"/>
  <c r="AF99" i="12"/>
  <c r="AD99" i="12"/>
  <c r="AC99" i="12"/>
  <c r="AB99" i="12"/>
  <c r="AJ98" i="12"/>
  <c r="AI98" i="12"/>
  <c r="AG98" i="12"/>
  <c r="AF98" i="12"/>
  <c r="AD98" i="12"/>
  <c r="AC98" i="12"/>
  <c r="AB98" i="12"/>
  <c r="AJ97" i="12"/>
  <c r="AI97" i="12"/>
  <c r="AK97" i="12" s="1"/>
  <c r="AG97" i="12"/>
  <c r="AF97" i="12"/>
  <c r="AH97" i="12" s="1"/>
  <c r="AD97" i="12"/>
  <c r="AC97" i="12"/>
  <c r="AE97" i="12" s="1"/>
  <c r="AB97" i="12"/>
  <c r="AJ96" i="12"/>
  <c r="AI96" i="12"/>
  <c r="AK96" i="12" s="1"/>
  <c r="AG96" i="12"/>
  <c r="AF96" i="12"/>
  <c r="AD96" i="12"/>
  <c r="AC96" i="12"/>
  <c r="AE96" i="12" s="1"/>
  <c r="AB96" i="12"/>
  <c r="AJ95" i="12"/>
  <c r="AI95" i="12"/>
  <c r="AK95" i="12" s="1"/>
  <c r="AG95" i="12"/>
  <c r="AF95" i="12"/>
  <c r="AD95" i="12"/>
  <c r="AC95" i="12"/>
  <c r="AE95" i="12" s="1"/>
  <c r="AB95" i="12"/>
  <c r="AJ94" i="12"/>
  <c r="AI94" i="12"/>
  <c r="AG94" i="12"/>
  <c r="AF94" i="12"/>
  <c r="AH94" i="12" s="1"/>
  <c r="AD94" i="12"/>
  <c r="AC94" i="12"/>
  <c r="AB94" i="12"/>
  <c r="AJ93" i="12"/>
  <c r="AI93" i="12"/>
  <c r="AG93" i="12"/>
  <c r="AF93" i="12"/>
  <c r="AH93" i="12" s="1"/>
  <c r="AD93" i="12"/>
  <c r="AC93" i="12"/>
  <c r="AE93" i="12" s="1"/>
  <c r="AB93" i="12"/>
  <c r="AJ92" i="12"/>
  <c r="AI92" i="12"/>
  <c r="AK92" i="12" s="1"/>
  <c r="AG92" i="12"/>
  <c r="AF92" i="12"/>
  <c r="AD92" i="12"/>
  <c r="AC92" i="12"/>
  <c r="AE92" i="12" s="1"/>
  <c r="AB92" i="12"/>
  <c r="AJ91" i="12"/>
  <c r="AI91" i="12"/>
  <c r="AK91" i="12" s="1"/>
  <c r="AG91" i="12"/>
  <c r="AF91" i="12"/>
  <c r="AD91" i="12"/>
  <c r="AC91" i="12"/>
  <c r="AE91" i="12" s="1"/>
  <c r="AB91" i="12"/>
  <c r="AJ90" i="12"/>
  <c r="AI90" i="12"/>
  <c r="AG90" i="12"/>
  <c r="AF90" i="12"/>
  <c r="AD90" i="12"/>
  <c r="AC90" i="12"/>
  <c r="AB90" i="12"/>
  <c r="AJ89" i="12"/>
  <c r="AK89" i="12" s="1"/>
  <c r="AI89" i="12"/>
  <c r="AG89" i="12"/>
  <c r="AF89" i="12"/>
  <c r="AD89" i="12"/>
  <c r="AC89" i="12"/>
  <c r="AB89" i="12"/>
  <c r="AJ88" i="12"/>
  <c r="AI88" i="12"/>
  <c r="AG88" i="12"/>
  <c r="AF88" i="12"/>
  <c r="AH88" i="12" s="1"/>
  <c r="AD88" i="12"/>
  <c r="AE88" i="12" s="1"/>
  <c r="AC88" i="12"/>
  <c r="AB88" i="12"/>
  <c r="AJ87" i="12"/>
  <c r="AI87" i="12"/>
  <c r="AG87" i="12"/>
  <c r="AF87" i="12"/>
  <c r="AD87" i="12"/>
  <c r="AC87" i="12"/>
  <c r="AB87" i="12"/>
  <c r="AJ86" i="12"/>
  <c r="AI86" i="12"/>
  <c r="AG86" i="12"/>
  <c r="AF86" i="12"/>
  <c r="AH86" i="12" s="1"/>
  <c r="AD86" i="12"/>
  <c r="AC86" i="12"/>
  <c r="AE86" i="12" s="1"/>
  <c r="AB86" i="12"/>
  <c r="AJ85" i="12"/>
  <c r="AI85" i="12"/>
  <c r="AG85" i="12"/>
  <c r="AF85" i="12"/>
  <c r="AD85" i="12"/>
  <c r="AC85" i="12"/>
  <c r="AE85" i="12" s="1"/>
  <c r="AB85" i="12"/>
  <c r="AJ84" i="12"/>
  <c r="AI84" i="12"/>
  <c r="AG84" i="12"/>
  <c r="AF84" i="12"/>
  <c r="AD84" i="12"/>
  <c r="AC84" i="12"/>
  <c r="AE84" i="12" s="1"/>
  <c r="AB84" i="12"/>
  <c r="AJ83" i="12"/>
  <c r="AI83" i="12"/>
  <c r="AK83" i="12" s="1"/>
  <c r="AG83" i="12"/>
  <c r="AF83" i="12"/>
  <c r="AD83" i="12"/>
  <c r="AC83" i="12"/>
  <c r="AE83" i="12" s="1"/>
  <c r="AB83" i="12"/>
  <c r="AJ82" i="12"/>
  <c r="AI82" i="12"/>
  <c r="AG82" i="12"/>
  <c r="AF82" i="12"/>
  <c r="AD82" i="12"/>
  <c r="AC82" i="12"/>
  <c r="AE82" i="12" s="1"/>
  <c r="AB82" i="12"/>
  <c r="AJ81" i="12"/>
  <c r="AI81" i="12"/>
  <c r="AG81" i="12"/>
  <c r="AF81" i="12"/>
  <c r="AD81" i="12"/>
  <c r="AC81" i="12"/>
  <c r="AB81" i="12"/>
  <c r="AJ80" i="12"/>
  <c r="AI80" i="12"/>
  <c r="AG80" i="12"/>
  <c r="AF80" i="12"/>
  <c r="AD80" i="12"/>
  <c r="AC80" i="12"/>
  <c r="AB80" i="12"/>
  <c r="AJ79" i="12"/>
  <c r="AI79" i="12"/>
  <c r="AK79" i="12" s="1"/>
  <c r="AG79" i="12"/>
  <c r="AF79" i="12"/>
  <c r="AD79" i="12"/>
  <c r="AC79" i="12"/>
  <c r="AE79" i="12" s="1"/>
  <c r="AB79" i="12"/>
  <c r="AJ78" i="12"/>
  <c r="AI78" i="12"/>
  <c r="AK78" i="12" s="1"/>
  <c r="AG78" i="12"/>
  <c r="AF78" i="12"/>
  <c r="AD78" i="12"/>
  <c r="AC78" i="12"/>
  <c r="AE78" i="12" s="1"/>
  <c r="AB78" i="12"/>
  <c r="AJ77" i="12"/>
  <c r="AI77" i="12"/>
  <c r="AK77" i="12" s="1"/>
  <c r="AG77" i="12"/>
  <c r="AF77" i="12"/>
  <c r="AD77" i="12"/>
  <c r="AC77" i="12"/>
  <c r="AB77" i="12"/>
  <c r="AJ76" i="12"/>
  <c r="AI76" i="12"/>
  <c r="AG76" i="12"/>
  <c r="AF76" i="12"/>
  <c r="AD76" i="12"/>
  <c r="AC76" i="12"/>
  <c r="AB76" i="12"/>
  <c r="AJ75" i="12"/>
  <c r="AI75" i="12"/>
  <c r="AG75" i="12"/>
  <c r="AF75" i="12"/>
  <c r="AD75" i="12"/>
  <c r="AC75" i="12"/>
  <c r="AE75" i="12" s="1"/>
  <c r="AB75" i="12"/>
  <c r="AJ74" i="12"/>
  <c r="AI74" i="12"/>
  <c r="AK74" i="12" s="1"/>
  <c r="AG74" i="12"/>
  <c r="AF74" i="12"/>
  <c r="AD74" i="12"/>
  <c r="AC74" i="12"/>
  <c r="AB74" i="12"/>
  <c r="AJ73" i="12"/>
  <c r="AI73" i="12"/>
  <c r="AK73" i="12" s="1"/>
  <c r="AG73" i="12"/>
  <c r="AF73" i="12"/>
  <c r="AD73" i="12"/>
  <c r="AC73" i="12"/>
  <c r="AE73" i="12" s="1"/>
  <c r="AB73" i="12"/>
  <c r="AJ72" i="12"/>
  <c r="AI72" i="12"/>
  <c r="AK72" i="12" s="1"/>
  <c r="AG72" i="12"/>
  <c r="AF72" i="12"/>
  <c r="AH72" i="12" s="1"/>
  <c r="AD72" i="12"/>
  <c r="AC72" i="12"/>
  <c r="AB72" i="12"/>
  <c r="AJ71" i="12"/>
  <c r="AI71" i="12"/>
  <c r="AG71" i="12"/>
  <c r="AF71" i="12"/>
  <c r="AD71" i="12"/>
  <c r="AC71" i="12"/>
  <c r="AE71" i="12" s="1"/>
  <c r="AB71" i="12"/>
  <c r="AJ70" i="12"/>
  <c r="AI70" i="12"/>
  <c r="AK70" i="12" s="1"/>
  <c r="AG70" i="12"/>
  <c r="AF70" i="12"/>
  <c r="AH70" i="12" s="1"/>
  <c r="AD70" i="12"/>
  <c r="AC70" i="12"/>
  <c r="AB70" i="12"/>
  <c r="AJ69" i="12"/>
  <c r="AI69" i="12"/>
  <c r="AK69" i="12" s="1"/>
  <c r="AG69" i="12"/>
  <c r="AF69" i="12"/>
  <c r="AH69" i="12" s="1"/>
  <c r="AD69" i="12"/>
  <c r="AC69" i="12"/>
  <c r="AB69" i="12"/>
  <c r="AJ68" i="12"/>
  <c r="AI68" i="12"/>
  <c r="AG68" i="12"/>
  <c r="AF68" i="12"/>
  <c r="AH68" i="12" s="1"/>
  <c r="AD68" i="12"/>
  <c r="AC68" i="12"/>
  <c r="AB68" i="12"/>
  <c r="AJ67" i="12"/>
  <c r="AI67" i="12"/>
  <c r="AG67" i="12"/>
  <c r="AF67" i="12"/>
  <c r="AD67" i="12"/>
  <c r="AC67" i="12"/>
  <c r="AB67" i="12"/>
  <c r="AJ66" i="12"/>
  <c r="AI66" i="12"/>
  <c r="AG66" i="12"/>
  <c r="AF66" i="12"/>
  <c r="AD66" i="12"/>
  <c r="AC66" i="12"/>
  <c r="AE66" i="12" s="1"/>
  <c r="AB66" i="12"/>
  <c r="AJ65" i="12"/>
  <c r="AI65" i="12"/>
  <c r="AK65" i="12" s="1"/>
  <c r="AG65" i="12"/>
  <c r="AF65" i="12"/>
  <c r="AD65" i="12"/>
  <c r="AC65" i="12"/>
  <c r="AE65" i="12" s="1"/>
  <c r="AB65" i="12"/>
  <c r="AJ64" i="12"/>
  <c r="AI64" i="12"/>
  <c r="AG64" i="12"/>
  <c r="AF64" i="12"/>
  <c r="AD64" i="12"/>
  <c r="AC64" i="12"/>
  <c r="AE64" i="12" s="1"/>
  <c r="AB64" i="12"/>
  <c r="AJ63" i="12"/>
  <c r="AI63" i="12"/>
  <c r="AK63" i="12" s="1"/>
  <c r="AG63" i="12"/>
  <c r="AF63" i="12"/>
  <c r="AD63" i="12"/>
  <c r="AC63" i="12"/>
  <c r="AB63" i="12"/>
  <c r="AJ62" i="12"/>
  <c r="AI62" i="12"/>
  <c r="AG62" i="12"/>
  <c r="AF62" i="12"/>
  <c r="AH62" i="12" s="1"/>
  <c r="AD62" i="12"/>
  <c r="AC62" i="12"/>
  <c r="AB62" i="12"/>
  <c r="AJ61" i="12"/>
  <c r="AI61" i="12"/>
  <c r="AG61" i="12"/>
  <c r="AF61" i="12"/>
  <c r="AH61" i="12" s="1"/>
  <c r="AD61" i="12"/>
  <c r="AC61" i="12"/>
  <c r="AE61" i="12" s="1"/>
  <c r="AB61" i="12"/>
  <c r="AJ60" i="12"/>
  <c r="AI60" i="12"/>
  <c r="AK60" i="12" s="1"/>
  <c r="AG60" i="12"/>
  <c r="AF60" i="12"/>
  <c r="AD60" i="12"/>
  <c r="AC60" i="12"/>
  <c r="AB60" i="12"/>
  <c r="AJ59" i="12"/>
  <c r="AI59" i="12"/>
  <c r="AK59" i="12" s="1"/>
  <c r="AG59" i="12"/>
  <c r="AF59" i="12"/>
  <c r="AD59" i="12"/>
  <c r="AC59" i="12"/>
  <c r="AE59" i="12" s="1"/>
  <c r="AB59" i="12"/>
  <c r="AJ58" i="12"/>
  <c r="AI58" i="12"/>
  <c r="AG58" i="12"/>
  <c r="AF58" i="12"/>
  <c r="AD58" i="12"/>
  <c r="AC58" i="12"/>
  <c r="AB58" i="12"/>
  <c r="AJ57" i="12"/>
  <c r="AI57" i="12"/>
  <c r="AG57" i="12"/>
  <c r="AF57" i="12"/>
  <c r="AH57" i="12" s="1"/>
  <c r="AD57" i="12"/>
  <c r="AC57" i="12"/>
  <c r="AE57" i="12" s="1"/>
  <c r="AB57" i="12"/>
  <c r="AJ56" i="12"/>
  <c r="AI56" i="12"/>
  <c r="AK56" i="12" s="1"/>
  <c r="AG56" i="12"/>
  <c r="AF56" i="12"/>
  <c r="AD56" i="12"/>
  <c r="AC56" i="12"/>
  <c r="AE56" i="12" s="1"/>
  <c r="AB56" i="12"/>
  <c r="AJ55" i="12"/>
  <c r="AI55" i="12"/>
  <c r="AG55" i="12"/>
  <c r="AH55" i="12" s="1"/>
  <c r="AF55" i="12"/>
  <c r="AD55" i="12"/>
  <c r="AC55" i="12"/>
  <c r="AE55" i="12" s="1"/>
  <c r="AB55" i="12"/>
  <c r="AJ54" i="12"/>
  <c r="AI54" i="12"/>
  <c r="AG54" i="12"/>
  <c r="AF54" i="12"/>
  <c r="AD54" i="12"/>
  <c r="AC54" i="12"/>
  <c r="AB54" i="12"/>
  <c r="AJ53" i="12"/>
  <c r="AI53" i="12"/>
  <c r="AK53" i="12" s="1"/>
  <c r="AG53" i="12"/>
  <c r="AF53" i="12"/>
  <c r="AD53" i="12"/>
  <c r="AC53" i="12"/>
  <c r="AE53" i="12" s="1"/>
  <c r="AB53" i="12"/>
  <c r="AJ52" i="12"/>
  <c r="AI52" i="12"/>
  <c r="AK52" i="12" s="1"/>
  <c r="AG52" i="12"/>
  <c r="AF52" i="12"/>
  <c r="AH52" i="12" s="1"/>
  <c r="AD52" i="12"/>
  <c r="AC52" i="12"/>
  <c r="AE52" i="12" s="1"/>
  <c r="AB52" i="12"/>
  <c r="AJ51" i="12"/>
  <c r="AI51" i="12"/>
  <c r="AG51" i="12"/>
  <c r="AF51" i="12"/>
  <c r="AD51" i="12"/>
  <c r="AC51" i="12"/>
  <c r="AE51" i="12" s="1"/>
  <c r="AB51" i="12"/>
  <c r="AJ50" i="12"/>
  <c r="AI50" i="12"/>
  <c r="AG50" i="12"/>
  <c r="AF50" i="12"/>
  <c r="AD50" i="12"/>
  <c r="AC50" i="12"/>
  <c r="AE50" i="12" s="1"/>
  <c r="AB50" i="12"/>
  <c r="AJ49" i="12"/>
  <c r="AI49" i="12"/>
  <c r="AK49" i="12" s="1"/>
  <c r="AH49" i="12"/>
  <c r="AG49" i="12"/>
  <c r="AF49" i="12"/>
  <c r="AD49" i="12"/>
  <c r="AC49" i="12"/>
  <c r="AB49" i="12"/>
  <c r="AJ48" i="12"/>
  <c r="AI48" i="12"/>
  <c r="AK48" i="12" s="1"/>
  <c r="AG48" i="12"/>
  <c r="AF48" i="12"/>
  <c r="AD48" i="12"/>
  <c r="AC48" i="12"/>
  <c r="AE48" i="12" s="1"/>
  <c r="AB48" i="12"/>
  <c r="AJ47" i="12"/>
  <c r="AI47" i="12"/>
  <c r="AK47" i="12" s="1"/>
  <c r="AG47" i="12"/>
  <c r="AH47" i="12" s="1"/>
  <c r="AF47" i="12"/>
  <c r="AD47" i="12"/>
  <c r="AC47" i="12"/>
  <c r="AE47" i="12" s="1"/>
  <c r="AB47" i="12"/>
  <c r="AJ46" i="12"/>
  <c r="AI46" i="12"/>
  <c r="AK46" i="12" s="1"/>
  <c r="AG46" i="12"/>
  <c r="AF46" i="12"/>
  <c r="AH46" i="12" s="1"/>
  <c r="AD46" i="12"/>
  <c r="AC46" i="12"/>
  <c r="AE46" i="12" s="1"/>
  <c r="AB46" i="12"/>
  <c r="AJ45" i="12"/>
  <c r="AI45" i="12"/>
  <c r="AK45" i="12" s="1"/>
  <c r="AG45" i="12"/>
  <c r="AF45" i="12"/>
  <c r="AD45" i="12"/>
  <c r="AC45" i="12"/>
  <c r="AB45" i="12"/>
  <c r="AJ44" i="12"/>
  <c r="AI44" i="12"/>
  <c r="AK44" i="12" s="1"/>
  <c r="AG44" i="12"/>
  <c r="AF44" i="12"/>
  <c r="AD44" i="12"/>
  <c r="AC44" i="12"/>
  <c r="AE44" i="12" s="1"/>
  <c r="AB44" i="12"/>
  <c r="AJ43" i="12"/>
  <c r="AI43" i="12"/>
  <c r="AG43" i="12"/>
  <c r="AF43" i="12"/>
  <c r="AD43" i="12"/>
  <c r="AC43" i="12"/>
  <c r="AE43" i="12" s="1"/>
  <c r="AB43" i="12"/>
  <c r="AJ42" i="12"/>
  <c r="AI42" i="12"/>
  <c r="AG42" i="12"/>
  <c r="AF42" i="12"/>
  <c r="AD42" i="12"/>
  <c r="AC42" i="12"/>
  <c r="AE42" i="12" s="1"/>
  <c r="AB42" i="12"/>
  <c r="AJ41" i="12"/>
  <c r="AI41" i="12"/>
  <c r="AG41" i="12"/>
  <c r="AF41" i="12"/>
  <c r="AH41" i="12" s="1"/>
  <c r="AD41" i="12"/>
  <c r="AC41" i="12"/>
  <c r="AE41" i="12" s="1"/>
  <c r="AB41" i="12"/>
  <c r="AJ40" i="12"/>
  <c r="AI40" i="12"/>
  <c r="AG40" i="12"/>
  <c r="AF40" i="12"/>
  <c r="AH40" i="12" s="1"/>
  <c r="AD40" i="12"/>
  <c r="AC40" i="12"/>
  <c r="AB40" i="12"/>
  <c r="AJ39" i="12"/>
  <c r="AI39" i="12"/>
  <c r="AK39" i="12" s="1"/>
  <c r="AG39" i="12"/>
  <c r="AF39" i="12"/>
  <c r="AD39" i="12"/>
  <c r="AC39" i="12"/>
  <c r="AB39" i="12"/>
  <c r="AJ38" i="12"/>
  <c r="AI38" i="12"/>
  <c r="AK38" i="12" s="1"/>
  <c r="AG38" i="12"/>
  <c r="AF38" i="12"/>
  <c r="AD38" i="12"/>
  <c r="AC38" i="12"/>
  <c r="AB38" i="12"/>
  <c r="AJ37" i="12"/>
  <c r="AI37" i="12"/>
  <c r="AG37" i="12"/>
  <c r="AF37" i="12"/>
  <c r="AH37" i="12" s="1"/>
  <c r="AD37" i="12"/>
  <c r="AC37" i="12"/>
  <c r="AE37" i="12" s="1"/>
  <c r="AB37" i="12"/>
  <c r="AJ36" i="12"/>
  <c r="AI36" i="12"/>
  <c r="AK36" i="12" s="1"/>
  <c r="AG36" i="12"/>
  <c r="AF36" i="12"/>
  <c r="AD36" i="12"/>
  <c r="AC36" i="12"/>
  <c r="AB36" i="12"/>
  <c r="AJ35" i="12"/>
  <c r="AI35" i="12"/>
  <c r="AG35" i="12"/>
  <c r="AF35" i="12"/>
  <c r="AD35" i="12"/>
  <c r="AC35" i="12"/>
  <c r="AB35" i="12"/>
  <c r="AJ34" i="12"/>
  <c r="AI34" i="12"/>
  <c r="AK34" i="12" s="1"/>
  <c r="AG34" i="12"/>
  <c r="AF34" i="12"/>
  <c r="AD34" i="12"/>
  <c r="AC34" i="12"/>
  <c r="AB34" i="12"/>
  <c r="AJ33" i="12"/>
  <c r="AI33" i="12"/>
  <c r="AK33" i="12" s="1"/>
  <c r="AG33" i="12"/>
  <c r="AF33" i="12"/>
  <c r="AH33" i="12" s="1"/>
  <c r="AD33" i="12"/>
  <c r="AC33" i="12"/>
  <c r="AB33" i="12"/>
  <c r="AJ32" i="12"/>
  <c r="AI32" i="12"/>
  <c r="AG32" i="12"/>
  <c r="AF32" i="12"/>
  <c r="AH32" i="12" s="1"/>
  <c r="AD32" i="12"/>
  <c r="AC32" i="12"/>
  <c r="AE32" i="12" s="1"/>
  <c r="AB32" i="12"/>
  <c r="AJ31" i="12"/>
  <c r="AI31" i="12"/>
  <c r="AG31" i="12"/>
  <c r="AF31" i="12"/>
  <c r="AD31" i="12"/>
  <c r="AC31" i="12"/>
  <c r="AB31" i="12"/>
  <c r="AJ30" i="12"/>
  <c r="AI30" i="12"/>
  <c r="AK30" i="12" s="1"/>
  <c r="AG30" i="12"/>
  <c r="AF30" i="12"/>
  <c r="AH30" i="12" s="1"/>
  <c r="AD30" i="12"/>
  <c r="AC30" i="12"/>
  <c r="AE30" i="12" s="1"/>
  <c r="AB30" i="12"/>
  <c r="AJ29" i="12"/>
  <c r="AI29" i="12"/>
  <c r="AG29" i="12"/>
  <c r="AF29" i="12"/>
  <c r="AD29" i="12"/>
  <c r="AC29" i="12"/>
  <c r="AB29" i="12"/>
  <c r="AJ28" i="12"/>
  <c r="AI28" i="12"/>
  <c r="AK28" i="12" s="1"/>
  <c r="AG28" i="12"/>
  <c r="AF28" i="12"/>
  <c r="AH28" i="12" s="1"/>
  <c r="AD28" i="12"/>
  <c r="AC28" i="12"/>
  <c r="AE28" i="12" s="1"/>
  <c r="AB28" i="12"/>
  <c r="AJ27" i="12"/>
  <c r="AI27" i="12"/>
  <c r="AG27" i="12"/>
  <c r="AF27" i="12"/>
  <c r="AD27" i="12"/>
  <c r="AC27" i="12"/>
  <c r="AE27" i="12" s="1"/>
  <c r="AB27" i="12"/>
  <c r="AJ26" i="12"/>
  <c r="AI26" i="12"/>
  <c r="AK26" i="12" s="1"/>
  <c r="AG26" i="12"/>
  <c r="AF26" i="12"/>
  <c r="AD26" i="12"/>
  <c r="AC26" i="12"/>
  <c r="AB26" i="12"/>
  <c r="AJ25" i="12"/>
  <c r="AI25" i="12"/>
  <c r="AK25" i="12" s="1"/>
  <c r="AG25" i="12"/>
  <c r="AF25" i="12"/>
  <c r="AD25" i="12"/>
  <c r="AC25" i="12"/>
  <c r="AE25" i="12" s="1"/>
  <c r="AB25" i="12"/>
  <c r="AJ24" i="12"/>
  <c r="AI24" i="12"/>
  <c r="AK24" i="12" s="1"/>
  <c r="AG24" i="12"/>
  <c r="AF24" i="12"/>
  <c r="AD24" i="12"/>
  <c r="AC24" i="12"/>
  <c r="AE24" i="12" s="1"/>
  <c r="AB24" i="12"/>
  <c r="AJ23" i="12"/>
  <c r="AI23" i="12"/>
  <c r="AK23" i="12" s="1"/>
  <c r="AG23" i="12"/>
  <c r="AF23" i="12"/>
  <c r="AD23" i="12"/>
  <c r="AC23" i="12"/>
  <c r="AB23" i="12"/>
  <c r="AJ22" i="12"/>
  <c r="AI22" i="12"/>
  <c r="AG22" i="12"/>
  <c r="AF22" i="12"/>
  <c r="AH22" i="12" s="1"/>
  <c r="AD22" i="12"/>
  <c r="AC22" i="12"/>
  <c r="AB22" i="12"/>
  <c r="AJ21" i="12"/>
  <c r="AI21" i="12"/>
  <c r="AK21" i="12" s="1"/>
  <c r="AG21" i="12"/>
  <c r="AF21" i="12"/>
  <c r="AH21" i="12" s="1"/>
  <c r="AD21" i="12"/>
  <c r="AC21" i="12"/>
  <c r="AE21" i="12" s="1"/>
  <c r="AB21" i="12"/>
  <c r="AJ20" i="12"/>
  <c r="AI20" i="12"/>
  <c r="AG20" i="12"/>
  <c r="AF20" i="12"/>
  <c r="AD20" i="12"/>
  <c r="AC20" i="12"/>
  <c r="AE20" i="12" s="1"/>
  <c r="AB20" i="12"/>
  <c r="AJ19" i="12"/>
  <c r="AI19" i="12"/>
  <c r="AK19" i="12" s="1"/>
  <c r="AG19" i="12"/>
  <c r="AF19" i="12"/>
  <c r="AH19" i="12" s="1"/>
  <c r="AD19" i="12"/>
  <c r="AC19" i="12"/>
  <c r="AE19" i="12" s="1"/>
  <c r="AB19" i="12"/>
  <c r="AJ18" i="12"/>
  <c r="AI18" i="12"/>
  <c r="AG18" i="12"/>
  <c r="AF18" i="12"/>
  <c r="AH18" i="12" s="1"/>
  <c r="AD18" i="12"/>
  <c r="AC18" i="12"/>
  <c r="AB18" i="12"/>
  <c r="AJ17" i="12"/>
  <c r="AI17" i="12"/>
  <c r="AG17" i="12"/>
  <c r="AF17" i="12"/>
  <c r="AH17" i="12" s="1"/>
  <c r="AD17" i="12"/>
  <c r="AC17" i="12"/>
  <c r="AE17" i="12" s="1"/>
  <c r="AB17" i="12"/>
  <c r="AJ16" i="12"/>
  <c r="AI16" i="12"/>
  <c r="AG16" i="12"/>
  <c r="AF16" i="12"/>
  <c r="AD16" i="12"/>
  <c r="AC16" i="12"/>
  <c r="AE16" i="12" s="1"/>
  <c r="AB16" i="12"/>
  <c r="AJ15" i="12"/>
  <c r="AI15" i="12"/>
  <c r="AG15" i="12"/>
  <c r="AF15" i="12"/>
  <c r="AH15" i="12" s="1"/>
  <c r="AD15" i="12"/>
  <c r="AC15" i="12"/>
  <c r="AE15" i="12" s="1"/>
  <c r="AB15" i="12"/>
  <c r="AJ14" i="12"/>
  <c r="AI14" i="12"/>
  <c r="AG14" i="12"/>
  <c r="AF14" i="12"/>
  <c r="AH14" i="12" s="1"/>
  <c r="AD14" i="12"/>
  <c r="AC14" i="12"/>
  <c r="AB14" i="12"/>
  <c r="AJ13" i="12"/>
  <c r="AI13" i="12"/>
  <c r="AG13" i="12"/>
  <c r="AF13" i="12"/>
  <c r="AD13" i="12"/>
  <c r="AC13" i="12"/>
  <c r="AE13" i="12" s="1"/>
  <c r="AB13" i="12"/>
  <c r="AJ12" i="12"/>
  <c r="AI12" i="12"/>
  <c r="AG12" i="12"/>
  <c r="AF12" i="12"/>
  <c r="AH12" i="12" s="1"/>
  <c r="AD12" i="12"/>
  <c r="AC12" i="12"/>
  <c r="AE12" i="12" s="1"/>
  <c r="AB12" i="12"/>
  <c r="AJ11" i="12"/>
  <c r="AI11" i="12"/>
  <c r="AG11" i="12"/>
  <c r="AF11" i="12"/>
  <c r="AD11" i="12"/>
  <c r="AC11" i="12"/>
  <c r="AE11" i="12" s="1"/>
  <c r="AB11" i="12"/>
  <c r="AJ10" i="12"/>
  <c r="AI10" i="12"/>
  <c r="AG10" i="12"/>
  <c r="AF10" i="12"/>
  <c r="AD10" i="12"/>
  <c r="AC10" i="12"/>
  <c r="AE10" i="12" s="1"/>
  <c r="AB10" i="12"/>
  <c r="AJ9" i="12"/>
  <c r="AI9" i="12"/>
  <c r="AK9" i="12" s="1"/>
  <c r="AH9" i="12"/>
  <c r="AG9" i="12"/>
  <c r="AF9" i="12"/>
  <c r="AD9" i="12"/>
  <c r="AC9" i="12"/>
  <c r="AB9" i="12"/>
  <c r="AJ8" i="12"/>
  <c r="AI8" i="12"/>
  <c r="AG8" i="12"/>
  <c r="AF8" i="12"/>
  <c r="AH8" i="12" s="1"/>
  <c r="AD8" i="12"/>
  <c r="AC8" i="12"/>
  <c r="AE8" i="12" s="1"/>
  <c r="AB8" i="12"/>
  <c r="AJ7" i="12"/>
  <c r="AI7" i="12"/>
  <c r="AK7" i="12" s="1"/>
  <c r="AG7" i="12"/>
  <c r="AF7" i="12"/>
  <c r="AD7" i="12"/>
  <c r="AC7" i="12"/>
  <c r="AE7" i="12" s="1"/>
  <c r="AB7" i="12"/>
  <c r="AJ6" i="12"/>
  <c r="AI6" i="12"/>
  <c r="AG6" i="12"/>
  <c r="AF6" i="12"/>
  <c r="AH6" i="12" s="1"/>
  <c r="AD6" i="12"/>
  <c r="AC6" i="12"/>
  <c r="AE6" i="12" s="1"/>
  <c r="AB6" i="12"/>
  <c r="AJ5" i="12"/>
  <c r="AI5" i="12"/>
  <c r="AK5" i="12" s="1"/>
  <c r="AG5" i="12"/>
  <c r="AF5" i="12"/>
  <c r="AD5" i="12"/>
  <c r="AC5" i="12"/>
  <c r="AB5" i="12"/>
  <c r="AJ4" i="12"/>
  <c r="AI4" i="12"/>
  <c r="AK4" i="12" s="1"/>
  <c r="AG4" i="12"/>
  <c r="AF4" i="12"/>
  <c r="AD4" i="12"/>
  <c r="AC4" i="12"/>
  <c r="AB4" i="12"/>
  <c r="AK153" i="12" l="1"/>
  <c r="AK88" i="12"/>
  <c r="AE248" i="12"/>
  <c r="AK254" i="12"/>
  <c r="AH43" i="12"/>
  <c r="AK124" i="12"/>
  <c r="AK196" i="12"/>
  <c r="AE26" i="12"/>
  <c r="AH113" i="12"/>
  <c r="AH277" i="12"/>
  <c r="AK10" i="12"/>
  <c r="AE22" i="12"/>
  <c r="AH26" i="12"/>
  <c r="AE35" i="12"/>
  <c r="AH39" i="12"/>
  <c r="AK41" i="12"/>
  <c r="AK50" i="12"/>
  <c r="AE62" i="12"/>
  <c r="AK66" i="12"/>
  <c r="AH73" i="12"/>
  <c r="AE80" i="12"/>
  <c r="AK84" i="12"/>
  <c r="AE89" i="12"/>
  <c r="AH91" i="12"/>
  <c r="AE125" i="12"/>
  <c r="AK129" i="12"/>
  <c r="AK140" i="12"/>
  <c r="AE145" i="12"/>
  <c r="AK149" i="12"/>
  <c r="AH174" i="12"/>
  <c r="AK176" i="12"/>
  <c r="AH183" i="12"/>
  <c r="AK185" i="12"/>
  <c r="AE206" i="12"/>
  <c r="AK210" i="12"/>
  <c r="AK219" i="12"/>
  <c r="AH226" i="12"/>
  <c r="AK228" i="12"/>
  <c r="AH235" i="12"/>
  <c r="AK324" i="12"/>
  <c r="AK57" i="12"/>
  <c r="AK75" i="12"/>
  <c r="AE98" i="12"/>
  <c r="AH100" i="12"/>
  <c r="AK102" i="12"/>
  <c r="AE116" i="12"/>
  <c r="AH118" i="12"/>
  <c r="AK120" i="12"/>
  <c r="AE143" i="12"/>
  <c r="AH154" i="12"/>
  <c r="AK156" i="12"/>
  <c r="AH181" i="12"/>
  <c r="AK183" i="12"/>
  <c r="AE188" i="12"/>
  <c r="AE197" i="12"/>
  <c r="AE222" i="12"/>
  <c r="AH242" i="12"/>
  <c r="AH253" i="12"/>
  <c r="AH266" i="12"/>
  <c r="AH275" i="12"/>
  <c r="AE280" i="12"/>
  <c r="AK284" i="12"/>
  <c r="AE289" i="12"/>
  <c r="AH291" i="12"/>
  <c r="AE298" i="12"/>
  <c r="AH311" i="12"/>
  <c r="AH313" i="12"/>
  <c r="AE318" i="12"/>
  <c r="AH320" i="12"/>
  <c r="AE195" i="12"/>
  <c r="AH197" i="12"/>
  <c r="AE204" i="12"/>
  <c r="AH206" i="12"/>
  <c r="AK208" i="12"/>
  <c r="AE213" i="12"/>
  <c r="AK217" i="12"/>
  <c r="AH224" i="12"/>
  <c r="AK226" i="12"/>
  <c r="AE262" i="12"/>
  <c r="AE271" i="12"/>
  <c r="AK17" i="12"/>
  <c r="AH273" i="12"/>
  <c r="AE278" i="12"/>
  <c r="AK282" i="12"/>
  <c r="AH289" i="12"/>
  <c r="AK291" i="12"/>
  <c r="AE296" i="12"/>
  <c r="AH298" i="12"/>
  <c r="AH318" i="12"/>
  <c r="AE115" i="12"/>
  <c r="AK110" i="12"/>
  <c r="AK137" i="12"/>
  <c r="AK54" i="12"/>
  <c r="AK12" i="12"/>
  <c r="AE9" i="12"/>
  <c r="AE18" i="12"/>
  <c r="AH20" i="12"/>
  <c r="AE29" i="12"/>
  <c r="AE40" i="12"/>
  <c r="AE49" i="12"/>
  <c r="AE58" i="12"/>
  <c r="AH60" i="12"/>
  <c r="AK71" i="12"/>
  <c r="AE94" i="12"/>
  <c r="AH96" i="12"/>
  <c r="AH105" i="12"/>
  <c r="AK109" i="12"/>
  <c r="AE114" i="12"/>
  <c r="AE121" i="12"/>
  <c r="AE130" i="12"/>
  <c r="AH132" i="12"/>
  <c r="AK136" i="12"/>
  <c r="AK145" i="12"/>
  <c r="AE157" i="12"/>
  <c r="AK172" i="12"/>
  <c r="AE184" i="12"/>
  <c r="AE193" i="12"/>
  <c r="AK197" i="12"/>
  <c r="AE202" i="12"/>
  <c r="AH204" i="12"/>
  <c r="AK206" i="12"/>
  <c r="AH213" i="12"/>
  <c r="AK215" i="12"/>
  <c r="AH262" i="12"/>
  <c r="AH271" i="12"/>
  <c r="AK273" i="12"/>
  <c r="AE285" i="12"/>
  <c r="AH287" i="12"/>
  <c r="AK300" i="12"/>
  <c r="AH189" i="12"/>
  <c r="AH281" i="12"/>
  <c r="AK81" i="12"/>
  <c r="AH187" i="12"/>
  <c r="AK281" i="12"/>
  <c r="AH225" i="12"/>
  <c r="AH45" i="12"/>
  <c r="AK321" i="12"/>
  <c r="AE104" i="12"/>
  <c r="AH59" i="12"/>
  <c r="AH11" i="12"/>
  <c r="AH51" i="12"/>
  <c r="AE128" i="12"/>
  <c r="AK289" i="12"/>
  <c r="AE314" i="12"/>
  <c r="AK175" i="12"/>
  <c r="AH81" i="12"/>
  <c r="AK236" i="12"/>
  <c r="AK164" i="12"/>
  <c r="AE219" i="12"/>
  <c r="AK142" i="12"/>
  <c r="AK11" i="12"/>
  <c r="AK20" i="12"/>
  <c r="AK42" i="12"/>
  <c r="AK51" i="12"/>
  <c r="AE63" i="12"/>
  <c r="AH65" i="12"/>
  <c r="AK67" i="12"/>
  <c r="AE72" i="12"/>
  <c r="AH74" i="12"/>
  <c r="AE81" i="12"/>
  <c r="AK85" i="12"/>
  <c r="AE90" i="12"/>
  <c r="AH92" i="12"/>
  <c r="AH112" i="12"/>
  <c r="AK114" i="12"/>
  <c r="AE126" i="12"/>
  <c r="AH128" i="12"/>
  <c r="AK132" i="12"/>
  <c r="AE146" i="12"/>
  <c r="AK150" i="12"/>
  <c r="AE173" i="12"/>
  <c r="AK177" i="12"/>
  <c r="AK186" i="12"/>
  <c r="AE198" i="12"/>
  <c r="AE207" i="12"/>
  <c r="AH209" i="12"/>
  <c r="AH218" i="12"/>
  <c r="AK220" i="12"/>
  <c r="AE225" i="12"/>
  <c r="AK229" i="12"/>
  <c r="AE234" i="12"/>
  <c r="AH236" i="12"/>
  <c r="AK238" i="12"/>
  <c r="AH245" i="12"/>
  <c r="AK247" i="12"/>
  <c r="AE252" i="12"/>
  <c r="AH258" i="12"/>
  <c r="AE274" i="12"/>
  <c r="AK278" i="12"/>
  <c r="AH294" i="12"/>
  <c r="AH314" i="12"/>
  <c r="AK8" i="12"/>
  <c r="AE5" i="12"/>
  <c r="AE14" i="12"/>
  <c r="AH16" i="12"/>
  <c r="AH25" i="12"/>
  <c r="AK29" i="12"/>
  <c r="AE34" i="12"/>
  <c r="AH36" i="12"/>
  <c r="AH38" i="12"/>
  <c r="AE45" i="12"/>
  <c r="AE54" i="12"/>
  <c r="AK58" i="12"/>
  <c r="AK76" i="12"/>
  <c r="AK94" i="12"/>
  <c r="AE99" i="12"/>
  <c r="AK103" i="12"/>
  <c r="AE117" i="12"/>
  <c r="AK121" i="12"/>
  <c r="AE135" i="12"/>
  <c r="AE144" i="12"/>
  <c r="AE153" i="12"/>
  <c r="AH155" i="12"/>
  <c r="AK157" i="12"/>
  <c r="AE162" i="12"/>
  <c r="AH164" i="12"/>
  <c r="AK184" i="12"/>
  <c r="AE189" i="12"/>
  <c r="AK193" i="12"/>
  <c r="AH200" i="12"/>
  <c r="AE232" i="12"/>
  <c r="AE241" i="12"/>
  <c r="AH256" i="12"/>
  <c r="AE265" i="12"/>
  <c r="AK269" i="12"/>
  <c r="AE281" i="12"/>
  <c r="AK285" i="12"/>
  <c r="AE290" i="12"/>
  <c r="AH292" i="12"/>
  <c r="AE299" i="12"/>
  <c r="AK305" i="12"/>
  <c r="AE310" i="12"/>
  <c r="AE319" i="12"/>
  <c r="AH321" i="12"/>
  <c r="AH23" i="12"/>
  <c r="AK32" i="12"/>
  <c r="AH75" i="12"/>
  <c r="AH107" i="12"/>
  <c r="AH27" i="12"/>
  <c r="AH309" i="12"/>
  <c r="AH24" i="12"/>
  <c r="AK13" i="12"/>
  <c r="AH44" i="12"/>
  <c r="AH104" i="12"/>
  <c r="AK144" i="12"/>
  <c r="AK187" i="12"/>
  <c r="AK155" i="12"/>
  <c r="AH215" i="12"/>
  <c r="AH247" i="12"/>
  <c r="AH179" i="12"/>
  <c r="AK40" i="12"/>
  <c r="AH83" i="12"/>
  <c r="AH175" i="12"/>
  <c r="AH207" i="12"/>
  <c r="AH211" i="12"/>
  <c r="AH239" i="12"/>
  <c r="AH283" i="12"/>
  <c r="AH315" i="12"/>
  <c r="AK68" i="12"/>
  <c r="AH115" i="12"/>
  <c r="AH205" i="12"/>
  <c r="AH296" i="12"/>
  <c r="AK55" i="12"/>
  <c r="AE60" i="12"/>
  <c r="AH64" i="12"/>
  <c r="AH77" i="12"/>
  <c r="AH79" i="12"/>
  <c r="AK111" i="12"/>
  <c r="AK115" i="12"/>
  <c r="AE120" i="12"/>
  <c r="AE137" i="12"/>
  <c r="AK147" i="12"/>
  <c r="AE154" i="12"/>
  <c r="AK162" i="12"/>
  <c r="AE169" i="12"/>
  <c r="AH173" i="12"/>
  <c r="AH201" i="12"/>
  <c r="AE218" i="12"/>
  <c r="AK224" i="12"/>
  <c r="AE250" i="12"/>
  <c r="AH103" i="12"/>
  <c r="AE165" i="12"/>
  <c r="AH307" i="12"/>
  <c r="AK322" i="12"/>
  <c r="AE67" i="12"/>
  <c r="AH71" i="12"/>
  <c r="AK275" i="12"/>
  <c r="AH101" i="12"/>
  <c r="AH127" i="12"/>
  <c r="AE238" i="12"/>
  <c r="AK43" i="12"/>
  <c r="AH67" i="12"/>
  <c r="AH208" i="12"/>
  <c r="AH240" i="12"/>
  <c r="AE323" i="12"/>
  <c r="AH31" i="12"/>
  <c r="AH35" i="12"/>
  <c r="AH223" i="12"/>
  <c r="AH267" i="12"/>
  <c r="AK316" i="12"/>
  <c r="AE321" i="12"/>
  <c r="AE23" i="12"/>
  <c r="AH29" i="12"/>
  <c r="AK31" i="12"/>
  <c r="AK35" i="12"/>
  <c r="AK37" i="12"/>
  <c r="AH48" i="12"/>
  <c r="AH50" i="12"/>
  <c r="AH76" i="12"/>
  <c r="AK80" i="12"/>
  <c r="AK82" i="12"/>
  <c r="AE87" i="12"/>
  <c r="AH95" i="12"/>
  <c r="AE106" i="12"/>
  <c r="AH89" i="12"/>
  <c r="AE102" i="12"/>
  <c r="AH106" i="12"/>
  <c r="AE134" i="12"/>
  <c r="AK146" i="12"/>
  <c r="AE151" i="12"/>
  <c r="AE166" i="12"/>
  <c r="AH170" i="12"/>
  <c r="AE215" i="12"/>
  <c r="AE247" i="12"/>
  <c r="AH308" i="12"/>
  <c r="AK312" i="12"/>
  <c r="AK268" i="12"/>
  <c r="AH299" i="12"/>
  <c r="AH87" i="12"/>
  <c r="AH99" i="12"/>
  <c r="AH160" i="12"/>
  <c r="AH199" i="12"/>
  <c r="AH203" i="12"/>
  <c r="AH5" i="12"/>
  <c r="AH7" i="12"/>
  <c r="AH13" i="12"/>
  <c r="AK15" i="12"/>
  <c r="AK27" i="12"/>
  <c r="AE36" i="12"/>
  <c r="AE38" i="12"/>
  <c r="AH54" i="12"/>
  <c r="AH56" i="12"/>
  <c r="AH58" i="12"/>
  <c r="AK62" i="12"/>
  <c r="AK64" i="12"/>
  <c r="AE69" i="12"/>
  <c r="AE77" i="12"/>
  <c r="AH85" i="12"/>
  <c r="AK87" i="12"/>
  <c r="AK93" i="12"/>
  <c r="AK99" i="12"/>
  <c r="AE108" i="12"/>
  <c r="AE110" i="12"/>
  <c r="AH120" i="12"/>
  <c r="AK126" i="12"/>
  <c r="AK130" i="12"/>
  <c r="AH138" i="12"/>
  <c r="AH148" i="12"/>
  <c r="AK160" i="12"/>
  <c r="AE177" i="12"/>
  <c r="AE181" i="12"/>
  <c r="AH191" i="12"/>
  <c r="AK199" i="12"/>
  <c r="AK203" i="12"/>
  <c r="AE226" i="12"/>
  <c r="AH228" i="12"/>
  <c r="AK232" i="12"/>
  <c r="AK234" i="12"/>
  <c r="AK246" i="12"/>
  <c r="AK248" i="12"/>
  <c r="AK250" i="12"/>
  <c r="AK258" i="12"/>
  <c r="AH285" i="12"/>
  <c r="AK287" i="12"/>
  <c r="AK293" i="12"/>
  <c r="AE123" i="12"/>
  <c r="AH243" i="12"/>
  <c r="AH261" i="12"/>
  <c r="AE119" i="12"/>
  <c r="AH159" i="12"/>
  <c r="AE190" i="12"/>
  <c r="AH231" i="12"/>
  <c r="AH255" i="12"/>
  <c r="AE317" i="12"/>
  <c r="AH4" i="12"/>
  <c r="AK14" i="12"/>
  <c r="AK16" i="12"/>
  <c r="AK18" i="12"/>
  <c r="AK22" i="12"/>
  <c r="AE31" i="12"/>
  <c r="AE33" i="12"/>
  <c r="AE39" i="12"/>
  <c r="AE70" i="12"/>
  <c r="AE74" i="12"/>
  <c r="AE76" i="12"/>
  <c r="AH84" i="12"/>
  <c r="AK90" i="12"/>
  <c r="AK98" i="12"/>
  <c r="AE105" i="12"/>
  <c r="AE109" i="12"/>
  <c r="AH123" i="12"/>
  <c r="AK125" i="12"/>
  <c r="AK133" i="12"/>
  <c r="AK135" i="12"/>
  <c r="AH149" i="12"/>
  <c r="AK159" i="12"/>
  <c r="AH163" i="12"/>
  <c r="AK165" i="12"/>
  <c r="AE180" i="12"/>
  <c r="AH184" i="12"/>
  <c r="AH186" i="12"/>
  <c r="AH188" i="12"/>
  <c r="AH190" i="12"/>
  <c r="AH192" i="12"/>
  <c r="AH194" i="12"/>
  <c r="AK202" i="12"/>
  <c r="AK214" i="12"/>
  <c r="AE223" i="12"/>
  <c r="AE227" i="12"/>
  <c r="AH229" i="12"/>
  <c r="AK231" i="12"/>
  <c r="AK237" i="12"/>
  <c r="AK251" i="12"/>
  <c r="AK253" i="12"/>
  <c r="AK255" i="12"/>
  <c r="AK259" i="12"/>
  <c r="AE282" i="12"/>
  <c r="AH63" i="12"/>
  <c r="AE141" i="12"/>
  <c r="AH167" i="12"/>
  <c r="AH171" i="12"/>
  <c r="AH131" i="12"/>
  <c r="AE149" i="12"/>
  <c r="AH251" i="12"/>
  <c r="AH259" i="12"/>
  <c r="AK6" i="12"/>
  <c r="AH53" i="12"/>
  <c r="AK61" i="12"/>
  <c r="AE68" i="12"/>
  <c r="AH78" i="12"/>
  <c r="AH80" i="12"/>
  <c r="AH82" i="12"/>
  <c r="AK86" i="12"/>
  <c r="AE103" i="12"/>
  <c r="AK123" i="12"/>
  <c r="AK141" i="12"/>
  <c r="AK143" i="12"/>
  <c r="AK151" i="12"/>
  <c r="AK163" i="12"/>
  <c r="AE174" i="12"/>
  <c r="AE178" i="12"/>
  <c r="AH182" i="12"/>
  <c r="AK192" i="12"/>
  <c r="AE209" i="12"/>
  <c r="AE217" i="12"/>
  <c r="AK235" i="12"/>
  <c r="AE268" i="12"/>
  <c r="AH272" i="12"/>
  <c r="AH274" i="12"/>
  <c r="AH276" i="12"/>
  <c r="AH280" i="12"/>
  <c r="AH282" i="12"/>
  <c r="AK286" i="12"/>
  <c r="AE297" i="12"/>
  <c r="AE305" i="12"/>
  <c r="AK319" i="12"/>
  <c r="AG325" i="12"/>
  <c r="AJ325" i="12"/>
  <c r="AH10" i="12"/>
  <c r="AH98" i="12"/>
  <c r="AE159" i="12"/>
  <c r="AE191" i="12"/>
  <c r="AI325" i="12"/>
  <c r="AH122" i="12"/>
  <c r="AK168" i="12"/>
  <c r="AK200" i="12"/>
  <c r="AK256" i="12"/>
  <c r="AE279" i="12"/>
  <c r="AE311" i="12"/>
  <c r="AK320" i="12"/>
  <c r="AH34" i="12"/>
  <c r="AH146" i="12"/>
  <c r="AB325" i="12"/>
  <c r="AH42" i="12"/>
  <c r="AE175" i="12"/>
  <c r="AE263" i="12"/>
  <c r="AE4" i="12"/>
  <c r="AC325" i="12"/>
  <c r="AD325" i="12"/>
  <c r="AH66" i="12"/>
  <c r="AH90" i="12"/>
  <c r="AK304" i="12"/>
  <c r="AF325" i="12"/>
  <c r="AH325" i="12" l="1"/>
  <c r="AK325" i="12"/>
  <c r="AE325" i="12"/>
  <c r="AA268" i="9" l="1"/>
  <c r="Z268" i="9"/>
  <c r="Y268" i="9"/>
  <c r="X268" i="9"/>
  <c r="W268" i="9"/>
  <c r="V268" i="9"/>
  <c r="U268" i="9"/>
  <c r="AJ267" i="9"/>
  <c r="AI267" i="9"/>
  <c r="AG267" i="9"/>
  <c r="AF267" i="9"/>
  <c r="AH267" i="9" s="1"/>
  <c r="AD267" i="9"/>
  <c r="AC267" i="9"/>
  <c r="AJ266" i="9"/>
  <c r="AI266" i="9"/>
  <c r="AG266" i="9"/>
  <c r="AF266" i="9"/>
  <c r="AH266" i="9" s="1"/>
  <c r="AD266" i="9"/>
  <c r="AC266" i="9"/>
  <c r="AJ265" i="9"/>
  <c r="AI265" i="9"/>
  <c r="AG265" i="9"/>
  <c r="AF265" i="9"/>
  <c r="AD265" i="9"/>
  <c r="AC265" i="9"/>
  <c r="AE265" i="9" s="1"/>
  <c r="AJ264" i="9"/>
  <c r="AI264" i="9"/>
  <c r="AK264" i="9" s="1"/>
  <c r="AG264" i="9"/>
  <c r="AF264" i="9"/>
  <c r="AH264" i="9" s="1"/>
  <c r="AD264" i="9"/>
  <c r="AC264" i="9"/>
  <c r="AJ263" i="9"/>
  <c r="AI263" i="9"/>
  <c r="AG263" i="9"/>
  <c r="AF263" i="9"/>
  <c r="AD263" i="9"/>
  <c r="AC263" i="9"/>
  <c r="AJ262" i="9"/>
  <c r="AI262" i="9"/>
  <c r="AG262" i="9"/>
  <c r="AF262" i="9"/>
  <c r="AH262" i="9" s="1"/>
  <c r="AD262" i="9"/>
  <c r="AC262" i="9"/>
  <c r="AE262" i="9" s="1"/>
  <c r="AJ261" i="9"/>
  <c r="AI261" i="9"/>
  <c r="AG261" i="9"/>
  <c r="AF261" i="9"/>
  <c r="AH261" i="9" s="1"/>
  <c r="AD261" i="9"/>
  <c r="AC261" i="9"/>
  <c r="AE261" i="9" s="1"/>
  <c r="AJ260" i="9"/>
  <c r="AI260" i="9"/>
  <c r="AG260" i="9"/>
  <c r="AF260" i="9"/>
  <c r="AH260" i="9" s="1"/>
  <c r="AD260" i="9"/>
  <c r="AC260" i="9"/>
  <c r="AJ259" i="9"/>
  <c r="AI259" i="9"/>
  <c r="AK259" i="9" s="1"/>
  <c r="AG259" i="9"/>
  <c r="AF259" i="9"/>
  <c r="AD259" i="9"/>
  <c r="AC259" i="9"/>
  <c r="AE259" i="9" s="1"/>
  <c r="AJ258" i="9"/>
  <c r="AI258" i="9"/>
  <c r="AK258" i="9" s="1"/>
  <c r="AG258" i="9"/>
  <c r="AF258" i="9"/>
  <c r="AH258" i="9" s="1"/>
  <c r="AD258" i="9"/>
  <c r="AC258" i="9"/>
  <c r="AJ257" i="9"/>
  <c r="AI257" i="9"/>
  <c r="AK257" i="9" s="1"/>
  <c r="AG257" i="9"/>
  <c r="AF257" i="9"/>
  <c r="AD257" i="9"/>
  <c r="AC257" i="9"/>
  <c r="AJ256" i="9"/>
  <c r="AI256" i="9"/>
  <c r="AK256" i="9" s="1"/>
  <c r="AG256" i="9"/>
  <c r="AF256" i="9"/>
  <c r="AH256" i="9" s="1"/>
  <c r="AD256" i="9"/>
  <c r="AC256" i="9"/>
  <c r="AJ255" i="9"/>
  <c r="AI255" i="9"/>
  <c r="AK255" i="9" s="1"/>
  <c r="AG255" i="9"/>
  <c r="AF255" i="9"/>
  <c r="AD255" i="9"/>
  <c r="AC255" i="9"/>
  <c r="AE255" i="9" s="1"/>
  <c r="AJ254" i="9"/>
  <c r="AI254" i="9"/>
  <c r="AG254" i="9"/>
  <c r="AF254" i="9"/>
  <c r="AD254" i="9"/>
  <c r="AC254" i="9"/>
  <c r="AJ253" i="9"/>
  <c r="AI253" i="9"/>
  <c r="AK253" i="9" s="1"/>
  <c r="AG253" i="9"/>
  <c r="AF253" i="9"/>
  <c r="AD253" i="9"/>
  <c r="AC253" i="9"/>
  <c r="AJ252" i="9"/>
  <c r="AI252" i="9"/>
  <c r="AK252" i="9" s="1"/>
  <c r="AG252" i="9"/>
  <c r="AF252" i="9"/>
  <c r="AH252" i="9" s="1"/>
  <c r="AD252" i="9"/>
  <c r="AC252" i="9"/>
  <c r="AJ251" i="9"/>
  <c r="AI251" i="9"/>
  <c r="AK251" i="9" s="1"/>
  <c r="AG251" i="9"/>
  <c r="AF251" i="9"/>
  <c r="AD251" i="9"/>
  <c r="AC251" i="9"/>
  <c r="AE251" i="9" s="1"/>
  <c r="AJ250" i="9"/>
  <c r="AI250" i="9"/>
  <c r="AK250" i="9" s="1"/>
  <c r="AG250" i="9"/>
  <c r="AF250" i="9"/>
  <c r="AH250" i="9" s="1"/>
  <c r="AD250" i="9"/>
  <c r="AC250" i="9"/>
  <c r="AJ249" i="9"/>
  <c r="AI249" i="9"/>
  <c r="AK249" i="9" s="1"/>
  <c r="AG249" i="9"/>
  <c r="AF249" i="9"/>
  <c r="AD249" i="9"/>
  <c r="AC249" i="9"/>
  <c r="AE249" i="9" s="1"/>
  <c r="AJ248" i="9"/>
  <c r="AI248" i="9"/>
  <c r="AG248" i="9"/>
  <c r="AF248" i="9"/>
  <c r="AH248" i="9" s="1"/>
  <c r="AD248" i="9"/>
  <c r="AC248" i="9"/>
  <c r="AJ247" i="9"/>
  <c r="AI247" i="9"/>
  <c r="AK247" i="9" s="1"/>
  <c r="AG247" i="9"/>
  <c r="AF247" i="9"/>
  <c r="AH247" i="9" s="1"/>
  <c r="AD247" i="9"/>
  <c r="AC247" i="9"/>
  <c r="AE247" i="9" s="1"/>
  <c r="AJ246" i="9"/>
  <c r="AI246" i="9"/>
  <c r="AG246" i="9"/>
  <c r="AF246" i="9"/>
  <c r="AH246" i="9" s="1"/>
  <c r="AD246" i="9"/>
  <c r="AC246" i="9"/>
  <c r="AE246" i="9" s="1"/>
  <c r="AJ245" i="9"/>
  <c r="AI245" i="9"/>
  <c r="AK245" i="9" s="1"/>
  <c r="AG245" i="9"/>
  <c r="AF245" i="9"/>
  <c r="AD245" i="9"/>
  <c r="AC245" i="9"/>
  <c r="AE245" i="9" s="1"/>
  <c r="AJ244" i="9"/>
  <c r="AI244" i="9"/>
  <c r="AG244" i="9"/>
  <c r="AF244" i="9"/>
  <c r="AH244" i="9" s="1"/>
  <c r="AD244" i="9"/>
  <c r="AC244" i="9"/>
  <c r="AJ243" i="9"/>
  <c r="AI243" i="9"/>
  <c r="AK243" i="9" s="1"/>
  <c r="AG243" i="9"/>
  <c r="AF243" i="9"/>
  <c r="AH243" i="9" s="1"/>
  <c r="AD243" i="9"/>
  <c r="AC243" i="9"/>
  <c r="AE243" i="9" s="1"/>
  <c r="AJ242" i="9"/>
  <c r="AI242" i="9"/>
  <c r="AK242" i="9" s="1"/>
  <c r="AG242" i="9"/>
  <c r="AF242" i="9"/>
  <c r="AD242" i="9"/>
  <c r="AC242" i="9"/>
  <c r="AE242" i="9" s="1"/>
  <c r="AJ241" i="9"/>
  <c r="AI241" i="9"/>
  <c r="AG241" i="9"/>
  <c r="AF241" i="9"/>
  <c r="AD241" i="9"/>
  <c r="AC241" i="9"/>
  <c r="AJ240" i="9"/>
  <c r="AI240" i="9"/>
  <c r="AK240" i="9" s="1"/>
  <c r="AG240" i="9"/>
  <c r="AF240" i="9"/>
  <c r="AD240" i="9"/>
  <c r="AC240" i="9"/>
  <c r="AE240" i="9" s="1"/>
  <c r="AJ239" i="9"/>
  <c r="AI239" i="9"/>
  <c r="AK239" i="9" s="1"/>
  <c r="AG239" i="9"/>
  <c r="AF239" i="9"/>
  <c r="AD239" i="9"/>
  <c r="AC239" i="9"/>
  <c r="AJ238" i="9"/>
  <c r="AI238" i="9"/>
  <c r="AG238" i="9"/>
  <c r="AF238" i="9"/>
  <c r="AD238" i="9"/>
  <c r="AC238" i="9"/>
  <c r="AE238" i="9" s="1"/>
  <c r="AJ237" i="9"/>
  <c r="AI237" i="9"/>
  <c r="AK237" i="9" s="1"/>
  <c r="AG237" i="9"/>
  <c r="AF237" i="9"/>
  <c r="AH237" i="9" s="1"/>
  <c r="AD237" i="9"/>
  <c r="AC237" i="9"/>
  <c r="AE237" i="9" s="1"/>
  <c r="AJ236" i="9"/>
  <c r="AI236" i="9"/>
  <c r="AG236" i="9"/>
  <c r="AF236" i="9"/>
  <c r="AH236" i="9" s="1"/>
  <c r="AD236" i="9"/>
  <c r="AC236" i="9"/>
  <c r="AJ235" i="9"/>
  <c r="AI235" i="9"/>
  <c r="AK235" i="9" s="1"/>
  <c r="AG235" i="9"/>
  <c r="AF235" i="9"/>
  <c r="AD235" i="9"/>
  <c r="AC235" i="9"/>
  <c r="AE235" i="9" s="1"/>
  <c r="AJ234" i="9"/>
  <c r="AI234" i="9"/>
  <c r="AG234" i="9"/>
  <c r="AF234" i="9"/>
  <c r="AH234" i="9" s="1"/>
  <c r="AD234" i="9"/>
  <c r="AC234" i="9"/>
  <c r="AJ233" i="9"/>
  <c r="AI233" i="9"/>
  <c r="AK233" i="9" s="1"/>
  <c r="AG233" i="9"/>
  <c r="AF233" i="9"/>
  <c r="AD233" i="9"/>
  <c r="AC233" i="9"/>
  <c r="AE233" i="9" s="1"/>
  <c r="AJ232" i="9"/>
  <c r="AI232" i="9"/>
  <c r="AG232" i="9"/>
  <c r="AF232" i="9"/>
  <c r="AH232" i="9" s="1"/>
  <c r="AD232" i="9"/>
  <c r="AC232" i="9"/>
  <c r="AE232" i="9" s="1"/>
  <c r="AJ231" i="9"/>
  <c r="AI231" i="9"/>
  <c r="AG231" i="9"/>
  <c r="AF231" i="9"/>
  <c r="AH231" i="9" s="1"/>
  <c r="AD231" i="9"/>
  <c r="AC231" i="9"/>
  <c r="AJ230" i="9"/>
  <c r="AI230" i="9"/>
  <c r="AG230" i="9"/>
  <c r="AF230" i="9"/>
  <c r="AD230" i="9"/>
  <c r="AC230" i="9"/>
  <c r="AE230" i="9" s="1"/>
  <c r="AJ229" i="9"/>
  <c r="AI229" i="9"/>
  <c r="AK229" i="9" s="1"/>
  <c r="AG229" i="9"/>
  <c r="AF229" i="9"/>
  <c r="AD229" i="9"/>
  <c r="AC229" i="9"/>
  <c r="AJ228" i="9"/>
  <c r="AI228" i="9"/>
  <c r="AK228" i="9" s="1"/>
  <c r="AG228" i="9"/>
  <c r="AF228" i="9"/>
  <c r="AD228" i="9"/>
  <c r="AC228" i="9"/>
  <c r="AJ227" i="9"/>
  <c r="AI227" i="9"/>
  <c r="AG227" i="9"/>
  <c r="AF227" i="9"/>
  <c r="AH227" i="9" s="1"/>
  <c r="AD227" i="9"/>
  <c r="AC227" i="9"/>
  <c r="AE227" i="9" s="1"/>
  <c r="AJ226" i="9"/>
  <c r="AI226" i="9"/>
  <c r="AG226" i="9"/>
  <c r="AF226" i="9"/>
  <c r="AD226" i="9"/>
  <c r="AC226" i="9"/>
  <c r="AJ225" i="9"/>
  <c r="AI225" i="9"/>
  <c r="AG225" i="9"/>
  <c r="AF225" i="9"/>
  <c r="AD225" i="9"/>
  <c r="AC225" i="9"/>
  <c r="AE225" i="9" s="1"/>
  <c r="AJ224" i="9"/>
  <c r="AI224" i="9"/>
  <c r="AK224" i="9" s="1"/>
  <c r="AG224" i="9"/>
  <c r="AF224" i="9"/>
  <c r="AH224" i="9" s="1"/>
  <c r="AD224" i="9"/>
  <c r="AC224" i="9"/>
  <c r="AJ223" i="9"/>
  <c r="AI223" i="9"/>
  <c r="AK223" i="9" s="1"/>
  <c r="AG223" i="9"/>
  <c r="AF223" i="9"/>
  <c r="AD223" i="9"/>
  <c r="AC223" i="9"/>
  <c r="AE223" i="9" s="1"/>
  <c r="AJ222" i="9"/>
  <c r="AI222" i="9"/>
  <c r="AG222" i="9"/>
  <c r="AF222" i="9"/>
  <c r="AD222" i="9"/>
  <c r="AC222" i="9"/>
  <c r="AE222" i="9" s="1"/>
  <c r="AJ221" i="9"/>
  <c r="AI221" i="9"/>
  <c r="AK221" i="9" s="1"/>
  <c r="AG221" i="9"/>
  <c r="AF221" i="9"/>
  <c r="AD221" i="9"/>
  <c r="AC221" i="9"/>
  <c r="AJ220" i="9"/>
  <c r="AI220" i="9"/>
  <c r="AG220" i="9"/>
  <c r="AF220" i="9"/>
  <c r="AD220" i="9"/>
  <c r="AC220" i="9"/>
  <c r="AJ219" i="9"/>
  <c r="AI219" i="9"/>
  <c r="AK219" i="9" s="1"/>
  <c r="AG219" i="9"/>
  <c r="AF219" i="9"/>
  <c r="AH219" i="9" s="1"/>
  <c r="AD219" i="9"/>
  <c r="AC219" i="9"/>
  <c r="AJ218" i="9"/>
  <c r="AI218" i="9"/>
  <c r="AG218" i="9"/>
  <c r="AF218" i="9"/>
  <c r="AD218" i="9"/>
  <c r="AC218" i="9"/>
  <c r="AE218" i="9" s="1"/>
  <c r="AJ217" i="9"/>
  <c r="AI217" i="9"/>
  <c r="AG217" i="9"/>
  <c r="AF217" i="9"/>
  <c r="AD217" i="9"/>
  <c r="AC217" i="9"/>
  <c r="AE217" i="9" s="1"/>
  <c r="AJ216" i="9"/>
  <c r="AI216" i="9"/>
  <c r="AK216" i="9" s="1"/>
  <c r="AG216" i="9"/>
  <c r="AF216" i="9"/>
  <c r="AH216" i="9" s="1"/>
  <c r="AD216" i="9"/>
  <c r="AC216" i="9"/>
  <c r="AJ215" i="9"/>
  <c r="AI215" i="9"/>
  <c r="AG215" i="9"/>
  <c r="AF215" i="9"/>
  <c r="AD215" i="9"/>
  <c r="AC215" i="9"/>
  <c r="AE215" i="9" s="1"/>
  <c r="AJ214" i="9"/>
  <c r="AI214" i="9"/>
  <c r="AG214" i="9"/>
  <c r="AF214" i="9"/>
  <c r="AH214" i="9" s="1"/>
  <c r="AD214" i="9"/>
  <c r="AC214" i="9"/>
  <c r="AJ213" i="9"/>
  <c r="AI213" i="9"/>
  <c r="AG213" i="9"/>
  <c r="AF213" i="9"/>
  <c r="AD213" i="9"/>
  <c r="AC213" i="9"/>
  <c r="AJ212" i="9"/>
  <c r="AI212" i="9"/>
  <c r="AG212" i="9"/>
  <c r="AF212" i="9"/>
  <c r="AH212" i="9" s="1"/>
  <c r="AD212" i="9"/>
  <c r="AC212" i="9"/>
  <c r="AJ211" i="9"/>
  <c r="AI211" i="9"/>
  <c r="AK211" i="9" s="1"/>
  <c r="AG211" i="9"/>
  <c r="AF211" i="9"/>
  <c r="AD211" i="9"/>
  <c r="AC211" i="9"/>
  <c r="AE211" i="9" s="1"/>
  <c r="AJ210" i="9"/>
  <c r="AI210" i="9"/>
  <c r="AK210" i="9" s="1"/>
  <c r="AG210" i="9"/>
  <c r="AF210" i="9"/>
  <c r="AD210" i="9"/>
  <c r="AC210" i="9"/>
  <c r="AJ209" i="9"/>
  <c r="AI209" i="9"/>
  <c r="AK209" i="9" s="1"/>
  <c r="AG209" i="9"/>
  <c r="AF209" i="9"/>
  <c r="AD209" i="9"/>
  <c r="AC209" i="9"/>
  <c r="AJ208" i="9"/>
  <c r="AI208" i="9"/>
  <c r="AG208" i="9"/>
  <c r="AF208" i="9"/>
  <c r="AD208" i="9"/>
  <c r="AC208" i="9"/>
  <c r="AE208" i="9" s="1"/>
  <c r="AJ207" i="9"/>
  <c r="AI207" i="9"/>
  <c r="AG207" i="9"/>
  <c r="AF207" i="9"/>
  <c r="AH207" i="9" s="1"/>
  <c r="AD207" i="9"/>
  <c r="AC207" i="9"/>
  <c r="AE207" i="9" s="1"/>
  <c r="AJ206" i="9"/>
  <c r="AI206" i="9"/>
  <c r="AG206" i="9"/>
  <c r="AF206" i="9"/>
  <c r="AD206" i="9"/>
  <c r="AC206" i="9"/>
  <c r="AE206" i="9" s="1"/>
  <c r="AJ205" i="9"/>
  <c r="AI205" i="9"/>
  <c r="AK205" i="9" s="1"/>
  <c r="AG205" i="9"/>
  <c r="AF205" i="9"/>
  <c r="AD205" i="9"/>
  <c r="AC205" i="9"/>
  <c r="AJ204" i="9"/>
  <c r="AI204" i="9"/>
  <c r="AK204" i="9" s="1"/>
  <c r="AG204" i="9"/>
  <c r="AF204" i="9"/>
  <c r="AH204" i="9" s="1"/>
  <c r="AD204" i="9"/>
  <c r="AC204" i="9"/>
  <c r="AJ203" i="9"/>
  <c r="AI203" i="9"/>
  <c r="AG203" i="9"/>
  <c r="AF203" i="9"/>
  <c r="AH203" i="9" s="1"/>
  <c r="AD203" i="9"/>
  <c r="AC203" i="9"/>
  <c r="AE203" i="9" s="1"/>
  <c r="AJ202" i="9"/>
  <c r="AI202" i="9"/>
  <c r="AG202" i="9"/>
  <c r="AF202" i="9"/>
  <c r="AD202" i="9"/>
  <c r="AC202" i="9"/>
  <c r="AE202" i="9" s="1"/>
  <c r="AJ201" i="9"/>
  <c r="AI201" i="9"/>
  <c r="AK201" i="9" s="1"/>
  <c r="AG201" i="9"/>
  <c r="AF201" i="9"/>
  <c r="AD201" i="9"/>
  <c r="AC201" i="9"/>
  <c r="AJ200" i="9"/>
  <c r="AI200" i="9"/>
  <c r="AK200" i="9" s="1"/>
  <c r="AG200" i="9"/>
  <c r="AF200" i="9"/>
  <c r="AH200" i="9" s="1"/>
  <c r="AD200" i="9"/>
  <c r="AC200" i="9"/>
  <c r="AJ199" i="9"/>
  <c r="AI199" i="9"/>
  <c r="AG199" i="9"/>
  <c r="AF199" i="9"/>
  <c r="AH199" i="9" s="1"/>
  <c r="AD199" i="9"/>
  <c r="AC199" i="9"/>
  <c r="AE199" i="9" s="1"/>
  <c r="AJ198" i="9"/>
  <c r="AI198" i="9"/>
  <c r="AG198" i="9"/>
  <c r="AF198" i="9"/>
  <c r="AD198" i="9"/>
  <c r="AC198" i="9"/>
  <c r="AJ197" i="9"/>
  <c r="AI197" i="9"/>
  <c r="AK197" i="9" s="1"/>
  <c r="AG197" i="9"/>
  <c r="AF197" i="9"/>
  <c r="AD197" i="9"/>
  <c r="AC197" i="9"/>
  <c r="AJ196" i="9"/>
  <c r="AI196" i="9"/>
  <c r="AK196" i="9" s="1"/>
  <c r="AG196" i="9"/>
  <c r="AF196" i="9"/>
  <c r="AH196" i="9" s="1"/>
  <c r="AD196" i="9"/>
  <c r="AC196" i="9"/>
  <c r="AJ195" i="9"/>
  <c r="AI195" i="9"/>
  <c r="AK195" i="9" s="1"/>
  <c r="AG195" i="9"/>
  <c r="AF195" i="9"/>
  <c r="AH195" i="9" s="1"/>
  <c r="AD195" i="9"/>
  <c r="AC195" i="9"/>
  <c r="AJ194" i="9"/>
  <c r="AI194" i="9"/>
  <c r="AG194" i="9"/>
  <c r="AF194" i="9"/>
  <c r="AD194" i="9"/>
  <c r="AC194" i="9"/>
  <c r="AJ193" i="9"/>
  <c r="AI193" i="9"/>
  <c r="AG193" i="9"/>
  <c r="AF193" i="9"/>
  <c r="AD193" i="9"/>
  <c r="AC193" i="9"/>
  <c r="AE193" i="9" s="1"/>
  <c r="AJ192" i="9"/>
  <c r="AI192" i="9"/>
  <c r="AK192" i="9" s="1"/>
  <c r="AG192" i="9"/>
  <c r="AF192" i="9"/>
  <c r="AD192" i="9"/>
  <c r="AC192" i="9"/>
  <c r="AJ191" i="9"/>
  <c r="AI191" i="9"/>
  <c r="AG191" i="9"/>
  <c r="AF191" i="9"/>
  <c r="AD191" i="9"/>
  <c r="AC191" i="9"/>
  <c r="AJ190" i="9"/>
  <c r="AI190" i="9"/>
  <c r="AG190" i="9"/>
  <c r="AF190" i="9"/>
  <c r="AH190" i="9" s="1"/>
  <c r="AD190" i="9"/>
  <c r="AC190" i="9"/>
  <c r="AJ189" i="9"/>
  <c r="AI189" i="9"/>
  <c r="AK189" i="9" s="1"/>
  <c r="AG189" i="9"/>
  <c r="AF189" i="9"/>
  <c r="AD189" i="9"/>
  <c r="AC189" i="9"/>
  <c r="AJ188" i="9"/>
  <c r="AI188" i="9"/>
  <c r="AG188" i="9"/>
  <c r="AF188" i="9"/>
  <c r="AH188" i="9" s="1"/>
  <c r="AD188" i="9"/>
  <c r="AC188" i="9"/>
  <c r="AJ187" i="9"/>
  <c r="AI187" i="9"/>
  <c r="AK187" i="9" s="1"/>
  <c r="AG187" i="9"/>
  <c r="AF187" i="9"/>
  <c r="AD187" i="9"/>
  <c r="AC187" i="9"/>
  <c r="AE187" i="9" s="1"/>
  <c r="AJ186" i="9"/>
  <c r="AI186" i="9"/>
  <c r="AG186" i="9"/>
  <c r="AF186" i="9"/>
  <c r="AD186" i="9"/>
  <c r="AC186" i="9"/>
  <c r="AJ185" i="9"/>
  <c r="AI185" i="9"/>
  <c r="AK185" i="9" s="1"/>
  <c r="AG185" i="9"/>
  <c r="AF185" i="9"/>
  <c r="AD185" i="9"/>
  <c r="AC185" i="9"/>
  <c r="AE185" i="9" s="1"/>
  <c r="AJ184" i="9"/>
  <c r="AI184" i="9"/>
  <c r="AG184" i="9"/>
  <c r="AF184" i="9"/>
  <c r="AH184" i="9" s="1"/>
  <c r="AD184" i="9"/>
  <c r="AC184" i="9"/>
  <c r="AE184" i="9" s="1"/>
  <c r="AJ183" i="9"/>
  <c r="AI183" i="9"/>
  <c r="AG183" i="9"/>
  <c r="AF183" i="9"/>
  <c r="AD183" i="9"/>
  <c r="AC183" i="9"/>
  <c r="AB183" i="9"/>
  <c r="AJ182" i="9"/>
  <c r="AI182" i="9"/>
  <c r="AG182" i="9"/>
  <c r="AF182" i="9"/>
  <c r="AH182" i="9" s="1"/>
  <c r="AD182" i="9"/>
  <c r="AC182" i="9"/>
  <c r="AE182" i="9" s="1"/>
  <c r="AB182" i="9"/>
  <c r="AJ181" i="9"/>
  <c r="AI181" i="9"/>
  <c r="AK181" i="9" s="1"/>
  <c r="AG181" i="9"/>
  <c r="AF181" i="9"/>
  <c r="AD181" i="9"/>
  <c r="AC181" i="9"/>
  <c r="AB181" i="9"/>
  <c r="AJ180" i="9"/>
  <c r="AI180" i="9"/>
  <c r="AG180" i="9"/>
  <c r="AF180" i="9"/>
  <c r="AD180" i="9"/>
  <c r="AC180" i="9"/>
  <c r="AE180" i="9" s="1"/>
  <c r="AB180" i="9"/>
  <c r="AJ179" i="9"/>
  <c r="AI179" i="9"/>
  <c r="AG179" i="9"/>
  <c r="AF179" i="9"/>
  <c r="AD179" i="9"/>
  <c r="AC179" i="9"/>
  <c r="AB179" i="9"/>
  <c r="AJ178" i="9"/>
  <c r="AI178" i="9"/>
  <c r="AK178" i="9" s="1"/>
  <c r="AG178" i="9"/>
  <c r="AF178" i="9"/>
  <c r="AH178" i="9" s="1"/>
  <c r="AD178" i="9"/>
  <c r="AC178" i="9"/>
  <c r="AB178" i="9"/>
  <c r="AJ177" i="9"/>
  <c r="AI177" i="9"/>
  <c r="AK177" i="9" s="1"/>
  <c r="AG177" i="9"/>
  <c r="AF177" i="9"/>
  <c r="AH177" i="9" s="1"/>
  <c r="AD177" i="9"/>
  <c r="AC177" i="9"/>
  <c r="AB177" i="9"/>
  <c r="AJ176" i="9"/>
  <c r="AI176" i="9"/>
  <c r="AG176" i="9"/>
  <c r="AF176" i="9"/>
  <c r="AD176" i="9"/>
  <c r="AC176" i="9"/>
  <c r="AE176" i="9" s="1"/>
  <c r="AB176" i="9"/>
  <c r="AJ175" i="9"/>
  <c r="AI175" i="9"/>
  <c r="AG175" i="9"/>
  <c r="AF175" i="9"/>
  <c r="AH175" i="9" s="1"/>
  <c r="AD175" i="9"/>
  <c r="AC175" i="9"/>
  <c r="AB175" i="9"/>
  <c r="AJ174" i="9"/>
  <c r="AI174" i="9"/>
  <c r="AG174" i="9"/>
  <c r="AF174" i="9"/>
  <c r="AD174" i="9"/>
  <c r="AC174" i="9"/>
  <c r="AB174" i="9"/>
  <c r="AJ173" i="9"/>
  <c r="AI173" i="9"/>
  <c r="AG173" i="9"/>
  <c r="AF173" i="9"/>
  <c r="AH173" i="9" s="1"/>
  <c r="AD173" i="9"/>
  <c r="AC173" i="9"/>
  <c r="AE173" i="9" s="1"/>
  <c r="AB173" i="9"/>
  <c r="AJ172" i="9"/>
  <c r="AI172" i="9"/>
  <c r="AG172" i="9"/>
  <c r="AF172" i="9"/>
  <c r="AD172" i="9"/>
  <c r="AC172" i="9"/>
  <c r="AB172" i="9"/>
  <c r="AJ171" i="9"/>
  <c r="AI171" i="9"/>
  <c r="AK171" i="9" s="1"/>
  <c r="AG171" i="9"/>
  <c r="AF171" i="9"/>
  <c r="AD171" i="9"/>
  <c r="AC171" i="9"/>
  <c r="AB171" i="9"/>
  <c r="AJ170" i="9"/>
  <c r="AI170" i="9"/>
  <c r="AK170" i="9" s="1"/>
  <c r="AG170" i="9"/>
  <c r="AF170" i="9"/>
  <c r="AD170" i="9"/>
  <c r="AC170" i="9"/>
  <c r="AB170" i="9"/>
  <c r="AJ169" i="9"/>
  <c r="AI169" i="9"/>
  <c r="AK169" i="9" s="1"/>
  <c r="AG169" i="9"/>
  <c r="AF169" i="9"/>
  <c r="AH169" i="9" s="1"/>
  <c r="AD169" i="9"/>
  <c r="AC169" i="9"/>
  <c r="AB169" i="9"/>
  <c r="AJ168" i="9"/>
  <c r="AI168" i="9"/>
  <c r="AG168" i="9"/>
  <c r="AF168" i="9"/>
  <c r="AD168" i="9"/>
  <c r="AC168" i="9"/>
  <c r="AB168" i="9"/>
  <c r="AJ167" i="9"/>
  <c r="AI167" i="9"/>
  <c r="AG167" i="9"/>
  <c r="AF167" i="9"/>
  <c r="AH167" i="9" s="1"/>
  <c r="AD167" i="9"/>
  <c r="AC167" i="9"/>
  <c r="AE167" i="9" s="1"/>
  <c r="AB167" i="9"/>
  <c r="AJ166" i="9"/>
  <c r="AI166" i="9"/>
  <c r="AK166" i="9" s="1"/>
  <c r="AG166" i="9"/>
  <c r="AF166" i="9"/>
  <c r="AD166" i="9"/>
  <c r="AC166" i="9"/>
  <c r="AE166" i="9" s="1"/>
  <c r="AB166" i="9"/>
  <c r="AJ165" i="9"/>
  <c r="AI165" i="9"/>
  <c r="AG165" i="9"/>
  <c r="AF165" i="9"/>
  <c r="AD165" i="9"/>
  <c r="AC165" i="9"/>
  <c r="AE165" i="9" s="1"/>
  <c r="AB165" i="9"/>
  <c r="AJ164" i="9"/>
  <c r="AI164" i="9"/>
  <c r="AK164" i="9" s="1"/>
  <c r="AG164" i="9"/>
  <c r="AF164" i="9"/>
  <c r="AD164" i="9"/>
  <c r="AC164" i="9"/>
  <c r="AE164" i="9" s="1"/>
  <c r="AB164" i="9"/>
  <c r="AJ163" i="9"/>
  <c r="AI163" i="9"/>
  <c r="AK163" i="9" s="1"/>
  <c r="AG163" i="9"/>
  <c r="AF163" i="9"/>
  <c r="AH163" i="9" s="1"/>
  <c r="AD163" i="9"/>
  <c r="AC163" i="9"/>
  <c r="AE163" i="9" s="1"/>
  <c r="AB163" i="9"/>
  <c r="AJ162" i="9"/>
  <c r="AI162" i="9"/>
  <c r="AK162" i="9" s="1"/>
  <c r="AG162" i="9"/>
  <c r="AF162" i="9"/>
  <c r="AH162" i="9" s="1"/>
  <c r="AD162" i="9"/>
  <c r="AC162" i="9"/>
  <c r="AE162" i="9" s="1"/>
  <c r="AB162" i="9"/>
  <c r="AJ161" i="9"/>
  <c r="AI161" i="9"/>
  <c r="AK161" i="9" s="1"/>
  <c r="AG161" i="9"/>
  <c r="AF161" i="9"/>
  <c r="AH161" i="9" s="1"/>
  <c r="AD161" i="9"/>
  <c r="AC161" i="9"/>
  <c r="AE161" i="9" s="1"/>
  <c r="AB161" i="9"/>
  <c r="AJ160" i="9"/>
  <c r="AI160" i="9"/>
  <c r="AK160" i="9" s="1"/>
  <c r="AG160" i="9"/>
  <c r="AF160" i="9"/>
  <c r="AD160" i="9"/>
  <c r="AC160" i="9"/>
  <c r="AE160" i="9" s="1"/>
  <c r="AB160" i="9"/>
  <c r="AJ159" i="9"/>
  <c r="AI159" i="9"/>
  <c r="AG159" i="9"/>
  <c r="AF159" i="9"/>
  <c r="AH159" i="9" s="1"/>
  <c r="AD159" i="9"/>
  <c r="AC159" i="9"/>
  <c r="AE159" i="9" s="1"/>
  <c r="AB159" i="9"/>
  <c r="AJ158" i="9"/>
  <c r="AI158" i="9"/>
  <c r="AG158" i="9"/>
  <c r="AF158" i="9"/>
  <c r="AH158" i="9" s="1"/>
  <c r="AD158" i="9"/>
  <c r="AC158" i="9"/>
  <c r="AB158" i="9"/>
  <c r="AJ157" i="9"/>
  <c r="AI157" i="9"/>
  <c r="AG157" i="9"/>
  <c r="AF157" i="9"/>
  <c r="AD157" i="9"/>
  <c r="AC157" i="9"/>
  <c r="AE157" i="9" s="1"/>
  <c r="AB157" i="9"/>
  <c r="AJ156" i="9"/>
  <c r="AI156" i="9"/>
  <c r="AG156" i="9"/>
  <c r="AF156" i="9"/>
  <c r="AD156" i="9"/>
  <c r="AC156" i="9"/>
  <c r="AE156" i="9" s="1"/>
  <c r="AB156" i="9"/>
  <c r="AJ155" i="9"/>
  <c r="AI155" i="9"/>
  <c r="AG155" i="9"/>
  <c r="AF155" i="9"/>
  <c r="AD155" i="9"/>
  <c r="AC155" i="9"/>
  <c r="AB155" i="9"/>
  <c r="AJ154" i="9"/>
  <c r="AI154" i="9"/>
  <c r="AK154" i="9" s="1"/>
  <c r="AG154" i="9"/>
  <c r="AF154" i="9"/>
  <c r="AD154" i="9"/>
  <c r="AC154" i="9"/>
  <c r="AB154" i="9"/>
  <c r="AJ153" i="9"/>
  <c r="AI153" i="9"/>
  <c r="AK153" i="9" s="1"/>
  <c r="AG153" i="9"/>
  <c r="AF153" i="9"/>
  <c r="AH153" i="9" s="1"/>
  <c r="AD153" i="9"/>
  <c r="AC153" i="9"/>
  <c r="AB153" i="9"/>
  <c r="AJ152" i="9"/>
  <c r="AI152" i="9"/>
  <c r="AK152" i="9" s="1"/>
  <c r="AG152" i="9"/>
  <c r="AF152" i="9"/>
  <c r="AD152" i="9"/>
  <c r="AC152" i="9"/>
  <c r="AB152" i="9"/>
  <c r="AJ151" i="9"/>
  <c r="AI151" i="9"/>
  <c r="AG151" i="9"/>
  <c r="AF151" i="9"/>
  <c r="AH151" i="9" s="1"/>
  <c r="AD151" i="9"/>
  <c r="AC151" i="9"/>
  <c r="AE151" i="9" s="1"/>
  <c r="AB151" i="9"/>
  <c r="AJ150" i="9"/>
  <c r="AI150" i="9"/>
  <c r="AK150" i="9" s="1"/>
  <c r="AG150" i="9"/>
  <c r="AF150" i="9"/>
  <c r="AH150" i="9" s="1"/>
  <c r="AD150" i="9"/>
  <c r="AC150" i="9"/>
  <c r="AE150" i="9" s="1"/>
  <c r="AB150" i="9"/>
  <c r="AJ149" i="9"/>
  <c r="AI149" i="9"/>
  <c r="AK149" i="9" s="1"/>
  <c r="AG149" i="9"/>
  <c r="AF149" i="9"/>
  <c r="AD149" i="9"/>
  <c r="AC149" i="9"/>
  <c r="AE149" i="9" s="1"/>
  <c r="AB149" i="9"/>
  <c r="AJ148" i="9"/>
  <c r="AI148" i="9"/>
  <c r="AK148" i="9" s="1"/>
  <c r="AG148" i="9"/>
  <c r="AF148" i="9"/>
  <c r="AH148" i="9" s="1"/>
  <c r="AD148" i="9"/>
  <c r="AC148" i="9"/>
  <c r="AE148" i="9" s="1"/>
  <c r="AB148" i="9"/>
  <c r="AJ147" i="9"/>
  <c r="AI147" i="9"/>
  <c r="AG147" i="9"/>
  <c r="AF147" i="9"/>
  <c r="AD147" i="9"/>
  <c r="AC147" i="9"/>
  <c r="AE147" i="9" s="1"/>
  <c r="AB147" i="9"/>
  <c r="AJ146" i="9"/>
  <c r="AI146" i="9"/>
  <c r="AG146" i="9"/>
  <c r="AF146" i="9"/>
  <c r="AH146" i="9" s="1"/>
  <c r="AD146" i="9"/>
  <c r="AC146" i="9"/>
  <c r="AE146" i="9" s="1"/>
  <c r="AB146" i="9"/>
  <c r="AJ145" i="9"/>
  <c r="AI145" i="9"/>
  <c r="AK145" i="9" s="1"/>
  <c r="AG145" i="9"/>
  <c r="AF145" i="9"/>
  <c r="AD145" i="9"/>
  <c r="AC145" i="9"/>
  <c r="AE145" i="9" s="1"/>
  <c r="AB145" i="9"/>
  <c r="AJ144" i="9"/>
  <c r="AI144" i="9"/>
  <c r="AG144" i="9"/>
  <c r="AF144" i="9"/>
  <c r="AD144" i="9"/>
  <c r="AC144" i="9"/>
  <c r="AE144" i="9" s="1"/>
  <c r="AB144" i="9"/>
  <c r="AJ143" i="9"/>
  <c r="AI143" i="9"/>
  <c r="AG143" i="9"/>
  <c r="AF143" i="9"/>
  <c r="AH143" i="9" s="1"/>
  <c r="AD143" i="9"/>
  <c r="AC143" i="9"/>
  <c r="AB143" i="9"/>
  <c r="AJ142" i="9"/>
  <c r="AI142" i="9"/>
  <c r="AG142" i="9"/>
  <c r="AF142" i="9"/>
  <c r="AD142" i="9"/>
  <c r="AC142" i="9"/>
  <c r="AE142" i="9" s="1"/>
  <c r="AB142" i="9"/>
  <c r="AJ141" i="9"/>
  <c r="AI141" i="9"/>
  <c r="AG141" i="9"/>
  <c r="AF141" i="9"/>
  <c r="AD141" i="9"/>
  <c r="AC141" i="9"/>
  <c r="AE141" i="9" s="1"/>
  <c r="AB141" i="9"/>
  <c r="AJ140" i="9"/>
  <c r="AI140" i="9"/>
  <c r="AG140" i="9"/>
  <c r="AF140" i="9"/>
  <c r="AD140" i="9"/>
  <c r="AC140" i="9"/>
  <c r="AE140" i="9" s="1"/>
  <c r="AB140" i="9"/>
  <c r="AJ139" i="9"/>
  <c r="AI139" i="9"/>
  <c r="AK139" i="9" s="1"/>
  <c r="AG139" i="9"/>
  <c r="AF139" i="9"/>
  <c r="AD139" i="9"/>
  <c r="AC139" i="9"/>
  <c r="AB139" i="9"/>
  <c r="AJ138" i="9"/>
  <c r="AI138" i="9"/>
  <c r="AK138" i="9" s="1"/>
  <c r="AG138" i="9"/>
  <c r="AF138" i="9"/>
  <c r="AD138" i="9"/>
  <c r="AC138" i="9"/>
  <c r="AB138" i="9"/>
  <c r="AJ137" i="9"/>
  <c r="AI137" i="9"/>
  <c r="AK137" i="9" s="1"/>
  <c r="AG137" i="9"/>
  <c r="AF137" i="9"/>
  <c r="AH137" i="9" s="1"/>
  <c r="AD137" i="9"/>
  <c r="AC137" i="9"/>
  <c r="AB137" i="9"/>
  <c r="AJ136" i="9"/>
  <c r="AI136" i="9"/>
  <c r="AG136" i="9"/>
  <c r="AF136" i="9"/>
  <c r="AD136" i="9"/>
  <c r="AC136" i="9"/>
  <c r="AB136" i="9"/>
  <c r="AJ135" i="9"/>
  <c r="AI135" i="9"/>
  <c r="AK135" i="9" s="1"/>
  <c r="AG135" i="9"/>
  <c r="AF135" i="9"/>
  <c r="AH135" i="9" s="1"/>
  <c r="AD135" i="9"/>
  <c r="AC135" i="9"/>
  <c r="AE135" i="9" s="1"/>
  <c r="AB135" i="9"/>
  <c r="AJ134" i="9"/>
  <c r="AI134" i="9"/>
  <c r="AK134" i="9" s="1"/>
  <c r="AG134" i="9"/>
  <c r="AF134" i="9"/>
  <c r="AH134" i="9" s="1"/>
  <c r="AD134" i="9"/>
  <c r="AC134" i="9"/>
  <c r="AE134" i="9" s="1"/>
  <c r="AB134" i="9"/>
  <c r="AJ133" i="9"/>
  <c r="AI133" i="9"/>
  <c r="AG133" i="9"/>
  <c r="AF133" i="9"/>
  <c r="AH133" i="9" s="1"/>
  <c r="AD133" i="9"/>
  <c r="AC133" i="9"/>
  <c r="AB133" i="9"/>
  <c r="AJ132" i="9"/>
  <c r="AI132" i="9"/>
  <c r="AK132" i="9" s="1"/>
  <c r="AG132" i="9"/>
  <c r="AF132" i="9"/>
  <c r="AH132" i="9" s="1"/>
  <c r="AD132" i="9"/>
  <c r="AC132" i="9"/>
  <c r="AE132" i="9" s="1"/>
  <c r="AB132" i="9"/>
  <c r="AJ131" i="9"/>
  <c r="AI131" i="9"/>
  <c r="AG131" i="9"/>
  <c r="AF131" i="9"/>
  <c r="AH131" i="9" s="1"/>
  <c r="AD131" i="9"/>
  <c r="AC131" i="9"/>
  <c r="AE131" i="9" s="1"/>
  <c r="AB131" i="9"/>
  <c r="AJ130" i="9"/>
  <c r="AI130" i="9"/>
  <c r="AK130" i="9" s="1"/>
  <c r="AG130" i="9"/>
  <c r="AF130" i="9"/>
  <c r="AH130" i="9" s="1"/>
  <c r="AD130" i="9"/>
  <c r="AC130" i="9"/>
  <c r="AB130" i="9"/>
  <c r="AJ129" i="9"/>
  <c r="AI129" i="9"/>
  <c r="AK129" i="9" s="1"/>
  <c r="AG129" i="9"/>
  <c r="AF129" i="9"/>
  <c r="AD129" i="9"/>
  <c r="AC129" i="9"/>
  <c r="AE129" i="9" s="1"/>
  <c r="AB129" i="9"/>
  <c r="AJ128" i="9"/>
  <c r="AI128" i="9"/>
  <c r="AG128" i="9"/>
  <c r="AF128" i="9"/>
  <c r="AD128" i="9"/>
  <c r="AC128" i="9"/>
  <c r="AE128" i="9" s="1"/>
  <c r="AB128" i="9"/>
  <c r="AJ127" i="9"/>
  <c r="AI127" i="9"/>
  <c r="AK127" i="9" s="1"/>
  <c r="AG127" i="9"/>
  <c r="AF127" i="9"/>
  <c r="AH127" i="9" s="1"/>
  <c r="AD127" i="9"/>
  <c r="AC127" i="9"/>
  <c r="AB127" i="9"/>
  <c r="AJ126" i="9"/>
  <c r="AI126" i="9"/>
  <c r="AG126" i="9"/>
  <c r="AF126" i="9"/>
  <c r="AD126" i="9"/>
  <c r="AC126" i="9"/>
  <c r="AE126" i="9" s="1"/>
  <c r="AB126" i="9"/>
  <c r="AJ125" i="9"/>
  <c r="AI125" i="9"/>
  <c r="AG125" i="9"/>
  <c r="AF125" i="9"/>
  <c r="AH125" i="9" s="1"/>
  <c r="AD125" i="9"/>
  <c r="AC125" i="9"/>
  <c r="AE125" i="9" s="1"/>
  <c r="AB125" i="9"/>
  <c r="AJ124" i="9"/>
  <c r="AI124" i="9"/>
  <c r="AG124" i="9"/>
  <c r="AF124" i="9"/>
  <c r="AD124" i="9"/>
  <c r="AC124" i="9"/>
  <c r="AB124" i="9"/>
  <c r="AJ123" i="9"/>
  <c r="AI123" i="9"/>
  <c r="AK123" i="9" s="1"/>
  <c r="AG123" i="9"/>
  <c r="AF123" i="9"/>
  <c r="AD123" i="9"/>
  <c r="AC123" i="9"/>
  <c r="AB123" i="9"/>
  <c r="AJ122" i="9"/>
  <c r="AI122" i="9"/>
  <c r="AK122" i="9" s="1"/>
  <c r="AG122" i="9"/>
  <c r="AF122" i="9"/>
  <c r="AD122" i="9"/>
  <c r="AC122" i="9"/>
  <c r="AB122" i="9"/>
  <c r="AJ121" i="9"/>
  <c r="AI121" i="9"/>
  <c r="AK121" i="9" s="1"/>
  <c r="AG121" i="9"/>
  <c r="AF121" i="9"/>
  <c r="AH121" i="9" s="1"/>
  <c r="AD121" i="9"/>
  <c r="AC121" i="9"/>
  <c r="AB121" i="9"/>
  <c r="AJ120" i="9"/>
  <c r="AI120" i="9"/>
  <c r="AK120" i="9" s="1"/>
  <c r="AG120" i="9"/>
  <c r="AF120" i="9"/>
  <c r="AD120" i="9"/>
  <c r="AC120" i="9"/>
  <c r="AB120" i="9"/>
  <c r="AJ119" i="9"/>
  <c r="AI119" i="9"/>
  <c r="AK119" i="9" s="1"/>
  <c r="AG119" i="9"/>
  <c r="AF119" i="9"/>
  <c r="AH119" i="9" s="1"/>
  <c r="AD119" i="9"/>
  <c r="AC119" i="9"/>
  <c r="AE119" i="9" s="1"/>
  <c r="AB119" i="9"/>
  <c r="AJ118" i="9"/>
  <c r="AI118" i="9"/>
  <c r="AK118" i="9" s="1"/>
  <c r="AG118" i="9"/>
  <c r="AF118" i="9"/>
  <c r="AH118" i="9" s="1"/>
  <c r="AD118" i="9"/>
  <c r="AC118" i="9"/>
  <c r="AE118" i="9" s="1"/>
  <c r="AB118" i="9"/>
  <c r="AJ117" i="9"/>
  <c r="AI117" i="9"/>
  <c r="AG117" i="9"/>
  <c r="AF117" i="9"/>
  <c r="AH117" i="9" s="1"/>
  <c r="AD117" i="9"/>
  <c r="AC117" i="9"/>
  <c r="AE117" i="9" s="1"/>
  <c r="AB117" i="9"/>
  <c r="AJ116" i="9"/>
  <c r="AI116" i="9"/>
  <c r="AK116" i="9" s="1"/>
  <c r="AG116" i="9"/>
  <c r="AF116" i="9"/>
  <c r="AH116" i="9" s="1"/>
  <c r="AD116" i="9"/>
  <c r="AC116" i="9"/>
  <c r="AB116" i="9"/>
  <c r="AJ115" i="9"/>
  <c r="AI115" i="9"/>
  <c r="AG115" i="9"/>
  <c r="AF115" i="9"/>
  <c r="AD115" i="9"/>
  <c r="AC115" i="9"/>
  <c r="AE115" i="9" s="1"/>
  <c r="AB115" i="9"/>
  <c r="AJ114" i="9"/>
  <c r="AI114" i="9"/>
  <c r="AK114" i="9" s="1"/>
  <c r="AG114" i="9"/>
  <c r="AF114" i="9"/>
  <c r="AH114" i="9" s="1"/>
  <c r="AD114" i="9"/>
  <c r="AC114" i="9"/>
  <c r="AE114" i="9" s="1"/>
  <c r="AB114" i="9"/>
  <c r="AJ113" i="9"/>
  <c r="AI113" i="9"/>
  <c r="AK113" i="9" s="1"/>
  <c r="AG113" i="9"/>
  <c r="AF113" i="9"/>
  <c r="AD113" i="9"/>
  <c r="AC113" i="9"/>
  <c r="AE113" i="9" s="1"/>
  <c r="AB113" i="9"/>
  <c r="AJ112" i="9"/>
  <c r="AI112" i="9"/>
  <c r="AG112" i="9"/>
  <c r="AF112" i="9"/>
  <c r="AD112" i="9"/>
  <c r="AC112" i="9"/>
  <c r="AE112" i="9" s="1"/>
  <c r="AB112" i="9"/>
  <c r="AJ111" i="9"/>
  <c r="AI111" i="9"/>
  <c r="AG111" i="9"/>
  <c r="AF111" i="9"/>
  <c r="AH111" i="9" s="1"/>
  <c r="AD111" i="9"/>
  <c r="AC111" i="9"/>
  <c r="AB111" i="9"/>
  <c r="AJ110" i="9"/>
  <c r="AI110" i="9"/>
  <c r="AG110" i="9"/>
  <c r="AF110" i="9"/>
  <c r="AD110" i="9"/>
  <c r="AC110" i="9"/>
  <c r="AE110" i="9" s="1"/>
  <c r="AB110" i="9"/>
  <c r="AJ109" i="9"/>
  <c r="AI109" i="9"/>
  <c r="AG109" i="9"/>
  <c r="AF109" i="9"/>
  <c r="AD109" i="9"/>
  <c r="AC109" i="9"/>
  <c r="AE109" i="9" s="1"/>
  <c r="AB109" i="9"/>
  <c r="AJ108" i="9"/>
  <c r="AI108" i="9"/>
  <c r="AG108" i="9"/>
  <c r="AF108" i="9"/>
  <c r="AD108" i="9"/>
  <c r="AC108" i="9"/>
  <c r="AB108" i="9"/>
  <c r="AJ107" i="9"/>
  <c r="AI107" i="9"/>
  <c r="AK107" i="9" s="1"/>
  <c r="AG107" i="9"/>
  <c r="AF107" i="9"/>
  <c r="AD107" i="9"/>
  <c r="AC107" i="9"/>
  <c r="AE107" i="9" s="1"/>
  <c r="AB107" i="9"/>
  <c r="AJ106" i="9"/>
  <c r="AI106" i="9"/>
  <c r="AG106" i="9"/>
  <c r="AF106" i="9"/>
  <c r="AD106" i="9"/>
  <c r="AC106" i="9"/>
  <c r="AB106" i="9"/>
  <c r="AJ105" i="9"/>
  <c r="AI105" i="9"/>
  <c r="AK105" i="9" s="1"/>
  <c r="AG105" i="9"/>
  <c r="AF105" i="9"/>
  <c r="AD105" i="9"/>
  <c r="AC105" i="9"/>
  <c r="AB105" i="9"/>
  <c r="AJ104" i="9"/>
  <c r="AI104" i="9"/>
  <c r="AG104" i="9"/>
  <c r="AF104" i="9"/>
  <c r="AD104" i="9"/>
  <c r="AC104" i="9"/>
  <c r="AB104" i="9"/>
  <c r="AJ103" i="9"/>
  <c r="AI103" i="9"/>
  <c r="AG103" i="9"/>
  <c r="AF103" i="9"/>
  <c r="AH103" i="9" s="1"/>
  <c r="AD103" i="9"/>
  <c r="AC103" i="9"/>
  <c r="AE103" i="9" s="1"/>
  <c r="AB103" i="9"/>
  <c r="AJ102" i="9"/>
  <c r="AI102" i="9"/>
  <c r="AG102" i="9"/>
  <c r="AF102" i="9"/>
  <c r="AH102" i="9" s="1"/>
  <c r="AD102" i="9"/>
  <c r="AC102" i="9"/>
  <c r="AB102" i="9"/>
  <c r="AJ101" i="9"/>
  <c r="AI101" i="9"/>
  <c r="AG101" i="9"/>
  <c r="AF101" i="9"/>
  <c r="AH101" i="9" s="1"/>
  <c r="AD101" i="9"/>
  <c r="AC101" i="9"/>
  <c r="AE101" i="9" s="1"/>
  <c r="AB101" i="9"/>
  <c r="AJ100" i="9"/>
  <c r="AI100" i="9"/>
  <c r="AK100" i="9" s="1"/>
  <c r="AG100" i="9"/>
  <c r="AF100" i="9"/>
  <c r="AH100" i="9" s="1"/>
  <c r="AD100" i="9"/>
  <c r="AC100" i="9"/>
  <c r="AE100" i="9" s="1"/>
  <c r="AB100" i="9"/>
  <c r="AJ99" i="9"/>
  <c r="AI99" i="9"/>
  <c r="AG99" i="9"/>
  <c r="AF99" i="9"/>
  <c r="AD99" i="9"/>
  <c r="AC99" i="9"/>
  <c r="AE99" i="9" s="1"/>
  <c r="AB99" i="9"/>
  <c r="AJ98" i="9"/>
  <c r="AI98" i="9"/>
  <c r="AK98" i="9" s="1"/>
  <c r="AG98" i="9"/>
  <c r="AF98" i="9"/>
  <c r="AH98" i="9" s="1"/>
  <c r="AD98" i="9"/>
  <c r="AC98" i="9"/>
  <c r="AE98" i="9" s="1"/>
  <c r="AB98" i="9"/>
  <c r="AJ97" i="9"/>
  <c r="AI97" i="9"/>
  <c r="AK97" i="9" s="1"/>
  <c r="AG97" i="9"/>
  <c r="AF97" i="9"/>
  <c r="AD97" i="9"/>
  <c r="AC97" i="9"/>
  <c r="AB97" i="9"/>
  <c r="AJ96" i="9"/>
  <c r="AI96" i="9"/>
  <c r="AG96" i="9"/>
  <c r="AF96" i="9"/>
  <c r="AD96" i="9"/>
  <c r="AC96" i="9"/>
  <c r="AE96" i="9" s="1"/>
  <c r="AB96" i="9"/>
  <c r="AJ95" i="9"/>
  <c r="AI95" i="9"/>
  <c r="AK95" i="9" s="1"/>
  <c r="AG95" i="9"/>
  <c r="AF95" i="9"/>
  <c r="AH95" i="9" s="1"/>
  <c r="AD95" i="9"/>
  <c r="AC95" i="9"/>
  <c r="AB95" i="9"/>
  <c r="AJ94" i="9"/>
  <c r="AI94" i="9"/>
  <c r="AG94" i="9"/>
  <c r="AF94" i="9"/>
  <c r="AD94" i="9"/>
  <c r="AC94" i="9"/>
  <c r="AE94" i="9" s="1"/>
  <c r="AB94" i="9"/>
  <c r="AJ93" i="9"/>
  <c r="AI93" i="9"/>
  <c r="AG93" i="9"/>
  <c r="AF93" i="9"/>
  <c r="AH93" i="9" s="1"/>
  <c r="AD93" i="9"/>
  <c r="AC93" i="9"/>
  <c r="AE93" i="9" s="1"/>
  <c r="AB93" i="9"/>
  <c r="AJ92" i="9"/>
  <c r="AI92" i="9"/>
  <c r="AG92" i="9"/>
  <c r="AF92" i="9"/>
  <c r="AD92" i="9"/>
  <c r="AC92" i="9"/>
  <c r="AE92" i="9" s="1"/>
  <c r="AB92" i="9"/>
  <c r="AJ91" i="9"/>
  <c r="AI91" i="9"/>
  <c r="AG91" i="9"/>
  <c r="AF91" i="9"/>
  <c r="AD91" i="9"/>
  <c r="AC91" i="9"/>
  <c r="AE91" i="9" s="1"/>
  <c r="AB91" i="9"/>
  <c r="AJ90" i="9"/>
  <c r="AI90" i="9"/>
  <c r="AG90" i="9"/>
  <c r="AF90" i="9"/>
  <c r="AD90" i="9"/>
  <c r="AC90" i="9"/>
  <c r="AB90" i="9"/>
  <c r="AJ89" i="9"/>
  <c r="AI89" i="9"/>
  <c r="AG89" i="9"/>
  <c r="AF89" i="9"/>
  <c r="AD89" i="9"/>
  <c r="AC89" i="9"/>
  <c r="AB89" i="9"/>
  <c r="AJ88" i="9"/>
  <c r="AI88" i="9"/>
  <c r="AG88" i="9"/>
  <c r="AF88" i="9"/>
  <c r="AD88" i="9"/>
  <c r="AC88" i="9"/>
  <c r="AB88" i="9"/>
  <c r="AJ87" i="9"/>
  <c r="AI87" i="9"/>
  <c r="AG87" i="9"/>
  <c r="AF87" i="9"/>
  <c r="AD87" i="9"/>
  <c r="AC87" i="9"/>
  <c r="AE87" i="9" s="1"/>
  <c r="AB87" i="9"/>
  <c r="AJ86" i="9"/>
  <c r="AI86" i="9"/>
  <c r="AK86" i="9" s="1"/>
  <c r="AG86" i="9"/>
  <c r="AF86" i="9"/>
  <c r="AD86" i="9"/>
  <c r="AC86" i="9"/>
  <c r="AB86" i="9"/>
  <c r="AJ85" i="9"/>
  <c r="AI85" i="9"/>
  <c r="AG85" i="9"/>
  <c r="AF85" i="9"/>
  <c r="AH85" i="9" s="1"/>
  <c r="AD85" i="9"/>
  <c r="AC85" i="9"/>
  <c r="AE85" i="9" s="1"/>
  <c r="AB85" i="9"/>
  <c r="AJ84" i="9"/>
  <c r="AI84" i="9"/>
  <c r="AG84" i="9"/>
  <c r="AF84" i="9"/>
  <c r="AD84" i="9"/>
  <c r="AC84" i="9"/>
  <c r="AB84" i="9"/>
  <c r="AJ83" i="9"/>
  <c r="AI83" i="9"/>
  <c r="AK83" i="9" s="1"/>
  <c r="AG83" i="9"/>
  <c r="AF83" i="9"/>
  <c r="AD83" i="9"/>
  <c r="AC83" i="9"/>
  <c r="AE83" i="9" s="1"/>
  <c r="AB83" i="9"/>
  <c r="AJ82" i="9"/>
  <c r="AI82" i="9"/>
  <c r="AK82" i="9" s="1"/>
  <c r="AG82" i="9"/>
  <c r="AF82" i="9"/>
  <c r="AD82" i="9"/>
  <c r="AC82" i="9"/>
  <c r="AE82" i="9" s="1"/>
  <c r="AB82" i="9"/>
  <c r="AJ81" i="9"/>
  <c r="AI81" i="9"/>
  <c r="AK81" i="9" s="1"/>
  <c r="AG81" i="9"/>
  <c r="AF81" i="9"/>
  <c r="AH81" i="9" s="1"/>
  <c r="AD81" i="9"/>
  <c r="AC81" i="9"/>
  <c r="AB81" i="9"/>
  <c r="AJ80" i="9"/>
  <c r="AI80" i="9"/>
  <c r="AK80" i="9" s="1"/>
  <c r="AG80" i="9"/>
  <c r="AF80" i="9"/>
  <c r="AD80" i="9"/>
  <c r="AC80" i="9"/>
  <c r="AB80" i="9"/>
  <c r="AJ79" i="9"/>
  <c r="AI79" i="9"/>
  <c r="AK79" i="9" s="1"/>
  <c r="AG79" i="9"/>
  <c r="AF79" i="9"/>
  <c r="AD79" i="9"/>
  <c r="AC79" i="9"/>
  <c r="AE79" i="9" s="1"/>
  <c r="AB79" i="9"/>
  <c r="AJ78" i="9"/>
  <c r="AI78" i="9"/>
  <c r="AG78" i="9"/>
  <c r="AF78" i="9"/>
  <c r="AH78" i="9" s="1"/>
  <c r="AD78" i="9"/>
  <c r="AC78" i="9"/>
  <c r="AB78" i="9"/>
  <c r="AJ77" i="9"/>
  <c r="AI77" i="9"/>
  <c r="AG77" i="9"/>
  <c r="AF77" i="9"/>
  <c r="AH77" i="9" s="1"/>
  <c r="AD77" i="9"/>
  <c r="AC77" i="9"/>
  <c r="AE77" i="9" s="1"/>
  <c r="AB77" i="9"/>
  <c r="AJ76" i="9"/>
  <c r="AI76" i="9"/>
  <c r="AG76" i="9"/>
  <c r="AF76" i="9"/>
  <c r="AD76" i="9"/>
  <c r="AC76" i="9"/>
  <c r="AB76" i="9"/>
  <c r="AJ75" i="9"/>
  <c r="AI75" i="9"/>
  <c r="AK75" i="9" s="1"/>
  <c r="AG75" i="9"/>
  <c r="AF75" i="9"/>
  <c r="AD75" i="9"/>
  <c r="AC75" i="9"/>
  <c r="AE75" i="9" s="1"/>
  <c r="AB75" i="9"/>
  <c r="AJ74" i="9"/>
  <c r="AI74" i="9"/>
  <c r="AG74" i="9"/>
  <c r="AF74" i="9"/>
  <c r="AD74" i="9"/>
  <c r="AC74" i="9"/>
  <c r="AB74" i="9"/>
  <c r="AJ73" i="9"/>
  <c r="AI73" i="9"/>
  <c r="AK73" i="9" s="1"/>
  <c r="AG73" i="9"/>
  <c r="AF73" i="9"/>
  <c r="AD73" i="9"/>
  <c r="AC73" i="9"/>
  <c r="AB73" i="9"/>
  <c r="AJ72" i="9"/>
  <c r="AI72" i="9"/>
  <c r="AG72" i="9"/>
  <c r="AF72" i="9"/>
  <c r="AD72" i="9"/>
  <c r="AC72" i="9"/>
  <c r="AB72" i="9"/>
  <c r="AJ71" i="9"/>
  <c r="AI71" i="9"/>
  <c r="AG71" i="9"/>
  <c r="AF71" i="9"/>
  <c r="AH71" i="9" s="1"/>
  <c r="AD71" i="9"/>
  <c r="AC71" i="9"/>
  <c r="AB71" i="9"/>
  <c r="AJ70" i="9"/>
  <c r="AI70" i="9"/>
  <c r="AK70" i="9" s="1"/>
  <c r="AG70" i="9"/>
  <c r="AF70" i="9"/>
  <c r="AH70" i="9" s="1"/>
  <c r="AD70" i="9"/>
  <c r="AC70" i="9"/>
  <c r="AB70" i="9"/>
  <c r="AJ69" i="9"/>
  <c r="AI69" i="9"/>
  <c r="AG69" i="9"/>
  <c r="AF69" i="9"/>
  <c r="AD69" i="9"/>
  <c r="AC69" i="9"/>
  <c r="AE69" i="9" s="1"/>
  <c r="AB69" i="9"/>
  <c r="AJ68" i="9"/>
  <c r="AI68" i="9"/>
  <c r="AG68" i="9"/>
  <c r="AF68" i="9"/>
  <c r="AD68" i="9"/>
  <c r="AC68" i="9"/>
  <c r="AE68" i="9" s="1"/>
  <c r="AB68" i="9"/>
  <c r="AJ67" i="9"/>
  <c r="AI67" i="9"/>
  <c r="AG67" i="9"/>
  <c r="AF67" i="9"/>
  <c r="AD67" i="9"/>
  <c r="AC67" i="9"/>
  <c r="AE67" i="9" s="1"/>
  <c r="AB67" i="9"/>
  <c r="AJ66" i="9"/>
  <c r="AI66" i="9"/>
  <c r="AK66" i="9" s="1"/>
  <c r="AG66" i="9"/>
  <c r="AF66" i="9"/>
  <c r="AH66" i="9" s="1"/>
  <c r="AD66" i="9"/>
  <c r="AC66" i="9"/>
  <c r="AB66" i="9"/>
  <c r="AJ65" i="9"/>
  <c r="AI65" i="9"/>
  <c r="AG65" i="9"/>
  <c r="AF65" i="9"/>
  <c r="AD65" i="9"/>
  <c r="AC65" i="9"/>
  <c r="AB65" i="9"/>
  <c r="AJ64" i="9"/>
  <c r="AI64" i="9"/>
  <c r="AG64" i="9"/>
  <c r="AF64" i="9"/>
  <c r="AD64" i="9"/>
  <c r="AC64" i="9"/>
  <c r="AE64" i="9" s="1"/>
  <c r="AB64" i="9"/>
  <c r="AJ63" i="9"/>
  <c r="AI63" i="9"/>
  <c r="AK63" i="9" s="1"/>
  <c r="AG63" i="9"/>
  <c r="AF63" i="9"/>
  <c r="AD63" i="9"/>
  <c r="AC63" i="9"/>
  <c r="AE63" i="9" s="1"/>
  <c r="AB63" i="9"/>
  <c r="AJ62" i="9"/>
  <c r="AI62" i="9"/>
  <c r="AG62" i="9"/>
  <c r="AF62" i="9"/>
  <c r="AH62" i="9" s="1"/>
  <c r="AD62" i="9"/>
  <c r="AC62" i="9"/>
  <c r="AE62" i="9" s="1"/>
  <c r="AB62" i="9"/>
  <c r="AJ61" i="9"/>
  <c r="AI61" i="9"/>
  <c r="AG61" i="9"/>
  <c r="AF61" i="9"/>
  <c r="AH61" i="9" s="1"/>
  <c r="AD61" i="9"/>
  <c r="AC61" i="9"/>
  <c r="AB61" i="9"/>
  <c r="AJ60" i="9"/>
  <c r="AI60" i="9"/>
  <c r="AG60" i="9"/>
  <c r="AF60" i="9"/>
  <c r="AD60" i="9"/>
  <c r="AC60" i="9"/>
  <c r="AE60" i="9" s="1"/>
  <c r="AB60" i="9"/>
  <c r="AJ59" i="9"/>
  <c r="AI59" i="9"/>
  <c r="AK59" i="9" s="1"/>
  <c r="AG59" i="9"/>
  <c r="AF59" i="9"/>
  <c r="AD59" i="9"/>
  <c r="AC59" i="9"/>
  <c r="AE59" i="9" s="1"/>
  <c r="AB59" i="9"/>
  <c r="AJ58" i="9"/>
  <c r="AI58" i="9"/>
  <c r="AG58" i="9"/>
  <c r="AF58" i="9"/>
  <c r="AD58" i="9"/>
  <c r="AC58" i="9"/>
  <c r="AB58" i="9"/>
  <c r="AJ57" i="9"/>
  <c r="AI57" i="9"/>
  <c r="AK57" i="9" s="1"/>
  <c r="AG57" i="9"/>
  <c r="AF57" i="9"/>
  <c r="AH57" i="9" s="1"/>
  <c r="AD57" i="9"/>
  <c r="AC57" i="9"/>
  <c r="AB57" i="9"/>
  <c r="AJ56" i="9"/>
  <c r="AI56" i="9"/>
  <c r="AK56" i="9" s="1"/>
  <c r="AG56" i="9"/>
  <c r="AF56" i="9"/>
  <c r="AD56" i="9"/>
  <c r="AC56" i="9"/>
  <c r="AB56" i="9"/>
  <c r="AJ55" i="9"/>
  <c r="AI55" i="9"/>
  <c r="AK55" i="9" s="1"/>
  <c r="AG55" i="9"/>
  <c r="AF55" i="9"/>
  <c r="AH55" i="9" s="1"/>
  <c r="AD55" i="9"/>
  <c r="AC55" i="9"/>
  <c r="AE55" i="9" s="1"/>
  <c r="AB55" i="9"/>
  <c r="AJ54" i="9"/>
  <c r="AI54" i="9"/>
  <c r="AK54" i="9" s="1"/>
  <c r="AG54" i="9"/>
  <c r="AF54" i="9"/>
  <c r="AD54" i="9"/>
  <c r="AC54" i="9"/>
  <c r="AB54" i="9"/>
  <c r="AJ53" i="9"/>
  <c r="AI53" i="9"/>
  <c r="AG53" i="9"/>
  <c r="AF53" i="9"/>
  <c r="AH53" i="9" s="1"/>
  <c r="AD53" i="9"/>
  <c r="AC53" i="9"/>
  <c r="AE53" i="9" s="1"/>
  <c r="AB53" i="9"/>
  <c r="AJ52" i="9"/>
  <c r="AI52" i="9"/>
  <c r="AG52" i="9"/>
  <c r="AF52" i="9"/>
  <c r="AD52" i="9"/>
  <c r="AC52" i="9"/>
  <c r="AE52" i="9" s="1"/>
  <c r="AB52" i="9"/>
  <c r="AJ51" i="9"/>
  <c r="AI51" i="9"/>
  <c r="AG51" i="9"/>
  <c r="AF51" i="9"/>
  <c r="AD51" i="9"/>
  <c r="AC51" i="9"/>
  <c r="AB51" i="9"/>
  <c r="AJ50" i="9"/>
  <c r="AI50" i="9"/>
  <c r="AK50" i="9" s="1"/>
  <c r="AG50" i="9"/>
  <c r="AF50" i="9"/>
  <c r="AH50" i="9" s="1"/>
  <c r="AD50" i="9"/>
  <c r="AC50" i="9"/>
  <c r="AB50" i="9"/>
  <c r="AJ49" i="9"/>
  <c r="AI49" i="9"/>
  <c r="AG49" i="9"/>
  <c r="AF49" i="9"/>
  <c r="AD49" i="9"/>
  <c r="AC49" i="9"/>
  <c r="AE49" i="9" s="1"/>
  <c r="AB49" i="9"/>
  <c r="AJ48" i="9"/>
  <c r="AI48" i="9"/>
  <c r="AK48" i="9" s="1"/>
  <c r="AG48" i="9"/>
  <c r="AF48" i="9"/>
  <c r="AD48" i="9"/>
  <c r="AC48" i="9"/>
  <c r="AE48" i="9" s="1"/>
  <c r="AB48" i="9"/>
  <c r="AJ47" i="9"/>
  <c r="AI47" i="9"/>
  <c r="AK47" i="9" s="1"/>
  <c r="AG47" i="9"/>
  <c r="AF47" i="9"/>
  <c r="AD47" i="9"/>
  <c r="AC47" i="9"/>
  <c r="AE47" i="9" s="1"/>
  <c r="AB47" i="9"/>
  <c r="AJ46" i="9"/>
  <c r="AI46" i="9"/>
  <c r="AG46" i="9"/>
  <c r="AF46" i="9"/>
  <c r="AH46" i="9" s="1"/>
  <c r="AD46" i="9"/>
  <c r="AC46" i="9"/>
  <c r="AE46" i="9" s="1"/>
  <c r="AB46" i="9"/>
  <c r="AJ45" i="9"/>
  <c r="AI45" i="9"/>
  <c r="AG45" i="9"/>
  <c r="AF45" i="9"/>
  <c r="AH45" i="9" s="1"/>
  <c r="AD45" i="9"/>
  <c r="AC45" i="9"/>
  <c r="AB45" i="9"/>
  <c r="AJ44" i="9"/>
  <c r="AI44" i="9"/>
  <c r="AG44" i="9"/>
  <c r="AF44" i="9"/>
  <c r="AD44" i="9"/>
  <c r="AC44" i="9"/>
  <c r="AB44" i="9"/>
  <c r="AJ43" i="9"/>
  <c r="AI43" i="9"/>
  <c r="AK43" i="9" s="1"/>
  <c r="AG43" i="9"/>
  <c r="AF43" i="9"/>
  <c r="AD43" i="9"/>
  <c r="AC43" i="9"/>
  <c r="AE43" i="9" s="1"/>
  <c r="AB43" i="9"/>
  <c r="AJ42" i="9"/>
  <c r="AI42" i="9"/>
  <c r="AG42" i="9"/>
  <c r="AF42" i="9"/>
  <c r="AD42" i="9"/>
  <c r="AC42" i="9"/>
  <c r="AB42" i="9"/>
  <c r="AJ41" i="9"/>
  <c r="AI41" i="9"/>
  <c r="AK41" i="9" s="1"/>
  <c r="AG41" i="9"/>
  <c r="AF41" i="9"/>
  <c r="AD41" i="9"/>
  <c r="AC41" i="9"/>
  <c r="AB41" i="9"/>
  <c r="AJ40" i="9"/>
  <c r="AI40" i="9"/>
  <c r="AG40" i="9"/>
  <c r="AF40" i="9"/>
  <c r="AD40" i="9"/>
  <c r="AC40" i="9"/>
  <c r="AB40" i="9"/>
  <c r="AJ39" i="9"/>
  <c r="AI39" i="9"/>
  <c r="AG39" i="9"/>
  <c r="AF39" i="9"/>
  <c r="AH39" i="9" s="1"/>
  <c r="AD39" i="9"/>
  <c r="AC39" i="9"/>
  <c r="AE39" i="9" s="1"/>
  <c r="AB39" i="9"/>
  <c r="AJ38" i="9"/>
  <c r="AI38" i="9"/>
  <c r="AG38" i="9"/>
  <c r="AF38" i="9"/>
  <c r="AH38" i="9" s="1"/>
  <c r="AD38" i="9"/>
  <c r="AC38" i="9"/>
  <c r="AE38" i="9" s="1"/>
  <c r="AB38" i="9"/>
  <c r="AJ37" i="9"/>
  <c r="AI37" i="9"/>
  <c r="AG37" i="9"/>
  <c r="AF37" i="9"/>
  <c r="AH37" i="9" s="1"/>
  <c r="AD37" i="9"/>
  <c r="AC37" i="9"/>
  <c r="AE37" i="9" s="1"/>
  <c r="AB37" i="9"/>
  <c r="AJ36" i="9"/>
  <c r="AI36" i="9"/>
  <c r="AG36" i="9"/>
  <c r="AF36" i="9"/>
  <c r="AD36" i="9"/>
  <c r="AC36" i="9"/>
  <c r="AE36" i="9" s="1"/>
  <c r="AB36" i="9"/>
  <c r="AJ35" i="9"/>
  <c r="AI35" i="9"/>
  <c r="AG35" i="9"/>
  <c r="AF35" i="9"/>
  <c r="AD35" i="9"/>
  <c r="AC35" i="9"/>
  <c r="AE35" i="9" s="1"/>
  <c r="AB35" i="9"/>
  <c r="AJ34" i="9"/>
  <c r="AI34" i="9"/>
  <c r="AG34" i="9"/>
  <c r="AF34" i="9"/>
  <c r="AH34" i="9" s="1"/>
  <c r="AD34" i="9"/>
  <c r="AC34" i="9"/>
  <c r="AB34" i="9"/>
  <c r="AJ33" i="9"/>
  <c r="AI33" i="9"/>
  <c r="AG33" i="9"/>
  <c r="AF33" i="9"/>
  <c r="AD33" i="9"/>
  <c r="AC33" i="9"/>
  <c r="AB33" i="9"/>
  <c r="AJ32" i="9"/>
  <c r="AI32" i="9"/>
  <c r="AK32" i="9" s="1"/>
  <c r="AG32" i="9"/>
  <c r="AF32" i="9"/>
  <c r="AD32" i="9"/>
  <c r="AC32" i="9"/>
  <c r="AE32" i="9" s="1"/>
  <c r="AB32" i="9"/>
  <c r="AJ31" i="9"/>
  <c r="AI31" i="9"/>
  <c r="AK31" i="9" s="1"/>
  <c r="AG31" i="9"/>
  <c r="AF31" i="9"/>
  <c r="AD31" i="9"/>
  <c r="AC31" i="9"/>
  <c r="AB31" i="9"/>
  <c r="AJ30" i="9"/>
  <c r="AI30" i="9"/>
  <c r="AG30" i="9"/>
  <c r="AF30" i="9"/>
  <c r="AD30" i="9"/>
  <c r="AC30" i="9"/>
  <c r="AE30" i="9" s="1"/>
  <c r="AB30" i="9"/>
  <c r="AJ29" i="9"/>
  <c r="AI29" i="9"/>
  <c r="AG29" i="9"/>
  <c r="AF29" i="9"/>
  <c r="AD29" i="9"/>
  <c r="AC29" i="9"/>
  <c r="AB29" i="9"/>
  <c r="AJ28" i="9"/>
  <c r="AI28" i="9"/>
  <c r="AG28" i="9"/>
  <c r="AF28" i="9"/>
  <c r="AD28" i="9"/>
  <c r="AC28" i="9"/>
  <c r="AE28" i="9" s="1"/>
  <c r="AB28" i="9"/>
  <c r="AJ27" i="9"/>
  <c r="AI27" i="9"/>
  <c r="AG27" i="9"/>
  <c r="AF27" i="9"/>
  <c r="AD27" i="9"/>
  <c r="AC27" i="9"/>
  <c r="AE27" i="9" s="1"/>
  <c r="AB27" i="9"/>
  <c r="AJ26" i="9"/>
  <c r="AI26" i="9"/>
  <c r="AK26" i="9" s="1"/>
  <c r="AG26" i="9"/>
  <c r="AF26" i="9"/>
  <c r="AD26" i="9"/>
  <c r="AC26" i="9"/>
  <c r="AB26" i="9"/>
  <c r="AJ25" i="9"/>
  <c r="AI25" i="9"/>
  <c r="AK25" i="9" s="1"/>
  <c r="AG25" i="9"/>
  <c r="AF25" i="9"/>
  <c r="AH25" i="9" s="1"/>
  <c r="AD25" i="9"/>
  <c r="AC25" i="9"/>
  <c r="AB25" i="9"/>
  <c r="AJ24" i="9"/>
  <c r="AI24" i="9"/>
  <c r="AK24" i="9" s="1"/>
  <c r="AG24" i="9"/>
  <c r="AF24" i="9"/>
  <c r="AD24" i="9"/>
  <c r="AC24" i="9"/>
  <c r="AB24" i="9"/>
  <c r="AJ23" i="9"/>
  <c r="AI23" i="9"/>
  <c r="AK23" i="9" s="1"/>
  <c r="AG23" i="9"/>
  <c r="AF23" i="9"/>
  <c r="AH23" i="9" s="1"/>
  <c r="AD23" i="9"/>
  <c r="AC23" i="9"/>
  <c r="AE23" i="9" s="1"/>
  <c r="AB23" i="9"/>
  <c r="AJ22" i="9"/>
  <c r="AI22" i="9"/>
  <c r="AK22" i="9" s="1"/>
  <c r="AG22" i="9"/>
  <c r="AF22" i="9"/>
  <c r="AD22" i="9"/>
  <c r="AC22" i="9"/>
  <c r="AB22" i="9"/>
  <c r="AJ21" i="9"/>
  <c r="AI21" i="9"/>
  <c r="AG21" i="9"/>
  <c r="AF21" i="9"/>
  <c r="AH21" i="9" s="1"/>
  <c r="AD21" i="9"/>
  <c r="AC21" i="9"/>
  <c r="AE21" i="9" s="1"/>
  <c r="AB21" i="9"/>
  <c r="AJ20" i="9"/>
  <c r="AI20" i="9"/>
  <c r="AG20" i="9"/>
  <c r="AF20" i="9"/>
  <c r="AH20" i="9" s="1"/>
  <c r="AD20" i="9"/>
  <c r="AC20" i="9"/>
  <c r="AE20" i="9" s="1"/>
  <c r="AB20" i="9"/>
  <c r="AJ19" i="9"/>
  <c r="AI19" i="9"/>
  <c r="AG19" i="9"/>
  <c r="AF19" i="9"/>
  <c r="AD19" i="9"/>
  <c r="AC19" i="9"/>
  <c r="AE19" i="9" s="1"/>
  <c r="AB19" i="9"/>
  <c r="AJ18" i="9"/>
  <c r="AI18" i="9"/>
  <c r="AG18" i="9"/>
  <c r="AF18" i="9"/>
  <c r="AH18" i="9" s="1"/>
  <c r="AD18" i="9"/>
  <c r="AC18" i="9"/>
  <c r="AB18" i="9"/>
  <c r="AJ17" i="9"/>
  <c r="AI17" i="9"/>
  <c r="AG17" i="9"/>
  <c r="AF17" i="9"/>
  <c r="AD17" i="9"/>
  <c r="AC17" i="9"/>
  <c r="AE17" i="9" s="1"/>
  <c r="AB17" i="9"/>
  <c r="AJ16" i="9"/>
  <c r="AI16" i="9"/>
  <c r="AG16" i="9"/>
  <c r="AF16" i="9"/>
  <c r="AD16" i="9"/>
  <c r="AC16" i="9"/>
  <c r="AE16" i="9" s="1"/>
  <c r="AB16" i="9"/>
  <c r="AJ15" i="9"/>
  <c r="AI15" i="9"/>
  <c r="AK15" i="9" s="1"/>
  <c r="AG15" i="9"/>
  <c r="AF15" i="9"/>
  <c r="AD15" i="9"/>
  <c r="AC15" i="9"/>
  <c r="AB15" i="9"/>
  <c r="AJ14" i="9"/>
  <c r="AI14" i="9"/>
  <c r="AG14" i="9"/>
  <c r="AF14" i="9"/>
  <c r="AH14" i="9" s="1"/>
  <c r="AD14" i="9"/>
  <c r="AC14" i="9"/>
  <c r="AE14" i="9" s="1"/>
  <c r="AB14" i="9"/>
  <c r="AJ13" i="9"/>
  <c r="AI13" i="9"/>
  <c r="AG13" i="9"/>
  <c r="AF13" i="9"/>
  <c r="AH13" i="9" s="1"/>
  <c r="AD13" i="9"/>
  <c r="AC13" i="9"/>
  <c r="AB13" i="9"/>
  <c r="AJ12" i="9"/>
  <c r="AI12" i="9"/>
  <c r="AG12" i="9"/>
  <c r="AF12" i="9"/>
  <c r="AD12" i="9"/>
  <c r="AC12" i="9"/>
  <c r="AB12" i="9"/>
  <c r="AJ11" i="9"/>
  <c r="AI11" i="9"/>
  <c r="AG11" i="9"/>
  <c r="AF11" i="9"/>
  <c r="AD11" i="9"/>
  <c r="AC11" i="9"/>
  <c r="AB11" i="9"/>
  <c r="AJ10" i="9"/>
  <c r="AI10" i="9"/>
  <c r="AG10" i="9"/>
  <c r="AF10" i="9"/>
  <c r="AD10" i="9"/>
  <c r="AC10" i="9"/>
  <c r="AB10" i="9"/>
  <c r="AJ9" i="9"/>
  <c r="AI9" i="9"/>
  <c r="AK9" i="9" s="1"/>
  <c r="AG9" i="9"/>
  <c r="AF9" i="9"/>
  <c r="AD9" i="9"/>
  <c r="AC9" i="9"/>
  <c r="AB9" i="9"/>
  <c r="AJ8" i="9"/>
  <c r="AI8" i="9"/>
  <c r="AG8" i="9"/>
  <c r="AF8" i="9"/>
  <c r="AD8" i="9"/>
  <c r="AC8" i="9"/>
  <c r="AB8" i="9"/>
  <c r="AJ7" i="9"/>
  <c r="AI7" i="9"/>
  <c r="AG7" i="9"/>
  <c r="AF7" i="9"/>
  <c r="AH7" i="9" s="1"/>
  <c r="AD7" i="9"/>
  <c r="AC7" i="9"/>
  <c r="AE7" i="9" s="1"/>
  <c r="AB7" i="9"/>
  <c r="AJ6" i="9"/>
  <c r="AI6" i="9"/>
  <c r="AG6" i="9"/>
  <c r="AF6" i="9"/>
  <c r="AD6" i="9"/>
  <c r="AC6" i="9"/>
  <c r="AB6" i="9"/>
  <c r="AJ5" i="9"/>
  <c r="AI5" i="9"/>
  <c r="AK5" i="9" s="1"/>
  <c r="AG5" i="9"/>
  <c r="AF5" i="9"/>
  <c r="AD5" i="9"/>
  <c r="AC5" i="9"/>
  <c r="AE5" i="9" s="1"/>
  <c r="AB5" i="9"/>
  <c r="AJ4" i="9"/>
  <c r="AI4" i="9"/>
  <c r="AG4" i="9"/>
  <c r="AF4" i="9"/>
  <c r="AD4" i="9"/>
  <c r="AC4" i="9"/>
  <c r="AB4" i="9"/>
  <c r="AH109" i="9" l="1"/>
  <c r="AE139" i="9"/>
  <c r="AE155" i="9"/>
  <c r="AK175" i="9"/>
  <c r="AH222" i="9"/>
  <c r="AH238" i="9"/>
  <c r="AK267" i="9"/>
  <c r="AE34" i="9"/>
  <c r="AH164" i="9"/>
  <c r="AK182" i="9"/>
  <c r="AH19" i="9"/>
  <c r="AE33" i="9"/>
  <c r="AH35" i="9"/>
  <c r="AH51" i="9"/>
  <c r="AK53" i="9"/>
  <c r="AK186" i="9"/>
  <c r="AK194" i="9"/>
  <c r="AE200" i="9"/>
  <c r="AH205" i="9"/>
  <c r="AH253" i="9"/>
  <c r="AE264" i="9"/>
  <c r="AH94" i="9"/>
  <c r="AH110" i="9"/>
  <c r="AE124" i="9"/>
  <c r="AK128" i="9"/>
  <c r="AH142" i="9"/>
  <c r="AE172" i="9"/>
  <c r="AH186" i="9"/>
  <c r="AK261" i="9"/>
  <c r="AH67" i="9"/>
  <c r="AH189" i="9"/>
  <c r="AH229" i="9"/>
  <c r="AH113" i="9"/>
  <c r="AH56" i="9"/>
  <c r="AH88" i="9"/>
  <c r="AE13" i="9"/>
  <c r="AK6" i="9"/>
  <c r="AE9" i="9"/>
  <c r="AH11" i="9"/>
  <c r="AK13" i="9"/>
  <c r="AK29" i="9"/>
  <c r="AE41" i="9"/>
  <c r="AH43" i="9"/>
  <c r="AK45" i="9"/>
  <c r="AE57" i="9"/>
  <c r="AH59" i="9"/>
  <c r="AK61" i="9"/>
  <c r="AE73" i="9"/>
  <c r="AH75" i="9"/>
  <c r="AE89" i="9"/>
  <c r="AH91" i="9"/>
  <c r="AK93" i="9"/>
  <c r="AE105" i="9"/>
  <c r="AH107" i="9"/>
  <c r="AK109" i="9"/>
  <c r="AE121" i="9"/>
  <c r="AH123" i="9"/>
  <c r="AK125" i="9"/>
  <c r="AK141" i="9"/>
  <c r="AE153" i="9"/>
  <c r="AH155" i="9"/>
  <c r="AK157" i="9"/>
  <c r="AK173" i="9"/>
  <c r="AH185" i="9"/>
  <c r="AE188" i="9"/>
  <c r="AK190" i="9"/>
  <c r="AH201" i="9"/>
  <c r="AK206" i="9"/>
  <c r="AH209" i="9"/>
  <c r="AE212" i="9"/>
  <c r="AK222" i="9"/>
  <c r="AE228" i="9"/>
  <c r="AK230" i="9"/>
  <c r="AH233" i="9"/>
  <c r="AK254" i="9"/>
  <c r="AE10" i="9"/>
  <c r="AH12" i="9"/>
  <c r="AK14" i="9"/>
  <c r="AH28" i="9"/>
  <c r="AK30" i="9"/>
  <c r="AE42" i="9"/>
  <c r="AH44" i="9"/>
  <c r="AK46" i="9"/>
  <c r="AE58" i="9"/>
  <c r="AK62" i="9"/>
  <c r="AE74" i="9"/>
  <c r="AH76" i="9"/>
  <c r="AK78" i="9"/>
  <c r="AE90" i="9"/>
  <c r="AK94" i="9"/>
  <c r="AE106" i="9"/>
  <c r="AH108" i="9"/>
  <c r="AK110" i="9"/>
  <c r="AK142" i="9"/>
  <c r="AK151" i="9"/>
  <c r="AE154" i="9"/>
  <c r="AH156" i="9"/>
  <c r="AK158" i="9"/>
  <c r="AH172" i="9"/>
  <c r="AK174" i="9"/>
  <c r="AE143" i="9"/>
  <c r="AK68" i="9"/>
  <c r="AK84" i="9"/>
  <c r="AE186" i="9"/>
  <c r="AH223" i="9"/>
  <c r="AK236" i="9"/>
  <c r="AE8" i="9"/>
  <c r="AH10" i="9"/>
  <c r="AK12" i="9"/>
  <c r="AE24" i="9"/>
  <c r="AH26" i="9"/>
  <c r="AK28" i="9"/>
  <c r="AE40" i="9"/>
  <c r="AE56" i="9"/>
  <c r="AH58" i="9"/>
  <c r="AK60" i="9"/>
  <c r="AE81" i="9"/>
  <c r="AE104" i="9"/>
  <c r="AH106" i="9"/>
  <c r="AK108" i="9"/>
  <c r="AE120" i="9"/>
  <c r="AH122" i="9"/>
  <c r="AE136" i="9"/>
  <c r="AH138" i="9"/>
  <c r="AK140" i="9"/>
  <c r="AK172" i="9"/>
  <c r="AE177" i="9"/>
  <c r="AH29" i="9"/>
  <c r="AK38" i="9"/>
  <c r="AH245" i="9"/>
  <c r="AK144" i="9"/>
  <c r="AE220" i="9"/>
  <c r="AH241" i="9"/>
  <c r="AK246" i="9"/>
  <c r="AE252" i="9"/>
  <c r="AH213" i="9"/>
  <c r="AH27" i="9"/>
  <c r="AK102" i="9"/>
  <c r="AH171" i="9"/>
  <c r="AK232" i="9"/>
  <c r="AE254" i="9"/>
  <c r="AH128" i="9"/>
  <c r="AE4" i="9"/>
  <c r="AK10" i="9"/>
  <c r="AH42" i="9"/>
  <c r="AK44" i="9"/>
  <c r="AK69" i="9"/>
  <c r="AH83" i="9"/>
  <c r="AK85" i="9"/>
  <c r="AK126" i="9"/>
  <c r="AH165" i="9"/>
  <c r="AK167" i="9"/>
  <c r="AH174" i="9"/>
  <c r="AE181" i="9"/>
  <c r="AK217" i="9"/>
  <c r="AH220" i="9"/>
  <c r="AK225" i="9"/>
  <c r="AH228" i="9"/>
  <c r="AH265" i="9"/>
  <c r="AK72" i="9"/>
  <c r="AE116" i="9"/>
  <c r="AE224" i="9"/>
  <c r="AE219" i="9"/>
  <c r="AK266" i="9"/>
  <c r="AH211" i="9"/>
  <c r="AK39" i="9"/>
  <c r="AE108" i="9"/>
  <c r="AH6" i="9"/>
  <c r="AK19" i="9"/>
  <c r="AE31" i="9"/>
  <c r="AH49" i="9"/>
  <c r="AK51" i="9"/>
  <c r="AH65" i="9"/>
  <c r="AE72" i="9"/>
  <c r="AH74" i="9"/>
  <c r="AK76" i="9"/>
  <c r="AH115" i="9"/>
  <c r="AK117" i="9"/>
  <c r="AK133" i="9"/>
  <c r="AH191" i="9"/>
  <c r="AK212" i="9"/>
  <c r="AH141" i="9"/>
  <c r="AE195" i="9"/>
  <c r="AH240" i="9"/>
  <c r="AH16" i="9"/>
  <c r="AH32" i="9"/>
  <c r="AB268" i="9"/>
  <c r="AE76" i="9"/>
  <c r="AK198" i="9"/>
  <c r="AK8" i="9"/>
  <c r="AE22" i="9"/>
  <c r="AK42" i="9"/>
  <c r="AE54" i="9"/>
  <c r="AE95" i="9"/>
  <c r="AH97" i="9"/>
  <c r="AK99" i="9"/>
  <c r="AK124" i="9"/>
  <c r="AE189" i="9"/>
  <c r="AK220" i="9"/>
  <c r="AK265" i="9"/>
  <c r="AH84" i="9"/>
  <c r="AE44" i="9"/>
  <c r="AE133" i="9"/>
  <c r="AE196" i="9"/>
  <c r="AH15" i="9"/>
  <c r="AK17" i="9"/>
  <c r="AE29" i="9"/>
  <c r="AK33" i="9"/>
  <c r="AE45" i="9"/>
  <c r="AH47" i="9"/>
  <c r="AK49" i="9"/>
  <c r="AE61" i="9"/>
  <c r="AH63" i="9"/>
  <c r="AK65" i="9"/>
  <c r="AE70" i="9"/>
  <c r="AK74" i="9"/>
  <c r="AE86" i="9"/>
  <c r="AK90" i="9"/>
  <c r="AE102" i="9"/>
  <c r="AH104" i="9"/>
  <c r="AK106" i="9"/>
  <c r="AE111" i="9"/>
  <c r="AK115" i="9"/>
  <c r="AE127" i="9"/>
  <c r="AH129" i="9"/>
  <c r="AK131" i="9"/>
  <c r="AH145" i="9"/>
  <c r="AE152" i="9"/>
  <c r="AH154" i="9"/>
  <c r="AE168" i="9"/>
  <c r="AK191" i="9"/>
  <c r="AH194" i="9"/>
  <c r="AE197" i="9"/>
  <c r="AK207" i="9"/>
  <c r="AH210" i="9"/>
  <c r="AE213" i="9"/>
  <c r="AK215" i="9"/>
  <c r="AH263" i="9"/>
  <c r="AH80" i="9"/>
  <c r="AK234" i="9"/>
  <c r="AK244" i="9"/>
  <c r="AH8" i="9"/>
  <c r="AK214" i="9"/>
  <c r="AH36" i="9"/>
  <c r="AH40" i="9"/>
  <c r="AH72" i="9"/>
  <c r="AH89" i="9"/>
  <c r="AH112" i="9"/>
  <c r="AH144" i="9"/>
  <c r="AE192" i="9"/>
  <c r="AK262" i="9"/>
  <c r="AE194" i="9"/>
  <c r="AK16" i="9"/>
  <c r="AK179" i="9"/>
  <c r="AH257" i="9"/>
  <c r="AK27" i="9"/>
  <c r="AH48" i="9"/>
  <c r="AH120" i="9"/>
  <c r="AH152" i="9"/>
  <c r="AH242" i="9"/>
  <c r="AE250" i="9"/>
  <c r="AE260" i="9"/>
  <c r="AE15" i="9"/>
  <c r="AH17" i="9"/>
  <c r="AK21" i="9"/>
  <c r="AE26" i="9"/>
  <c r="AH30" i="9"/>
  <c r="AK36" i="9"/>
  <c r="AK40" i="9"/>
  <c r="AE51" i="9"/>
  <c r="AE66" i="9"/>
  <c r="AH68" i="9"/>
  <c r="AH87" i="9"/>
  <c r="AK89" i="9"/>
  <c r="AK91" i="9"/>
  <c r="AK104" i="9"/>
  <c r="AK112" i="9"/>
  <c r="AE123" i="9"/>
  <c r="AE138" i="9"/>
  <c r="AH140" i="9"/>
  <c r="AK146" i="9"/>
  <c r="AK165" i="9"/>
  <c r="AE170" i="9"/>
  <c r="AE174" i="9"/>
  <c r="AE178" i="9"/>
  <c r="AH180" i="9"/>
  <c r="AK184" i="9"/>
  <c r="AH187" i="9"/>
  <c r="AH192" i="9"/>
  <c r="AH197" i="9"/>
  <c r="AK199" i="9"/>
  <c r="AH202" i="9"/>
  <c r="AE205" i="9"/>
  <c r="AE210" i="9"/>
  <c r="AH217" i="9"/>
  <c r="AK227" i="9"/>
  <c r="AH230" i="9"/>
  <c r="AH235" i="9"/>
  <c r="AE248" i="9"/>
  <c r="AE253" i="9"/>
  <c r="AH255" i="9"/>
  <c r="AE258" i="9"/>
  <c r="AE263" i="9"/>
  <c r="AH79" i="9"/>
  <c r="AH96" i="9"/>
  <c r="AH5" i="9"/>
  <c r="AH9" i="9"/>
  <c r="AK11" i="9"/>
  <c r="AE18" i="9"/>
  <c r="AH24" i="9"/>
  <c r="AH41" i="9"/>
  <c r="AH60" i="9"/>
  <c r="AK64" i="9"/>
  <c r="AE71" i="9"/>
  <c r="AH73" i="9"/>
  <c r="AE88" i="9"/>
  <c r="AH90" i="9"/>
  <c r="AH92" i="9"/>
  <c r="AK96" i="9"/>
  <c r="AH105" i="9"/>
  <c r="AE130" i="9"/>
  <c r="AK136" i="9"/>
  <c r="AH147" i="9"/>
  <c r="AH149" i="9"/>
  <c r="AH157" i="9"/>
  <c r="AK159" i="9"/>
  <c r="AH166" i="9"/>
  <c r="AH168" i="9"/>
  <c r="AK176" i="9"/>
  <c r="AE183" i="9"/>
  <c r="AE198" i="9"/>
  <c r="AH208" i="9"/>
  <c r="AE216" i="9"/>
  <c r="AH218" i="9"/>
  <c r="AE226" i="9"/>
  <c r="AE231" i="9"/>
  <c r="AE236" i="9"/>
  <c r="AE241" i="9"/>
  <c r="AK248" i="9"/>
  <c r="AH251" i="9"/>
  <c r="AK263" i="9"/>
  <c r="AK67" i="9"/>
  <c r="AK87" i="9"/>
  <c r="AH170" i="9"/>
  <c r="AE256" i="9"/>
  <c r="AH160" i="9"/>
  <c r="AH239" i="9"/>
  <c r="AK52" i="9"/>
  <c r="AH225" i="9"/>
  <c r="AK202" i="9"/>
  <c r="AH64" i="9"/>
  <c r="AH136" i="9"/>
  <c r="AK77" i="9"/>
  <c r="AE84" i="9"/>
  <c r="AK147" i="9"/>
  <c r="AK155" i="9"/>
  <c r="AK168" i="9"/>
  <c r="AE171" i="9"/>
  <c r="AE179" i="9"/>
  <c r="AH183" i="9"/>
  <c r="AH193" i="9"/>
  <c r="AH198" i="9"/>
  <c r="AK208" i="9"/>
  <c r="AK213" i="9"/>
  <c r="AK218" i="9"/>
  <c r="AE221" i="9"/>
  <c r="AH226" i="9"/>
  <c r="AK238" i="9"/>
  <c r="AH215" i="9"/>
  <c r="AE190" i="9"/>
  <c r="AH176" i="9"/>
  <c r="AK7" i="9"/>
  <c r="AE12" i="9"/>
  <c r="AK20" i="9"/>
  <c r="AH33" i="9"/>
  <c r="AK58" i="9"/>
  <c r="AE65" i="9"/>
  <c r="AH69" i="9"/>
  <c r="AH86" i="9"/>
  <c r="AK92" i="9"/>
  <c r="AE97" i="9"/>
  <c r="AH99" i="9"/>
  <c r="AK103" i="9"/>
  <c r="AE137" i="9"/>
  <c r="AH139" i="9"/>
  <c r="AE175" i="9"/>
  <c r="AH181" i="9"/>
  <c r="AE191" i="9"/>
  <c r="AK193" i="9"/>
  <c r="AE201" i="9"/>
  <c r="AK203" i="9"/>
  <c r="AH221" i="9"/>
  <c r="AE229" i="9"/>
  <c r="AE234" i="9"/>
  <c r="AE239" i="9"/>
  <c r="AE244" i="9"/>
  <c r="AH259" i="9"/>
  <c r="AE204" i="9"/>
  <c r="AE11" i="9"/>
  <c r="AK34" i="9"/>
  <c r="AK260" i="9"/>
  <c r="AE266" i="9"/>
  <c r="AK18" i="9"/>
  <c r="AE25" i="9"/>
  <c r="AH31" i="9"/>
  <c r="AK35" i="9"/>
  <c r="AK37" i="9"/>
  <c r="AE50" i="9"/>
  <c r="AH52" i="9"/>
  <c r="AK71" i="9"/>
  <c r="AE78" i="9"/>
  <c r="AE80" i="9"/>
  <c r="AH82" i="9"/>
  <c r="AK88" i="9"/>
  <c r="AK101" i="9"/>
  <c r="AK111" i="9"/>
  <c r="AE122" i="9"/>
  <c r="AH124" i="9"/>
  <c r="AH126" i="9"/>
  <c r="AK143" i="9"/>
  <c r="AE158" i="9"/>
  <c r="AE169" i="9"/>
  <c r="AH179" i="9"/>
  <c r="AK183" i="9"/>
  <c r="AK188" i="9"/>
  <c r="AH206" i="9"/>
  <c r="AE209" i="9"/>
  <c r="AE214" i="9"/>
  <c r="AK226" i="9"/>
  <c r="AK231" i="9"/>
  <c r="AK241" i="9"/>
  <c r="AH249" i="9"/>
  <c r="AH254" i="9"/>
  <c r="AE257" i="9"/>
  <c r="AE267" i="9"/>
  <c r="AF268" i="9"/>
  <c r="AC268" i="9"/>
  <c r="AG268" i="9"/>
  <c r="AD268" i="9"/>
  <c r="AH4" i="9"/>
  <c r="AE6" i="9"/>
  <c r="AI268" i="9"/>
  <c r="AJ268" i="9"/>
  <c r="AK4" i="9"/>
  <c r="AK156" i="9"/>
  <c r="AH54" i="9"/>
  <c r="AH22" i="9"/>
  <c r="AK180" i="9"/>
  <c r="AE268" i="9" l="1"/>
  <c r="AH268" i="9"/>
  <c r="AK268" i="9"/>
  <c r="AA353" i="4" l="1"/>
  <c r="Z353" i="4"/>
  <c r="Y353" i="4"/>
  <c r="X353" i="4"/>
  <c r="W353" i="4"/>
  <c r="V353" i="4"/>
  <c r="U353" i="4"/>
  <c r="AJ352" i="4"/>
  <c r="AI352" i="4"/>
  <c r="AD352" i="4"/>
  <c r="AC352" i="4"/>
  <c r="AB352" i="4"/>
  <c r="L352" i="4"/>
  <c r="AF352" i="4" s="1"/>
  <c r="AJ351" i="4"/>
  <c r="AI351" i="4"/>
  <c r="AD351" i="4"/>
  <c r="AC351" i="4"/>
  <c r="AB351" i="4"/>
  <c r="L351" i="4"/>
  <c r="AF351" i="4" s="1"/>
  <c r="AJ350" i="4"/>
  <c r="AI350" i="4"/>
  <c r="AD350" i="4"/>
  <c r="AC350" i="4"/>
  <c r="AB350" i="4"/>
  <c r="L350" i="4"/>
  <c r="AF350" i="4" s="1"/>
  <c r="AJ349" i="4"/>
  <c r="AI349" i="4"/>
  <c r="AD349" i="4"/>
  <c r="AC349" i="4"/>
  <c r="AB349" i="4"/>
  <c r="L349" i="4"/>
  <c r="AG349" i="4" s="1"/>
  <c r="AJ348" i="4"/>
  <c r="AI348" i="4"/>
  <c r="AD348" i="4"/>
  <c r="AC348" i="4"/>
  <c r="AB348" i="4"/>
  <c r="L348" i="4"/>
  <c r="AJ347" i="4"/>
  <c r="AI347" i="4"/>
  <c r="AD347" i="4"/>
  <c r="AC347" i="4"/>
  <c r="AB347" i="4"/>
  <c r="L347" i="4"/>
  <c r="AG347" i="4" s="1"/>
  <c r="AJ346" i="4"/>
  <c r="AI346" i="4"/>
  <c r="AD346" i="4"/>
  <c r="AC346" i="4"/>
  <c r="AB346" i="4"/>
  <c r="L346" i="4"/>
  <c r="AJ345" i="4"/>
  <c r="AI345" i="4"/>
  <c r="AD345" i="4"/>
  <c r="AC345" i="4"/>
  <c r="AB345" i="4"/>
  <c r="L345" i="4"/>
  <c r="AG345" i="4" s="1"/>
  <c r="AJ344" i="4"/>
  <c r="AI344" i="4"/>
  <c r="AD344" i="4"/>
  <c r="AC344" i="4"/>
  <c r="AB344" i="4"/>
  <c r="L344" i="4"/>
  <c r="AJ343" i="4"/>
  <c r="AI343" i="4"/>
  <c r="AD343" i="4"/>
  <c r="AC343" i="4"/>
  <c r="AB343" i="4"/>
  <c r="L343" i="4"/>
  <c r="AJ342" i="4"/>
  <c r="AI342" i="4"/>
  <c r="AD342" i="4"/>
  <c r="AC342" i="4"/>
  <c r="AB342" i="4"/>
  <c r="L342" i="4"/>
  <c r="AG342" i="4" s="1"/>
  <c r="AJ341" i="4"/>
  <c r="AI341" i="4"/>
  <c r="AD341" i="4"/>
  <c r="AC341" i="4"/>
  <c r="AB341" i="4"/>
  <c r="L341" i="4"/>
  <c r="AG341" i="4" s="1"/>
  <c r="AJ340" i="4"/>
  <c r="AI340" i="4"/>
  <c r="AD340" i="4"/>
  <c r="AC340" i="4"/>
  <c r="AB340" i="4"/>
  <c r="L340" i="4"/>
  <c r="AJ339" i="4"/>
  <c r="AI339" i="4"/>
  <c r="AD339" i="4"/>
  <c r="AC339" i="4"/>
  <c r="AB339" i="4"/>
  <c r="L339" i="4"/>
  <c r="AG339" i="4" s="1"/>
  <c r="AJ338" i="4"/>
  <c r="AI338" i="4"/>
  <c r="AD338" i="4"/>
  <c r="AC338" i="4"/>
  <c r="AB338" i="4"/>
  <c r="L338" i="4"/>
  <c r="AG338" i="4" s="1"/>
  <c r="AJ337" i="4"/>
  <c r="AI337" i="4"/>
  <c r="AD337" i="4"/>
  <c r="AC337" i="4"/>
  <c r="AB337" i="4"/>
  <c r="L337" i="4"/>
  <c r="AF337" i="4" s="1"/>
  <c r="AJ336" i="4"/>
  <c r="AI336" i="4"/>
  <c r="AD336" i="4"/>
  <c r="AC336" i="4"/>
  <c r="AB336" i="4"/>
  <c r="L336" i="4"/>
  <c r="AG336" i="4" s="1"/>
  <c r="AJ335" i="4"/>
  <c r="AI335" i="4"/>
  <c r="AD335" i="4"/>
  <c r="AC335" i="4"/>
  <c r="AB335" i="4"/>
  <c r="L335" i="4"/>
  <c r="AJ334" i="4"/>
  <c r="AI334" i="4"/>
  <c r="AD334" i="4"/>
  <c r="AC334" i="4"/>
  <c r="AB334" i="4"/>
  <c r="L334" i="4"/>
  <c r="AG334" i="4" s="1"/>
  <c r="AJ333" i="4"/>
  <c r="AI333" i="4"/>
  <c r="AD333" i="4"/>
  <c r="AC333" i="4"/>
  <c r="AB333" i="4"/>
  <c r="L333" i="4"/>
  <c r="AJ332" i="4"/>
  <c r="AI332" i="4"/>
  <c r="AD332" i="4"/>
  <c r="AC332" i="4"/>
  <c r="AB332" i="4"/>
  <c r="L332" i="4"/>
  <c r="AF332" i="4" s="1"/>
  <c r="AJ331" i="4"/>
  <c r="AI331" i="4"/>
  <c r="AD331" i="4"/>
  <c r="AC331" i="4"/>
  <c r="AB331" i="4"/>
  <c r="L331" i="4"/>
  <c r="AG331" i="4" s="1"/>
  <c r="AJ330" i="4"/>
  <c r="AI330" i="4"/>
  <c r="AK330" i="4" s="1"/>
  <c r="AD330" i="4"/>
  <c r="AC330" i="4"/>
  <c r="AB330" i="4"/>
  <c r="L330" i="4"/>
  <c r="AJ329" i="4"/>
  <c r="AI329" i="4"/>
  <c r="AD329" i="4"/>
  <c r="AC329" i="4"/>
  <c r="AB329" i="4"/>
  <c r="L329" i="4"/>
  <c r="AF329" i="4" s="1"/>
  <c r="AJ328" i="4"/>
  <c r="AI328" i="4"/>
  <c r="AD328" i="4"/>
  <c r="AC328" i="4"/>
  <c r="AB328" i="4"/>
  <c r="L328" i="4"/>
  <c r="AF328" i="4" s="1"/>
  <c r="AJ327" i="4"/>
  <c r="AI327" i="4"/>
  <c r="AD327" i="4"/>
  <c r="AC327" i="4"/>
  <c r="AB327" i="4"/>
  <c r="L327" i="4"/>
  <c r="AG327" i="4" s="1"/>
  <c r="AJ326" i="4"/>
  <c r="AI326" i="4"/>
  <c r="AD326" i="4"/>
  <c r="AC326" i="4"/>
  <c r="AB326" i="4"/>
  <c r="L326" i="4"/>
  <c r="AJ325" i="4"/>
  <c r="AI325" i="4"/>
  <c r="AD325" i="4"/>
  <c r="AC325" i="4"/>
  <c r="AB325" i="4"/>
  <c r="L325" i="4"/>
  <c r="AF325" i="4" s="1"/>
  <c r="AJ324" i="4"/>
  <c r="AI324" i="4"/>
  <c r="AD324" i="4"/>
  <c r="AC324" i="4"/>
  <c r="AB324" i="4"/>
  <c r="L324" i="4"/>
  <c r="AG324" i="4" s="1"/>
  <c r="AJ323" i="4"/>
  <c r="AI323" i="4"/>
  <c r="AD323" i="4"/>
  <c r="AC323" i="4"/>
  <c r="AB323" i="4"/>
  <c r="L323" i="4"/>
  <c r="AG323" i="4" s="1"/>
  <c r="AJ322" i="4"/>
  <c r="AI322" i="4"/>
  <c r="AK322" i="4" s="1"/>
  <c r="AG322" i="4"/>
  <c r="AD322" i="4"/>
  <c r="AC322" i="4"/>
  <c r="AB322" i="4"/>
  <c r="L322" i="4"/>
  <c r="AF322" i="4" s="1"/>
  <c r="AJ321" i="4"/>
  <c r="AI321" i="4"/>
  <c r="AD321" i="4"/>
  <c r="AC321" i="4"/>
  <c r="AB321" i="4"/>
  <c r="L321" i="4"/>
  <c r="AF321" i="4" s="1"/>
  <c r="AJ320" i="4"/>
  <c r="AI320" i="4"/>
  <c r="AD320" i="4"/>
  <c r="AC320" i="4"/>
  <c r="AB320" i="4"/>
  <c r="L320" i="4"/>
  <c r="AG320" i="4" s="1"/>
  <c r="AJ319" i="4"/>
  <c r="AI319" i="4"/>
  <c r="AD319" i="4"/>
  <c r="AC319" i="4"/>
  <c r="AB319" i="4"/>
  <c r="L319" i="4"/>
  <c r="AJ318" i="4"/>
  <c r="AI318" i="4"/>
  <c r="AD318" i="4"/>
  <c r="AC318" i="4"/>
  <c r="AB318" i="4"/>
  <c r="L318" i="4"/>
  <c r="AG318" i="4" s="1"/>
  <c r="AJ317" i="4"/>
  <c r="AI317" i="4"/>
  <c r="AD317" i="4"/>
  <c r="AC317" i="4"/>
  <c r="AB317" i="4"/>
  <c r="L317" i="4"/>
  <c r="AF317" i="4" s="1"/>
  <c r="AJ316" i="4"/>
  <c r="AI316" i="4"/>
  <c r="AD316" i="4"/>
  <c r="AC316" i="4"/>
  <c r="AB316" i="4"/>
  <c r="L316" i="4"/>
  <c r="AJ315" i="4"/>
  <c r="AI315" i="4"/>
  <c r="AD315" i="4"/>
  <c r="AC315" i="4"/>
  <c r="AB315" i="4"/>
  <c r="L315" i="4"/>
  <c r="AG315" i="4" s="1"/>
  <c r="AJ314" i="4"/>
  <c r="AI314" i="4"/>
  <c r="AK314" i="4" s="1"/>
  <c r="AD314" i="4"/>
  <c r="AC314" i="4"/>
  <c r="AB314" i="4"/>
  <c r="L314" i="4"/>
  <c r="AF314" i="4" s="1"/>
  <c r="AJ313" i="4"/>
  <c r="AI313" i="4"/>
  <c r="AD313" i="4"/>
  <c r="AC313" i="4"/>
  <c r="AB313" i="4"/>
  <c r="L313" i="4"/>
  <c r="AG313" i="4" s="1"/>
  <c r="AJ312" i="4"/>
  <c r="AI312" i="4"/>
  <c r="AD312" i="4"/>
  <c r="AC312" i="4"/>
  <c r="AB312" i="4"/>
  <c r="L312" i="4"/>
  <c r="AF312" i="4" s="1"/>
  <c r="AJ311" i="4"/>
  <c r="AI311" i="4"/>
  <c r="AD311" i="4"/>
  <c r="AC311" i="4"/>
  <c r="AB311" i="4"/>
  <c r="L311" i="4"/>
  <c r="AG311" i="4" s="1"/>
  <c r="AJ310" i="4"/>
  <c r="AI310" i="4"/>
  <c r="AD310" i="4"/>
  <c r="AC310" i="4"/>
  <c r="AB310" i="4"/>
  <c r="L310" i="4"/>
  <c r="AJ309" i="4"/>
  <c r="AI309" i="4"/>
  <c r="AD309" i="4"/>
  <c r="AC309" i="4"/>
  <c r="AB309" i="4"/>
  <c r="L309" i="4"/>
  <c r="AG309" i="4" s="1"/>
  <c r="AJ308" i="4"/>
  <c r="AI308" i="4"/>
  <c r="AD308" i="4"/>
  <c r="AC308" i="4"/>
  <c r="AB308" i="4"/>
  <c r="L308" i="4"/>
  <c r="AF308" i="4" s="1"/>
  <c r="AJ307" i="4"/>
  <c r="AI307" i="4"/>
  <c r="AD307" i="4"/>
  <c r="AC307" i="4"/>
  <c r="AB307" i="4"/>
  <c r="L307" i="4"/>
  <c r="AG307" i="4" s="1"/>
  <c r="AJ306" i="4"/>
  <c r="AI306" i="4"/>
  <c r="AD306" i="4"/>
  <c r="AC306" i="4"/>
  <c r="AB306" i="4"/>
  <c r="L306" i="4"/>
  <c r="AG306" i="4" s="1"/>
  <c r="AJ305" i="4"/>
  <c r="AI305" i="4"/>
  <c r="AD305" i="4"/>
  <c r="AC305" i="4"/>
  <c r="AB305" i="4"/>
  <c r="L305" i="4"/>
  <c r="AJ304" i="4"/>
  <c r="AI304" i="4"/>
  <c r="AD304" i="4"/>
  <c r="AC304" i="4"/>
  <c r="AB304" i="4"/>
  <c r="L304" i="4"/>
  <c r="AG304" i="4" s="1"/>
  <c r="AJ303" i="4"/>
  <c r="AI303" i="4"/>
  <c r="AD303" i="4"/>
  <c r="AC303" i="4"/>
  <c r="AB303" i="4"/>
  <c r="L303" i="4"/>
  <c r="AG303" i="4" s="1"/>
  <c r="AJ302" i="4"/>
  <c r="AI302" i="4"/>
  <c r="AD302" i="4"/>
  <c r="AC302" i="4"/>
  <c r="AB302" i="4"/>
  <c r="L302" i="4"/>
  <c r="AG302" i="4" s="1"/>
  <c r="AJ301" i="4"/>
  <c r="AI301" i="4"/>
  <c r="AD301" i="4"/>
  <c r="AC301" i="4"/>
  <c r="AB301" i="4"/>
  <c r="L301" i="4"/>
  <c r="AF301" i="4" s="1"/>
  <c r="AJ300" i="4"/>
  <c r="AI300" i="4"/>
  <c r="AD300" i="4"/>
  <c r="AC300" i="4"/>
  <c r="AB300" i="4"/>
  <c r="L300" i="4"/>
  <c r="AJ299" i="4"/>
  <c r="AI299" i="4"/>
  <c r="AD299" i="4"/>
  <c r="AC299" i="4"/>
  <c r="AB299" i="4"/>
  <c r="L299" i="4"/>
  <c r="AG299" i="4" s="1"/>
  <c r="AJ298" i="4"/>
  <c r="AI298" i="4"/>
  <c r="AK298" i="4" s="1"/>
  <c r="AD298" i="4"/>
  <c r="AC298" i="4"/>
  <c r="AB298" i="4"/>
  <c r="L298" i="4"/>
  <c r="AJ297" i="4"/>
  <c r="AI297" i="4"/>
  <c r="AD297" i="4"/>
  <c r="AC297" i="4"/>
  <c r="AB297" i="4"/>
  <c r="L297" i="4"/>
  <c r="AG297" i="4" s="1"/>
  <c r="AJ296" i="4"/>
  <c r="AI296" i="4"/>
  <c r="AD296" i="4"/>
  <c r="AC296" i="4"/>
  <c r="AB296" i="4"/>
  <c r="L296" i="4"/>
  <c r="AG296" i="4" s="1"/>
  <c r="AJ295" i="4"/>
  <c r="AI295" i="4"/>
  <c r="AD295" i="4"/>
  <c r="AC295" i="4"/>
  <c r="AB295" i="4"/>
  <c r="L295" i="4"/>
  <c r="AJ294" i="4"/>
  <c r="AI294" i="4"/>
  <c r="AD294" i="4"/>
  <c r="AC294" i="4"/>
  <c r="AB294" i="4"/>
  <c r="L294" i="4"/>
  <c r="AJ293" i="4"/>
  <c r="AI293" i="4"/>
  <c r="AD293" i="4"/>
  <c r="AC293" i="4"/>
  <c r="AB293" i="4"/>
  <c r="L293" i="4"/>
  <c r="AG293" i="4" s="1"/>
  <c r="AJ292" i="4"/>
  <c r="AI292" i="4"/>
  <c r="AD292" i="4"/>
  <c r="AC292" i="4"/>
  <c r="AB292" i="4"/>
  <c r="L292" i="4"/>
  <c r="AG292" i="4" s="1"/>
  <c r="AJ291" i="4"/>
  <c r="AI291" i="4"/>
  <c r="AD291" i="4"/>
  <c r="AC291" i="4"/>
  <c r="AB291" i="4"/>
  <c r="L291" i="4"/>
  <c r="AG291" i="4" s="1"/>
  <c r="AJ290" i="4"/>
  <c r="AI290" i="4"/>
  <c r="AK290" i="4" s="1"/>
  <c r="AD290" i="4"/>
  <c r="AC290" i="4"/>
  <c r="AB290" i="4"/>
  <c r="L290" i="4"/>
  <c r="AF290" i="4" s="1"/>
  <c r="AJ289" i="4"/>
  <c r="AI289" i="4"/>
  <c r="AD289" i="4"/>
  <c r="AC289" i="4"/>
  <c r="AB289" i="4"/>
  <c r="L289" i="4"/>
  <c r="AF289" i="4" s="1"/>
  <c r="AJ288" i="4"/>
  <c r="AI288" i="4"/>
  <c r="AD288" i="4"/>
  <c r="AC288" i="4"/>
  <c r="AB288" i="4"/>
  <c r="L288" i="4"/>
  <c r="AG288" i="4" s="1"/>
  <c r="AJ287" i="4"/>
  <c r="AI287" i="4"/>
  <c r="AD287" i="4"/>
  <c r="AC287" i="4"/>
  <c r="AB287" i="4"/>
  <c r="L287" i="4"/>
  <c r="AG287" i="4" s="1"/>
  <c r="AJ286" i="4"/>
  <c r="AI286" i="4"/>
  <c r="AD286" i="4"/>
  <c r="AC286" i="4"/>
  <c r="AB286" i="4"/>
  <c r="L286" i="4"/>
  <c r="AG286" i="4" s="1"/>
  <c r="AJ285" i="4"/>
  <c r="AI285" i="4"/>
  <c r="AD285" i="4"/>
  <c r="AC285" i="4"/>
  <c r="AB285" i="4"/>
  <c r="L285" i="4"/>
  <c r="AJ284" i="4"/>
  <c r="AI284" i="4"/>
  <c r="AD284" i="4"/>
  <c r="AC284" i="4"/>
  <c r="AB284" i="4"/>
  <c r="L284" i="4"/>
  <c r="AF284" i="4" s="1"/>
  <c r="AJ283" i="4"/>
  <c r="AI283" i="4"/>
  <c r="AD283" i="4"/>
  <c r="AC283" i="4"/>
  <c r="AB283" i="4"/>
  <c r="L283" i="4"/>
  <c r="AG283" i="4" s="1"/>
  <c r="AJ282" i="4"/>
  <c r="AI282" i="4"/>
  <c r="AD282" i="4"/>
  <c r="AC282" i="4"/>
  <c r="AB282" i="4"/>
  <c r="L282" i="4"/>
  <c r="AF282" i="4" s="1"/>
  <c r="AJ281" i="4"/>
  <c r="AI281" i="4"/>
  <c r="AD281" i="4"/>
  <c r="AC281" i="4"/>
  <c r="AB281" i="4"/>
  <c r="L281" i="4"/>
  <c r="AG281" i="4" s="1"/>
  <c r="AJ280" i="4"/>
  <c r="AI280" i="4"/>
  <c r="AD280" i="4"/>
  <c r="AC280" i="4"/>
  <c r="AB280" i="4"/>
  <c r="L280" i="4"/>
  <c r="AF280" i="4" s="1"/>
  <c r="AJ279" i="4"/>
  <c r="AI279" i="4"/>
  <c r="AD279" i="4"/>
  <c r="AC279" i="4"/>
  <c r="AB279" i="4"/>
  <c r="L279" i="4"/>
  <c r="AJ278" i="4"/>
  <c r="AI278" i="4"/>
  <c r="AD278" i="4"/>
  <c r="AC278" i="4"/>
  <c r="AB278" i="4"/>
  <c r="L278" i="4"/>
  <c r="AJ277" i="4"/>
  <c r="AI277" i="4"/>
  <c r="AD277" i="4"/>
  <c r="AC277" i="4"/>
  <c r="AB277" i="4"/>
  <c r="L277" i="4"/>
  <c r="AG277" i="4" s="1"/>
  <c r="AJ276" i="4"/>
  <c r="AI276" i="4"/>
  <c r="AD276" i="4"/>
  <c r="AC276" i="4"/>
  <c r="AB276" i="4"/>
  <c r="L276" i="4"/>
  <c r="AG276" i="4" s="1"/>
  <c r="AJ275" i="4"/>
  <c r="AI275" i="4"/>
  <c r="AD275" i="4"/>
  <c r="AC275" i="4"/>
  <c r="AB275" i="4"/>
  <c r="L275" i="4"/>
  <c r="AG275" i="4" s="1"/>
  <c r="AJ274" i="4"/>
  <c r="AI274" i="4"/>
  <c r="AD274" i="4"/>
  <c r="AC274" i="4"/>
  <c r="AB274" i="4"/>
  <c r="L274" i="4"/>
  <c r="AG274" i="4" s="1"/>
  <c r="AJ273" i="4"/>
  <c r="AI273" i="4"/>
  <c r="AD273" i="4"/>
  <c r="AC273" i="4"/>
  <c r="AB273" i="4"/>
  <c r="L273" i="4"/>
  <c r="AJ272" i="4"/>
  <c r="AI272" i="4"/>
  <c r="AD272" i="4"/>
  <c r="AC272" i="4"/>
  <c r="AB272" i="4"/>
  <c r="L272" i="4"/>
  <c r="AG272" i="4" s="1"/>
  <c r="AJ271" i="4"/>
  <c r="AI271" i="4"/>
  <c r="AD271" i="4"/>
  <c r="AC271" i="4"/>
  <c r="AB271" i="4"/>
  <c r="L271" i="4"/>
  <c r="AG271" i="4" s="1"/>
  <c r="AJ270" i="4"/>
  <c r="AI270" i="4"/>
  <c r="AD270" i="4"/>
  <c r="AC270" i="4"/>
  <c r="AB270" i="4"/>
  <c r="L270" i="4"/>
  <c r="AG270" i="4" s="1"/>
  <c r="AJ269" i="4"/>
  <c r="AI269" i="4"/>
  <c r="AD269" i="4"/>
  <c r="AC269" i="4"/>
  <c r="AB269" i="4"/>
  <c r="L269" i="4"/>
  <c r="AJ268" i="4"/>
  <c r="AI268" i="4"/>
  <c r="AD268" i="4"/>
  <c r="AC268" i="4"/>
  <c r="AB268" i="4"/>
  <c r="L268" i="4"/>
  <c r="AJ267" i="4"/>
  <c r="AI267" i="4"/>
  <c r="AD267" i="4"/>
  <c r="AC267" i="4"/>
  <c r="AB267" i="4"/>
  <c r="L267" i="4"/>
  <c r="AF267" i="4" s="1"/>
  <c r="AJ266" i="4"/>
  <c r="AI266" i="4"/>
  <c r="AD266" i="4"/>
  <c r="AC266" i="4"/>
  <c r="AB266" i="4"/>
  <c r="L266" i="4"/>
  <c r="AF266" i="4" s="1"/>
  <c r="AJ265" i="4"/>
  <c r="AI265" i="4"/>
  <c r="AD265" i="4"/>
  <c r="AC265" i="4"/>
  <c r="AB265" i="4"/>
  <c r="L265" i="4"/>
  <c r="AG265" i="4" s="1"/>
  <c r="AJ264" i="4"/>
  <c r="AI264" i="4"/>
  <c r="AD264" i="4"/>
  <c r="AC264" i="4"/>
  <c r="AB264" i="4"/>
  <c r="L264" i="4"/>
  <c r="AF264" i="4" s="1"/>
  <c r="AJ263" i="4"/>
  <c r="AI263" i="4"/>
  <c r="AD263" i="4"/>
  <c r="AC263" i="4"/>
  <c r="AB263" i="4"/>
  <c r="L263" i="4"/>
  <c r="AJ262" i="4"/>
  <c r="AI262" i="4"/>
  <c r="AK262" i="4" s="1"/>
  <c r="AD262" i="4"/>
  <c r="AC262" i="4"/>
  <c r="AB262" i="4"/>
  <c r="L262" i="4"/>
  <c r="AJ261" i="4"/>
  <c r="AI261" i="4"/>
  <c r="AD261" i="4"/>
  <c r="AC261" i="4"/>
  <c r="AB261" i="4"/>
  <c r="L261" i="4"/>
  <c r="AG261" i="4" s="1"/>
  <c r="AJ260" i="4"/>
  <c r="AI260" i="4"/>
  <c r="AD260" i="4"/>
  <c r="AC260" i="4"/>
  <c r="AB260" i="4"/>
  <c r="L260" i="4"/>
  <c r="AG260" i="4" s="1"/>
  <c r="AJ259" i="4"/>
  <c r="AI259" i="4"/>
  <c r="AD259" i="4"/>
  <c r="AC259" i="4"/>
  <c r="AB259" i="4"/>
  <c r="L259" i="4"/>
  <c r="AG259" i="4" s="1"/>
  <c r="AJ258" i="4"/>
  <c r="AI258" i="4"/>
  <c r="AD258" i="4"/>
  <c r="AC258" i="4"/>
  <c r="AB258" i="4"/>
  <c r="L258" i="4"/>
  <c r="AF258" i="4" s="1"/>
  <c r="AJ257" i="4"/>
  <c r="AI257" i="4"/>
  <c r="AD257" i="4"/>
  <c r="AC257" i="4"/>
  <c r="AE257" i="4" s="1"/>
  <c r="AB257" i="4"/>
  <c r="L257" i="4"/>
  <c r="AF257" i="4" s="1"/>
  <c r="AJ256" i="4"/>
  <c r="AI256" i="4"/>
  <c r="AD256" i="4"/>
  <c r="AC256" i="4"/>
  <c r="AB256" i="4"/>
  <c r="L256" i="4"/>
  <c r="AG256" i="4" s="1"/>
  <c r="AJ255" i="4"/>
  <c r="AI255" i="4"/>
  <c r="AD255" i="4"/>
  <c r="AC255" i="4"/>
  <c r="AB255" i="4"/>
  <c r="L255" i="4"/>
  <c r="AG255" i="4" s="1"/>
  <c r="AJ254" i="4"/>
  <c r="AI254" i="4"/>
  <c r="AD254" i="4"/>
  <c r="AC254" i="4"/>
  <c r="AB254" i="4"/>
  <c r="L254" i="4"/>
  <c r="AG254" i="4" s="1"/>
  <c r="AJ253" i="4"/>
  <c r="AI253" i="4"/>
  <c r="AD253" i="4"/>
  <c r="AC253" i="4"/>
  <c r="AB253" i="4"/>
  <c r="L253" i="4"/>
  <c r="AJ252" i="4"/>
  <c r="AI252" i="4"/>
  <c r="AD252" i="4"/>
  <c r="AC252" i="4"/>
  <c r="AB252" i="4"/>
  <c r="L252" i="4"/>
  <c r="AF252" i="4" s="1"/>
  <c r="AJ251" i="4"/>
  <c r="AI251" i="4"/>
  <c r="AD251" i="4"/>
  <c r="AC251" i="4"/>
  <c r="AB251" i="4"/>
  <c r="L251" i="4"/>
  <c r="AG251" i="4" s="1"/>
  <c r="AJ250" i="4"/>
  <c r="AI250" i="4"/>
  <c r="AD250" i="4"/>
  <c r="AC250" i="4"/>
  <c r="AB250" i="4"/>
  <c r="L250" i="4"/>
  <c r="AF250" i="4" s="1"/>
  <c r="AJ249" i="4"/>
  <c r="AI249" i="4"/>
  <c r="AD249" i="4"/>
  <c r="AC249" i="4"/>
  <c r="AB249" i="4"/>
  <c r="L249" i="4"/>
  <c r="AG249" i="4" s="1"/>
  <c r="AJ248" i="4"/>
  <c r="AI248" i="4"/>
  <c r="AD248" i="4"/>
  <c r="AC248" i="4"/>
  <c r="AE248" i="4" s="1"/>
  <c r="AB248" i="4"/>
  <c r="L248" i="4"/>
  <c r="AG248" i="4" s="1"/>
  <c r="AJ247" i="4"/>
  <c r="AI247" i="4"/>
  <c r="AD247" i="4"/>
  <c r="AC247" i="4"/>
  <c r="AB247" i="4"/>
  <c r="L247" i="4"/>
  <c r="AJ246" i="4"/>
  <c r="AI246" i="4"/>
  <c r="AD246" i="4"/>
  <c r="AC246" i="4"/>
  <c r="AB246" i="4"/>
  <c r="L246" i="4"/>
  <c r="AJ245" i="4"/>
  <c r="AI245" i="4"/>
  <c r="AK245" i="4" s="1"/>
  <c r="AD245" i="4"/>
  <c r="AC245" i="4"/>
  <c r="AB245" i="4"/>
  <c r="L245" i="4"/>
  <c r="AF245" i="4" s="1"/>
  <c r="AJ244" i="4"/>
  <c r="AI244" i="4"/>
  <c r="AD244" i="4"/>
  <c r="AC244" i="4"/>
  <c r="AB244" i="4"/>
  <c r="L244" i="4"/>
  <c r="AG244" i="4" s="1"/>
  <c r="AJ243" i="4"/>
  <c r="AI243" i="4"/>
  <c r="AD243" i="4"/>
  <c r="AC243" i="4"/>
  <c r="AB243" i="4"/>
  <c r="L243" i="4"/>
  <c r="AG243" i="4" s="1"/>
  <c r="AJ242" i="4"/>
  <c r="AI242" i="4"/>
  <c r="AD242" i="4"/>
  <c r="AC242" i="4"/>
  <c r="AB242" i="4"/>
  <c r="L242" i="4"/>
  <c r="AG242" i="4" s="1"/>
  <c r="AJ241" i="4"/>
  <c r="AI241" i="4"/>
  <c r="AD241" i="4"/>
  <c r="AC241" i="4"/>
  <c r="AB241" i="4"/>
  <c r="L241" i="4"/>
  <c r="AJ240" i="4"/>
  <c r="AI240" i="4"/>
  <c r="AD240" i="4"/>
  <c r="AC240" i="4"/>
  <c r="AB240" i="4"/>
  <c r="L240" i="4"/>
  <c r="AF240" i="4" s="1"/>
  <c r="AJ239" i="4"/>
  <c r="AI239" i="4"/>
  <c r="AD239" i="4"/>
  <c r="AC239" i="4"/>
  <c r="AB239" i="4"/>
  <c r="L239" i="4"/>
  <c r="AG239" i="4" s="1"/>
  <c r="AJ238" i="4"/>
  <c r="AI238" i="4"/>
  <c r="AK238" i="4" s="1"/>
  <c r="AD238" i="4"/>
  <c r="AC238" i="4"/>
  <c r="AB238" i="4"/>
  <c r="L238" i="4"/>
  <c r="AJ237" i="4"/>
  <c r="AI237" i="4"/>
  <c r="AD237" i="4"/>
  <c r="AC237" i="4"/>
  <c r="AB237" i="4"/>
  <c r="L237" i="4"/>
  <c r="AJ236" i="4"/>
  <c r="AI236" i="4"/>
  <c r="AD236" i="4"/>
  <c r="AC236" i="4"/>
  <c r="AB236" i="4"/>
  <c r="L236" i="4"/>
  <c r="AG236" i="4" s="1"/>
  <c r="AJ235" i="4"/>
  <c r="AI235" i="4"/>
  <c r="AD235" i="4"/>
  <c r="AC235" i="4"/>
  <c r="AB235" i="4"/>
  <c r="L235" i="4"/>
  <c r="AJ234" i="4"/>
  <c r="AI234" i="4"/>
  <c r="AK234" i="4" s="1"/>
  <c r="AD234" i="4"/>
  <c r="AC234" i="4"/>
  <c r="AB234" i="4"/>
  <c r="L234" i="4"/>
  <c r="AJ233" i="4"/>
  <c r="AI233" i="4"/>
  <c r="AD233" i="4"/>
  <c r="AC233" i="4"/>
  <c r="AB233" i="4"/>
  <c r="L233" i="4"/>
  <c r="AJ232" i="4"/>
  <c r="AI232" i="4"/>
  <c r="AD232" i="4"/>
  <c r="AC232" i="4"/>
  <c r="AE232" i="4" s="1"/>
  <c r="AB232" i="4"/>
  <c r="L232" i="4"/>
  <c r="AG232" i="4" s="1"/>
  <c r="AJ231" i="4"/>
  <c r="AI231" i="4"/>
  <c r="AD231" i="4"/>
  <c r="AC231" i="4"/>
  <c r="AB231" i="4"/>
  <c r="L231" i="4"/>
  <c r="AJ230" i="4"/>
  <c r="AI230" i="4"/>
  <c r="AD230" i="4"/>
  <c r="AC230" i="4"/>
  <c r="AB230" i="4"/>
  <c r="L230" i="4"/>
  <c r="AG230" i="4" s="1"/>
  <c r="AJ229" i="4"/>
  <c r="AI229" i="4"/>
  <c r="AD229" i="4"/>
  <c r="AC229" i="4"/>
  <c r="AB229" i="4"/>
  <c r="L229" i="4"/>
  <c r="AJ228" i="4"/>
  <c r="AI228" i="4"/>
  <c r="AD228" i="4"/>
  <c r="AC228" i="4"/>
  <c r="AB228" i="4"/>
  <c r="L228" i="4"/>
  <c r="AG228" i="4" s="1"/>
  <c r="AJ227" i="4"/>
  <c r="AI227" i="4"/>
  <c r="AD227" i="4"/>
  <c r="AC227" i="4"/>
  <c r="AB227" i="4"/>
  <c r="L227" i="4"/>
  <c r="AJ226" i="4"/>
  <c r="AI226" i="4"/>
  <c r="AD226" i="4"/>
  <c r="AC226" i="4"/>
  <c r="AB226" i="4"/>
  <c r="L226" i="4"/>
  <c r="AJ225" i="4"/>
  <c r="AI225" i="4"/>
  <c r="AD225" i="4"/>
  <c r="AC225" i="4"/>
  <c r="AB225" i="4"/>
  <c r="L225" i="4"/>
  <c r="AJ224" i="4"/>
  <c r="AI224" i="4"/>
  <c r="AD224" i="4"/>
  <c r="AC224" i="4"/>
  <c r="AB224" i="4"/>
  <c r="L224" i="4"/>
  <c r="AJ223" i="4"/>
  <c r="AI223" i="4"/>
  <c r="AD223" i="4"/>
  <c r="AC223" i="4"/>
  <c r="AB223" i="4"/>
  <c r="L223" i="4"/>
  <c r="AJ222" i="4"/>
  <c r="AI222" i="4"/>
  <c r="AD222" i="4"/>
  <c r="AC222" i="4"/>
  <c r="AB222" i="4"/>
  <c r="L222" i="4"/>
  <c r="AJ221" i="4"/>
  <c r="AI221" i="4"/>
  <c r="AD221" i="4"/>
  <c r="AC221" i="4"/>
  <c r="AB221" i="4"/>
  <c r="L221" i="4"/>
  <c r="AG221" i="4" s="1"/>
  <c r="AJ220" i="4"/>
  <c r="AI220" i="4"/>
  <c r="AD220" i="4"/>
  <c r="AC220" i="4"/>
  <c r="AB220" i="4"/>
  <c r="L220" i="4"/>
  <c r="AJ219" i="4"/>
  <c r="AI219" i="4"/>
  <c r="AD219" i="4"/>
  <c r="AC219" i="4"/>
  <c r="AB219" i="4"/>
  <c r="L219" i="4"/>
  <c r="AG219" i="4" s="1"/>
  <c r="AJ218" i="4"/>
  <c r="AI218" i="4"/>
  <c r="AD218" i="4"/>
  <c r="AC218" i="4"/>
  <c r="AB218" i="4"/>
  <c r="L218" i="4"/>
  <c r="AJ217" i="4"/>
  <c r="AI217" i="4"/>
  <c r="AD217" i="4"/>
  <c r="AC217" i="4"/>
  <c r="AB217" i="4"/>
  <c r="L217" i="4"/>
  <c r="AG217" i="4" s="1"/>
  <c r="AJ216" i="4"/>
  <c r="AI216" i="4"/>
  <c r="AD216" i="4"/>
  <c r="AC216" i="4"/>
  <c r="AB216" i="4"/>
  <c r="L216" i="4"/>
  <c r="AF216" i="4" s="1"/>
  <c r="AJ215" i="4"/>
  <c r="AI215" i="4"/>
  <c r="AD215" i="4"/>
  <c r="AC215" i="4"/>
  <c r="AB215" i="4"/>
  <c r="L215" i="4"/>
  <c r="AJ214" i="4"/>
  <c r="AI214" i="4"/>
  <c r="AD214" i="4"/>
  <c r="AC214" i="4"/>
  <c r="AB214" i="4"/>
  <c r="L214" i="4"/>
  <c r="AF214" i="4" s="1"/>
  <c r="AJ213" i="4"/>
  <c r="AI213" i="4"/>
  <c r="AK213" i="4" s="1"/>
  <c r="AD213" i="4"/>
  <c r="AC213" i="4"/>
  <c r="AB213" i="4"/>
  <c r="L213" i="4"/>
  <c r="AG213" i="4" s="1"/>
  <c r="AJ212" i="4"/>
  <c r="AI212" i="4"/>
  <c r="AD212" i="4"/>
  <c r="AC212" i="4"/>
  <c r="AB212" i="4"/>
  <c r="L212" i="4"/>
  <c r="AJ211" i="4"/>
  <c r="AI211" i="4"/>
  <c r="AD211" i="4"/>
  <c r="AC211" i="4"/>
  <c r="AB211" i="4"/>
  <c r="L211" i="4"/>
  <c r="AJ210" i="4"/>
  <c r="AI210" i="4"/>
  <c r="AD210" i="4"/>
  <c r="AC210" i="4"/>
  <c r="AB210" i="4"/>
  <c r="L210" i="4"/>
  <c r="AJ209" i="4"/>
  <c r="AI209" i="4"/>
  <c r="AD209" i="4"/>
  <c r="AC209" i="4"/>
  <c r="AB209" i="4"/>
  <c r="L209" i="4"/>
  <c r="AG209" i="4" s="1"/>
  <c r="AJ208" i="4"/>
  <c r="AI208" i="4"/>
  <c r="AD208" i="4"/>
  <c r="AC208" i="4"/>
  <c r="AE208" i="4" s="1"/>
  <c r="AB208" i="4"/>
  <c r="L208" i="4"/>
  <c r="AF208" i="4" s="1"/>
  <c r="AJ207" i="4"/>
  <c r="AI207" i="4"/>
  <c r="AD207" i="4"/>
  <c r="AC207" i="4"/>
  <c r="AB207" i="4"/>
  <c r="L207" i="4"/>
  <c r="AG207" i="4" s="1"/>
  <c r="AJ206" i="4"/>
  <c r="AI206" i="4"/>
  <c r="AD206" i="4"/>
  <c r="AC206" i="4"/>
  <c r="AB206" i="4"/>
  <c r="L206" i="4"/>
  <c r="AJ205" i="4"/>
  <c r="AI205" i="4"/>
  <c r="AK205" i="4" s="1"/>
  <c r="AD205" i="4"/>
  <c r="AC205" i="4"/>
  <c r="AB205" i="4"/>
  <c r="L205" i="4"/>
  <c r="AJ204" i="4"/>
  <c r="AI204" i="4"/>
  <c r="AD204" i="4"/>
  <c r="AC204" i="4"/>
  <c r="AB204" i="4"/>
  <c r="L204" i="4"/>
  <c r="AG204" i="4" s="1"/>
  <c r="AJ203" i="4"/>
  <c r="AI203" i="4"/>
  <c r="AD203" i="4"/>
  <c r="AC203" i="4"/>
  <c r="AB203" i="4"/>
  <c r="L203" i="4"/>
  <c r="AJ202" i="4"/>
  <c r="AI202" i="4"/>
  <c r="AD202" i="4"/>
  <c r="AC202" i="4"/>
  <c r="AB202" i="4"/>
  <c r="L202" i="4"/>
  <c r="AJ201" i="4"/>
  <c r="AI201" i="4"/>
  <c r="AD201" i="4"/>
  <c r="AC201" i="4"/>
  <c r="AB201" i="4"/>
  <c r="L201" i="4"/>
  <c r="AF201" i="4" s="1"/>
  <c r="AJ200" i="4"/>
  <c r="AI200" i="4"/>
  <c r="AD200" i="4"/>
  <c r="AC200" i="4"/>
  <c r="AB200" i="4"/>
  <c r="L200" i="4"/>
  <c r="AF200" i="4" s="1"/>
  <c r="AJ199" i="4"/>
  <c r="AI199" i="4"/>
  <c r="AD199" i="4"/>
  <c r="AC199" i="4"/>
  <c r="AB199" i="4"/>
  <c r="L199" i="4"/>
  <c r="AJ198" i="4"/>
  <c r="AI198" i="4"/>
  <c r="AD198" i="4"/>
  <c r="AC198" i="4"/>
  <c r="AB198" i="4"/>
  <c r="L198" i="4"/>
  <c r="AG198" i="4" s="1"/>
  <c r="AJ197" i="4"/>
  <c r="AI197" i="4"/>
  <c r="AD197" i="4"/>
  <c r="AC197" i="4"/>
  <c r="AB197" i="4"/>
  <c r="L197" i="4"/>
  <c r="AG197" i="4" s="1"/>
  <c r="AJ196" i="4"/>
  <c r="AI196" i="4"/>
  <c r="AD196" i="4"/>
  <c r="AC196" i="4"/>
  <c r="AB196" i="4"/>
  <c r="L196" i="4"/>
  <c r="AJ195" i="4"/>
  <c r="AI195" i="4"/>
  <c r="AD195" i="4"/>
  <c r="AC195" i="4"/>
  <c r="AB195" i="4"/>
  <c r="L195" i="4"/>
  <c r="AG195" i="4" s="1"/>
  <c r="AJ194" i="4"/>
  <c r="AI194" i="4"/>
  <c r="AD194" i="4"/>
  <c r="AC194" i="4"/>
  <c r="AB194" i="4"/>
  <c r="L194" i="4"/>
  <c r="AJ193" i="4"/>
  <c r="AI193" i="4"/>
  <c r="AD193" i="4"/>
  <c r="AC193" i="4"/>
  <c r="AB193" i="4"/>
  <c r="L193" i="4"/>
  <c r="AJ192" i="4"/>
  <c r="AI192" i="4"/>
  <c r="AD192" i="4"/>
  <c r="AC192" i="4"/>
  <c r="AE192" i="4" s="1"/>
  <c r="AB192" i="4"/>
  <c r="L192" i="4"/>
  <c r="AJ191" i="4"/>
  <c r="AI191" i="4"/>
  <c r="AD191" i="4"/>
  <c r="AC191" i="4"/>
  <c r="AB191" i="4"/>
  <c r="L191" i="4"/>
  <c r="AG191" i="4" s="1"/>
  <c r="AJ190" i="4"/>
  <c r="AI190" i="4"/>
  <c r="AD190" i="4"/>
  <c r="AC190" i="4"/>
  <c r="AB190" i="4"/>
  <c r="L190" i="4"/>
  <c r="AF190" i="4" s="1"/>
  <c r="AJ189" i="4"/>
  <c r="AI189" i="4"/>
  <c r="AD189" i="4"/>
  <c r="AC189" i="4"/>
  <c r="AB189" i="4"/>
  <c r="L189" i="4"/>
  <c r="AG189" i="4" s="1"/>
  <c r="AJ188" i="4"/>
  <c r="AI188" i="4"/>
  <c r="AD188" i="4"/>
  <c r="AC188" i="4"/>
  <c r="AB188" i="4"/>
  <c r="L188" i="4"/>
  <c r="AG188" i="4" s="1"/>
  <c r="AJ187" i="4"/>
  <c r="AI187" i="4"/>
  <c r="AD187" i="4"/>
  <c r="AC187" i="4"/>
  <c r="AB187" i="4"/>
  <c r="L187" i="4"/>
  <c r="AJ186" i="4"/>
  <c r="AI186" i="4"/>
  <c r="AD186" i="4"/>
  <c r="AC186" i="4"/>
  <c r="AB186" i="4"/>
  <c r="L186" i="4"/>
  <c r="AJ185" i="4"/>
  <c r="AI185" i="4"/>
  <c r="AD185" i="4"/>
  <c r="AC185" i="4"/>
  <c r="AB185" i="4"/>
  <c r="L185" i="4"/>
  <c r="AF185" i="4" s="1"/>
  <c r="AJ184" i="4"/>
  <c r="AI184" i="4"/>
  <c r="AD184" i="4"/>
  <c r="AC184" i="4"/>
  <c r="AB184" i="4"/>
  <c r="L184" i="4"/>
  <c r="AJ183" i="4"/>
  <c r="AI183" i="4"/>
  <c r="AD183" i="4"/>
  <c r="AC183" i="4"/>
  <c r="AB183" i="4"/>
  <c r="L183" i="4"/>
  <c r="AJ182" i="4"/>
  <c r="AI182" i="4"/>
  <c r="AD182" i="4"/>
  <c r="AC182" i="4"/>
  <c r="AB182" i="4"/>
  <c r="L182" i="4"/>
  <c r="AF182" i="4" s="1"/>
  <c r="AJ181" i="4"/>
  <c r="AI181" i="4"/>
  <c r="AD181" i="4"/>
  <c r="AC181" i="4"/>
  <c r="AB181" i="4"/>
  <c r="L181" i="4"/>
  <c r="AJ180" i="4"/>
  <c r="AI180" i="4"/>
  <c r="AD180" i="4"/>
  <c r="AC180" i="4"/>
  <c r="AB180" i="4"/>
  <c r="L180" i="4"/>
  <c r="AJ179" i="4"/>
  <c r="AI179" i="4"/>
  <c r="AD179" i="4"/>
  <c r="AC179" i="4"/>
  <c r="AB179" i="4"/>
  <c r="L179" i="4"/>
  <c r="AF179" i="4" s="1"/>
  <c r="AJ178" i="4"/>
  <c r="AI178" i="4"/>
  <c r="AD178" i="4"/>
  <c r="AC178" i="4"/>
  <c r="AB178" i="4"/>
  <c r="L178" i="4"/>
  <c r="AJ177" i="4"/>
  <c r="AI177" i="4"/>
  <c r="AD177" i="4"/>
  <c r="AC177" i="4"/>
  <c r="AB177" i="4"/>
  <c r="L177" i="4"/>
  <c r="AG177" i="4" s="1"/>
  <c r="AJ176" i="4"/>
  <c r="AI176" i="4"/>
  <c r="AD176" i="4"/>
  <c r="AC176" i="4"/>
  <c r="AB176" i="4"/>
  <c r="L176" i="4"/>
  <c r="AJ175" i="4"/>
  <c r="AI175" i="4"/>
  <c r="AD175" i="4"/>
  <c r="AC175" i="4"/>
  <c r="AB175" i="4"/>
  <c r="L175" i="4"/>
  <c r="AG175" i="4" s="1"/>
  <c r="AJ174" i="4"/>
  <c r="AI174" i="4"/>
  <c r="AD174" i="4"/>
  <c r="AC174" i="4"/>
  <c r="AB174" i="4"/>
  <c r="L174" i="4"/>
  <c r="AF174" i="4" s="1"/>
  <c r="AJ173" i="4"/>
  <c r="AI173" i="4"/>
  <c r="AD173" i="4"/>
  <c r="AC173" i="4"/>
  <c r="AB173" i="4"/>
  <c r="L173" i="4"/>
  <c r="AG173" i="4" s="1"/>
  <c r="AJ172" i="4"/>
  <c r="AI172" i="4"/>
  <c r="AD172" i="4"/>
  <c r="AC172" i="4"/>
  <c r="AB172" i="4"/>
  <c r="L172" i="4"/>
  <c r="AG172" i="4" s="1"/>
  <c r="AJ171" i="4"/>
  <c r="AI171" i="4"/>
  <c r="AD171" i="4"/>
  <c r="AC171" i="4"/>
  <c r="AB171" i="4"/>
  <c r="L171" i="4"/>
  <c r="AJ170" i="4"/>
  <c r="AI170" i="4"/>
  <c r="AD170" i="4"/>
  <c r="AC170" i="4"/>
  <c r="AB170" i="4"/>
  <c r="L170" i="4"/>
  <c r="AJ169" i="4"/>
  <c r="AI169" i="4"/>
  <c r="AD169" i="4"/>
  <c r="AC169" i="4"/>
  <c r="AB169" i="4"/>
  <c r="L169" i="4"/>
  <c r="AJ168" i="4"/>
  <c r="AI168" i="4"/>
  <c r="AD168" i="4"/>
  <c r="AC168" i="4"/>
  <c r="AB168" i="4"/>
  <c r="L168" i="4"/>
  <c r="AJ167" i="4"/>
  <c r="AI167" i="4"/>
  <c r="AD167" i="4"/>
  <c r="AC167" i="4"/>
  <c r="AB167" i="4"/>
  <c r="L167" i="4"/>
  <c r="AJ166" i="4"/>
  <c r="AI166" i="4"/>
  <c r="AD166" i="4"/>
  <c r="AC166" i="4"/>
  <c r="AB166" i="4"/>
  <c r="L166" i="4"/>
  <c r="AF166" i="4" s="1"/>
  <c r="AJ165" i="4"/>
  <c r="AI165" i="4"/>
  <c r="AD165" i="4"/>
  <c r="AC165" i="4"/>
  <c r="AB165" i="4"/>
  <c r="L165" i="4"/>
  <c r="AJ164" i="4"/>
  <c r="AI164" i="4"/>
  <c r="AD164" i="4"/>
  <c r="AC164" i="4"/>
  <c r="AB164" i="4"/>
  <c r="L164" i="4"/>
  <c r="AG164" i="4" s="1"/>
  <c r="AJ163" i="4"/>
  <c r="AI163" i="4"/>
  <c r="AD163" i="4"/>
  <c r="AC163" i="4"/>
  <c r="AB163" i="4"/>
  <c r="L163" i="4"/>
  <c r="AJ162" i="4"/>
  <c r="AI162" i="4"/>
  <c r="AD162" i="4"/>
  <c r="AC162" i="4"/>
  <c r="AB162" i="4"/>
  <c r="L162" i="4"/>
  <c r="AF162" i="4" s="1"/>
  <c r="AJ161" i="4"/>
  <c r="AI161" i="4"/>
  <c r="AD161" i="4"/>
  <c r="AC161" i="4"/>
  <c r="AB161" i="4"/>
  <c r="L161" i="4"/>
  <c r="AJ160" i="4"/>
  <c r="AI160" i="4"/>
  <c r="AD160" i="4"/>
  <c r="AC160" i="4"/>
  <c r="AB160" i="4"/>
  <c r="L160" i="4"/>
  <c r="AF160" i="4" s="1"/>
  <c r="AJ159" i="4"/>
  <c r="AI159" i="4"/>
  <c r="AD159" i="4"/>
  <c r="AC159" i="4"/>
  <c r="AB159" i="4"/>
  <c r="L159" i="4"/>
  <c r="AG159" i="4" s="1"/>
  <c r="AJ158" i="4"/>
  <c r="AI158" i="4"/>
  <c r="AD158" i="4"/>
  <c r="AC158" i="4"/>
  <c r="AB158" i="4"/>
  <c r="L158" i="4"/>
  <c r="AF158" i="4" s="1"/>
  <c r="AJ157" i="4"/>
  <c r="AI157" i="4"/>
  <c r="AD157" i="4"/>
  <c r="AC157" i="4"/>
  <c r="AB157" i="4"/>
  <c r="L157" i="4"/>
  <c r="AG157" i="4" s="1"/>
  <c r="AJ156" i="4"/>
  <c r="AI156" i="4"/>
  <c r="AD156" i="4"/>
  <c r="AC156" i="4"/>
  <c r="AB156" i="4"/>
  <c r="L156" i="4"/>
  <c r="AJ155" i="4"/>
  <c r="AI155" i="4"/>
  <c r="AD155" i="4"/>
  <c r="AC155" i="4"/>
  <c r="AB155" i="4"/>
  <c r="L155" i="4"/>
  <c r="AJ154" i="4"/>
  <c r="AI154" i="4"/>
  <c r="AD154" i="4"/>
  <c r="AC154" i="4"/>
  <c r="AB154" i="4"/>
  <c r="L154" i="4"/>
  <c r="AJ153" i="4"/>
  <c r="AI153" i="4"/>
  <c r="AD153" i="4"/>
  <c r="AC153" i="4"/>
  <c r="AB153" i="4"/>
  <c r="L153" i="4"/>
  <c r="AG153" i="4" s="1"/>
  <c r="AJ152" i="4"/>
  <c r="AI152" i="4"/>
  <c r="AD152" i="4"/>
  <c r="AC152" i="4"/>
  <c r="AB152" i="4"/>
  <c r="L152" i="4"/>
  <c r="AG152" i="4" s="1"/>
  <c r="AJ151" i="4"/>
  <c r="AI151" i="4"/>
  <c r="AD151" i="4"/>
  <c r="AC151" i="4"/>
  <c r="AB151" i="4"/>
  <c r="L151" i="4"/>
  <c r="AG151" i="4" s="1"/>
  <c r="AJ150" i="4"/>
  <c r="AI150" i="4"/>
  <c r="AD150" i="4"/>
  <c r="AC150" i="4"/>
  <c r="AB150" i="4"/>
  <c r="L150" i="4"/>
  <c r="AJ149" i="4"/>
  <c r="AI149" i="4"/>
  <c r="AK149" i="4" s="1"/>
  <c r="AD149" i="4"/>
  <c r="AC149" i="4"/>
  <c r="AB149" i="4"/>
  <c r="L149" i="4"/>
  <c r="AF149" i="4" s="1"/>
  <c r="AJ148" i="4"/>
  <c r="AI148" i="4"/>
  <c r="AD148" i="4"/>
  <c r="AC148" i="4"/>
  <c r="AE148" i="4" s="1"/>
  <c r="AB148" i="4"/>
  <c r="L148" i="4"/>
  <c r="AG148" i="4" s="1"/>
  <c r="AJ147" i="4"/>
  <c r="AI147" i="4"/>
  <c r="AD147" i="4"/>
  <c r="AC147" i="4"/>
  <c r="AB147" i="4"/>
  <c r="L147" i="4"/>
  <c r="AG147" i="4" s="1"/>
  <c r="AJ146" i="4"/>
  <c r="AI146" i="4"/>
  <c r="AD146" i="4"/>
  <c r="AC146" i="4"/>
  <c r="AB146" i="4"/>
  <c r="L146" i="4"/>
  <c r="AG146" i="4" s="1"/>
  <c r="AJ145" i="4"/>
  <c r="AI145" i="4"/>
  <c r="AK145" i="4" s="1"/>
  <c r="AD145" i="4"/>
  <c r="AC145" i="4"/>
  <c r="AB145" i="4"/>
  <c r="L145" i="4"/>
  <c r="AG145" i="4" s="1"/>
  <c r="AJ144" i="4"/>
  <c r="AI144" i="4"/>
  <c r="AD144" i="4"/>
  <c r="AC144" i="4"/>
  <c r="AB144" i="4"/>
  <c r="L144" i="4"/>
  <c r="AJ143" i="4"/>
  <c r="AI143" i="4"/>
  <c r="AD143" i="4"/>
  <c r="AC143" i="4"/>
  <c r="AB143" i="4"/>
  <c r="L143" i="4"/>
  <c r="AJ142" i="4"/>
  <c r="AI142" i="4"/>
  <c r="AD142" i="4"/>
  <c r="AC142" i="4"/>
  <c r="AB142" i="4"/>
  <c r="L142" i="4"/>
  <c r="AJ141" i="4"/>
  <c r="AI141" i="4"/>
  <c r="AD141" i="4"/>
  <c r="AC141" i="4"/>
  <c r="AB141" i="4"/>
  <c r="L141" i="4"/>
  <c r="AG141" i="4" s="1"/>
  <c r="AJ140" i="4"/>
  <c r="AI140" i="4"/>
  <c r="AD140" i="4"/>
  <c r="AC140" i="4"/>
  <c r="AB140" i="4"/>
  <c r="L140" i="4"/>
  <c r="AJ139" i="4"/>
  <c r="AI139" i="4"/>
  <c r="AD139" i="4"/>
  <c r="AC139" i="4"/>
  <c r="AB139" i="4"/>
  <c r="L139" i="4"/>
  <c r="AJ138" i="4"/>
  <c r="AI138" i="4"/>
  <c r="AD138" i="4"/>
  <c r="AC138" i="4"/>
  <c r="AB138" i="4"/>
  <c r="L138" i="4"/>
  <c r="AJ137" i="4"/>
  <c r="AI137" i="4"/>
  <c r="AD137" i="4"/>
  <c r="AC137" i="4"/>
  <c r="AB137" i="4"/>
  <c r="L137" i="4"/>
  <c r="AF137" i="4" s="1"/>
  <c r="AJ136" i="4"/>
  <c r="AI136" i="4"/>
  <c r="AD136" i="4"/>
  <c r="AC136" i="4"/>
  <c r="AB136" i="4"/>
  <c r="L136" i="4"/>
  <c r="AJ135" i="4"/>
  <c r="AI135" i="4"/>
  <c r="AD135" i="4"/>
  <c r="AC135" i="4"/>
  <c r="AB135" i="4"/>
  <c r="L135" i="4"/>
  <c r="AG135" i="4" s="1"/>
  <c r="AJ134" i="4"/>
  <c r="AI134" i="4"/>
  <c r="AD134" i="4"/>
  <c r="AC134" i="4"/>
  <c r="AB134" i="4"/>
  <c r="L134" i="4"/>
  <c r="AF134" i="4" s="1"/>
  <c r="AJ133" i="4"/>
  <c r="AI133" i="4"/>
  <c r="AD133" i="4"/>
  <c r="AC133" i="4"/>
  <c r="AB133" i="4"/>
  <c r="L133" i="4"/>
  <c r="AG133" i="4" s="1"/>
  <c r="AJ132" i="4"/>
  <c r="AI132" i="4"/>
  <c r="AD132" i="4"/>
  <c r="AC132" i="4"/>
  <c r="AB132" i="4"/>
  <c r="L132" i="4"/>
  <c r="AF132" i="4" s="1"/>
  <c r="AJ131" i="4"/>
  <c r="AI131" i="4"/>
  <c r="AD131" i="4"/>
  <c r="AC131" i="4"/>
  <c r="AB131" i="4"/>
  <c r="L131" i="4"/>
  <c r="AF131" i="4" s="1"/>
  <c r="AJ130" i="4"/>
  <c r="AI130" i="4"/>
  <c r="AD130" i="4"/>
  <c r="AC130" i="4"/>
  <c r="AB130" i="4"/>
  <c r="L130" i="4"/>
  <c r="AJ129" i="4"/>
  <c r="AI129" i="4"/>
  <c r="AD129" i="4"/>
  <c r="AC129" i="4"/>
  <c r="AB129" i="4"/>
  <c r="L129" i="4"/>
  <c r="AG129" i="4" s="1"/>
  <c r="AJ128" i="4"/>
  <c r="AI128" i="4"/>
  <c r="AD128" i="4"/>
  <c r="AC128" i="4"/>
  <c r="AB128" i="4"/>
  <c r="L128" i="4"/>
  <c r="AF128" i="4" s="1"/>
  <c r="AJ127" i="4"/>
  <c r="AI127" i="4"/>
  <c r="AD127" i="4"/>
  <c r="AC127" i="4"/>
  <c r="AB127" i="4"/>
  <c r="L127" i="4"/>
  <c r="AG127" i="4" s="1"/>
  <c r="AJ126" i="4"/>
  <c r="AI126" i="4"/>
  <c r="AD126" i="4"/>
  <c r="AC126" i="4"/>
  <c r="AB126" i="4"/>
  <c r="L126" i="4"/>
  <c r="AJ125" i="4"/>
  <c r="AI125" i="4"/>
  <c r="AD125" i="4"/>
  <c r="AC125" i="4"/>
  <c r="AB125" i="4"/>
  <c r="L125" i="4"/>
  <c r="AG125" i="4" s="1"/>
  <c r="AJ124" i="4"/>
  <c r="AI124" i="4"/>
  <c r="AD124" i="4"/>
  <c r="AC124" i="4"/>
  <c r="AB124" i="4"/>
  <c r="L124" i="4"/>
  <c r="AG124" i="4" s="1"/>
  <c r="AJ123" i="4"/>
  <c r="AI123" i="4"/>
  <c r="AD123" i="4"/>
  <c r="AC123" i="4"/>
  <c r="AB123" i="4"/>
  <c r="L123" i="4"/>
  <c r="AG123" i="4" s="1"/>
  <c r="AJ122" i="4"/>
  <c r="AI122" i="4"/>
  <c r="AD122" i="4"/>
  <c r="AC122" i="4"/>
  <c r="AB122" i="4"/>
  <c r="L122" i="4"/>
  <c r="AJ121" i="4"/>
  <c r="AI121" i="4"/>
  <c r="AD121" i="4"/>
  <c r="AC121" i="4"/>
  <c r="AB121" i="4"/>
  <c r="L121" i="4"/>
  <c r="AJ120" i="4"/>
  <c r="AI120" i="4"/>
  <c r="AD120" i="4"/>
  <c r="AC120" i="4"/>
  <c r="AB120" i="4"/>
  <c r="L120" i="4"/>
  <c r="AF120" i="4" s="1"/>
  <c r="AJ119" i="4"/>
  <c r="AI119" i="4"/>
  <c r="AD119" i="4"/>
  <c r="AC119" i="4"/>
  <c r="AB119" i="4"/>
  <c r="L119" i="4"/>
  <c r="AJ118" i="4"/>
  <c r="AI118" i="4"/>
  <c r="AD118" i="4"/>
  <c r="AC118" i="4"/>
  <c r="AB118" i="4"/>
  <c r="L118" i="4"/>
  <c r="AG118" i="4" s="1"/>
  <c r="AJ117" i="4"/>
  <c r="AI117" i="4"/>
  <c r="AD117" i="4"/>
  <c r="AC117" i="4"/>
  <c r="AB117" i="4"/>
  <c r="L117" i="4"/>
  <c r="AJ116" i="4"/>
  <c r="AI116" i="4"/>
  <c r="AD116" i="4"/>
  <c r="AC116" i="4"/>
  <c r="AB116" i="4"/>
  <c r="L116" i="4"/>
  <c r="AJ115" i="4"/>
  <c r="AI115" i="4"/>
  <c r="AD115" i="4"/>
  <c r="AC115" i="4"/>
  <c r="AB115" i="4"/>
  <c r="L115" i="4"/>
  <c r="AF115" i="4" s="1"/>
  <c r="AJ114" i="4"/>
  <c r="AI114" i="4"/>
  <c r="AD114" i="4"/>
  <c r="AC114" i="4"/>
  <c r="AB114" i="4"/>
  <c r="L114" i="4"/>
  <c r="AG114" i="4" s="1"/>
  <c r="AJ113" i="4"/>
  <c r="AI113" i="4"/>
  <c r="AD113" i="4"/>
  <c r="AC113" i="4"/>
  <c r="AB113" i="4"/>
  <c r="L113" i="4"/>
  <c r="AJ112" i="4"/>
  <c r="AI112" i="4"/>
  <c r="AD112" i="4"/>
  <c r="AC112" i="4"/>
  <c r="AB112" i="4"/>
  <c r="L112" i="4"/>
  <c r="AJ111" i="4"/>
  <c r="AI111" i="4"/>
  <c r="AD111" i="4"/>
  <c r="AC111" i="4"/>
  <c r="AB111" i="4"/>
  <c r="L111" i="4"/>
  <c r="AJ110" i="4"/>
  <c r="AI110" i="4"/>
  <c r="AD110" i="4"/>
  <c r="AC110" i="4"/>
  <c r="AB110" i="4"/>
  <c r="L110" i="4"/>
  <c r="AF110" i="4" s="1"/>
  <c r="AJ109" i="4"/>
  <c r="AI109" i="4"/>
  <c r="AD109" i="4"/>
  <c r="AC109" i="4"/>
  <c r="AB109" i="4"/>
  <c r="L109" i="4"/>
  <c r="AG109" i="4" s="1"/>
  <c r="AJ108" i="4"/>
  <c r="AI108" i="4"/>
  <c r="AD108" i="4"/>
  <c r="AC108" i="4"/>
  <c r="AB108" i="4"/>
  <c r="L108" i="4"/>
  <c r="AG108" i="4" s="1"/>
  <c r="AJ107" i="4"/>
  <c r="AI107" i="4"/>
  <c r="AD107" i="4"/>
  <c r="AC107" i="4"/>
  <c r="AB107" i="4"/>
  <c r="L107" i="4"/>
  <c r="AJ106" i="4"/>
  <c r="AI106" i="4"/>
  <c r="AD106" i="4"/>
  <c r="AC106" i="4"/>
  <c r="AB106" i="4"/>
  <c r="L106" i="4"/>
  <c r="AJ105" i="4"/>
  <c r="AI105" i="4"/>
  <c r="AD105" i="4"/>
  <c r="AC105" i="4"/>
  <c r="AB105" i="4"/>
  <c r="L105" i="4"/>
  <c r="AG105" i="4" s="1"/>
  <c r="AJ104" i="4"/>
  <c r="AI104" i="4"/>
  <c r="AD104" i="4"/>
  <c r="AC104" i="4"/>
  <c r="AB104" i="4"/>
  <c r="L104" i="4"/>
  <c r="AJ103" i="4"/>
  <c r="AI103" i="4"/>
  <c r="AD103" i="4"/>
  <c r="AC103" i="4"/>
  <c r="AB103" i="4"/>
  <c r="L103" i="4"/>
  <c r="AG103" i="4" s="1"/>
  <c r="AJ102" i="4"/>
  <c r="AI102" i="4"/>
  <c r="AD102" i="4"/>
  <c r="AC102" i="4"/>
  <c r="AB102" i="4"/>
  <c r="L102" i="4"/>
  <c r="AJ101" i="4"/>
  <c r="AI101" i="4"/>
  <c r="AD101" i="4"/>
  <c r="AC101" i="4"/>
  <c r="AB101" i="4"/>
  <c r="L101" i="4"/>
  <c r="AJ100" i="4"/>
  <c r="AI100" i="4"/>
  <c r="AD100" i="4"/>
  <c r="AC100" i="4"/>
  <c r="AB100" i="4"/>
  <c r="L100" i="4"/>
  <c r="AJ99" i="4"/>
  <c r="AI99" i="4"/>
  <c r="AD99" i="4"/>
  <c r="AC99" i="4"/>
  <c r="AB99" i="4"/>
  <c r="L99" i="4"/>
  <c r="AJ98" i="4"/>
  <c r="AI98" i="4"/>
  <c r="AD98" i="4"/>
  <c r="AC98" i="4"/>
  <c r="AB98" i="4"/>
  <c r="L98" i="4"/>
  <c r="AF98" i="4" s="1"/>
  <c r="AJ97" i="4"/>
  <c r="AI97" i="4"/>
  <c r="AD97" i="4"/>
  <c r="AC97" i="4"/>
  <c r="AB97" i="4"/>
  <c r="L97" i="4"/>
  <c r="AG97" i="4" s="1"/>
  <c r="AJ96" i="4"/>
  <c r="AI96" i="4"/>
  <c r="AD96" i="4"/>
  <c r="AC96" i="4"/>
  <c r="AB96" i="4"/>
  <c r="L96" i="4"/>
  <c r="AJ95" i="4"/>
  <c r="AI95" i="4"/>
  <c r="AD95" i="4"/>
  <c r="AC95" i="4"/>
  <c r="AB95" i="4"/>
  <c r="L95" i="4"/>
  <c r="AG95" i="4" s="1"/>
  <c r="AJ94" i="4"/>
  <c r="AI94" i="4"/>
  <c r="AD94" i="4"/>
  <c r="AC94" i="4"/>
  <c r="AB94" i="4"/>
  <c r="L94" i="4"/>
  <c r="AJ93" i="4"/>
  <c r="AI93" i="4"/>
  <c r="AD93" i="4"/>
  <c r="AC93" i="4"/>
  <c r="AB93" i="4"/>
  <c r="L93" i="4"/>
  <c r="AJ92" i="4"/>
  <c r="AI92" i="4"/>
  <c r="AD92" i="4"/>
  <c r="AC92" i="4"/>
  <c r="AB92" i="4"/>
  <c r="L92" i="4"/>
  <c r="AF92" i="4" s="1"/>
  <c r="AJ91" i="4"/>
  <c r="AI91" i="4"/>
  <c r="AD91" i="4"/>
  <c r="AC91" i="4"/>
  <c r="AB91" i="4"/>
  <c r="L91" i="4"/>
  <c r="AG91" i="4" s="1"/>
  <c r="AJ90" i="4"/>
  <c r="AI90" i="4"/>
  <c r="AD90" i="4"/>
  <c r="AC90" i="4"/>
  <c r="AB90" i="4"/>
  <c r="L90" i="4"/>
  <c r="AJ89" i="4"/>
  <c r="AI89" i="4"/>
  <c r="AD89" i="4"/>
  <c r="AC89" i="4"/>
  <c r="AB89" i="4"/>
  <c r="L89" i="4"/>
  <c r="AJ88" i="4"/>
  <c r="AI88" i="4"/>
  <c r="AD88" i="4"/>
  <c r="AC88" i="4"/>
  <c r="AB88" i="4"/>
  <c r="L88" i="4"/>
  <c r="AG88" i="4" s="1"/>
  <c r="AJ87" i="4"/>
  <c r="AI87" i="4"/>
  <c r="AD87" i="4"/>
  <c r="AC87" i="4"/>
  <c r="AB87" i="4"/>
  <c r="L87" i="4"/>
  <c r="AJ86" i="4"/>
  <c r="AI86" i="4"/>
  <c r="AD86" i="4"/>
  <c r="AC86" i="4"/>
  <c r="AB86" i="4"/>
  <c r="L86" i="4"/>
  <c r="AG86" i="4" s="1"/>
  <c r="AJ85" i="4"/>
  <c r="AI85" i="4"/>
  <c r="AD85" i="4"/>
  <c r="AC85" i="4"/>
  <c r="AE85" i="4" s="1"/>
  <c r="AB85" i="4"/>
  <c r="L85" i="4"/>
  <c r="AJ84" i="4"/>
  <c r="AI84" i="4"/>
  <c r="AD84" i="4"/>
  <c r="AC84" i="4"/>
  <c r="AB84" i="4"/>
  <c r="L84" i="4"/>
  <c r="AG84" i="4" s="1"/>
  <c r="AJ83" i="4"/>
  <c r="AI83" i="4"/>
  <c r="AD83" i="4"/>
  <c r="AC83" i="4"/>
  <c r="AB83" i="4"/>
  <c r="L83" i="4"/>
  <c r="AF83" i="4" s="1"/>
  <c r="AJ82" i="4"/>
  <c r="AI82" i="4"/>
  <c r="AK82" i="4" s="1"/>
  <c r="AD82" i="4"/>
  <c r="AC82" i="4"/>
  <c r="AB82" i="4"/>
  <c r="L82" i="4"/>
  <c r="AJ81" i="4"/>
  <c r="AI81" i="4"/>
  <c r="AD81" i="4"/>
  <c r="AC81" i="4"/>
  <c r="AB81" i="4"/>
  <c r="L81" i="4"/>
  <c r="AJ80" i="4"/>
  <c r="AI80" i="4"/>
  <c r="AD80" i="4"/>
  <c r="AC80" i="4"/>
  <c r="AB80" i="4"/>
  <c r="L80" i="4"/>
  <c r="AF80" i="4" s="1"/>
  <c r="AJ79" i="4"/>
  <c r="AI79" i="4"/>
  <c r="AD79" i="4"/>
  <c r="AC79" i="4"/>
  <c r="AB79" i="4"/>
  <c r="L79" i="4"/>
  <c r="AF79" i="4" s="1"/>
  <c r="AJ78" i="4"/>
  <c r="AI78" i="4"/>
  <c r="AD78" i="4"/>
  <c r="AC78" i="4"/>
  <c r="AB78" i="4"/>
  <c r="L78" i="4"/>
  <c r="AF78" i="4" s="1"/>
  <c r="AJ77" i="4"/>
  <c r="AI77" i="4"/>
  <c r="AD77" i="4"/>
  <c r="AC77" i="4"/>
  <c r="AE77" i="4" s="1"/>
  <c r="AB77" i="4"/>
  <c r="L77" i="4"/>
  <c r="AG77" i="4" s="1"/>
  <c r="AJ76" i="4"/>
  <c r="AI76" i="4"/>
  <c r="AD76" i="4"/>
  <c r="AC76" i="4"/>
  <c r="AB76" i="4"/>
  <c r="L76" i="4"/>
  <c r="AG76" i="4" s="1"/>
  <c r="AJ75" i="4"/>
  <c r="AI75" i="4"/>
  <c r="AD75" i="4"/>
  <c r="AC75" i="4"/>
  <c r="AB75" i="4"/>
  <c r="L75" i="4"/>
  <c r="AG75" i="4" s="1"/>
  <c r="AJ74" i="4"/>
  <c r="AI74" i="4"/>
  <c r="AD74" i="4"/>
  <c r="AC74" i="4"/>
  <c r="AB74" i="4"/>
  <c r="L74" i="4"/>
  <c r="AJ73" i="4"/>
  <c r="AI73" i="4"/>
  <c r="AD73" i="4"/>
  <c r="AC73" i="4"/>
  <c r="AB73" i="4"/>
  <c r="L73" i="4"/>
  <c r="AJ72" i="4"/>
  <c r="AI72" i="4"/>
  <c r="AD72" i="4"/>
  <c r="AC72" i="4"/>
  <c r="AB72" i="4"/>
  <c r="L72" i="4"/>
  <c r="AJ71" i="4"/>
  <c r="AI71" i="4"/>
  <c r="AD71" i="4"/>
  <c r="AC71" i="4"/>
  <c r="AB71" i="4"/>
  <c r="L71" i="4"/>
  <c r="AJ70" i="4"/>
  <c r="AI70" i="4"/>
  <c r="AD70" i="4"/>
  <c r="AC70" i="4"/>
  <c r="AB70" i="4"/>
  <c r="L70" i="4"/>
  <c r="AG70" i="4" s="1"/>
  <c r="AJ69" i="4"/>
  <c r="AI69" i="4"/>
  <c r="AD69" i="4"/>
  <c r="AC69" i="4"/>
  <c r="AB69" i="4"/>
  <c r="L69" i="4"/>
  <c r="AF69" i="4" s="1"/>
  <c r="AJ68" i="4"/>
  <c r="AI68" i="4"/>
  <c r="AD68" i="4"/>
  <c r="AC68" i="4"/>
  <c r="AB68" i="4"/>
  <c r="L68" i="4"/>
  <c r="AJ67" i="4"/>
  <c r="AI67" i="4"/>
  <c r="AD67" i="4"/>
  <c r="AC67" i="4"/>
  <c r="AB67" i="4"/>
  <c r="L67" i="4"/>
  <c r="AG67" i="4" s="1"/>
  <c r="AJ66" i="4"/>
  <c r="AI66" i="4"/>
  <c r="AD66" i="4"/>
  <c r="AC66" i="4"/>
  <c r="AB66" i="4"/>
  <c r="L66" i="4"/>
  <c r="AJ65" i="4"/>
  <c r="AI65" i="4"/>
  <c r="AD65" i="4"/>
  <c r="AC65" i="4"/>
  <c r="AB65" i="4"/>
  <c r="L65" i="4"/>
  <c r="AG65" i="4" s="1"/>
  <c r="AJ64" i="4"/>
  <c r="AI64" i="4"/>
  <c r="AD64" i="4"/>
  <c r="AC64" i="4"/>
  <c r="AB64" i="4"/>
  <c r="L64" i="4"/>
  <c r="AJ63" i="4"/>
  <c r="AI63" i="4"/>
  <c r="AD63" i="4"/>
  <c r="AC63" i="4"/>
  <c r="AB63" i="4"/>
  <c r="L63" i="4"/>
  <c r="AF63" i="4" s="1"/>
  <c r="AJ62" i="4"/>
  <c r="AI62" i="4"/>
  <c r="AD62" i="4"/>
  <c r="AC62" i="4"/>
  <c r="AB62" i="4"/>
  <c r="L62" i="4"/>
  <c r="AF62" i="4" s="1"/>
  <c r="AJ61" i="4"/>
  <c r="AI61" i="4"/>
  <c r="AD61" i="4"/>
  <c r="AC61" i="4"/>
  <c r="AB61" i="4"/>
  <c r="L61" i="4"/>
  <c r="AG61" i="4" s="1"/>
  <c r="AJ60" i="4"/>
  <c r="AI60" i="4"/>
  <c r="AD60" i="4"/>
  <c r="AC60" i="4"/>
  <c r="AB60" i="4"/>
  <c r="L60" i="4"/>
  <c r="AF60" i="4" s="1"/>
  <c r="AJ59" i="4"/>
  <c r="AI59" i="4"/>
  <c r="AD59" i="4"/>
  <c r="AC59" i="4"/>
  <c r="AB59" i="4"/>
  <c r="L59" i="4"/>
  <c r="AJ58" i="4"/>
  <c r="AI58" i="4"/>
  <c r="AD58" i="4"/>
  <c r="AC58" i="4"/>
  <c r="AB58" i="4"/>
  <c r="L58" i="4"/>
  <c r="AJ57" i="4"/>
  <c r="AI57" i="4"/>
  <c r="AD57" i="4"/>
  <c r="AC57" i="4"/>
  <c r="AB57" i="4"/>
  <c r="L57" i="4"/>
  <c r="AG57" i="4" s="1"/>
  <c r="AJ56" i="4"/>
  <c r="AI56" i="4"/>
  <c r="AD56" i="4"/>
  <c r="AC56" i="4"/>
  <c r="AB56" i="4"/>
  <c r="L56" i="4"/>
  <c r="AJ55" i="4"/>
  <c r="AI55" i="4"/>
  <c r="AD55" i="4"/>
  <c r="AC55" i="4"/>
  <c r="AB55" i="4"/>
  <c r="L55" i="4"/>
  <c r="AG55" i="4" s="1"/>
  <c r="AJ54" i="4"/>
  <c r="AI54" i="4"/>
  <c r="AD54" i="4"/>
  <c r="AC54" i="4"/>
  <c r="AB54" i="4"/>
  <c r="L54" i="4"/>
  <c r="AJ53" i="4"/>
  <c r="AI53" i="4"/>
  <c r="AD53" i="4"/>
  <c r="AC53" i="4"/>
  <c r="AB53" i="4"/>
  <c r="L53" i="4"/>
  <c r="AG53" i="4" s="1"/>
  <c r="AJ52" i="4"/>
  <c r="AI52" i="4"/>
  <c r="AD52" i="4"/>
  <c r="AC52" i="4"/>
  <c r="AB52" i="4"/>
  <c r="L52" i="4"/>
  <c r="AG52" i="4" s="1"/>
  <c r="AJ51" i="4"/>
  <c r="AI51" i="4"/>
  <c r="AD51" i="4"/>
  <c r="AC51" i="4"/>
  <c r="AB51" i="4"/>
  <c r="L51" i="4"/>
  <c r="AJ50" i="4"/>
  <c r="AI50" i="4"/>
  <c r="AD50" i="4"/>
  <c r="AC50" i="4"/>
  <c r="AB50" i="4"/>
  <c r="L50" i="4"/>
  <c r="AG50" i="4" s="1"/>
  <c r="AJ49" i="4"/>
  <c r="AI49" i="4"/>
  <c r="AD49" i="4"/>
  <c r="AC49" i="4"/>
  <c r="AB49" i="4"/>
  <c r="L49" i="4"/>
  <c r="AG49" i="4" s="1"/>
  <c r="AJ48" i="4"/>
  <c r="AI48" i="4"/>
  <c r="AD48" i="4"/>
  <c r="AC48" i="4"/>
  <c r="AB48" i="4"/>
  <c r="L48" i="4"/>
  <c r="AJ47" i="4"/>
  <c r="AI47" i="4"/>
  <c r="AD47" i="4"/>
  <c r="AC47" i="4"/>
  <c r="AB47" i="4"/>
  <c r="L47" i="4"/>
  <c r="AJ46" i="4"/>
  <c r="AI46" i="4"/>
  <c r="AD46" i="4"/>
  <c r="AC46" i="4"/>
  <c r="AB46" i="4"/>
  <c r="L46" i="4"/>
  <c r="AJ45" i="4"/>
  <c r="AI45" i="4"/>
  <c r="AD45" i="4"/>
  <c r="AC45" i="4"/>
  <c r="AB45" i="4"/>
  <c r="L45" i="4"/>
  <c r="AG45" i="4" s="1"/>
  <c r="AJ44" i="4"/>
  <c r="AI44" i="4"/>
  <c r="AD44" i="4"/>
  <c r="AC44" i="4"/>
  <c r="AB44" i="4"/>
  <c r="L44" i="4"/>
  <c r="AG44" i="4" s="1"/>
  <c r="AJ43" i="4"/>
  <c r="AI43" i="4"/>
  <c r="AD43" i="4"/>
  <c r="AC43" i="4"/>
  <c r="AB43" i="4"/>
  <c r="L43" i="4"/>
  <c r="AG43" i="4" s="1"/>
  <c r="AJ42" i="4"/>
  <c r="AI42" i="4"/>
  <c r="AD42" i="4"/>
  <c r="AC42" i="4"/>
  <c r="AB42" i="4"/>
  <c r="L42" i="4"/>
  <c r="AJ41" i="4"/>
  <c r="AI41" i="4"/>
  <c r="AD41" i="4"/>
  <c r="AC41" i="4"/>
  <c r="AB41" i="4"/>
  <c r="L41" i="4"/>
  <c r="AG41" i="4" s="1"/>
  <c r="AJ40" i="4"/>
  <c r="AI40" i="4"/>
  <c r="AD40" i="4"/>
  <c r="AC40" i="4"/>
  <c r="AB40" i="4"/>
  <c r="L40" i="4"/>
  <c r="AJ39" i="4"/>
  <c r="AI39" i="4"/>
  <c r="AD39" i="4"/>
  <c r="AC39" i="4"/>
  <c r="AB39" i="4"/>
  <c r="L39" i="4"/>
  <c r="AG39" i="4" s="1"/>
  <c r="AJ38" i="4"/>
  <c r="AI38" i="4"/>
  <c r="AK38" i="4" s="1"/>
  <c r="AD38" i="4"/>
  <c r="AC38" i="4"/>
  <c r="AB38" i="4"/>
  <c r="L38" i="4"/>
  <c r="AJ37" i="4"/>
  <c r="AI37" i="4"/>
  <c r="AD37" i="4"/>
  <c r="AC37" i="4"/>
  <c r="AB37" i="4"/>
  <c r="L37" i="4"/>
  <c r="AF37" i="4" s="1"/>
  <c r="AJ36" i="4"/>
  <c r="AI36" i="4"/>
  <c r="AD36" i="4"/>
  <c r="AC36" i="4"/>
  <c r="AB36" i="4"/>
  <c r="L36" i="4"/>
  <c r="AJ35" i="4"/>
  <c r="AI35" i="4"/>
  <c r="AD35" i="4"/>
  <c r="AC35" i="4"/>
  <c r="AB35" i="4"/>
  <c r="L35" i="4"/>
  <c r="AG35" i="4" s="1"/>
  <c r="AJ34" i="4"/>
  <c r="AI34" i="4"/>
  <c r="AD34" i="4"/>
  <c r="AC34" i="4"/>
  <c r="AB34" i="4"/>
  <c r="L34" i="4"/>
  <c r="AF34" i="4" s="1"/>
  <c r="AJ33" i="4"/>
  <c r="AI33" i="4"/>
  <c r="AD33" i="4"/>
  <c r="AC33" i="4"/>
  <c r="AB33" i="4"/>
  <c r="L33" i="4"/>
  <c r="AJ32" i="4"/>
  <c r="AI32" i="4"/>
  <c r="AD32" i="4"/>
  <c r="AC32" i="4"/>
  <c r="AB32" i="4"/>
  <c r="L32" i="4"/>
  <c r="AJ31" i="4"/>
  <c r="AI31" i="4"/>
  <c r="AD31" i="4"/>
  <c r="AC31" i="4"/>
  <c r="AB31" i="4"/>
  <c r="L31" i="4"/>
  <c r="AG31" i="4" s="1"/>
  <c r="AJ30" i="4"/>
  <c r="AI30" i="4"/>
  <c r="AD30" i="4"/>
  <c r="AC30" i="4"/>
  <c r="AB30" i="4"/>
  <c r="L30" i="4"/>
  <c r="AJ29" i="4"/>
  <c r="AI29" i="4"/>
  <c r="AD29" i="4"/>
  <c r="AC29" i="4"/>
  <c r="AB29" i="4"/>
  <c r="L29" i="4"/>
  <c r="AJ28" i="4"/>
  <c r="AI28" i="4"/>
  <c r="AD28" i="4"/>
  <c r="AC28" i="4"/>
  <c r="AB28" i="4"/>
  <c r="L28" i="4"/>
  <c r="AG28" i="4" s="1"/>
  <c r="AJ27" i="4"/>
  <c r="AI27" i="4"/>
  <c r="AD27" i="4"/>
  <c r="AC27" i="4"/>
  <c r="AB27" i="4"/>
  <c r="L27" i="4"/>
  <c r="AJ26" i="4"/>
  <c r="AI26" i="4"/>
  <c r="AD26" i="4"/>
  <c r="AC26" i="4"/>
  <c r="AB26" i="4"/>
  <c r="L26" i="4"/>
  <c r="AJ25" i="4"/>
  <c r="AI25" i="4"/>
  <c r="AD25" i="4"/>
  <c r="AC25" i="4"/>
  <c r="AB25" i="4"/>
  <c r="L25" i="4"/>
  <c r="AJ24" i="4"/>
  <c r="AI24" i="4"/>
  <c r="AD24" i="4"/>
  <c r="AC24" i="4"/>
  <c r="AB24" i="4"/>
  <c r="L24" i="4"/>
  <c r="AG24" i="4" s="1"/>
  <c r="AJ23" i="4"/>
  <c r="AI23" i="4"/>
  <c r="AD23" i="4"/>
  <c r="AC23" i="4"/>
  <c r="AB23" i="4"/>
  <c r="L23" i="4"/>
  <c r="AJ22" i="4"/>
  <c r="AI22" i="4"/>
  <c r="AK22" i="4" s="1"/>
  <c r="AD22" i="4"/>
  <c r="AC22" i="4"/>
  <c r="AB22" i="4"/>
  <c r="L22" i="4"/>
  <c r="AG22" i="4" s="1"/>
  <c r="AJ21" i="4"/>
  <c r="AI21" i="4"/>
  <c r="AD21" i="4"/>
  <c r="AC21" i="4"/>
  <c r="AB21" i="4"/>
  <c r="L21" i="4"/>
  <c r="AG21" i="4" s="1"/>
  <c r="AJ20" i="4"/>
  <c r="AI20" i="4"/>
  <c r="AD20" i="4"/>
  <c r="AC20" i="4"/>
  <c r="AB20" i="4"/>
  <c r="L20" i="4"/>
  <c r="AJ19" i="4"/>
  <c r="AI19" i="4"/>
  <c r="AD19" i="4"/>
  <c r="AC19" i="4"/>
  <c r="AB19" i="4"/>
  <c r="L19" i="4"/>
  <c r="AJ18" i="4"/>
  <c r="AI18" i="4"/>
  <c r="AD18" i="4"/>
  <c r="AC18" i="4"/>
  <c r="AB18" i="4"/>
  <c r="L18" i="4"/>
  <c r="AG18" i="4" s="1"/>
  <c r="AJ17" i="4"/>
  <c r="AI17" i="4"/>
  <c r="AD17" i="4"/>
  <c r="AC17" i="4"/>
  <c r="AB17" i="4"/>
  <c r="L17" i="4"/>
  <c r="AG17" i="4" s="1"/>
  <c r="AJ16" i="4"/>
  <c r="AI16" i="4"/>
  <c r="AD16" i="4"/>
  <c r="AC16" i="4"/>
  <c r="AB16" i="4"/>
  <c r="L16" i="4"/>
  <c r="AF16" i="4" s="1"/>
  <c r="AJ15" i="4"/>
  <c r="AI15" i="4"/>
  <c r="AD15" i="4"/>
  <c r="AC15" i="4"/>
  <c r="AB15" i="4"/>
  <c r="L15" i="4"/>
  <c r="AG15" i="4" s="1"/>
  <c r="AJ14" i="4"/>
  <c r="AI14" i="4"/>
  <c r="AD14" i="4"/>
  <c r="AC14" i="4"/>
  <c r="AB14" i="4"/>
  <c r="L14" i="4"/>
  <c r="AJ13" i="4"/>
  <c r="AI13" i="4"/>
  <c r="AD13" i="4"/>
  <c r="AC13" i="4"/>
  <c r="AB13" i="4"/>
  <c r="L13" i="4"/>
  <c r="AJ12" i="4"/>
  <c r="AI12" i="4"/>
  <c r="AD12" i="4"/>
  <c r="AC12" i="4"/>
  <c r="AB12" i="4"/>
  <c r="L12" i="4"/>
  <c r="AG12" i="4" s="1"/>
  <c r="AJ11" i="4"/>
  <c r="AI11" i="4"/>
  <c r="AD11" i="4"/>
  <c r="AC11" i="4"/>
  <c r="AB11" i="4"/>
  <c r="L11" i="4"/>
  <c r="AJ10" i="4"/>
  <c r="AI10" i="4"/>
  <c r="AD10" i="4"/>
  <c r="AC10" i="4"/>
  <c r="AB10" i="4"/>
  <c r="L10" i="4"/>
  <c r="AJ9" i="4"/>
  <c r="AI9" i="4"/>
  <c r="AD9" i="4"/>
  <c r="AC9" i="4"/>
  <c r="AB9" i="4"/>
  <c r="L9" i="4"/>
  <c r="AG9" i="4" s="1"/>
  <c r="AJ8" i="4"/>
  <c r="AI8" i="4"/>
  <c r="AD8" i="4"/>
  <c r="AC8" i="4"/>
  <c r="AB8" i="4"/>
  <c r="L8" i="4"/>
  <c r="AG8" i="4" s="1"/>
  <c r="AJ7" i="4"/>
  <c r="AI7" i="4"/>
  <c r="AD7" i="4"/>
  <c r="AC7" i="4"/>
  <c r="AB7" i="4"/>
  <c r="L7" i="4"/>
  <c r="AG7" i="4" s="1"/>
  <c r="AJ6" i="4"/>
  <c r="AI6" i="4"/>
  <c r="AK6" i="4" s="1"/>
  <c r="AD6" i="4"/>
  <c r="AC6" i="4"/>
  <c r="AB6" i="4"/>
  <c r="L6" i="4"/>
  <c r="AJ5" i="4"/>
  <c r="AI5" i="4"/>
  <c r="AD5" i="4"/>
  <c r="AC5" i="4"/>
  <c r="AB5" i="4"/>
  <c r="L5" i="4"/>
  <c r="AG5" i="4" s="1"/>
  <c r="AJ4" i="4"/>
  <c r="AI4" i="4"/>
  <c r="AD4" i="4"/>
  <c r="AC4" i="4"/>
  <c r="AB4" i="4"/>
  <c r="L4" i="4"/>
  <c r="AK270" i="4" l="1"/>
  <c r="AE256" i="4"/>
  <c r="AE62" i="4"/>
  <c r="AK67" i="4"/>
  <c r="AK83" i="4"/>
  <c r="AE86" i="4"/>
  <c r="AE349" i="4"/>
  <c r="AE196" i="4"/>
  <c r="AE16" i="4"/>
  <c r="AE24" i="4"/>
  <c r="AE40" i="4"/>
  <c r="AK61" i="4"/>
  <c r="AE152" i="4"/>
  <c r="AE331" i="4"/>
  <c r="AK336" i="4"/>
  <c r="AE289" i="4"/>
  <c r="AE305" i="4"/>
  <c r="AK310" i="4"/>
  <c r="AK326" i="4"/>
  <c r="AK334" i="4"/>
  <c r="AE348" i="4"/>
  <c r="AE139" i="4"/>
  <c r="AE283" i="4"/>
  <c r="AE299" i="4"/>
  <c r="AK304" i="4"/>
  <c r="AE4" i="4"/>
  <c r="AK201" i="4"/>
  <c r="AE143" i="4"/>
  <c r="AK164" i="4"/>
  <c r="AE183" i="4"/>
  <c r="AE223" i="4"/>
  <c r="AE239" i="4"/>
  <c r="AK268" i="4"/>
  <c r="AE271" i="4"/>
  <c r="AE295" i="4"/>
  <c r="AK300" i="4"/>
  <c r="AE303" i="4"/>
  <c r="AK308" i="4"/>
  <c r="AK39" i="4"/>
  <c r="AE42" i="4"/>
  <c r="AK119" i="4"/>
  <c r="AE122" i="4"/>
  <c r="AK167" i="4"/>
  <c r="AE186" i="4"/>
  <c r="AE202" i="4"/>
  <c r="AK223" i="4"/>
  <c r="AK231" i="4"/>
  <c r="AE250" i="4"/>
  <c r="AK255" i="4"/>
  <c r="AE258" i="4"/>
  <c r="AK271" i="4"/>
  <c r="AE274" i="4"/>
  <c r="AK126" i="4"/>
  <c r="AK134" i="4"/>
  <c r="AK163" i="4"/>
  <c r="AE198" i="4"/>
  <c r="AE214" i="4"/>
  <c r="AK219" i="4"/>
  <c r="AE222" i="4"/>
  <c r="AK227" i="4"/>
  <c r="AG312" i="4"/>
  <c r="AH312" i="4" s="1"/>
  <c r="AK349" i="4"/>
  <c r="AE352" i="4"/>
  <c r="AE254" i="4"/>
  <c r="AE262" i="4"/>
  <c r="AE315" i="4"/>
  <c r="AF145" i="4"/>
  <c r="AH145" i="4" s="1"/>
  <c r="AG92" i="4"/>
  <c r="AH92" i="4" s="1"/>
  <c r="AK241" i="4"/>
  <c r="AE244" i="4"/>
  <c r="AE252" i="4"/>
  <c r="AK265" i="4"/>
  <c r="AK273" i="4"/>
  <c r="AK281" i="4"/>
  <c r="AE284" i="4"/>
  <c r="AE321" i="4"/>
  <c r="AF228" i="4"/>
  <c r="AH228" i="4" s="1"/>
  <c r="AE319" i="4"/>
  <c r="AE11" i="4"/>
  <c r="AE19" i="4"/>
  <c r="AE27" i="4"/>
  <c r="AK48" i="4"/>
  <c r="AK80" i="4"/>
  <c r="AE83" i="4"/>
  <c r="AK88" i="4"/>
  <c r="AK101" i="4"/>
  <c r="AK141" i="4"/>
  <c r="AE144" i="4"/>
  <c r="AE149" i="4"/>
  <c r="AK154" i="4"/>
  <c r="AE165" i="4"/>
  <c r="AE189" i="4"/>
  <c r="AE335" i="4"/>
  <c r="AK340" i="4"/>
  <c r="AK18" i="4"/>
  <c r="AE37" i="4"/>
  <c r="AK42" i="4"/>
  <c r="AE100" i="4"/>
  <c r="AK113" i="4"/>
  <c r="AE116" i="4"/>
  <c r="AK166" i="4"/>
  <c r="AE169" i="4"/>
  <c r="AK182" i="4"/>
  <c r="AE278" i="4"/>
  <c r="AE307" i="4"/>
  <c r="AE320" i="4"/>
  <c r="AK85" i="4"/>
  <c r="AK284" i="4"/>
  <c r="AE269" i="4"/>
  <c r="AF70" i="4"/>
  <c r="AH70" i="4" s="1"/>
  <c r="AF306" i="4"/>
  <c r="AH306" i="4" s="1"/>
  <c r="AE344" i="4"/>
  <c r="AF53" i="4"/>
  <c r="AH53" i="4" s="1"/>
  <c r="AF276" i="4"/>
  <c r="AH276" i="4" s="1"/>
  <c r="AE52" i="4"/>
  <c r="AG350" i="4"/>
  <c r="AH350" i="4" s="1"/>
  <c r="AK20" i="4"/>
  <c r="AK36" i="4"/>
  <c r="AE39" i="4"/>
  <c r="AE73" i="4"/>
  <c r="AK86" i="4"/>
  <c r="AK115" i="4"/>
  <c r="AE118" i="4"/>
  <c r="AK160" i="4"/>
  <c r="AE171" i="4"/>
  <c r="AK277" i="4"/>
  <c r="AE280" i="4"/>
  <c r="AE288" i="4"/>
  <c r="AK301" i="4"/>
  <c r="AE304" i="4"/>
  <c r="AK306" i="4"/>
  <c r="AK66" i="4"/>
  <c r="AK71" i="4"/>
  <c r="AE82" i="4"/>
  <c r="AK87" i="4"/>
  <c r="AK92" i="4"/>
  <c r="AK100" i="4"/>
  <c r="AE103" i="4"/>
  <c r="AK108" i="4"/>
  <c r="AK129" i="4"/>
  <c r="AE153" i="4"/>
  <c r="AK158" i="4"/>
  <c r="AE166" i="4"/>
  <c r="AE174" i="4"/>
  <c r="AK179" i="4"/>
  <c r="AK192" i="4"/>
  <c r="AK208" i="4"/>
  <c r="AE240" i="4"/>
  <c r="AE253" i="4"/>
  <c r="AE287" i="4"/>
  <c r="AK297" i="4"/>
  <c r="AE300" i="4"/>
  <c r="AE310" i="4"/>
  <c r="AK325" i="4"/>
  <c r="AG190" i="4"/>
  <c r="AH190" i="4" s="1"/>
  <c r="AG240" i="4"/>
  <c r="AH240" i="4" s="1"/>
  <c r="AF287" i="4"/>
  <c r="AH287" i="4" s="1"/>
  <c r="AK341" i="4"/>
  <c r="AE22" i="4"/>
  <c r="AK43" i="4"/>
  <c r="AE46" i="4"/>
  <c r="AK51" i="4"/>
  <c r="AK56" i="4"/>
  <c r="AE59" i="4"/>
  <c r="AK190" i="4"/>
  <c r="AE193" i="4"/>
  <c r="AF198" i="4"/>
  <c r="AH198" i="4" s="1"/>
  <c r="AE230" i="4"/>
  <c r="AK240" i="4"/>
  <c r="AE243" i="4"/>
  <c r="AK269" i="4"/>
  <c r="AE308" i="4"/>
  <c r="AK124" i="4"/>
  <c r="AE67" i="4"/>
  <c r="AK106" i="4"/>
  <c r="AK114" i="4"/>
  <c r="AK122" i="4"/>
  <c r="AE138" i="4"/>
  <c r="AE151" i="4"/>
  <c r="AK177" i="4"/>
  <c r="AE180" i="4"/>
  <c r="AK185" i="4"/>
  <c r="AE188" i="4"/>
  <c r="AK206" i="4"/>
  <c r="AK214" i="4"/>
  <c r="AK222" i="4"/>
  <c r="AE225" i="4"/>
  <c r="AE251" i="4"/>
  <c r="AK256" i="4"/>
  <c r="AE267" i="4"/>
  <c r="AE277" i="4"/>
  <c r="AK282" i="4"/>
  <c r="AE285" i="4"/>
  <c r="AK287" i="4"/>
  <c r="AE290" i="4"/>
  <c r="AE298" i="4"/>
  <c r="AK303" i="4"/>
  <c r="AE326" i="4"/>
  <c r="AE334" i="4"/>
  <c r="AF339" i="4"/>
  <c r="AH339" i="4" s="1"/>
  <c r="AF164" i="4"/>
  <c r="AH164" i="4" s="1"/>
  <c r="AF272" i="4"/>
  <c r="AH272" i="4" s="1"/>
  <c r="AG308" i="4"/>
  <c r="AH308" i="4" s="1"/>
  <c r="AB353" i="4"/>
  <c r="AF159" i="4"/>
  <c r="AH159" i="4" s="1"/>
  <c r="AG267" i="4"/>
  <c r="AH267" i="4" s="1"/>
  <c r="AE306" i="4"/>
  <c r="AF313" i="4"/>
  <c r="AH313" i="4" s="1"/>
  <c r="AK25" i="4"/>
  <c r="AE36" i="4"/>
  <c r="AK41" i="4"/>
  <c r="AK62" i="4"/>
  <c r="AK117" i="4"/>
  <c r="AK125" i="4"/>
  <c r="AE162" i="4"/>
  <c r="AE270" i="4"/>
  <c r="AK272" i="4"/>
  <c r="AE275" i="4"/>
  <c r="AK313" i="4"/>
  <c r="AK321" i="4"/>
  <c r="AK350" i="4"/>
  <c r="AF65" i="4"/>
  <c r="AH65" i="4" s="1"/>
  <c r="AG128" i="4"/>
  <c r="AH128" i="4" s="1"/>
  <c r="AK329" i="4"/>
  <c r="AF123" i="4"/>
  <c r="AH123" i="4" s="1"/>
  <c r="AF239" i="4"/>
  <c r="AH239" i="4" s="1"/>
  <c r="AF244" i="4"/>
  <c r="AH244" i="4" s="1"/>
  <c r="AE309" i="4"/>
  <c r="AK319" i="4"/>
  <c r="AE322" i="4"/>
  <c r="AE343" i="4"/>
  <c r="AD353" i="4"/>
  <c r="AI353" i="4"/>
  <c r="AF304" i="4"/>
  <c r="AH304" i="4" s="1"/>
  <c r="AK102" i="4"/>
  <c r="AE113" i="4"/>
  <c r="AK118" i="4"/>
  <c r="AE121" i="4"/>
  <c r="AE134" i="4"/>
  <c r="AE142" i="4"/>
  <c r="AE147" i="4"/>
  <c r="AE184" i="4"/>
  <c r="AK189" i="4"/>
  <c r="AK244" i="4"/>
  <c r="AK278" i="4"/>
  <c r="AK286" i="4"/>
  <c r="AE294" i="4"/>
  <c r="AK309" i="4"/>
  <c r="AE312" i="4"/>
  <c r="AK327" i="4"/>
  <c r="AK335" i="4"/>
  <c r="AE338" i="4"/>
  <c r="AE351" i="4"/>
  <c r="AE272" i="4"/>
  <c r="AK133" i="4"/>
  <c r="AE12" i="4"/>
  <c r="AE71" i="4"/>
  <c r="AK307" i="4"/>
  <c r="AK105" i="4"/>
  <c r="AF188" i="4"/>
  <c r="AH188" i="4" s="1"/>
  <c r="AG214" i="4"/>
  <c r="AH214" i="4" s="1"/>
  <c r="AF232" i="4"/>
  <c r="AH232" i="4" s="1"/>
  <c r="AK252" i="4"/>
  <c r="AE325" i="4"/>
  <c r="AE330" i="4"/>
  <c r="AK4" i="4"/>
  <c r="AE41" i="4"/>
  <c r="AG69" i="4"/>
  <c r="AH69" i="4" s="1"/>
  <c r="AE90" i="4"/>
  <c r="AF108" i="4"/>
  <c r="AH108" i="4" s="1"/>
  <c r="AK136" i="4"/>
  <c r="AF157" i="4"/>
  <c r="AH157" i="4" s="1"/>
  <c r="AK172" i="4"/>
  <c r="AE242" i="4"/>
  <c r="AF255" i="4"/>
  <c r="AH255" i="4" s="1"/>
  <c r="AG280" i="4"/>
  <c r="AH280" i="4" s="1"/>
  <c r="AE293" i="4"/>
  <c r="AF15" i="4"/>
  <c r="AH15" i="4" s="1"/>
  <c r="AF28" i="4"/>
  <c r="AH28" i="4" s="1"/>
  <c r="AF49" i="4"/>
  <c r="AH49" i="4" s="1"/>
  <c r="AF260" i="4"/>
  <c r="AH260" i="4" s="1"/>
  <c r="AF293" i="4"/>
  <c r="AH293" i="4" s="1"/>
  <c r="AF129" i="4"/>
  <c r="AH129" i="4" s="1"/>
  <c r="AF217" i="4"/>
  <c r="AH217" i="4" s="1"/>
  <c r="AE235" i="4"/>
  <c r="AF315" i="4"/>
  <c r="AH315" i="4" s="1"/>
  <c r="AK320" i="4"/>
  <c r="AG351" i="4"/>
  <c r="AH351" i="4" s="1"/>
  <c r="AK10" i="4"/>
  <c r="AK15" i="4"/>
  <c r="AE72" i="4"/>
  <c r="AE80" i="4"/>
  <c r="AK103" i="4"/>
  <c r="AK116" i="4"/>
  <c r="AE119" i="4"/>
  <c r="AE150" i="4"/>
  <c r="AK170" i="4"/>
  <c r="AK178" i="4"/>
  <c r="AK204" i="4"/>
  <c r="AE207" i="4"/>
  <c r="AK230" i="4"/>
  <c r="AK235" i="4"/>
  <c r="AE245" i="4"/>
  <c r="AE273" i="4"/>
  <c r="AK283" i="4"/>
  <c r="AE286" i="4"/>
  <c r="AK288" i="4"/>
  <c r="AK293" i="4"/>
  <c r="AE296" i="4"/>
  <c r="AE313" i="4"/>
  <c r="AE323" i="4"/>
  <c r="AG328" i="4"/>
  <c r="AH328" i="4" s="1"/>
  <c r="AK351" i="4"/>
  <c r="AE215" i="4"/>
  <c r="AK181" i="4"/>
  <c r="AK199" i="4"/>
  <c r="AK52" i="4"/>
  <c r="AK29" i="4"/>
  <c r="AE32" i="4"/>
  <c r="AK60" i="4"/>
  <c r="AE107" i="4"/>
  <c r="AE112" i="4"/>
  <c r="AF135" i="4"/>
  <c r="AH135" i="4" s="1"/>
  <c r="AE213" i="4"/>
  <c r="AE218" i="4"/>
  <c r="AE226" i="4"/>
  <c r="AK243" i="4"/>
  <c r="AE246" i="4"/>
  <c r="AF261" i="4"/>
  <c r="AH261" i="4" s="1"/>
  <c r="AK276" i="4"/>
  <c r="AE279" i="4"/>
  <c r="AE302" i="4"/>
  <c r="AE324" i="4"/>
  <c r="AE337" i="4"/>
  <c r="AE342" i="4"/>
  <c r="AE350" i="4"/>
  <c r="AC353" i="4"/>
  <c r="AG166" i="4"/>
  <c r="AH166" i="4" s="1"/>
  <c r="AG352" i="4"/>
  <c r="AH352" i="4" s="1"/>
  <c r="AE101" i="4"/>
  <c r="AK323" i="4"/>
  <c r="AE339" i="4"/>
  <c r="AK5" i="4"/>
  <c r="AK173" i="4"/>
  <c r="AE261" i="4"/>
  <c r="AE266" i="4"/>
  <c r="AK344" i="4"/>
  <c r="AE35" i="4"/>
  <c r="AG63" i="4"/>
  <c r="AH63" i="4" s="1"/>
  <c r="AE89" i="4"/>
  <c r="AE102" i="4"/>
  <c r="AE115" i="4"/>
  <c r="AK218" i="4"/>
  <c r="AE221" i="4"/>
  <c r="AK226" i="4"/>
  <c r="AK254" i="4"/>
  <c r="AF259" i="4"/>
  <c r="AH259" i="4" s="1"/>
  <c r="AK261" i="4"/>
  <c r="AK279" i="4"/>
  <c r="AF302" i="4"/>
  <c r="AH302" i="4" s="1"/>
  <c r="AE314" i="4"/>
  <c r="AK324" i="4"/>
  <c r="AE332" i="4"/>
  <c r="AK342" i="4"/>
  <c r="AK352" i="4"/>
  <c r="AJ353" i="4"/>
  <c r="AF333" i="4"/>
  <c r="AG333" i="4"/>
  <c r="AF346" i="4"/>
  <c r="AG346" i="4"/>
  <c r="AE128" i="4"/>
  <c r="AG169" i="4"/>
  <c r="AF169" i="4"/>
  <c r="AG4" i="4"/>
  <c r="AF4" i="4"/>
  <c r="AG25" i="4"/>
  <c r="AF25" i="4"/>
  <c r="AG237" i="4"/>
  <c r="AF237" i="4"/>
  <c r="AK250" i="4"/>
  <c r="AG73" i="4"/>
  <c r="AF73" i="4"/>
  <c r="AG56" i="4"/>
  <c r="AF56" i="4"/>
  <c r="AH56" i="4" s="1"/>
  <c r="AF121" i="4"/>
  <c r="AG121" i="4"/>
  <c r="AG344" i="4"/>
  <c r="AF344" i="4"/>
  <c r="AG111" i="4"/>
  <c r="AF111" i="4"/>
  <c r="AG225" i="4"/>
  <c r="AF225" i="4"/>
  <c r="AG13" i="4"/>
  <c r="AF13" i="4"/>
  <c r="AG47" i="4"/>
  <c r="AF47" i="4"/>
  <c r="AG319" i="4"/>
  <c r="AF319" i="4"/>
  <c r="AE212" i="4"/>
  <c r="AK246" i="4"/>
  <c r="AK77" i="4"/>
  <c r="AF176" i="4"/>
  <c r="AG176" i="4"/>
  <c r="AF210" i="4"/>
  <c r="AG210" i="4"/>
  <c r="AH322" i="4"/>
  <c r="AG104" i="4"/>
  <c r="AF104" i="4"/>
  <c r="AF348" i="4"/>
  <c r="AG348" i="4"/>
  <c r="AG11" i="4"/>
  <c r="AF11" i="4"/>
  <c r="AE75" i="4"/>
  <c r="AK207" i="4"/>
  <c r="AE259" i="4"/>
  <c r="AK339" i="4"/>
  <c r="AK212" i="4"/>
  <c r="AE56" i="4"/>
  <c r="AE104" i="4"/>
  <c r="AE181" i="4"/>
  <c r="AK183" i="4"/>
  <c r="AK259" i="4"/>
  <c r="AK289" i="4"/>
  <c r="AK312" i="4"/>
  <c r="AK337" i="4"/>
  <c r="AE346" i="4"/>
  <c r="AE9" i="4"/>
  <c r="AK13" i="4"/>
  <c r="AE45" i="4"/>
  <c r="AK58" i="4"/>
  <c r="AE66" i="4"/>
  <c r="AE78" i="4"/>
  <c r="AK99" i="4"/>
  <c r="AK138" i="4"/>
  <c r="AE155" i="4"/>
  <c r="AK162" i="4"/>
  <c r="AK176" i="4"/>
  <c r="AK203" i="4"/>
  <c r="AK217" i="4"/>
  <c r="AE220" i="4"/>
  <c r="AE247" i="4"/>
  <c r="AK253" i="4"/>
  <c r="AK257" i="4"/>
  <c r="AE264" i="4"/>
  <c r="AE268" i="4"/>
  <c r="AK285" i="4"/>
  <c r="AF296" i="4"/>
  <c r="AH296" i="4" s="1"/>
  <c r="AK302" i="4"/>
  <c r="AE317" i="4"/>
  <c r="AE327" i="4"/>
  <c r="AE329" i="4"/>
  <c r="AK333" i="4"/>
  <c r="AE340" i="4"/>
  <c r="AK348" i="4"/>
  <c r="AE291" i="4"/>
  <c r="AK44" i="4"/>
  <c r="AE217" i="4"/>
  <c r="AK248" i="4"/>
  <c r="AK328" i="4"/>
  <c r="AK53" i="4"/>
  <c r="AK70" i="4"/>
  <c r="AK280" i="4"/>
  <c r="AK291" i="4"/>
  <c r="AK68" i="4"/>
  <c r="AF9" i="4"/>
  <c r="AH9" i="4" s="1"/>
  <c r="AK11" i="4"/>
  <c r="AK30" i="4"/>
  <c r="AE38" i="4"/>
  <c r="AK40" i="4"/>
  <c r="AE54" i="4"/>
  <c r="AK73" i="4"/>
  <c r="AE76" i="4"/>
  <c r="AG78" i="4"/>
  <c r="AH78" i="4" s="1"/>
  <c r="AG83" i="4"/>
  <c r="AH83" i="4" s="1"/>
  <c r="AE95" i="4"/>
  <c r="AF97" i="4"/>
  <c r="AH97" i="4" s="1"/>
  <c r="AE109" i="4"/>
  <c r="AE136" i="4"/>
  <c r="AK148" i="4"/>
  <c r="AE160" i="4"/>
  <c r="AK169" i="4"/>
  <c r="AE172" i="4"/>
  <c r="AK196" i="4"/>
  <c r="AE201" i="4"/>
  <c r="AG208" i="4"/>
  <c r="AH208" i="4" s="1"/>
  <c r="AK210" i="4"/>
  <c r="AF230" i="4"/>
  <c r="AH230" i="4" s="1"/>
  <c r="AK237" i="4"/>
  <c r="AF251" i="4"/>
  <c r="AH251" i="4" s="1"/>
  <c r="AE281" i="4"/>
  <c r="AF283" i="4"/>
  <c r="AH283" i="4" s="1"/>
  <c r="AG321" i="4"/>
  <c r="AH321" i="4" s="1"/>
  <c r="AF331" i="4"/>
  <c r="AH331" i="4" s="1"/>
  <c r="AK346" i="4"/>
  <c r="AF45" i="4"/>
  <c r="AH45" i="4" s="1"/>
  <c r="AG317" i="4"/>
  <c r="AH317" i="4" s="1"/>
  <c r="AF327" i="4"/>
  <c r="AH327" i="4" s="1"/>
  <c r="AF7" i="4"/>
  <c r="AH7" i="4" s="1"/>
  <c r="AK45" i="4"/>
  <c r="AE50" i="4"/>
  <c r="AF52" i="4"/>
  <c r="AH52" i="4" s="1"/>
  <c r="AF76" i="4"/>
  <c r="AH76" i="4" s="1"/>
  <c r="AE81" i="4"/>
  <c r="AF95" i="4"/>
  <c r="AH95" i="4" s="1"/>
  <c r="AE127" i="4"/>
  <c r="AF146" i="4"/>
  <c r="AH146" i="4" s="1"/>
  <c r="AF172" i="4"/>
  <c r="AH172" i="4" s="1"/>
  <c r="AG201" i="4"/>
  <c r="AH201" i="4" s="1"/>
  <c r="AF213" i="4"/>
  <c r="AH213" i="4" s="1"/>
  <c r="AK220" i="4"/>
  <c r="AE241" i="4"/>
  <c r="AG245" i="4"/>
  <c r="AH245" i="4" s="1"/>
  <c r="AK249" i="4"/>
  <c r="AK251" i="4"/>
  <c r="AG264" i="4"/>
  <c r="AH264" i="4" s="1"/>
  <c r="AK266" i="4"/>
  <c r="AF281" i="4"/>
  <c r="AH281" i="4" s="1"/>
  <c r="AF292" i="4"/>
  <c r="AH292" i="4" s="1"/>
  <c r="AK296" i="4"/>
  <c r="AE311" i="4"/>
  <c r="AK317" i="4"/>
  <c r="AG325" i="4"/>
  <c r="AH325" i="4" s="1"/>
  <c r="AG329" i="4"/>
  <c r="AH329" i="4" s="1"/>
  <c r="AK331" i="4"/>
  <c r="AE336" i="4"/>
  <c r="AF249" i="4"/>
  <c r="AH249" i="4" s="1"/>
  <c r="AF243" i="4"/>
  <c r="AH243" i="4" s="1"/>
  <c r="AF277" i="4"/>
  <c r="AH277" i="4" s="1"/>
  <c r="AG16" i="4"/>
  <c r="AH16" i="4" s="1"/>
  <c r="AK28" i="4"/>
  <c r="AF43" i="4"/>
  <c r="AH43" i="4" s="1"/>
  <c r="AE48" i="4"/>
  <c r="AF50" i="4"/>
  <c r="AH50" i="4" s="1"/>
  <c r="AE74" i="4"/>
  <c r="AK76" i="4"/>
  <c r="AF88" i="4"/>
  <c r="AH88" i="4" s="1"/>
  <c r="AE93" i="4"/>
  <c r="AF127" i="4"/>
  <c r="AH127" i="4" s="1"/>
  <c r="AK144" i="4"/>
  <c r="AK146" i="4"/>
  <c r="AE156" i="4"/>
  <c r="AG158" i="4"/>
  <c r="AH158" i="4" s="1"/>
  <c r="AK165" i="4"/>
  <c r="AE175" i="4"/>
  <c r="AE182" i="4"/>
  <c r="AE187" i="4"/>
  <c r="AF189" i="4"/>
  <c r="AH189" i="4" s="1"/>
  <c r="AK194" i="4"/>
  <c r="AE197" i="4"/>
  <c r="AK228" i="4"/>
  <c r="AE233" i="4"/>
  <c r="AE238" i="4"/>
  <c r="AK239" i="4"/>
  <c r="AF256" i="4"/>
  <c r="AH256" i="4" s="1"/>
  <c r="AK264" i="4"/>
  <c r="AF275" i="4"/>
  <c r="AH275" i="4" s="1"/>
  <c r="AF288" i="4"/>
  <c r="AH288" i="4" s="1"/>
  <c r="AG290" i="4"/>
  <c r="AH290" i="4" s="1"/>
  <c r="AK292" i="4"/>
  <c r="AK294" i="4"/>
  <c r="AE301" i="4"/>
  <c r="AF309" i="4"/>
  <c r="AH309" i="4" s="1"/>
  <c r="AK311" i="4"/>
  <c r="AF336" i="4"/>
  <c r="AH336" i="4" s="1"/>
  <c r="AK338" i="4"/>
  <c r="AE345" i="4"/>
  <c r="AE347" i="4"/>
  <c r="AF86" i="4"/>
  <c r="AH86" i="4" s="1"/>
  <c r="AF177" i="4"/>
  <c r="AH177" i="4" s="1"/>
  <c r="AG258" i="4"/>
  <c r="AH258" i="4" s="1"/>
  <c r="AF286" i="4"/>
  <c r="AH286" i="4" s="1"/>
  <c r="AF303" i="4"/>
  <c r="AH303" i="4" s="1"/>
  <c r="AF307" i="4"/>
  <c r="AH307" i="4" s="1"/>
  <c r="AF349" i="4"/>
  <c r="AH349" i="4" s="1"/>
  <c r="AF41" i="4"/>
  <c r="AH41" i="4" s="1"/>
  <c r="AK50" i="4"/>
  <c r="AE57" i="4"/>
  <c r="AE91" i="4"/>
  <c r="AK93" i="4"/>
  <c r="AE105" i="4"/>
  <c r="AE110" i="4"/>
  <c r="AF151" i="4"/>
  <c r="AH151" i="4" s="1"/>
  <c r="AK156" i="4"/>
  <c r="AF175" i="4"/>
  <c r="AH175" i="4" s="1"/>
  <c r="AF197" i="4"/>
  <c r="AH197" i="4" s="1"/>
  <c r="AE231" i="4"/>
  <c r="AK275" i="4"/>
  <c r="AG301" i="4"/>
  <c r="AH301" i="4" s="1"/>
  <c r="AK305" i="4"/>
  <c r="AF334" i="4"/>
  <c r="AH334" i="4" s="1"/>
  <c r="AE341" i="4"/>
  <c r="AF345" i="4"/>
  <c r="AH345" i="4" s="1"/>
  <c r="AF347" i="4"/>
  <c r="AH347" i="4" s="1"/>
  <c r="AF12" i="4"/>
  <c r="AH12" i="4" s="1"/>
  <c r="AF24" i="4"/>
  <c r="AH24" i="4" s="1"/>
  <c r="AE55" i="4"/>
  <c r="AF57" i="4"/>
  <c r="AH57" i="4" s="1"/>
  <c r="AG79" i="4"/>
  <c r="AH79" i="4" s="1"/>
  <c r="AF84" i="4"/>
  <c r="AH84" i="4" s="1"/>
  <c r="AF105" i="4"/>
  <c r="AH105" i="4" s="1"/>
  <c r="AG149" i="4"/>
  <c r="AH149" i="4" s="1"/>
  <c r="AF209" i="4"/>
  <c r="AH209" i="4" s="1"/>
  <c r="AF236" i="4"/>
  <c r="AH236" i="4" s="1"/>
  <c r="AF297" i="4"/>
  <c r="AH297" i="4" s="1"/>
  <c r="AF299" i="4"/>
  <c r="AH299" i="4" s="1"/>
  <c r="AE318" i="4"/>
  <c r="AF320" i="4"/>
  <c r="AH320" i="4" s="1"/>
  <c r="AF341" i="4"/>
  <c r="AH341" i="4" s="1"/>
  <c r="AK12" i="4"/>
  <c r="AK24" i="4"/>
  <c r="AG34" i="4"/>
  <c r="AH34" i="4" s="1"/>
  <c r="AF39" i="4"/>
  <c r="AH39" i="4" s="1"/>
  <c r="AE53" i="4"/>
  <c r="AF55" i="4"/>
  <c r="AH55" i="4" s="1"/>
  <c r="AG98" i="4"/>
  <c r="AH98" i="4" s="1"/>
  <c r="AE108" i="4"/>
  <c r="AG110" i="4"/>
  <c r="AH110" i="4" s="1"/>
  <c r="AK112" i="4"/>
  <c r="AK120" i="4"/>
  <c r="AG132" i="4"/>
  <c r="AH132" i="4" s="1"/>
  <c r="AG137" i="4"/>
  <c r="AH137" i="4" s="1"/>
  <c r="AK142" i="4"/>
  <c r="AE173" i="4"/>
  <c r="AK175" i="4"/>
  <c r="AE185" i="4"/>
  <c r="AF207" i="4"/>
  <c r="AH207" i="4" s="1"/>
  <c r="AF248" i="4"/>
  <c r="AH248" i="4" s="1"/>
  <c r="AG252" i="4"/>
  <c r="AH252" i="4" s="1"/>
  <c r="AE282" i="4"/>
  <c r="AG284" i="4"/>
  <c r="AH284" i="4" s="1"/>
  <c r="AK318" i="4"/>
  <c r="AF324" i="4"/>
  <c r="AH324" i="4" s="1"/>
  <c r="AE328" i="4"/>
  <c r="AK332" i="4"/>
  <c r="AK343" i="4"/>
  <c r="AK347" i="4"/>
  <c r="AK37" i="4"/>
  <c r="AG131" i="4"/>
  <c r="AH131" i="4" s="1"/>
  <c r="AF141" i="4"/>
  <c r="AH141" i="4" s="1"/>
  <c r="AG266" i="4"/>
  <c r="AH266" i="4" s="1"/>
  <c r="AF323" i="4"/>
  <c r="AH323" i="4" s="1"/>
  <c r="AF8" i="4"/>
  <c r="AH8" i="4" s="1"/>
  <c r="AK34" i="4"/>
  <c r="AE44" i="4"/>
  <c r="AE51" i="4"/>
  <c r="AE60" i="4"/>
  <c r="AK84" i="4"/>
  <c r="AK98" i="4"/>
  <c r="AG115" i="4"/>
  <c r="AH115" i="4" s="1"/>
  <c r="AE123" i="4"/>
  <c r="AE140" i="4"/>
  <c r="AE159" i="4"/>
  <c r="AK180" i="4"/>
  <c r="AG185" i="4"/>
  <c r="AH185" i="4" s="1"/>
  <c r="AK202" i="4"/>
  <c r="AE205" i="4"/>
  <c r="AK209" i="4"/>
  <c r="AE219" i="4"/>
  <c r="AE234" i="4"/>
  <c r="AK236" i="4"/>
  <c r="AG250" i="4"/>
  <c r="AH250" i="4" s="1"/>
  <c r="AE255" i="4"/>
  <c r="AE263" i="4"/>
  <c r="AF265" i="4"/>
  <c r="AH265" i="4" s="1"/>
  <c r="AG282" i="4"/>
  <c r="AH282" i="4" s="1"/>
  <c r="AK299" i="4"/>
  <c r="AE316" i="4"/>
  <c r="AK345" i="4"/>
  <c r="AF305" i="4"/>
  <c r="AG305" i="4"/>
  <c r="AG326" i="4"/>
  <c r="AF326" i="4"/>
  <c r="AF61" i="4"/>
  <c r="AH61" i="4" s="1"/>
  <c r="AG246" i="4"/>
  <c r="AF246" i="4"/>
  <c r="AF18" i="4"/>
  <c r="AH18" i="4" s="1"/>
  <c r="AE23" i="4"/>
  <c r="AF75" i="4"/>
  <c r="AH75" i="4" s="1"/>
  <c r="AF89" i="4"/>
  <c r="AG89" i="4"/>
  <c r="AG235" i="4"/>
  <c r="AF235" i="4"/>
  <c r="AF242" i="4"/>
  <c r="AH242" i="4" s="1"/>
  <c r="AF268" i="4"/>
  <c r="AG268" i="4"/>
  <c r="AF291" i="4"/>
  <c r="AH291" i="4" s="1"/>
  <c r="AF338" i="4"/>
  <c r="AH338" i="4" s="1"/>
  <c r="AE30" i="4"/>
  <c r="AG87" i="4"/>
  <c r="AF87" i="4"/>
  <c r="AF91" i="4"/>
  <c r="AH91" i="4" s="1"/>
  <c r="AF96" i="4"/>
  <c r="AG96" i="4"/>
  <c r="AF125" i="4"/>
  <c r="AH125" i="4" s="1"/>
  <c r="AF153" i="4"/>
  <c r="AH153" i="4" s="1"/>
  <c r="AF163" i="4"/>
  <c r="AG163" i="4"/>
  <c r="AE167" i="4"/>
  <c r="AG174" i="4"/>
  <c r="AH174" i="4" s="1"/>
  <c r="AE21" i="4"/>
  <c r="AF35" i="4"/>
  <c r="AH35" i="4" s="1"/>
  <c r="AF44" i="4"/>
  <c r="AH44" i="4" s="1"/>
  <c r="AK46" i="4"/>
  <c r="AE64" i="4"/>
  <c r="AF114" i="4"/>
  <c r="AH114" i="4" s="1"/>
  <c r="AG156" i="4"/>
  <c r="AF156" i="4"/>
  <c r="AE158" i="4"/>
  <c r="AK211" i="4"/>
  <c r="AE228" i="4"/>
  <c r="AF254" i="4"/>
  <c r="AH254" i="4" s="1"/>
  <c r="AG262" i="4"/>
  <c r="AF262" i="4"/>
  <c r="AG278" i="4"/>
  <c r="AF278" i="4"/>
  <c r="AG343" i="4"/>
  <c r="AF343" i="4"/>
  <c r="AE7" i="4"/>
  <c r="AG167" i="4"/>
  <c r="AF167" i="4"/>
  <c r="AF330" i="4"/>
  <c r="AG330" i="4"/>
  <c r="AF77" i="4"/>
  <c r="AH77" i="4" s="1"/>
  <c r="AF181" i="4"/>
  <c r="AG181" i="4"/>
  <c r="AF109" i="4"/>
  <c r="AH109" i="4" s="1"/>
  <c r="AF118" i="4"/>
  <c r="AH118" i="4" s="1"/>
  <c r="AE199" i="4"/>
  <c r="AF204" i="4"/>
  <c r="AH204" i="4" s="1"/>
  <c r="AF311" i="4"/>
  <c r="AH311" i="4" s="1"/>
  <c r="AE10" i="4"/>
  <c r="AK14" i="4"/>
  <c r="AF21" i="4"/>
  <c r="AH21" i="4" s="1"/>
  <c r="AE33" i="4"/>
  <c r="AE69" i="4"/>
  <c r="AE130" i="4"/>
  <c r="AK132" i="4"/>
  <c r="AK153" i="4"/>
  <c r="AE163" i="4"/>
  <c r="AF195" i="4"/>
  <c r="AH195" i="4" s="1"/>
  <c r="AG205" i="4"/>
  <c r="AF205" i="4"/>
  <c r="AG233" i="4"/>
  <c r="AF233" i="4"/>
  <c r="AF274" i="4"/>
  <c r="AH274" i="4" s="1"/>
  <c r="AE276" i="4"/>
  <c r="AF298" i="4"/>
  <c r="AG298" i="4"/>
  <c r="AF300" i="4"/>
  <c r="AG300" i="4"/>
  <c r="AE6" i="4"/>
  <c r="AE26" i="4"/>
  <c r="AE47" i="4"/>
  <c r="AE92" i="4"/>
  <c r="AK96" i="4"/>
  <c r="AK151" i="4"/>
  <c r="AG203" i="4"/>
  <c r="AF203" i="4"/>
  <c r="AF224" i="4"/>
  <c r="AG224" i="4"/>
  <c r="AG247" i="4"/>
  <c r="AF247" i="4"/>
  <c r="AF316" i="4"/>
  <c r="AG316" i="4"/>
  <c r="AK19" i="4"/>
  <c r="AK94" i="4"/>
  <c r="AE124" i="4"/>
  <c r="AK128" i="4"/>
  <c r="AG143" i="4"/>
  <c r="AF143" i="4"/>
  <c r="AK147" i="4"/>
  <c r="AF221" i="4"/>
  <c r="AH221" i="4" s="1"/>
  <c r="AG229" i="4"/>
  <c r="AF229" i="4"/>
  <c r="AK258" i="4"/>
  <c r="AK260" i="4"/>
  <c r="AG269" i="4"/>
  <c r="AF269" i="4"/>
  <c r="AF273" i="4"/>
  <c r="AG273" i="4"/>
  <c r="AF48" i="4"/>
  <c r="AG48" i="4"/>
  <c r="AG93" i="4"/>
  <c r="AF93" i="4"/>
  <c r="AG220" i="4"/>
  <c r="AF220" i="4"/>
  <c r="AF30" i="4"/>
  <c r="AG30" i="4"/>
  <c r="AG184" i="4"/>
  <c r="AF184" i="4"/>
  <c r="AG212" i="4"/>
  <c r="AF212" i="4"/>
  <c r="AG226" i="4"/>
  <c r="AF226" i="4"/>
  <c r="AF241" i="4"/>
  <c r="AG241" i="4"/>
  <c r="AG294" i="4"/>
  <c r="AF294" i="4"/>
  <c r="AG335" i="4"/>
  <c r="AF335" i="4"/>
  <c r="AF101" i="4"/>
  <c r="AG101" i="4"/>
  <c r="AG29" i="4"/>
  <c r="AF29" i="4"/>
  <c r="AF31" i="4"/>
  <c r="AH31" i="4" s="1"/>
  <c r="AG60" i="4"/>
  <c r="AH60" i="4" s="1"/>
  <c r="AG171" i="4"/>
  <c r="AF171" i="4"/>
  <c r="AF191" i="4"/>
  <c r="AH191" i="4" s="1"/>
  <c r="AG253" i="4"/>
  <c r="AF253" i="4"/>
  <c r="AF20" i="4"/>
  <c r="AG20" i="4"/>
  <c r="AF124" i="4"/>
  <c r="AH124" i="4" s="1"/>
  <c r="AF133" i="4"/>
  <c r="AH133" i="4" s="1"/>
  <c r="AG136" i="4"/>
  <c r="AF136" i="4"/>
  <c r="AK168" i="4"/>
  <c r="AG194" i="4"/>
  <c r="AF194" i="4"/>
  <c r="AG263" i="4"/>
  <c r="AF263" i="4"/>
  <c r="AF271" i="4"/>
  <c r="AH271" i="4" s="1"/>
  <c r="AG279" i="4"/>
  <c r="AF279" i="4"/>
  <c r="AE13" i="4"/>
  <c r="AK17" i="4"/>
  <c r="AF22" i="4"/>
  <c r="AH22" i="4" s="1"/>
  <c r="AK47" i="4"/>
  <c r="AE58" i="4"/>
  <c r="AE63" i="4"/>
  <c r="AE70" i="4"/>
  <c r="AF173" i="4"/>
  <c r="AH173" i="4" s="1"/>
  <c r="AF219" i="4"/>
  <c r="AH219" i="4" s="1"/>
  <c r="AF222" i="4"/>
  <c r="AG222" i="4"/>
  <c r="AK224" i="4"/>
  <c r="AE249" i="4"/>
  <c r="AG285" i="4"/>
  <c r="AF285" i="4"/>
  <c r="AF318" i="4"/>
  <c r="AH318" i="4" s="1"/>
  <c r="AE20" i="4"/>
  <c r="AK65" i="4"/>
  <c r="AK72" i="4"/>
  <c r="AK247" i="4"/>
  <c r="AG295" i="4"/>
  <c r="AF295" i="4"/>
  <c r="AK316" i="4"/>
  <c r="AG340" i="4"/>
  <c r="AF340" i="4"/>
  <c r="AK263" i="4"/>
  <c r="AK295" i="4"/>
  <c r="AK315" i="4"/>
  <c r="AK150" i="4"/>
  <c r="AK186" i="4"/>
  <c r="AK197" i="4"/>
  <c r="AG257" i="4"/>
  <c r="AH257" i="4" s="1"/>
  <c r="AG289" i="4"/>
  <c r="AH289" i="4" s="1"/>
  <c r="AG314" i="4"/>
  <c r="AH314" i="4" s="1"/>
  <c r="AK8" i="4"/>
  <c r="AK16" i="4"/>
  <c r="AK21" i="4"/>
  <c r="AK32" i="4"/>
  <c r="AE79" i="4"/>
  <c r="AK90" i="4"/>
  <c r="AK110" i="4"/>
  <c r="AK121" i="4"/>
  <c r="AE126" i="4"/>
  <c r="AK130" i="4"/>
  <c r="AE135" i="4"/>
  <c r="AG140" i="4"/>
  <c r="AF140" i="4"/>
  <c r="AK171" i="4"/>
  <c r="AK193" i="4"/>
  <c r="AK195" i="4"/>
  <c r="AE211" i="4"/>
  <c r="AK221" i="4"/>
  <c r="AE224" i="4"/>
  <c r="AK267" i="4"/>
  <c r="AE333" i="4"/>
  <c r="AE229" i="4"/>
  <c r="AE236" i="4"/>
  <c r="AK242" i="4"/>
  <c r="AK274" i="4"/>
  <c r="AG310" i="4"/>
  <c r="AF310" i="4"/>
  <c r="AE203" i="4"/>
  <c r="AK55" i="4"/>
  <c r="AK57" i="4"/>
  <c r="AE87" i="4"/>
  <c r="AK198" i="4"/>
  <c r="AG223" i="4"/>
  <c r="AF223" i="4"/>
  <c r="AE25" i="4"/>
  <c r="AE34" i="4"/>
  <c r="AK69" i="4"/>
  <c r="AK89" i="4"/>
  <c r="AK107" i="4"/>
  <c r="AK109" i="4"/>
  <c r="AE114" i="4"/>
  <c r="AE125" i="4"/>
  <c r="AE141" i="4"/>
  <c r="AE161" i="4"/>
  <c r="AE177" i="4"/>
  <c r="AE210" i="4"/>
  <c r="AK216" i="4"/>
  <c r="AE260" i="4"/>
  <c r="AE265" i="4"/>
  <c r="AF270" i="4"/>
  <c r="AH270" i="4" s="1"/>
  <c r="AE292" i="4"/>
  <c r="AE297" i="4"/>
  <c r="AG332" i="4"/>
  <c r="AH332" i="4" s="1"/>
  <c r="AG337" i="4"/>
  <c r="AH337" i="4" s="1"/>
  <c r="AK7" i="4"/>
  <c r="AK9" i="4"/>
  <c r="AE18" i="4"/>
  <c r="AK26" i="4"/>
  <c r="AK54" i="4"/>
  <c r="AE61" i="4"/>
  <c r="AE99" i="4"/>
  <c r="AE120" i="4"/>
  <c r="AE131" i="4"/>
  <c r="AE133" i="4"/>
  <c r="AE137" i="4"/>
  <c r="AK139" i="4"/>
  <c r="AE154" i="4"/>
  <c r="AK188" i="4"/>
  <c r="AE195" i="4"/>
  <c r="AK215" i="4"/>
  <c r="AK232" i="4"/>
  <c r="AE8" i="4"/>
  <c r="AE14" i="4"/>
  <c r="AE31" i="4"/>
  <c r="AK33" i="4"/>
  <c r="AK35" i="4"/>
  <c r="AK59" i="4"/>
  <c r="AE68" i="4"/>
  <c r="AK74" i="4"/>
  <c r="AK78" i="4"/>
  <c r="AK91" i="4"/>
  <c r="AK95" i="4"/>
  <c r="AK97" i="4"/>
  <c r="AK131" i="4"/>
  <c r="AK135" i="4"/>
  <c r="AK137" i="4"/>
  <c r="AE146" i="4"/>
  <c r="AK152" i="4"/>
  <c r="AE176" i="4"/>
  <c r="AE178" i="4"/>
  <c r="AK184" i="4"/>
  <c r="AE191" i="4"/>
  <c r="AE204" i="4"/>
  <c r="AE206" i="4"/>
  <c r="AE216" i="4"/>
  <c r="AE237" i="4"/>
  <c r="AK81" i="4"/>
  <c r="AE96" i="4"/>
  <c r="AE98" i="4"/>
  <c r="AK127" i="4"/>
  <c r="AE132" i="4"/>
  <c r="AK161" i="4"/>
  <c r="AK174" i="4"/>
  <c r="AK187" i="4"/>
  <c r="AK191" i="4"/>
  <c r="AE200" i="4"/>
  <c r="AE227" i="4"/>
  <c r="AF342" i="4"/>
  <c r="AH342" i="4" s="1"/>
  <c r="AE15" i="4"/>
  <c r="AK23" i="4"/>
  <c r="AE43" i="4"/>
  <c r="AK49" i="4"/>
  <c r="AK64" i="4"/>
  <c r="AE84" i="4"/>
  <c r="AE88" i="4"/>
  <c r="AE94" i="4"/>
  <c r="AE111" i="4"/>
  <c r="AE117" i="4"/>
  <c r="AK140" i="4"/>
  <c r="AK157" i="4"/>
  <c r="AE164" i="4"/>
  <c r="AE168" i="4"/>
  <c r="AE170" i="4"/>
  <c r="AE179" i="4"/>
  <c r="AE194" i="4"/>
  <c r="AK200" i="4"/>
  <c r="AE209" i="4"/>
  <c r="AK225" i="4"/>
  <c r="AK229" i="4"/>
  <c r="AK233" i="4"/>
  <c r="AF94" i="4"/>
  <c r="AG94" i="4"/>
  <c r="AG100" i="4"/>
  <c r="AF100" i="4"/>
  <c r="AG161" i="4"/>
  <c r="AF161" i="4"/>
  <c r="AF180" i="4"/>
  <c r="AG180" i="4"/>
  <c r="AG200" i="4"/>
  <c r="AH200" i="4" s="1"/>
  <c r="AG130" i="4"/>
  <c r="AF130" i="4"/>
  <c r="AG38" i="4"/>
  <c r="AF38" i="4"/>
  <c r="AF17" i="4"/>
  <c r="AH17" i="4" s="1"/>
  <c r="AE28" i="4"/>
  <c r="AF32" i="4"/>
  <c r="AG32" i="4"/>
  <c r="AG51" i="4"/>
  <c r="AF51" i="4"/>
  <c r="AG120" i="4"/>
  <c r="AH120" i="4" s="1"/>
  <c r="AG139" i="4"/>
  <c r="AF139" i="4"/>
  <c r="AG178" i="4"/>
  <c r="AF178" i="4"/>
  <c r="AG227" i="4"/>
  <c r="AF227" i="4"/>
  <c r="AF68" i="4"/>
  <c r="AG68" i="4"/>
  <c r="AF72" i="4"/>
  <c r="AG72" i="4"/>
  <c r="AG113" i="4"/>
  <c r="AF113" i="4"/>
  <c r="AF193" i="4"/>
  <c r="AG193" i="4"/>
  <c r="AG6" i="4"/>
  <c r="AF6" i="4"/>
  <c r="AG117" i="4"/>
  <c r="AF117" i="4"/>
  <c r="AF238" i="4"/>
  <c r="AG238" i="4"/>
  <c r="AG66" i="4"/>
  <c r="AF66" i="4"/>
  <c r="AG85" i="4"/>
  <c r="AF85" i="4"/>
  <c r="AG187" i="4"/>
  <c r="AF187" i="4"/>
  <c r="AF64" i="4"/>
  <c r="AG64" i="4"/>
  <c r="AG107" i="4"/>
  <c r="AF107" i="4"/>
  <c r="AG58" i="4"/>
  <c r="AF58" i="4"/>
  <c r="AF81" i="4"/>
  <c r="AG81" i="4"/>
  <c r="AG150" i="4"/>
  <c r="AF150" i="4"/>
  <c r="AG183" i="4"/>
  <c r="AF183" i="4"/>
  <c r="AF206" i="4"/>
  <c r="AG206" i="4"/>
  <c r="AF126" i="4"/>
  <c r="AG126" i="4"/>
  <c r="AG165" i="4"/>
  <c r="AF165" i="4"/>
  <c r="AG19" i="4"/>
  <c r="AF19" i="4"/>
  <c r="AG40" i="4"/>
  <c r="AF40" i="4"/>
  <c r="AG62" i="4"/>
  <c r="AH62" i="4" s="1"/>
  <c r="AF148" i="4"/>
  <c r="AH148" i="4" s="1"/>
  <c r="AG36" i="4"/>
  <c r="AF36" i="4"/>
  <c r="AF103" i="4"/>
  <c r="AH103" i="4" s="1"/>
  <c r="AG26" i="4"/>
  <c r="AF26" i="4"/>
  <c r="AE49" i="4"/>
  <c r="AG182" i="4"/>
  <c r="AH182" i="4" s="1"/>
  <c r="AK27" i="4"/>
  <c r="AE106" i="4"/>
  <c r="AK143" i="4"/>
  <c r="AF147" i="4"/>
  <c r="AH147" i="4" s="1"/>
  <c r="AG162" i="4"/>
  <c r="AH162" i="4" s="1"/>
  <c r="AE190" i="4"/>
  <c r="AG216" i="4"/>
  <c r="AH216" i="4" s="1"/>
  <c r="AG82" i="4"/>
  <c r="AF82" i="4"/>
  <c r="AG23" i="4"/>
  <c r="AF23" i="4"/>
  <c r="AF46" i="4"/>
  <c r="AG46" i="4"/>
  <c r="AG59" i="4"/>
  <c r="AF59" i="4"/>
  <c r="AG102" i="4"/>
  <c r="AF102" i="4"/>
  <c r="AG119" i="4"/>
  <c r="AF119" i="4"/>
  <c r="AG154" i="4"/>
  <c r="AF154" i="4"/>
  <c r="AF231" i="4"/>
  <c r="AG231" i="4"/>
  <c r="AG10" i="4"/>
  <c r="AF10" i="4"/>
  <c r="AG27" i="4"/>
  <c r="AF27" i="4"/>
  <c r="AG33" i="4"/>
  <c r="AF33" i="4"/>
  <c r="AG199" i="4"/>
  <c r="AF199" i="4"/>
  <c r="AF14" i="4"/>
  <c r="AG14" i="4"/>
  <c r="AF152" i="4"/>
  <c r="AH152" i="4" s="1"/>
  <c r="AG99" i="4"/>
  <c r="AF99" i="4"/>
  <c r="AG106" i="4"/>
  <c r="AF106" i="4"/>
  <c r="AF112" i="4"/>
  <c r="AG112" i="4"/>
  <c r="AG168" i="4"/>
  <c r="AF168" i="4"/>
  <c r="AG186" i="4"/>
  <c r="AF186" i="4"/>
  <c r="AF192" i="4"/>
  <c r="AG192" i="4"/>
  <c r="AG54" i="4"/>
  <c r="AF54" i="4"/>
  <c r="AG80" i="4"/>
  <c r="AH80" i="4" s="1"/>
  <c r="AG116" i="4"/>
  <c r="AF116" i="4"/>
  <c r="AG134" i="4"/>
  <c r="AH134" i="4" s="1"/>
  <c r="AE5" i="4"/>
  <c r="AG37" i="4"/>
  <c r="AH37" i="4" s="1"/>
  <c r="AF67" i="4"/>
  <c r="AH67" i="4" s="1"/>
  <c r="AG71" i="4"/>
  <c r="AF71" i="4"/>
  <c r="AG90" i="4"/>
  <c r="AF90" i="4"/>
  <c r="AG160" i="4"/>
  <c r="AH160" i="4" s="1"/>
  <c r="AG179" i="4"/>
  <c r="AH179" i="4" s="1"/>
  <c r="AG196" i="4"/>
  <c r="AF196" i="4"/>
  <c r="AG211" i="4"/>
  <c r="AF211" i="4"/>
  <c r="AF5" i="4"/>
  <c r="AH5" i="4" s="1"/>
  <c r="AK63" i="4"/>
  <c r="AK104" i="4"/>
  <c r="AE129" i="4"/>
  <c r="AF142" i="4"/>
  <c r="AG142" i="4"/>
  <c r="AF144" i="4"/>
  <c r="AG144" i="4"/>
  <c r="AG155" i="4"/>
  <c r="AF155" i="4"/>
  <c r="AG42" i="4"/>
  <c r="AF42" i="4"/>
  <c r="AE65" i="4"/>
  <c r="AK79" i="4"/>
  <c r="AK123" i="4"/>
  <c r="AF215" i="4"/>
  <c r="AG215" i="4"/>
  <c r="AG138" i="4"/>
  <c r="AF138" i="4"/>
  <c r="AE29" i="4"/>
  <c r="AG122" i="4"/>
  <c r="AF122" i="4"/>
  <c r="AE145" i="4"/>
  <c r="AK159" i="4"/>
  <c r="AG202" i="4"/>
  <c r="AF202" i="4"/>
  <c r="AG234" i="4"/>
  <c r="AF234" i="4"/>
  <c r="AG170" i="4"/>
  <c r="AF170" i="4"/>
  <c r="AE17" i="4"/>
  <c r="AK31" i="4"/>
  <c r="AK75" i="4"/>
  <c r="AE157" i="4"/>
  <c r="AG218" i="4"/>
  <c r="AF218" i="4"/>
  <c r="AG74" i="4"/>
  <c r="AF74" i="4"/>
  <c r="AE97" i="4"/>
  <c r="AK111" i="4"/>
  <c r="AK155" i="4"/>
  <c r="AH154" i="4" l="1"/>
  <c r="AH99" i="4"/>
  <c r="AH117" i="4"/>
  <c r="AH167" i="4"/>
  <c r="AH202" i="4"/>
  <c r="AH346" i="4"/>
  <c r="AH226" i="4"/>
  <c r="AH344" i="4"/>
  <c r="AH176" i="4"/>
  <c r="AH116" i="4"/>
  <c r="AH178" i="4"/>
  <c r="AH310" i="4"/>
  <c r="AH25" i="4"/>
  <c r="AH203" i="4"/>
  <c r="AH104" i="4"/>
  <c r="AH225" i="4"/>
  <c r="AH26" i="4"/>
  <c r="AH130" i="4"/>
  <c r="AH279" i="4"/>
  <c r="AH235" i="4"/>
  <c r="AH171" i="4"/>
  <c r="AH212" i="4"/>
  <c r="AH168" i="4"/>
  <c r="AH220" i="4"/>
  <c r="AH19" i="4"/>
  <c r="AH246" i="4"/>
  <c r="AH169" i="4"/>
  <c r="AH253" i="4"/>
  <c r="AH54" i="4"/>
  <c r="AH13" i="4"/>
  <c r="AH294" i="4"/>
  <c r="AH48" i="4"/>
  <c r="AH140" i="4"/>
  <c r="AH211" i="4"/>
  <c r="AH102" i="4"/>
  <c r="AH222" i="4"/>
  <c r="AH247" i="4"/>
  <c r="AH210" i="4"/>
  <c r="AH223" i="4"/>
  <c r="AH187" i="4"/>
  <c r="AH234" i="4"/>
  <c r="AH42" i="4"/>
  <c r="AH38" i="4"/>
  <c r="AH224" i="4"/>
  <c r="AH233" i="4"/>
  <c r="AH121" i="4"/>
  <c r="AH73" i="4"/>
  <c r="AE353" i="4"/>
  <c r="AH27" i="4"/>
  <c r="AH23" i="4"/>
  <c r="AH227" i="4"/>
  <c r="AH163" i="4"/>
  <c r="AH319" i="4"/>
  <c r="AH4" i="4"/>
  <c r="AG353" i="4"/>
  <c r="AH330" i="4"/>
  <c r="AH300" i="4"/>
  <c r="AH316" i="4"/>
  <c r="AH136" i="4"/>
  <c r="AH47" i="4"/>
  <c r="AH305" i="4"/>
  <c r="AK353" i="4"/>
  <c r="AH237" i="4"/>
  <c r="AH196" i="4"/>
  <c r="AH113" i="4"/>
  <c r="AF353" i="4"/>
  <c r="AH165" i="4"/>
  <c r="AH107" i="4"/>
  <c r="AH29" i="4"/>
  <c r="AH184" i="4"/>
  <c r="AH71" i="4"/>
  <c r="AH51" i="4"/>
  <c r="AH100" i="4"/>
  <c r="AH295" i="4"/>
  <c r="AH30" i="4"/>
  <c r="AH106" i="4"/>
  <c r="AH111" i="4"/>
  <c r="AH183" i="4"/>
  <c r="AH85" i="4"/>
  <c r="AH335" i="4"/>
  <c r="AH89" i="4"/>
  <c r="AH68" i="4"/>
  <c r="AH20" i="4"/>
  <c r="AH119" i="4"/>
  <c r="AH285" i="4"/>
  <c r="AH205" i="4"/>
  <c r="AH273" i="4"/>
  <c r="AH11" i="4"/>
  <c r="AH6" i="4"/>
  <c r="AH340" i="4"/>
  <c r="AH262" i="4"/>
  <c r="AH326" i="4"/>
  <c r="AH348" i="4"/>
  <c r="AH333" i="4"/>
  <c r="AH96" i="4"/>
  <c r="AH156" i="4"/>
  <c r="AH33" i="4"/>
  <c r="AH241" i="4"/>
  <c r="AH143" i="4"/>
  <c r="AH343" i="4"/>
  <c r="AH87" i="4"/>
  <c r="AH93" i="4"/>
  <c r="AH139" i="4"/>
  <c r="AH263" i="4"/>
  <c r="AH218" i="4"/>
  <c r="AH161" i="4"/>
  <c r="AH278" i="4"/>
  <c r="AH138" i="4"/>
  <c r="AH10" i="4"/>
  <c r="AH82" i="4"/>
  <c r="AH194" i="4"/>
  <c r="AH269" i="4"/>
  <c r="AH298" i="4"/>
  <c r="AH181" i="4"/>
  <c r="AH268" i="4"/>
  <c r="AH229" i="4"/>
  <c r="AH170" i="4"/>
  <c r="AH36" i="4"/>
  <c r="AH150" i="4"/>
  <c r="AH101" i="4"/>
  <c r="AH14" i="4"/>
  <c r="AH46" i="4"/>
  <c r="AH144" i="4"/>
  <c r="AH142" i="4"/>
  <c r="AH112" i="4"/>
  <c r="AH126" i="4"/>
  <c r="AH215" i="4"/>
  <c r="AH231" i="4"/>
  <c r="AH206" i="4"/>
  <c r="AH180" i="4"/>
  <c r="AH193" i="4"/>
  <c r="AH192" i="4"/>
  <c r="AH199" i="4"/>
  <c r="AH59" i="4"/>
  <c r="AH40" i="4"/>
  <c r="AH81" i="4"/>
  <c r="AH72" i="4"/>
  <c r="AH32" i="4"/>
  <c r="AH94" i="4"/>
  <c r="AH238" i="4"/>
  <c r="AH64" i="4"/>
  <c r="AH74" i="4"/>
  <c r="AH122" i="4"/>
  <c r="AH155" i="4"/>
  <c r="AH90" i="4"/>
  <c r="AH186" i="4"/>
  <c r="AH58" i="4"/>
  <c r="AH66" i="4"/>
  <c r="AH353" i="4" l="1"/>
</calcChain>
</file>

<file path=xl/sharedStrings.xml><?xml version="1.0" encoding="utf-8"?>
<sst xmlns="http://schemas.openxmlformats.org/spreadsheetml/2006/main" count="14109" uniqueCount="1322">
  <si>
    <t>SEASON</t>
  </si>
  <si>
    <t>GENDER</t>
  </si>
  <si>
    <t>CATEGORY</t>
  </si>
  <si>
    <t xml:space="preserve">VENDOR </t>
  </si>
  <si>
    <t xml:space="preserve">C.O.O. </t>
  </si>
  <si>
    <t>STYLE #</t>
  </si>
  <si>
    <t>FABRIC #</t>
  </si>
  <si>
    <t>FABRIC CONTENT</t>
  </si>
  <si>
    <t xml:space="preserve">FABRIC </t>
  </si>
  <si>
    <t>HTS # USA</t>
  </si>
  <si>
    <t>BBUK</t>
  </si>
  <si>
    <t>MSRP</t>
  </si>
  <si>
    <t>FALL 2025</t>
  </si>
  <si>
    <t>MEN</t>
  </si>
  <si>
    <t>TRACK JACKET</t>
  </si>
  <si>
    <t>FYNEX</t>
  </si>
  <si>
    <t>CHINA</t>
  </si>
  <si>
    <t>STF25M51348</t>
  </si>
  <si>
    <t>FF447-F</t>
  </si>
  <si>
    <t>WOVEN</t>
  </si>
  <si>
    <t>6201.40.7511</t>
  </si>
  <si>
    <t>TRACK PANT</t>
  </si>
  <si>
    <t>STF25M51349</t>
  </si>
  <si>
    <t>6203.43.9010</t>
  </si>
  <si>
    <t>T-SHIRT</t>
  </si>
  <si>
    <t>STF25M51350</t>
  </si>
  <si>
    <t>FF445-F</t>
  </si>
  <si>
    <t>KNIT</t>
  </si>
  <si>
    <t>6109.90.1007</t>
  </si>
  <si>
    <t xml:space="preserve">SHORT </t>
  </si>
  <si>
    <t>STF25M51351</t>
  </si>
  <si>
    <t>6203.43.9030</t>
  </si>
  <si>
    <t>STF25M51352</t>
  </si>
  <si>
    <t>FF446-F</t>
  </si>
  <si>
    <t>STF25M51353</t>
  </si>
  <si>
    <t>6103.43.1550</t>
  </si>
  <si>
    <t>STF25M51357</t>
  </si>
  <si>
    <t>FF450-F</t>
  </si>
  <si>
    <t>STF25M51358</t>
  </si>
  <si>
    <t>STF25M51338</t>
  </si>
  <si>
    <t>FF449-F</t>
  </si>
  <si>
    <t>6112.12.0010</t>
  </si>
  <si>
    <t>STF25M51339</t>
  </si>
  <si>
    <t>6112.12.0050</t>
  </si>
  <si>
    <t>POLO</t>
  </si>
  <si>
    <t>STF25M51340</t>
  </si>
  <si>
    <t>6105.20.2010</t>
  </si>
  <si>
    <t>STF25M51341</t>
  </si>
  <si>
    <t>CREWNECK</t>
  </si>
  <si>
    <t>STF25M51342</t>
  </si>
  <si>
    <t>QUARTER ZIP</t>
  </si>
  <si>
    <t>STF25M51373</t>
  </si>
  <si>
    <t>FF451-F</t>
  </si>
  <si>
    <t>6112.11.0010</t>
  </si>
  <si>
    <t>STF25M51374</t>
  </si>
  <si>
    <t>VEST</t>
  </si>
  <si>
    <t>STF25M51354</t>
  </si>
  <si>
    <t>FF093</t>
  </si>
  <si>
    <t xml:space="preserve">100% TAFFETA NYLON </t>
  </si>
  <si>
    <t>6211.33.9054</t>
  </si>
  <si>
    <t>STF25M51355</t>
  </si>
  <si>
    <t>STF25M51356</t>
  </si>
  <si>
    <t>6211.33.9044</t>
  </si>
  <si>
    <t>STF25M51343</t>
  </si>
  <si>
    <t>100% TAFFETA NYLON 48GM/M2</t>
  </si>
  <si>
    <t>STF25M51344</t>
  </si>
  <si>
    <t>STF25M51345</t>
  </si>
  <si>
    <t>FF444-H</t>
  </si>
  <si>
    <t>100% NYLON MICRO PIQUE 195GM/M2</t>
  </si>
  <si>
    <t>STF25M51346</t>
  </si>
  <si>
    <t>STF25M51347</t>
  </si>
  <si>
    <t>STF25M51384</t>
  </si>
  <si>
    <t>FF425-H</t>
  </si>
  <si>
    <t>STF25M51385</t>
  </si>
  <si>
    <t>STF25M51388</t>
  </si>
  <si>
    <t>85% NYLON/15% SPANDEX 195 GM/M2</t>
  </si>
  <si>
    <t>HOODIE</t>
  </si>
  <si>
    <t>STF25M51049</t>
  </si>
  <si>
    <t>FF337-H</t>
  </si>
  <si>
    <t xml:space="preserve"> 53% POLYESTER/45% RAYON/2% SPANDEX JERSEY QUILT 300 GM/M2</t>
  </si>
  <si>
    <t>6110.30.3053</t>
  </si>
  <si>
    <t>SWEATPANTS</t>
  </si>
  <si>
    <t>STF25M51050</t>
  </si>
  <si>
    <t>6114.20.0055</t>
  </si>
  <si>
    <t>FALL 2024 REORDER</t>
  </si>
  <si>
    <t>STF24M51049</t>
  </si>
  <si>
    <t>STF24M51050</t>
  </si>
  <si>
    <t>STF25M51332</t>
  </si>
  <si>
    <t>FF331-H</t>
  </si>
  <si>
    <t>60% POLYESTER/40% COTTON DOUBLE KNIT 280 GM/M2</t>
  </si>
  <si>
    <t>STF25M51333</t>
  </si>
  <si>
    <t>STF25M51334</t>
  </si>
  <si>
    <t>FF042-H</t>
  </si>
  <si>
    <t>100% COTTON FRENCH TERRY 360GM/M2</t>
  </si>
  <si>
    <t>STF25M51335</t>
  </si>
  <si>
    <t>100% COTTON FRENCH TERRY 360 GM/M2</t>
  </si>
  <si>
    <t>6112.11.0050</t>
  </si>
  <si>
    <t>STF25M51304</t>
  </si>
  <si>
    <t>FF080-H</t>
  </si>
  <si>
    <t>100% POLYESTER TRACK TWILL 220GM/M2</t>
  </si>
  <si>
    <t>STF25M51305</t>
  </si>
  <si>
    <t>STF25M51308</t>
  </si>
  <si>
    <t>STF25M51309</t>
  </si>
  <si>
    <t xml:space="preserve">100% NYLON TAFFETA </t>
  </si>
  <si>
    <t>STF25M51311</t>
  </si>
  <si>
    <t>STF25M51312</t>
  </si>
  <si>
    <t>STF25M51293</t>
  </si>
  <si>
    <t>FF302-H</t>
  </si>
  <si>
    <t>72% COTTON/25% POLYESTER/3% SPANDEX RIPSTOP</t>
  </si>
  <si>
    <t>6201.30.8051</t>
  </si>
  <si>
    <t>STF25M51294</t>
  </si>
  <si>
    <t>6203.42.4518</t>
  </si>
  <si>
    <t>STF25M51297</t>
  </si>
  <si>
    <t>FF359</t>
  </si>
  <si>
    <t>85% POLYESTER/15% NYLON PEACHED</t>
  </si>
  <si>
    <t>STF25M51298</t>
  </si>
  <si>
    <t>STF25M51326</t>
  </si>
  <si>
    <t>STF25M51327</t>
  </si>
  <si>
    <t>STF24M50737</t>
  </si>
  <si>
    <t>FF080</t>
  </si>
  <si>
    <t>100% POLYESTER TWILL 220 GM/M2</t>
  </si>
  <si>
    <t>STF24M14552</t>
  </si>
  <si>
    <t>STS24M50737</t>
  </si>
  <si>
    <t>STS24M14552</t>
  </si>
  <si>
    <t>OUTERWEAR</t>
  </si>
  <si>
    <t>STF25M51380</t>
  </si>
  <si>
    <t>FF443-H</t>
  </si>
  <si>
    <t>70% WOOL/15% NYLON/15% POLYESTER</t>
  </si>
  <si>
    <t>STF25M51381</t>
  </si>
  <si>
    <t>FF442-H</t>
  </si>
  <si>
    <t>STF25M51382</t>
  </si>
  <si>
    <t>FF345</t>
  </si>
  <si>
    <t xml:space="preserve">100% NYLON </t>
  </si>
  <si>
    <t>CABANA SHIRT</t>
  </si>
  <si>
    <t>STF25M51378</t>
  </si>
  <si>
    <t>FF420-P</t>
  </si>
  <si>
    <t>65% POLYESTER/35% COTTON WAFFLE</t>
  </si>
  <si>
    <t>6205.30.2073</t>
  </si>
  <si>
    <t>STF25M51379</t>
  </si>
  <si>
    <t>STF25M51328</t>
  </si>
  <si>
    <t>FF399</t>
  </si>
  <si>
    <t>98% COTTON/2% SPANDEX 120 GM/M2</t>
  </si>
  <si>
    <t>6205.20.2066</t>
  </si>
  <si>
    <t>STF25M51329</t>
  </si>
  <si>
    <t>6203.42.4551</t>
  </si>
  <si>
    <t>STF25M51330</t>
  </si>
  <si>
    <t>FF418</t>
  </si>
  <si>
    <t>58% COTTON/40% VISCOSE/2% SPANDEX 370 GM/M2</t>
  </si>
  <si>
    <t>STF25M51331</t>
  </si>
  <si>
    <t>STF25M51299</t>
  </si>
  <si>
    <t>FF031</t>
  </si>
  <si>
    <t>92% POLYESTER/8% SPANDEX DIVER 300GM/M2</t>
  </si>
  <si>
    <t>STF25M51300</t>
  </si>
  <si>
    <t>STF25M51301</t>
  </si>
  <si>
    <t>FF417</t>
  </si>
  <si>
    <t>95% POLYESTER/5% SPANDEX FAUX SUEDE 300GM/M2</t>
  </si>
  <si>
    <t>STF25M51302</t>
  </si>
  <si>
    <t>STF25M51303</t>
  </si>
  <si>
    <t>STF25M51336</t>
  </si>
  <si>
    <t>STF25M51337</t>
  </si>
  <si>
    <t>STF25M51295</t>
  </si>
  <si>
    <t>FF151</t>
  </si>
  <si>
    <t>95% POLYESTER/5% SPANDEX BRUSHED DIVER 280 GM/M2</t>
  </si>
  <si>
    <t>STF25M51296</t>
  </si>
  <si>
    <t>KNITWEAR</t>
  </si>
  <si>
    <t>STF25M51314</t>
  </si>
  <si>
    <t>FF288</t>
  </si>
  <si>
    <t>SWEATER</t>
  </si>
  <si>
    <t>6110.30.3010</t>
  </si>
  <si>
    <t>STF25M51316</t>
  </si>
  <si>
    <t>STF25M51318</t>
  </si>
  <si>
    <t>FF459</t>
  </si>
  <si>
    <t>6110.20.2010</t>
  </si>
  <si>
    <t>STF25M51319</t>
  </si>
  <si>
    <t>6103.42.1050</t>
  </si>
  <si>
    <t>STF25M51320</t>
  </si>
  <si>
    <t>STF25M51321</t>
  </si>
  <si>
    <t>STF25M51322</t>
  </si>
  <si>
    <t>FF460</t>
  </si>
  <si>
    <t>64% POLYESTER/35% RAYON/1% SPANDEX 330GM/M2</t>
  </si>
  <si>
    <t>STF25M51323</t>
  </si>
  <si>
    <t>STF25M51324</t>
  </si>
  <si>
    <t>STF25M51325</t>
  </si>
  <si>
    <t>STF25M50644</t>
  </si>
  <si>
    <t>FF141-P</t>
  </si>
  <si>
    <t>93% POLYESTER/7% SPANDEX VELOUR 300 GM/M2</t>
  </si>
  <si>
    <t>STF25M50645</t>
  </si>
  <si>
    <t>FALL 2023 REORDER</t>
  </si>
  <si>
    <t>STF23M50644</t>
  </si>
  <si>
    <t>STF23M50645</t>
  </si>
  <si>
    <t>STF23M50736</t>
  </si>
  <si>
    <t>STF23M50550</t>
  </si>
  <si>
    <t>STF25M50736</t>
  </si>
  <si>
    <t>STF25M51362</t>
  </si>
  <si>
    <t>STF24M50617</t>
  </si>
  <si>
    <t>FF224</t>
  </si>
  <si>
    <t>64% POLYESTER/35% RAYON/1% SPANDEX 340 GM/M2</t>
  </si>
  <si>
    <t>STF24M50618</t>
  </si>
  <si>
    <t>SPRING 2024 REORDER</t>
  </si>
  <si>
    <t>STS24M50617</t>
  </si>
  <si>
    <t>STS24M50618</t>
  </si>
  <si>
    <t>STF25M51363</t>
  </si>
  <si>
    <t>STF25M51364</t>
  </si>
  <si>
    <t>STF25M51365</t>
  </si>
  <si>
    <t>STF25M51366</t>
  </si>
  <si>
    <t>STF25M51367</t>
  </si>
  <si>
    <t>STF25M51368</t>
  </si>
  <si>
    <t>STF25M51369</t>
  </si>
  <si>
    <t>STF25M51370</t>
  </si>
  <si>
    <t>STF25M51371</t>
  </si>
  <si>
    <t>STF25M51372</t>
  </si>
  <si>
    <t>STF25M51383</t>
  </si>
  <si>
    <t>100% POLYESTER VELOUR 275 GM/M2</t>
  </si>
  <si>
    <t>SARA</t>
  </si>
  <si>
    <t>BANGLADESH</t>
  </si>
  <si>
    <t>STF25M51375</t>
  </si>
  <si>
    <t>FF042</t>
  </si>
  <si>
    <t>STF25M51376</t>
  </si>
  <si>
    <t>FF043</t>
  </si>
  <si>
    <t>STF25M51377</t>
  </si>
  <si>
    <t>FF453</t>
  </si>
  <si>
    <t>95% COTTON/5% ELASTANE 240 GM/M2</t>
  </si>
  <si>
    <t>6110.20.2041</t>
  </si>
  <si>
    <t>STF25M51386</t>
  </si>
  <si>
    <t>STF25M51387</t>
  </si>
  <si>
    <t>FF155</t>
  </si>
  <si>
    <t>100% COTTON JERSEY 180GM/M2</t>
  </si>
  <si>
    <t>6109.10.0012</t>
  </si>
  <si>
    <t>STF25M51410</t>
  </si>
  <si>
    <t xml:space="preserve">SARA </t>
  </si>
  <si>
    <t>STF25M51389</t>
  </si>
  <si>
    <t>STF25M51390</t>
  </si>
  <si>
    <t>STF25M51391</t>
  </si>
  <si>
    <t>STF25M51392</t>
  </si>
  <si>
    <t>100% COTTON JERSEY 180 GM/M2</t>
  </si>
  <si>
    <t>LONG SLEEVE</t>
  </si>
  <si>
    <t>STF25M51306</t>
  </si>
  <si>
    <t>FF441</t>
  </si>
  <si>
    <t>100% COTTON FRENCH TERRY 260 GM/M2</t>
  </si>
  <si>
    <t>STF25M51307</t>
  </si>
  <si>
    <t>FF042-S</t>
  </si>
  <si>
    <t>STF25M51310</t>
  </si>
  <si>
    <t>FF437</t>
  </si>
  <si>
    <t>94% POLYESTER/6% SPANDEX PIQUE 230 GM/M2</t>
  </si>
  <si>
    <t>STF25M51313</t>
  </si>
  <si>
    <t>UKF25M21204</t>
  </si>
  <si>
    <t xml:space="preserve">100% COTTON 4 END 7 GG FULLY KNITTED 2/30S </t>
  </si>
  <si>
    <t>UKF25M21242</t>
  </si>
  <si>
    <t>100% COTTON 4END 7GAUGE, FULLY KNITTED</t>
  </si>
  <si>
    <t>UKF25M21244</t>
  </si>
  <si>
    <t>100% COTTON 4 END 7 GG</t>
  </si>
  <si>
    <t>UKF25M21145</t>
  </si>
  <si>
    <t>WOMENS</t>
  </si>
  <si>
    <t>CROP TOP</t>
  </si>
  <si>
    <t>STF25W51233</t>
  </si>
  <si>
    <t>FF448-F</t>
  </si>
  <si>
    <t>6109.90.1050</t>
  </si>
  <si>
    <t>SKORT</t>
  </si>
  <si>
    <t>STF25W51234</t>
  </si>
  <si>
    <t>6104.53.2010</t>
  </si>
  <si>
    <t>STF25W51235</t>
  </si>
  <si>
    <t>6112.12.0020</t>
  </si>
  <si>
    <t>TANK TOP</t>
  </si>
  <si>
    <t>STF25W51240</t>
  </si>
  <si>
    <t>STF25W51241</t>
  </si>
  <si>
    <t>6112.12.0060</t>
  </si>
  <si>
    <t>STF25W51242</t>
  </si>
  <si>
    <t>SHORTS</t>
  </si>
  <si>
    <t>STF25W51243</t>
  </si>
  <si>
    <t>6204.63.9032</t>
  </si>
  <si>
    <t>STF24W51406</t>
  </si>
  <si>
    <t>6204.53.3010</t>
  </si>
  <si>
    <t>STF25W51252</t>
  </si>
  <si>
    <t>FF331</t>
  </si>
  <si>
    <t>STF25W51253</t>
  </si>
  <si>
    <t>SKIRT</t>
  </si>
  <si>
    <t>STF25W51254</t>
  </si>
  <si>
    <t>STF25W51255</t>
  </si>
  <si>
    <t>STF25W51256</t>
  </si>
  <si>
    <t>STF25W51271</t>
  </si>
  <si>
    <t>STF25W51272</t>
  </si>
  <si>
    <t>STF25W51273</t>
  </si>
  <si>
    <t>85% POLYESTER/15% NYLON PEACHED BLEND</t>
  </si>
  <si>
    <t>6202.40.7511</t>
  </si>
  <si>
    <t>STF25W51274</t>
  </si>
  <si>
    <t>6204.63.9011</t>
  </si>
  <si>
    <t>STF25W51289</t>
  </si>
  <si>
    <t>STF25W51290</t>
  </si>
  <si>
    <t>FF345/FF442-H</t>
  </si>
  <si>
    <t>STF25W51286</t>
  </si>
  <si>
    <t>6211.42.1040</t>
  </si>
  <si>
    <t>STF25W51287</t>
  </si>
  <si>
    <t>6211.42.1030</t>
  </si>
  <si>
    <t>DRESS</t>
  </si>
  <si>
    <t>STF25W51288</t>
  </si>
  <si>
    <t>6104.42.0010</t>
  </si>
  <si>
    <t>STF25W51227</t>
  </si>
  <si>
    <t>FF403-P</t>
  </si>
  <si>
    <t>82% NYLON/18% SPANDEX PERFORMANCE DOUBLE KNIT</t>
  </si>
  <si>
    <t>STF25W51228</t>
  </si>
  <si>
    <t>STF25W51229</t>
  </si>
  <si>
    <t>6104.43.2010</t>
  </si>
  <si>
    <t>STF25W51230</t>
  </si>
  <si>
    <t>FF414</t>
  </si>
  <si>
    <t>73% NYLON/27% SPANDEX OTTOMAN KNIT</t>
  </si>
  <si>
    <t>STF25W51231</t>
  </si>
  <si>
    <t>LEGGING</t>
  </si>
  <si>
    <t>STF25W51232</t>
  </si>
  <si>
    <t>6104.63.2011</t>
  </si>
  <si>
    <t>SPORTS BRA</t>
  </si>
  <si>
    <t>STF25W51097</t>
  </si>
  <si>
    <t>6212.10.9020</t>
  </si>
  <si>
    <t>STF25W51096</t>
  </si>
  <si>
    <t>STF25W51108</t>
  </si>
  <si>
    <t>STF25W51261</t>
  </si>
  <si>
    <t>6110.30.3020</t>
  </si>
  <si>
    <t>STF25W51263</t>
  </si>
  <si>
    <t>6110.30.3035</t>
  </si>
  <si>
    <t>STF25W51264</t>
  </si>
  <si>
    <t>6104.59.1030</t>
  </si>
  <si>
    <t>STF25W51265</t>
  </si>
  <si>
    <t>6110.30.3059</t>
  </si>
  <si>
    <t>STF25W51266</t>
  </si>
  <si>
    <t>6104.44.2010</t>
  </si>
  <si>
    <t>STF25W51267</t>
  </si>
  <si>
    <t>STF25W51268</t>
  </si>
  <si>
    <t>STF25W51269</t>
  </si>
  <si>
    <t>92% POLYESTER/8% SPANDEX DIVER 300 GM/M2</t>
  </si>
  <si>
    <t>STF25W51270</t>
  </si>
  <si>
    <t>STF25W51275</t>
  </si>
  <si>
    <t>64% POLYESTER/35% RAYON/1% SPANDEX 330GSM</t>
  </si>
  <si>
    <t>STF25W51276</t>
  </si>
  <si>
    <t>STF25W51278</t>
  </si>
  <si>
    <t>95% POLYESTER/5% SPANDEX FAUX SUEDE 300GSM</t>
  </si>
  <si>
    <t>STF25W51279</t>
  </si>
  <si>
    <t>STF25W51280</t>
  </si>
  <si>
    <t>STF25W51281</t>
  </si>
  <si>
    <t>STF25W51282</t>
  </si>
  <si>
    <t>PULL OVER</t>
  </si>
  <si>
    <t>STF25W51283</t>
  </si>
  <si>
    <t>6110.20.2079</t>
  </si>
  <si>
    <t>STF25W51284</t>
  </si>
  <si>
    <t>STF25W51285</t>
  </si>
  <si>
    <t>STF25W51244</t>
  </si>
  <si>
    <t>FF338</t>
  </si>
  <si>
    <t>94% POLYESTER/6% ELASTANE JERSEY</t>
  </si>
  <si>
    <t>STF25W51245</t>
  </si>
  <si>
    <t>SWEATPANT</t>
  </si>
  <si>
    <t>STF25W51246</t>
  </si>
  <si>
    <t>6104.62.2011</t>
  </si>
  <si>
    <t>STF25W51247</t>
  </si>
  <si>
    <t>FF387</t>
  </si>
  <si>
    <t>65% COTTON/30% POLYESTER/5% ELASTANE PIQUE</t>
  </si>
  <si>
    <t>STF25W51248</t>
  </si>
  <si>
    <t>STF25W51249</t>
  </si>
  <si>
    <t>STF25W51250</t>
  </si>
  <si>
    <t>FF325-S</t>
  </si>
  <si>
    <t>STF25W51251</t>
  </si>
  <si>
    <t>6104.52.0010</t>
  </si>
  <si>
    <t>STF25W51405</t>
  </si>
  <si>
    <t>STF25W51257</t>
  </si>
  <si>
    <t>UNISEX</t>
  </si>
  <si>
    <t>SOCKS</t>
  </si>
  <si>
    <t>FIORIMA</t>
  </si>
  <si>
    <t>PORTUGAL</t>
  </si>
  <si>
    <t>STF25X51395</t>
  </si>
  <si>
    <t>FF355</t>
  </si>
  <si>
    <t>6115.95.9000</t>
  </si>
  <si>
    <t>HAT</t>
  </si>
  <si>
    <t>STF25X51402</t>
  </si>
  <si>
    <t>N/A</t>
  </si>
  <si>
    <t>100% POLYESTER TWILL</t>
  </si>
  <si>
    <t>6505.00.8090</t>
  </si>
  <si>
    <t>HESRRO</t>
  </si>
  <si>
    <t>HESRRO</t>
    <phoneticPr fontId="3" type="noConversion"/>
  </si>
  <si>
    <t>PORTA ASIATACA</t>
  </si>
  <si>
    <t>PORTA ASIATACA</t>
    <phoneticPr fontId="3" type="noConversion"/>
  </si>
  <si>
    <t>6201.20.4011</t>
    <phoneticPr fontId="3" type="noConversion"/>
  </si>
  <si>
    <t>88% NYLON/12% SPANDEX 125 GM/M2 WATER REPELLENT</t>
  </si>
  <si>
    <t>88% NYLON/12% SPANDEX 125 GM/M2 WATER REPELLENT</t>
    <phoneticPr fontId="3" type="noConversion"/>
  </si>
  <si>
    <t>100% POLYESTER DRY TOUCH PIQUE 130 GM/M2 MOISTURE WICKING</t>
  </si>
  <si>
    <t>100% POLYESTER DRY TOUCH PIQUE 130 GM/M2 MOISTURE WICKING</t>
    <phoneticPr fontId="3" type="noConversion"/>
  </si>
  <si>
    <t xml:space="preserve">60% NYLON/40% SPANDEX GRID KNIT MOISTURE WICKING                                                 </t>
  </si>
  <si>
    <t xml:space="preserve">60% NYLON/40% SPANDEX GRID KNIT MOISTURE WICKING                                                 </t>
    <phoneticPr fontId="3" type="noConversion"/>
  </si>
  <si>
    <t xml:space="preserve">64% POLYESTER/36% NYLON JERSEY 105 GM/M2 MOISTURE WICKING                                           </t>
  </si>
  <si>
    <t xml:space="preserve">64% POLYESTER/36% NYLON JERSEY 105 GM/M2 MOISTURE WICKING                                           </t>
    <phoneticPr fontId="3" type="noConversion"/>
  </si>
  <si>
    <t>95% POLYESTER/5% SPANDEX PIQUE DOUBLE KNIT 300GM/M2 MOISTURE WICKING</t>
  </si>
  <si>
    <t>95% POLYESTER/5% SPANDEX PIQUE DOUBLE KNIT 300GM/M2 MOISTURE WICKING</t>
    <phoneticPr fontId="3" type="noConversion"/>
  </si>
  <si>
    <t xml:space="preserve">85% POLYESTER/15% SPANDEX 240GM/M2  BRUSHED HEATHER DOUBLE KNIT MOISTURE WICKING                                   </t>
  </si>
  <si>
    <t xml:space="preserve">85% POLYESTER/15% SPANDEX 240GM/M2  BRUSHED HEATHER DOUBLE KNIT MOISTURE WICKING                                   </t>
    <phoneticPr fontId="3" type="noConversion"/>
  </si>
  <si>
    <t>QUILTED GRID 86% POLYESTER/16% RAYON/2% SPANDEX 303 GM/M2</t>
    <phoneticPr fontId="3" type="noConversion"/>
  </si>
  <si>
    <t>FACE: 95% NYLON/5% SPANDEX BACK: 99% POLYESTER/1% SPANDEX</t>
    <phoneticPr fontId="3" type="noConversion"/>
  </si>
  <si>
    <t>62% VISCOSE/38% POLYESTER 2/68 NM 14GG 2 ENDS</t>
    <phoneticPr fontId="3" type="noConversion"/>
  </si>
  <si>
    <t>50% COTTON/50% COOLMAX POLYESTER 12 GG 16GG</t>
    <phoneticPr fontId="3" type="noConversion"/>
  </si>
  <si>
    <t>50% COTTON/50% COOLMAX POLYESTER 14 GG 16GG</t>
    <phoneticPr fontId="3" type="noConversion"/>
  </si>
  <si>
    <t>FRENCH TERRY 100% COTTON 360GM/M2</t>
    <phoneticPr fontId="3" type="noConversion"/>
  </si>
  <si>
    <t>FOB</t>
  </si>
  <si>
    <t>LDP</t>
  </si>
  <si>
    <t>Receiving
($)</t>
    <phoneticPr fontId="3" type="noConversion"/>
  </si>
  <si>
    <t>Total</t>
    <phoneticPr fontId="3" type="noConversion"/>
  </si>
  <si>
    <t>6202.20.4011</t>
    <phoneticPr fontId="3" type="noConversion"/>
  </si>
  <si>
    <t xml:space="preserve">77% POLYESTER/23% SPANDEX COURT STRETCH MOISTURE WICKING                                   </t>
  </si>
  <si>
    <t xml:space="preserve">77% POLYESTER/23% SPANDEX COURT STRETCH MOISTURE WICKING                                   </t>
    <phoneticPr fontId="3" type="noConversion"/>
  </si>
  <si>
    <t xml:space="preserve">77% POLYESTER/23% SPANDEX COURT STRETCH MOISTURE WICKING                                    </t>
  </si>
  <si>
    <t xml:space="preserve">77% POLYESTER/23% SPANDEX COURT STRETCH MOISTURE WICKING                                    </t>
    <phoneticPr fontId="3" type="noConversion"/>
  </si>
  <si>
    <t xml:space="preserve">60% NYLON/40% SPANDEX GRID KNIT MOISTURE WICKING                                                  </t>
  </si>
  <si>
    <t xml:space="preserve">60% NYLON/40% SPANDEX GRID KNIT MOISTURE WICKING                                                  </t>
    <phoneticPr fontId="3" type="noConversion"/>
  </si>
  <si>
    <t>88% NYLON/12% SPANDEX 125 GSM WATER REPELLENT</t>
    <phoneticPr fontId="3" type="noConversion"/>
  </si>
  <si>
    <t>FF345: 100% SHINY NYLON FF442-H FACE: 95% NYLON/5% SPANDEX BACK: 99% POLYESTER/1% SPANDEX</t>
    <phoneticPr fontId="3" type="noConversion"/>
  </si>
  <si>
    <t xml:space="preserve">62% VISCOSE/38% POLYESTER 14GG FULL NEEDLE </t>
    <phoneticPr fontId="3" type="noConversion"/>
  </si>
  <si>
    <t xml:space="preserve">62% VISCOSE/38% POLYESTER 7GG BIRDSEYE BACK JACQUARD </t>
    <phoneticPr fontId="3" type="noConversion"/>
  </si>
  <si>
    <t>62% VISCOSE/38% POLYESTER 16GG FULL NEEDLE</t>
    <phoneticPr fontId="3" type="noConversion"/>
  </si>
  <si>
    <t>62% VISCOSE/38% POLYESTER 7GG JERSEY</t>
    <phoneticPr fontId="3" type="noConversion"/>
  </si>
  <si>
    <t>62% VISCOSE/38% POLYESTER 7GG MIXED STITCHES</t>
    <phoneticPr fontId="3" type="noConversion"/>
  </si>
  <si>
    <t>60% POLYESTER/40% COTTON DOUBLE KNIT 280 GM/M2</t>
    <phoneticPr fontId="3" type="noConversion"/>
  </si>
  <si>
    <t>100% POLYESTER TWILL 220 GM/M2</t>
    <phoneticPr fontId="3" type="noConversion"/>
  </si>
  <si>
    <t>82% NYLON/18% SPANDEX PERFORMANCE DOUBLE KNIT</t>
    <phoneticPr fontId="3" type="noConversion"/>
  </si>
  <si>
    <t>6109.10.0012</t>
    <phoneticPr fontId="3" type="noConversion"/>
  </si>
  <si>
    <t>100% COTTON FRENCH TERRY 360 GM/M2</t>
    <phoneticPr fontId="3" type="noConversion"/>
  </si>
  <si>
    <t>SARA</t>
    <phoneticPr fontId="3" type="noConversion"/>
  </si>
  <si>
    <t>65% COTTON/30% POLYESTER/5% ELASTANE PIQUE</t>
    <phoneticPr fontId="3" type="noConversion"/>
  </si>
  <si>
    <t>85% COTTON/13% POLYAMIDE/2% ELASTANE</t>
    <phoneticPr fontId="3" type="noConversion"/>
  </si>
  <si>
    <t>WHS QTY</t>
    <phoneticPr fontId="3" type="noConversion"/>
  </si>
  <si>
    <r>
      <t xml:space="preserve">Ecomm </t>
    </r>
    <r>
      <rPr>
        <b/>
        <sz val="10"/>
        <color theme="1" tint="4.9989318521683403E-2"/>
        <rFont val="맑은 고딕"/>
        <family val="2"/>
        <charset val="129"/>
      </rPr>
      <t>QTY</t>
    </r>
    <phoneticPr fontId="3" type="noConversion"/>
  </si>
  <si>
    <t>BBUK QTY</t>
    <phoneticPr fontId="3" type="noConversion"/>
  </si>
  <si>
    <t>SILVER QTY</t>
    <phoneticPr fontId="3" type="noConversion"/>
  </si>
  <si>
    <t>ATS
QTY</t>
    <phoneticPr fontId="3" type="noConversion"/>
  </si>
  <si>
    <t>FNF
QTY</t>
    <phoneticPr fontId="3" type="noConversion"/>
  </si>
  <si>
    <t>EVE
QTY</t>
    <phoneticPr fontId="3" type="noConversion"/>
  </si>
  <si>
    <t>TTL
QTY</t>
    <phoneticPr fontId="3" type="noConversion"/>
  </si>
  <si>
    <t>Duty
(%)</t>
    <phoneticPr fontId="3" type="noConversion"/>
  </si>
  <si>
    <t>Duty
($)</t>
    <phoneticPr fontId="3" type="noConversion"/>
  </si>
  <si>
    <t>Tariff
(%)</t>
    <phoneticPr fontId="3" type="noConversion"/>
  </si>
  <si>
    <t>Tariff
($)</t>
    <phoneticPr fontId="3" type="noConversion"/>
  </si>
  <si>
    <t>Shipping
(%)</t>
    <phoneticPr fontId="3" type="noConversion"/>
  </si>
  <si>
    <t>Shipping
($)</t>
    <phoneticPr fontId="3" type="noConversion"/>
  </si>
  <si>
    <t>Ecomm MSRP</t>
    <phoneticPr fontId="3" type="noConversion"/>
  </si>
  <si>
    <t>WHS MSRP</t>
    <phoneticPr fontId="3" type="noConversion"/>
  </si>
  <si>
    <t>Ecomm LDP</t>
    <phoneticPr fontId="3" type="noConversion"/>
  </si>
  <si>
    <t>WHS LDP</t>
    <phoneticPr fontId="3" type="noConversion"/>
  </si>
  <si>
    <t>Ecomm FOB</t>
    <phoneticPr fontId="3" type="noConversion"/>
  </si>
  <si>
    <t>WHS FOB</t>
    <phoneticPr fontId="3" type="noConversion"/>
  </si>
  <si>
    <t>행 레이블</t>
  </si>
  <si>
    <t>총합계</t>
  </si>
  <si>
    <t>INDIA</t>
  </si>
  <si>
    <t>INDIA</t>
    <phoneticPr fontId="3" type="noConversion"/>
  </si>
  <si>
    <t>MSRP Total</t>
    <phoneticPr fontId="3" type="noConversion"/>
  </si>
  <si>
    <t>LDP Total</t>
    <phoneticPr fontId="3" type="noConversion"/>
  </si>
  <si>
    <t>FOB Total</t>
    <phoneticPr fontId="3" type="noConversion"/>
  </si>
  <si>
    <t>합계 : MSRP Total</t>
  </si>
  <si>
    <t>합계 : LDP Total</t>
  </si>
  <si>
    <t>합계 : FOB Total</t>
  </si>
  <si>
    <t>25FW PO QTY</t>
    <phoneticPr fontId="3" type="noConversion"/>
  </si>
  <si>
    <t>25FW PO MSRP</t>
    <phoneticPr fontId="3" type="noConversion"/>
  </si>
  <si>
    <t>25FW PO LDP</t>
    <phoneticPr fontId="3" type="noConversion"/>
  </si>
  <si>
    <t>25FW PO FOB</t>
    <phoneticPr fontId="3" type="noConversion"/>
  </si>
  <si>
    <t>(a)</t>
    <phoneticPr fontId="3" type="noConversion"/>
  </si>
  <si>
    <t>(b)</t>
    <phoneticPr fontId="3" type="noConversion"/>
  </si>
  <si>
    <t>(d)</t>
    <phoneticPr fontId="3" type="noConversion"/>
  </si>
  <si>
    <t>(e)</t>
    <phoneticPr fontId="3" type="noConversion"/>
  </si>
  <si>
    <t>(c)</t>
    <phoneticPr fontId="3" type="noConversion"/>
  </si>
  <si>
    <t>(a)+(b)+(c)+
(d)+(e)</t>
    <phoneticPr fontId="3" type="noConversion"/>
  </si>
  <si>
    <t>FALL 2024</t>
  </si>
  <si>
    <t>MENS</t>
  </si>
  <si>
    <t>MEGA</t>
  </si>
  <si>
    <t>STF24M50931</t>
  </si>
  <si>
    <t>85% POLYAMIDE/15% SPANDEX PIQUE 175 GM/M2</t>
    <phoneticPr fontId="3" type="noConversion"/>
  </si>
  <si>
    <t>85% POLYAMIDE/15% SPANDEX PIQUE 175 GM/M2</t>
  </si>
  <si>
    <t>LONG SLEEVE KNIT</t>
  </si>
  <si>
    <t>STF24M50936</t>
  </si>
  <si>
    <t>STF24M50932</t>
  </si>
  <si>
    <t>STF24M50935</t>
  </si>
  <si>
    <t>STF24M50925</t>
  </si>
  <si>
    <t>90% POLYESTER/10% SPANDEX POPLIN 110 GM/M2</t>
    <phoneticPr fontId="3" type="noConversion"/>
  </si>
  <si>
    <t>90% POLYESTER/10% SPANDEX POPLIN 110 GM/M2</t>
  </si>
  <si>
    <t>STF24M50941</t>
  </si>
  <si>
    <t>97% POLYESTER/3% SPANDEX JACQUARD WAFFLE 310 GM/M2</t>
  </si>
  <si>
    <t>STF24M50942</t>
  </si>
  <si>
    <t>97% POLYESTER/3% SPANDEX JACQUARD WAFFLE 310 GM/M2</t>
    <phoneticPr fontId="3" type="noConversion"/>
  </si>
  <si>
    <t>STF24M51048</t>
  </si>
  <si>
    <t>STF24M50891</t>
  </si>
  <si>
    <t>100% POLYESTER FAUX SUEDE WITH FLEECE BACK 460 GM/M2</t>
  </si>
  <si>
    <t>STF24M50892</t>
  </si>
  <si>
    <t>6101.30.2010</t>
  </si>
  <si>
    <t>100% POLYESTER FAUX SUEDE WITH FLEECE BACK 460 GM/M2</t>
    <phoneticPr fontId="3" type="noConversion"/>
  </si>
  <si>
    <t>STF24M50928</t>
  </si>
  <si>
    <t>100% CRINKLE NYLON 86 GM/M2</t>
  </si>
  <si>
    <t>STF24M50926</t>
  </si>
  <si>
    <t>100% CRINKLE NYLON 86 GM/M2</t>
    <phoneticPr fontId="3" type="noConversion"/>
  </si>
  <si>
    <t>SPRING 23 REORDER</t>
  </si>
  <si>
    <r>
      <rPr>
        <b/>
        <sz val="10"/>
        <color rgb="FFFF0000"/>
        <rFont val="Calibri (Body)"/>
      </rPr>
      <t>STS24</t>
    </r>
    <r>
      <rPr>
        <b/>
        <sz val="10"/>
        <color theme="1"/>
        <rFont val="맑은 고딕"/>
        <family val="2"/>
        <scheme val="minor"/>
      </rPr>
      <t>M50737</t>
    </r>
  </si>
  <si>
    <r>
      <rPr>
        <b/>
        <sz val="10"/>
        <color rgb="FFFF0000"/>
        <rFont val="Calibri (Body)"/>
      </rPr>
      <t>STS24</t>
    </r>
    <r>
      <rPr>
        <b/>
        <sz val="10"/>
        <color theme="1"/>
        <rFont val="맑은 고딕"/>
        <family val="2"/>
        <scheme val="minor"/>
      </rPr>
      <t>M14552</t>
    </r>
  </si>
  <si>
    <t>STF24M50960</t>
  </si>
  <si>
    <t>100% NYLON TAFFETA 48 GM/M2</t>
    <phoneticPr fontId="3" type="noConversion"/>
  </si>
  <si>
    <t>STF24M50961</t>
  </si>
  <si>
    <t>100% NYLON TAFFETA 48 GM/M2</t>
  </si>
  <si>
    <t>STF24M50966</t>
  </si>
  <si>
    <t>STF24M50923</t>
  </si>
  <si>
    <t>100% COTTON FLEECE 390 GM/M2</t>
  </si>
  <si>
    <t>STF24M50924</t>
  </si>
  <si>
    <t>STF24M51046</t>
  </si>
  <si>
    <t>STF24M51047</t>
  </si>
  <si>
    <t>6103.42.1020</t>
  </si>
  <si>
    <t>STF24M50893</t>
  </si>
  <si>
    <t>STF24M50894</t>
  </si>
  <si>
    <t>STF24M50988</t>
  </si>
  <si>
    <r>
      <t xml:space="preserve">100% </t>
    </r>
    <r>
      <rPr>
        <b/>
        <sz val="10"/>
        <color rgb="FFFF0000"/>
        <rFont val="Calibri (Body)"/>
      </rPr>
      <t>RECYCLED</t>
    </r>
    <r>
      <rPr>
        <b/>
        <sz val="10"/>
        <color theme="1"/>
        <rFont val="맑은 고딕"/>
        <family val="2"/>
        <scheme val="minor"/>
      </rPr>
      <t xml:space="preserve"> NYLON 66 GM/2</t>
    </r>
    <phoneticPr fontId="3" type="noConversion"/>
  </si>
  <si>
    <t>STF24M50989</t>
  </si>
  <si>
    <t>STF24M50922</t>
  </si>
  <si>
    <t xml:space="preserve">100% SHINY NYLON 100 GM/M2 </t>
    <phoneticPr fontId="3" type="noConversion"/>
  </si>
  <si>
    <t>STF24M50927</t>
  </si>
  <si>
    <t>100% COTTON JERSEY 180 GM/M2</t>
    <phoneticPr fontId="3" type="noConversion"/>
  </si>
  <si>
    <t>STF24M50981</t>
  </si>
  <si>
    <t>STF24M50982</t>
  </si>
  <si>
    <t>STF24M50962</t>
  </si>
  <si>
    <t>STF24M50972</t>
  </si>
  <si>
    <r>
      <t xml:space="preserve">100% COTTON JERSEY </t>
    </r>
    <r>
      <rPr>
        <b/>
        <sz val="10"/>
        <color rgb="FFFF0000"/>
        <rFont val="Calibri (Body)"/>
      </rPr>
      <t>250 GM/M2</t>
    </r>
  </si>
  <si>
    <t>STF24M50934</t>
  </si>
  <si>
    <t>STF24M50933</t>
  </si>
  <si>
    <t>STF24M50930</t>
  </si>
  <si>
    <t>STF24M50911</t>
  </si>
  <si>
    <t>100% COTTON PIQUE 200 GM/M2</t>
  </si>
  <si>
    <t>STF24M50973</t>
  </si>
  <si>
    <t>PORTA WOVENS</t>
  </si>
  <si>
    <t>STF24M50953</t>
  </si>
  <si>
    <t>55% TENCEL/43% POLYESTER/2% SPANDEX BLEND 150 GM/M2</t>
    <phoneticPr fontId="3" type="noConversion"/>
  </si>
  <si>
    <t>STF24M50954</t>
  </si>
  <si>
    <t>CAMP SHIRT</t>
  </si>
  <si>
    <t>STF24M50992</t>
  </si>
  <si>
    <t>6205.30.2050</t>
  </si>
  <si>
    <t>STF24M50993</t>
  </si>
  <si>
    <t>STF24M50948</t>
  </si>
  <si>
    <t>68% POLYESTER/28% RAYON/4% SPANDEX PINSTRIPE 265 GM/M2</t>
  </si>
  <si>
    <t>STF24M50949</t>
  </si>
  <si>
    <t>STF24M51026</t>
  </si>
  <si>
    <t>86% NYLON/14% SPANDEX 126 GM/M2</t>
  </si>
  <si>
    <t>PORTA</t>
  </si>
  <si>
    <t>STF24M50963</t>
  </si>
  <si>
    <t>86% POLYESTER/11% RAYON/3% SPANDEX 295 GM/M2</t>
  </si>
  <si>
    <t>STF24M51045</t>
  </si>
  <si>
    <t>STF24M50976</t>
  </si>
  <si>
    <t>78% COTTON/22 % POLYESTER TERRY 300 GM/M2</t>
  </si>
  <si>
    <t>STF24M50977</t>
  </si>
  <si>
    <t>STF24M50644</t>
  </si>
  <si>
    <t>STF24M50645</t>
  </si>
  <si>
    <t>6112.12.0050</t>
    <phoneticPr fontId="3" type="noConversion"/>
  </si>
  <si>
    <t>93% POLYESTER/7% SPANDEX VELOUR 300 GM/M2</t>
    <phoneticPr fontId="3" type="noConversion"/>
  </si>
  <si>
    <t>PORTA</t>
    <phoneticPr fontId="3" type="noConversion"/>
  </si>
  <si>
    <r>
      <rPr>
        <b/>
        <sz val="10"/>
        <color rgb="FFFF0000"/>
        <rFont val="Calibri (Body)"/>
      </rPr>
      <t>STF23</t>
    </r>
    <r>
      <rPr>
        <b/>
        <sz val="10"/>
        <color theme="1"/>
        <rFont val="맑은 고딕"/>
        <family val="2"/>
        <scheme val="minor"/>
      </rPr>
      <t>M50644</t>
    </r>
  </si>
  <si>
    <r>
      <rPr>
        <b/>
        <sz val="10"/>
        <color rgb="FFFF0000"/>
        <rFont val="Calibri (Body)"/>
      </rPr>
      <t>STF23</t>
    </r>
    <r>
      <rPr>
        <b/>
        <sz val="10"/>
        <color theme="1"/>
        <rFont val="맑은 고딕"/>
        <family val="2"/>
        <scheme val="minor"/>
      </rPr>
      <t>M50645</t>
    </r>
  </si>
  <si>
    <t>STF24M50908</t>
  </si>
  <si>
    <t>62% E COVERO VISCOSE/38% POLYESTER 2/68NM, 14GG*2ENDS "ATHENA YARN"</t>
    <phoneticPr fontId="14" type="noConversion"/>
  </si>
  <si>
    <t>SWEATER</t>
    <phoneticPr fontId="3" type="noConversion"/>
  </si>
  <si>
    <t>STF24M50909</t>
  </si>
  <si>
    <t>6103.49.1020</t>
  </si>
  <si>
    <t>STF24M50910</t>
  </si>
  <si>
    <t>STF24M50914</t>
  </si>
  <si>
    <t>63% POLYESTER/33% RAYON/4% SPANDEX INTERLOCK JERSEY 400 GM/M2</t>
  </si>
  <si>
    <t>STF24M50915</t>
  </si>
  <si>
    <t>STF24M50912</t>
  </si>
  <si>
    <t>STF24M50913</t>
  </si>
  <si>
    <t>STF24M50995</t>
  </si>
  <si>
    <t>58% POLYESTER/37% COTTON/5% SPANDEX FLAT BACK DOUBLE PIQUE 346 GM/M2</t>
  </si>
  <si>
    <t>STF24M50996</t>
  </si>
  <si>
    <t>STF24M50879</t>
  </si>
  <si>
    <t>STF24M50880</t>
  </si>
  <si>
    <t>STF24M50881</t>
  </si>
  <si>
    <t>STF24M50882</t>
  </si>
  <si>
    <t>STF24M50899</t>
  </si>
  <si>
    <t>STF24M50896</t>
  </si>
  <si>
    <t xml:space="preserve">93% POLYESTER/7% SPANDEX VELOUR 300 GM/M2 </t>
    <phoneticPr fontId="3" type="noConversion"/>
  </si>
  <si>
    <t>STF24M50895</t>
  </si>
  <si>
    <t>STF24M50897</t>
  </si>
  <si>
    <t>STF24M50898</t>
  </si>
  <si>
    <t>STF24M50875</t>
  </si>
  <si>
    <t>FACE: 95% POLYESTER/5% SPANDEX BONDED VELOUR 400 GM/M2 BACK: 95% COTTON/5% SPANDEX</t>
    <phoneticPr fontId="14" type="noConversion"/>
  </si>
  <si>
    <t>STF24M50876</t>
  </si>
  <si>
    <t>STF24M50883</t>
  </si>
  <si>
    <t>6105.10.0010</t>
  </si>
  <si>
    <t>STF24M50878</t>
  </si>
  <si>
    <t>STF24M50979</t>
  </si>
  <si>
    <t>100% MERINO WOOL MEDIUM GAUGE 2/26S, 7 GG</t>
  </si>
  <si>
    <t>6201.20.4011</t>
  </si>
  <si>
    <t>STF24M50916</t>
  </si>
  <si>
    <t>70% ACRYLIC/30% WOOL 2/48S, 12GG</t>
    <phoneticPr fontId="14" type="noConversion"/>
  </si>
  <si>
    <t>ACCESSORY</t>
  </si>
  <si>
    <r>
      <t>STF24</t>
    </r>
    <r>
      <rPr>
        <b/>
        <sz val="10"/>
        <color theme="1"/>
        <rFont val="Calibri (Body)"/>
      </rPr>
      <t>X</t>
    </r>
    <r>
      <rPr>
        <b/>
        <sz val="10"/>
        <color theme="1"/>
        <rFont val="맑은 고딕"/>
        <family val="2"/>
        <scheme val="minor"/>
      </rPr>
      <t>50917</t>
    </r>
  </si>
  <si>
    <t>6117.10.2030</t>
  </si>
  <si>
    <r>
      <t>STF24</t>
    </r>
    <r>
      <rPr>
        <b/>
        <sz val="10"/>
        <color theme="1"/>
        <rFont val="Calibri (Body)"/>
      </rPr>
      <t>X</t>
    </r>
    <r>
      <rPr>
        <b/>
        <sz val="10"/>
        <color theme="1"/>
        <rFont val="맑은 고딕"/>
        <family val="2"/>
        <scheme val="minor"/>
      </rPr>
      <t>50918</t>
    </r>
  </si>
  <si>
    <t>55% NYLON/20% POLYESTER/16% ACRYLIC/9% MERINO WOOL BLEND 7GG</t>
  </si>
  <si>
    <t>STF24M50956</t>
  </si>
  <si>
    <t>100% COTTON 5 GG</t>
  </si>
  <si>
    <t>STF24M50978</t>
  </si>
  <si>
    <t>60% ACRYLIC/30% NYLON/6% SPANDEX/4% WOOL</t>
  </si>
  <si>
    <t>STF24M50946</t>
  </si>
  <si>
    <t>92% POLYESTER/8% SPANDEX INTERLOCK 300 GM/M2</t>
  </si>
  <si>
    <t>STF24M50947</t>
  </si>
  <si>
    <t>STF24M50939</t>
  </si>
  <si>
    <t>BODY: 100% POLYESTER "BONDED FAUX SHERPA" 480 GM/M2 SLEEVES: 100% POLYURETHANE</t>
    <phoneticPr fontId="14" type="noConversion"/>
  </si>
  <si>
    <t>STF24M50964</t>
  </si>
  <si>
    <t>STF24M50997</t>
  </si>
  <si>
    <r>
      <t xml:space="preserve">100% POLYESTER BONDED FAUX SHERPA 480 GM/M2 </t>
    </r>
    <r>
      <rPr>
        <b/>
        <sz val="10"/>
        <color rgb="FF00B0F0"/>
        <rFont val="Calibri (Body)"/>
      </rPr>
      <t>YOKE/ELBOW PANELS</t>
    </r>
    <r>
      <rPr>
        <b/>
        <sz val="10"/>
        <color rgb="FF00B0F0"/>
        <rFont val="맑은 고딕"/>
        <family val="2"/>
        <scheme val="minor"/>
      </rPr>
      <t>:</t>
    </r>
    <r>
      <rPr>
        <b/>
        <sz val="10"/>
        <color theme="1"/>
        <rFont val="맑은 고딕"/>
        <family val="2"/>
        <scheme val="minor"/>
      </rPr>
      <t xml:space="preserve"> FF149 55% POLYESTER/45% COTTON PEACHED POLY 180 GM/M2</t>
    </r>
    <phoneticPr fontId="14" type="noConversion"/>
  </si>
  <si>
    <t>UKF24X29584</t>
  </si>
  <si>
    <t>50% WOOL/50% ACRYLIC</t>
  </si>
  <si>
    <t>6505.00.9090</t>
  </si>
  <si>
    <t>UKF24X21171</t>
  </si>
  <si>
    <t>100% ACRYLIC</t>
  </si>
  <si>
    <t>UKF24X25028</t>
  </si>
  <si>
    <t>UKF24M21106</t>
  </si>
  <si>
    <t>80% POLYESTER/10% ARCYLIC/10% RAYON 340 GM/M2</t>
  </si>
  <si>
    <t>UKF24M21116</t>
  </si>
  <si>
    <t>53% POLYESTER/47% COTTON PIQUE 292 GM/M2</t>
  </si>
  <si>
    <t>UKF24M21117</t>
  </si>
  <si>
    <t>UKF24M21148</t>
  </si>
  <si>
    <t>100% COTTON 2/30'S 4 ENDS 7 GG</t>
  </si>
  <si>
    <t>KUKDONG</t>
  </si>
  <si>
    <t>VIETNAM</t>
  </si>
  <si>
    <t>STF24W50999</t>
  </si>
  <si>
    <t>88% POLYAMIDE/12% ELASTANE "COURT STRETCH" 225 GM/M2</t>
    <phoneticPr fontId="3" type="noConversion"/>
  </si>
  <si>
    <t>LEGGINGS</t>
  </si>
  <si>
    <t>STF24W51000</t>
  </si>
  <si>
    <t>88% POLYAMIDE/12% ELASTANE "COURT STRETCH" 225 GM/M2</t>
  </si>
  <si>
    <t>STF24W51001</t>
  </si>
  <si>
    <t>STF24W50951</t>
  </si>
  <si>
    <t>STF24W50987</t>
  </si>
  <si>
    <t>STF24W50980</t>
  </si>
  <si>
    <t>60% COTTON/40% POLYESTER JERSEY 230 GM/M2</t>
  </si>
  <si>
    <t>60% COTTON/40% POLYESTER JERSEY 230 GM/M2</t>
    <phoneticPr fontId="3" type="noConversion"/>
  </si>
  <si>
    <t>STF24W51002</t>
  </si>
  <si>
    <t>75% POLYESTER/20% RAYON/5% SPANDEX COURT RIB 300 GM/M2</t>
  </si>
  <si>
    <t>6106.20.2010</t>
  </si>
  <si>
    <t>STF24W51003</t>
  </si>
  <si>
    <t>90% POLYESTER/10% SPANDEX POLY POPLIN 110 GM/M2
INNER SHORT: 88% POLYESTER/12% SPANDEX JERSEY</t>
  </si>
  <si>
    <t>STF24W50986</t>
  </si>
  <si>
    <t>100% POLYESTER TRACK TWILL 220 GM/M2</t>
  </si>
  <si>
    <t>100% POLYESTER TRACK TWILL 220 GM/M2</t>
    <phoneticPr fontId="3" type="noConversion"/>
  </si>
  <si>
    <t>STF24W50990</t>
  </si>
  <si>
    <t>STF24W50991</t>
  </si>
  <si>
    <t>STF24W50952</t>
  </si>
  <si>
    <t>100% POLYESTER MESH 105 GM/M2</t>
  </si>
  <si>
    <t>100% POLYESTER MESH 105 GM/M2</t>
    <phoneticPr fontId="3" type="noConversion"/>
  </si>
  <si>
    <t>STF24W50887</t>
  </si>
  <si>
    <t>STF24W50888</t>
  </si>
  <si>
    <t>SWEATSHIRT</t>
  </si>
  <si>
    <t>STF24W51022</t>
  </si>
  <si>
    <t xml:space="preserve">
100% COTTON FRENCH TERRY 360 GM/M2</t>
  </si>
  <si>
    <t>STF24W51023</t>
  </si>
  <si>
    <t>STF24W51024</t>
  </si>
  <si>
    <t>STF24W50985</t>
  </si>
  <si>
    <t>STF24W50970</t>
  </si>
  <si>
    <t xml:space="preserve">100% SHINY NYLON 100 GM/M2              </t>
  </si>
  <si>
    <t>STF24W50969</t>
  </si>
  <si>
    <t>100% POLYESTER PEACHED 190 GM/M2</t>
  </si>
  <si>
    <t>STF24W50943</t>
  </si>
  <si>
    <r>
      <t xml:space="preserve">100% COTTON JERSEY </t>
    </r>
    <r>
      <rPr>
        <b/>
        <sz val="10"/>
        <color rgb="FFFF0000"/>
        <rFont val="Calibri (Body)"/>
      </rPr>
      <t>250</t>
    </r>
    <r>
      <rPr>
        <b/>
        <sz val="10"/>
        <color theme="1"/>
        <rFont val="맑은 고딕"/>
        <family val="2"/>
        <scheme val="minor"/>
      </rPr>
      <t xml:space="preserve"> GM/M2</t>
    </r>
  </si>
  <si>
    <t>STF24W50958</t>
  </si>
  <si>
    <t xml:space="preserve">55% TENCEL/43% POLYESTER/2% SPANDEX BLEND 150 GM/M2
</t>
  </si>
  <si>
    <t>STF24W50959</t>
  </si>
  <si>
    <t>6204.63.9010</t>
  </si>
  <si>
    <t>STF24W50983</t>
  </si>
  <si>
    <t xml:space="preserve">55% TENCEL/43% POLYESTER/2% SPANDEX BLEND  150 GM/M2
</t>
  </si>
  <si>
    <t>6206.40.3035</t>
  </si>
  <si>
    <t>STF24W50984</t>
  </si>
  <si>
    <t>6204.69.2840</t>
  </si>
  <si>
    <t>STF24W51015</t>
  </si>
  <si>
    <t>STF24W51016</t>
  </si>
  <si>
    <t>95% POLYESTER/5% SPANDEX BRUSHED DIVER 280 GM/M2</t>
    <phoneticPr fontId="3" type="noConversion"/>
  </si>
  <si>
    <t>STF24W51017</t>
  </si>
  <si>
    <t>83% DULL VISCOSE/17% ELITE POLYESTER</t>
    <phoneticPr fontId="3" type="noConversion"/>
  </si>
  <si>
    <t>SWEATER                SIZE XS-XL</t>
  </si>
  <si>
    <t>STF24W51018</t>
  </si>
  <si>
    <t>83% DULL VISCOSE/17% ELITE POLYESTER</t>
  </si>
  <si>
    <t>6104.69.2060</t>
  </si>
  <si>
    <t>STF24W51006</t>
  </si>
  <si>
    <t>STF24W51007</t>
  </si>
  <si>
    <t>STF24W51008</t>
  </si>
  <si>
    <t>STF24W51009</t>
  </si>
  <si>
    <r>
      <rPr>
        <b/>
        <sz val="10"/>
        <color theme="1"/>
        <rFont val="Calibri (Body)"/>
      </rPr>
      <t>92</t>
    </r>
    <r>
      <rPr>
        <b/>
        <sz val="10"/>
        <color theme="1"/>
        <rFont val="맑은 고딕"/>
        <family val="2"/>
        <scheme val="minor"/>
      </rPr>
      <t xml:space="preserve">% POLYESTER/7% SPANDEX VELOUR 300 GM/M2
</t>
    </r>
    <r>
      <rPr>
        <b/>
        <sz val="10"/>
        <color rgb="FF00B0F0"/>
        <rFont val="Calibri (Body)"/>
      </rPr>
      <t>NYLON PLEATS:</t>
    </r>
    <r>
      <rPr>
        <b/>
        <sz val="10"/>
        <color rgb="FFFF0000"/>
        <rFont val="Calibri (Body)"/>
      </rPr>
      <t xml:space="preserve"> </t>
    </r>
    <r>
      <rPr>
        <b/>
        <sz val="10"/>
        <color theme="1"/>
        <rFont val="Calibri (Body)"/>
      </rPr>
      <t>92% NYLON/8% SPANDEX 125-130 GM/M2</t>
    </r>
  </si>
  <si>
    <t>STF24W51012</t>
  </si>
  <si>
    <t>100% HIGH TWIST COTTON 7GG, 2/40S, 6 ENDS</t>
  </si>
  <si>
    <t>6110.20.20.20</t>
  </si>
  <si>
    <t>STF24W51010</t>
  </si>
  <si>
    <t>6104.63.2030</t>
  </si>
  <si>
    <t>STF24W51011</t>
  </si>
  <si>
    <t>STF24W51019</t>
  </si>
  <si>
    <t>72% VISCOSE/28% POLYESTER
50S/2, 12GG*2ENDS BIRDSEYE JACQUARD</t>
  </si>
  <si>
    <t>STF24W51020</t>
  </si>
  <si>
    <t>STF24W51021</t>
  </si>
  <si>
    <t>6104.69.2030</t>
  </si>
  <si>
    <t>STF24W51013</t>
  </si>
  <si>
    <t>93% POLYESTER/7% SPANDEX DEBOSSED VELOUR 300 GM/M2</t>
  </si>
  <si>
    <t>STF24W51014</t>
  </si>
  <si>
    <t>STF24W50957</t>
  </si>
  <si>
    <t>BODY: 100% POLYESTER "BONDED FAUX SHERPA" 480 GM/M2                                                        SLEEVES: 100% POLYURETHANE</t>
  </si>
  <si>
    <t>STF24W50968</t>
  </si>
  <si>
    <t>92% POLYESTER/8% SPANDEX CHENILLE CHAIN KNIT 380-400 GM/M2</t>
  </si>
  <si>
    <t>6102.30.2010</t>
  </si>
  <si>
    <t>24FW PO QTY</t>
  </si>
  <si>
    <t>24FW PO MSRP</t>
  </si>
  <si>
    <t>24FW PO LDP</t>
  </si>
  <si>
    <t>24FW PO FOB</t>
  </si>
  <si>
    <t>DACH</t>
    <phoneticPr fontId="3" type="noConversion"/>
  </si>
  <si>
    <t>SPRING 2024</t>
  </si>
  <si>
    <t>STS24M50788</t>
  </si>
  <si>
    <t>STS24M50859</t>
  </si>
  <si>
    <t>100% COTTON FRENCH TERRY 360 GM/M2 PEACHED</t>
  </si>
  <si>
    <t>STS24M50786</t>
  </si>
  <si>
    <t>100% COTTON FRENCH TERRY 360 GM/M2 PEACHED</t>
    <phoneticPr fontId="3" type="noConversion"/>
  </si>
  <si>
    <t>6110.20.2069</t>
  </si>
  <si>
    <t>STS24M50806</t>
  </si>
  <si>
    <t>STS24M50725</t>
  </si>
  <si>
    <t>STS24M50759</t>
  </si>
  <si>
    <t>STS24M50753</t>
  </si>
  <si>
    <t>100% NYLON 48 GM/M2</t>
  </si>
  <si>
    <t>100% NYLON 48 GM/M2</t>
    <phoneticPr fontId="3" type="noConversion"/>
  </si>
  <si>
    <t>STS24M50796</t>
  </si>
  <si>
    <t>80% COTTON/20% POLYESTER 260 GM/M2</t>
  </si>
  <si>
    <t>80% COTTON/20% POLYESTER 260 GM/M2</t>
    <phoneticPr fontId="3" type="noConversion"/>
  </si>
  <si>
    <t>STS24M50766</t>
  </si>
  <si>
    <t>70% COTTON/30% POLYESTER TERRY 230 GM/M2</t>
    <phoneticPr fontId="3" type="noConversion"/>
  </si>
  <si>
    <t>STS24M50871</t>
  </si>
  <si>
    <t>70% COTTON/30% POLYESTER TERRY 230 GM/M2</t>
  </si>
  <si>
    <t>STS24M50767</t>
  </si>
  <si>
    <t>STS24M50768</t>
  </si>
  <si>
    <t>STS24M50459</t>
  </si>
  <si>
    <t>STS24M50458</t>
  </si>
  <si>
    <t>STS24M50457</t>
  </si>
  <si>
    <t>100% COTTON  PIQUE 200 GM/M2</t>
  </si>
  <si>
    <t>TRACKSUIT</t>
  </si>
  <si>
    <t>STS24M50842</t>
  </si>
  <si>
    <t>STS24M51027</t>
  </si>
  <si>
    <t xml:space="preserve">100% POLYESTER SOFT TOUCH </t>
  </si>
  <si>
    <t>STS24M51028</t>
  </si>
  <si>
    <t>STS24M50634</t>
  </si>
  <si>
    <t>STS24M50635</t>
  </si>
  <si>
    <t>STS24M50843</t>
  </si>
  <si>
    <t>58% POLYESTER/37% COTTON/5% SPANDEX FLAT BACK DOUBLE PIQUE 346 GM/M2</t>
    <phoneticPr fontId="3" type="noConversion"/>
  </si>
  <si>
    <t>STS24M50900</t>
  </si>
  <si>
    <t>STS24M50816</t>
  </si>
  <si>
    <t>93% POLYESTER/7% SPANDEX 300 GM/M2 VELOUR</t>
  </si>
  <si>
    <t>STS24M50817</t>
  </si>
  <si>
    <t>STS24M50863</t>
  </si>
  <si>
    <t>STS24M51030</t>
  </si>
  <si>
    <t>FALL 23 REORDER</t>
  </si>
  <si>
    <t>55% RAYON/41% POLYESTER/4% SPANDEX JACQUARD 340 GM/M2</t>
  </si>
  <si>
    <t>STS24M50745</t>
  </si>
  <si>
    <r>
      <t xml:space="preserve">93% POLYESTER/7% SPANDEX 300 GM/M2 </t>
    </r>
    <r>
      <rPr>
        <b/>
        <sz val="10"/>
        <color rgb="FFFF0000"/>
        <rFont val="Calibri (Body)"/>
      </rPr>
      <t>DEBOSSED</t>
    </r>
    <r>
      <rPr>
        <b/>
        <sz val="10"/>
        <color theme="1"/>
        <rFont val="맑은 고딕"/>
        <family val="2"/>
        <scheme val="minor"/>
      </rPr>
      <t xml:space="preserve"> VELOUR</t>
    </r>
    <phoneticPr fontId="3" type="noConversion"/>
  </si>
  <si>
    <t>STS24M50746</t>
  </si>
  <si>
    <r>
      <t xml:space="preserve">93% POLYESTER/7% SPANDEX 300 GM/M2 </t>
    </r>
    <r>
      <rPr>
        <b/>
        <sz val="10"/>
        <color rgb="FFFF0000"/>
        <rFont val="Calibri (Body)"/>
      </rPr>
      <t>DEBOSSED</t>
    </r>
    <r>
      <rPr>
        <b/>
        <sz val="10"/>
        <color theme="1"/>
        <rFont val="맑은 고딕"/>
        <family val="2"/>
        <scheme val="minor"/>
      </rPr>
      <t xml:space="preserve"> VELOUR</t>
    </r>
  </si>
  <si>
    <t>STS24M50873</t>
  </si>
  <si>
    <t>STS24M50872</t>
  </si>
  <si>
    <t>KNIT</t>
    <phoneticPr fontId="3" type="noConversion"/>
  </si>
  <si>
    <t>6112.12.0010</t>
    <phoneticPr fontId="3" type="noConversion"/>
  </si>
  <si>
    <r>
      <t xml:space="preserve">93% POLYESTER/7% SPANDEX 300 GM/M2 </t>
    </r>
    <r>
      <rPr>
        <b/>
        <sz val="10"/>
        <color rgb="FFFF0000"/>
        <rFont val="Calibri (Body)"/>
      </rPr>
      <t>DEBOSSED</t>
    </r>
    <r>
      <rPr>
        <b/>
        <sz val="10"/>
        <color theme="1"/>
        <rFont val="맑은 고딕"/>
        <family val="2"/>
        <scheme val="minor"/>
      </rPr>
      <t xml:space="preserve"> VELOUR</t>
    </r>
    <phoneticPr fontId="14" type="noConversion"/>
  </si>
  <si>
    <t>STS24M50902</t>
  </si>
  <si>
    <t>STS24M50644</t>
  </si>
  <si>
    <t>STS24M50645</t>
  </si>
  <si>
    <t>STS24M50808</t>
  </si>
  <si>
    <t>STS24M50809</t>
  </si>
  <si>
    <t>STS24M51029</t>
  </si>
  <si>
    <t>95% POLYESTER/5% SPANDEX INTERLOCK 300 GM/M2</t>
  </si>
  <si>
    <t>STS24X51033</t>
  </si>
  <si>
    <t xml:space="preserve">100% NYLON   </t>
  </si>
  <si>
    <t>STS24M50855</t>
  </si>
  <si>
    <t>62% VISCOSE/38% POLYESTER 14GG*2 ENDS</t>
    <phoneticPr fontId="3" type="noConversion"/>
  </si>
  <si>
    <t>SWEATER S-3XL</t>
  </si>
  <si>
    <t>STS24M50835</t>
  </si>
  <si>
    <t>STS24M50760</t>
  </si>
  <si>
    <r>
      <t xml:space="preserve">100% LYOCELL 160 </t>
    </r>
    <r>
      <rPr>
        <b/>
        <sz val="10"/>
        <color theme="1"/>
        <rFont val="Calibri (Body)"/>
      </rPr>
      <t>GM/M2</t>
    </r>
    <phoneticPr fontId="3" type="noConversion"/>
  </si>
  <si>
    <t>6205.30.2070</t>
  </si>
  <si>
    <t>STS24M50761</t>
  </si>
  <si>
    <t>6203.49.5045</t>
  </si>
  <si>
    <t>STS24M50773</t>
  </si>
  <si>
    <t>92% POLYESTER/8% SPANDEX INTERLOCK 300 GM/M2</t>
    <phoneticPr fontId="3" type="noConversion"/>
  </si>
  <si>
    <t>STS24M50774</t>
  </si>
  <si>
    <t>STS24M50772</t>
  </si>
  <si>
    <t>STS24M50775</t>
  </si>
  <si>
    <t>100% COTTON JERSEY 180 GM/M2</t>
    <phoneticPr fontId="14" type="noConversion"/>
  </si>
  <si>
    <t>92% POLYESTER/8% SPANDEX INTERLOCK 300 GM/M2</t>
    <phoneticPr fontId="14" type="noConversion"/>
  </si>
  <si>
    <t>STS24M50819</t>
  </si>
  <si>
    <t>STS24M50861</t>
  </si>
  <si>
    <t>100% CRINKLE NYLON 86 GM/M2</t>
    <phoneticPr fontId="14" type="noConversion"/>
  </si>
  <si>
    <t>STS24M50860</t>
  </si>
  <si>
    <t>STS24M50905</t>
  </si>
  <si>
    <t>STS24M50850</t>
  </si>
  <si>
    <t>100% POLYESTER 90 GM/M2</t>
    <phoneticPr fontId="14" type="noConversion"/>
  </si>
  <si>
    <t>STS24M50851</t>
  </si>
  <si>
    <t>100% POLYESTER 90 GM/M2</t>
    <phoneticPr fontId="3" type="noConversion"/>
  </si>
  <si>
    <t>WOVEN</t>
    <phoneticPr fontId="3" type="noConversion"/>
  </si>
  <si>
    <t>STS24M50820</t>
  </si>
  <si>
    <t>90% POLYESTER/10% SPANDEX MESH 180 GM/M2</t>
    <phoneticPr fontId="3" type="noConversion"/>
  </si>
  <si>
    <t>STS24M50821</t>
  </si>
  <si>
    <t>90% POLYESTER/10% SPANDEX MESH 180 GM/M2</t>
  </si>
  <si>
    <t>STS24M51025</t>
  </si>
  <si>
    <t>STS24M50940</t>
  </si>
  <si>
    <t>STS24M50837</t>
  </si>
  <si>
    <t>STS24M50841</t>
  </si>
  <si>
    <t>STS24M50824</t>
  </si>
  <si>
    <t>100% COTTON 2/40S, 14 GG*2 ENDS</t>
    <phoneticPr fontId="14" type="noConversion"/>
  </si>
  <si>
    <t>STS24M50825</t>
  </si>
  <si>
    <t>100% COTTON 2/40S, 14 GG*2 ENDS</t>
  </si>
  <si>
    <t>STS24M50810</t>
  </si>
  <si>
    <t>STS24M50811</t>
  </si>
  <si>
    <t>90% POLYESTER/10% SPANDEX COURT POPLIN 110 GM/M2</t>
  </si>
  <si>
    <t>STS24M50776</t>
  </si>
  <si>
    <t>STS24M50790</t>
  </si>
  <si>
    <t>STS24M51036</t>
  </si>
  <si>
    <t>STS24M51037</t>
  </si>
  <si>
    <t>STS24M51038</t>
  </si>
  <si>
    <t>STS24M50823</t>
  </si>
  <si>
    <t xml:space="preserve">100%  COTTON 2/40S, 14 GG*2 ENDS </t>
    <phoneticPr fontId="3" type="noConversion"/>
  </si>
  <si>
    <t>STS24M50822</t>
  </si>
  <si>
    <t>100% COTTON 2/40S, 14 GG*2 ENDS</t>
    <phoneticPr fontId="3" type="noConversion"/>
  </si>
  <si>
    <t>STS24M50640</t>
  </si>
  <si>
    <t>55% TENCEL/43% POLYESTER/2% SPANDEX 150 GM/M2</t>
  </si>
  <si>
    <t>STS24M50642</t>
  </si>
  <si>
    <t>ACCESSORIES</t>
  </si>
  <si>
    <t>RECESS</t>
  </si>
  <si>
    <t>USA</t>
  </si>
  <si>
    <t>STS24X51039</t>
  </si>
  <si>
    <t>STS24X51040</t>
  </si>
  <si>
    <t>UKS24M10162</t>
  </si>
  <si>
    <t>80% COTTON/20% POLYESTER 280 GM/M2</t>
  </si>
  <si>
    <t>UKS24M10172</t>
  </si>
  <si>
    <t>80% COTTON/20% POLYESTER 280 GM/M2</t>
    <phoneticPr fontId="3" type="noConversion"/>
  </si>
  <si>
    <t>UKS24M25110</t>
  </si>
  <si>
    <t>100% CRINKLE NYLON 74 G/M2 WITH W/R COATING</t>
  </si>
  <si>
    <t>6201.40.7000</t>
  </si>
  <si>
    <t>UKS24M10117</t>
  </si>
  <si>
    <t>100% CRINKLE NYLON 74 G/M2 WITH W/R COATING</t>
    <phoneticPr fontId="3" type="noConversion"/>
  </si>
  <si>
    <t>UKS24M10114</t>
  </si>
  <si>
    <t xml:space="preserve">100% COTTON YARN DYED OXFORD </t>
  </si>
  <si>
    <t>UKS24M10115</t>
  </si>
  <si>
    <t xml:space="preserve">100% COTTON YARN DYED OXFORD </t>
    <phoneticPr fontId="3" type="noConversion"/>
  </si>
  <si>
    <t>UKS24M10113</t>
  </si>
  <si>
    <t xml:space="preserve">100% COTTON 12 GAUGE 2 ENDS </t>
  </si>
  <si>
    <t>UKS24M10130</t>
  </si>
  <si>
    <t>100% POLYESTER SATIN 130 GM/M2</t>
  </si>
  <si>
    <t>BBUK</t>
    <phoneticPr fontId="3" type="noConversion"/>
  </si>
  <si>
    <t>UKS24M10132</t>
  </si>
  <si>
    <t>UKS24M10139</t>
  </si>
  <si>
    <t xml:space="preserve">100% COTTON JERSEY 190 GM/M2 </t>
  </si>
  <si>
    <t>UKS24M10155</t>
  </si>
  <si>
    <r>
      <t xml:space="preserve">100% POLYESTER TASLAN 120 </t>
    </r>
    <r>
      <rPr>
        <b/>
        <sz val="10"/>
        <color theme="1"/>
        <rFont val="Calibri (Body)"/>
      </rPr>
      <t xml:space="preserve">GM/M2 </t>
    </r>
  </si>
  <si>
    <t>6112.19.1010</t>
  </si>
  <si>
    <t>UKS24M10156</t>
  </si>
  <si>
    <t>UKS24M10158</t>
  </si>
  <si>
    <t>100% COTTON JERSEY 190 GM/M2</t>
  </si>
  <si>
    <t>UKS24M18376</t>
  </si>
  <si>
    <t>UKS24M18404</t>
  </si>
  <si>
    <t>60% POLYESTER/40% COTTON DOUBLE FACE KNIT 280 GM/M2</t>
  </si>
  <si>
    <t>UKS24M25101</t>
  </si>
  <si>
    <t>UKS24M16251</t>
  </si>
  <si>
    <t>UKS24M16208</t>
  </si>
  <si>
    <t>UKS24M10171</t>
  </si>
  <si>
    <t>60% POLYESTER/40% COTTON DOUBLE FACE KNIT 280 GM/M2</t>
    <phoneticPr fontId="3" type="noConversion"/>
  </si>
  <si>
    <t>UKS24M14566</t>
  </si>
  <si>
    <t>100% COTTON PIQUE 240 GM/M2</t>
    <phoneticPr fontId="3" type="noConversion"/>
  </si>
  <si>
    <t>UKS24M14565</t>
  </si>
  <si>
    <t>100% COTTON JERSEY 190 GM/M2</t>
    <phoneticPr fontId="3" type="noConversion"/>
  </si>
  <si>
    <t>UKS24M18387</t>
  </si>
  <si>
    <t>UKS24M10151</t>
  </si>
  <si>
    <t>100% COTTON 7 GG 4 ENDS</t>
  </si>
  <si>
    <t>UKS24M16204</t>
  </si>
  <si>
    <t>UKS24M16248</t>
  </si>
  <si>
    <t>60% POLYESTER/40% COTTON DOUBLE FACE KNIT 320 GM/M2</t>
  </si>
  <si>
    <t>UKS24M27300</t>
  </si>
  <si>
    <t>UKS24M27301</t>
  </si>
  <si>
    <t>STS24W50856</t>
  </si>
  <si>
    <t>93% POLYESTER/7% SPANDEX 300 GM/M2 VELOUR</t>
    <phoneticPr fontId="3" type="noConversion"/>
  </si>
  <si>
    <t>STS24W50770</t>
  </si>
  <si>
    <t>STS24W50749</t>
  </si>
  <si>
    <t>STS24W50764</t>
  </si>
  <si>
    <t>STS24W50744</t>
  </si>
  <si>
    <t>75% COTTON/25% POLYESTER TERRY 230 GM/M2</t>
    <phoneticPr fontId="3" type="noConversion"/>
  </si>
  <si>
    <t>6112.11.0020</t>
  </si>
  <si>
    <t>STS24W50740</t>
  </si>
  <si>
    <t>75% COTTON/25% POLYESTER TERRY 230 GM/M2</t>
  </si>
  <si>
    <t>STS24W50743</t>
  </si>
  <si>
    <t>6110.20.2035</t>
  </si>
  <si>
    <t>STS24W50742</t>
  </si>
  <si>
    <t>6104.62.2030</t>
  </si>
  <si>
    <t>STS24W50777</t>
  </si>
  <si>
    <t>STS24W50778</t>
  </si>
  <si>
    <t>STS24W50858</t>
  </si>
  <si>
    <t>6109.10.0060</t>
  </si>
  <si>
    <t>STS24W50779</t>
  </si>
  <si>
    <t>STS24W50755</t>
  </si>
  <si>
    <t>STS24W50756</t>
  </si>
  <si>
    <t>STS24W50805</t>
  </si>
  <si>
    <t>STS24W50791</t>
  </si>
  <si>
    <t>STS24W50870</t>
  </si>
  <si>
    <t>6203.43.9011</t>
  </si>
  <si>
    <t>STS24W50793</t>
  </si>
  <si>
    <t>100% POLYESTER MESH 78 GM/M2</t>
  </si>
  <si>
    <t xml:space="preserve">SKIRT </t>
  </si>
  <si>
    <t>STS24W50794</t>
  </si>
  <si>
    <t>STS24W50781</t>
  </si>
  <si>
    <r>
      <rPr>
        <b/>
        <sz val="10"/>
        <color theme="1"/>
        <rFont val="Calibri (Body)"/>
      </rPr>
      <t>TOP</t>
    </r>
    <r>
      <rPr>
        <b/>
        <sz val="10"/>
        <color theme="1"/>
        <rFont val="맑은 고딕"/>
        <family val="2"/>
        <scheme val="minor"/>
      </rPr>
      <t xml:space="preserve">: 85% POLYAMIDE/15% SPANDEX COURT POLY PIQUE 175 GM/M2
</t>
    </r>
    <r>
      <rPr>
        <b/>
        <sz val="10"/>
        <color theme="1"/>
        <rFont val="Calibri (Body)"/>
      </rPr>
      <t>SKIRT BODY</t>
    </r>
    <r>
      <rPr>
        <b/>
        <sz val="10"/>
        <color theme="1"/>
        <rFont val="맑은 고딕"/>
        <family val="2"/>
        <scheme val="minor"/>
      </rPr>
      <t>: 90% POLYESTER/10% SPANDEX 110 GM/M2</t>
    </r>
    <phoneticPr fontId="3" type="noConversion"/>
  </si>
  <si>
    <t>STS24W50782</t>
  </si>
  <si>
    <t>85% POLYAMIDE/15% SPANDEX COURT POLY PIQUE 175 GM/M2</t>
  </si>
  <si>
    <t>STS24W50868</t>
  </si>
  <si>
    <t>STS24W50757</t>
  </si>
  <si>
    <t>88% POLYAMIDE/12% ELASTANE                   225 GM/M2</t>
  </si>
  <si>
    <t>MEGA</t>
    <phoneticPr fontId="3" type="noConversion"/>
  </si>
  <si>
    <t>STS24W50758</t>
  </si>
  <si>
    <t>100% POLYESTER 135 GM/M2</t>
  </si>
  <si>
    <t>SPORT BRA</t>
  </si>
  <si>
    <t>STS24W50799</t>
  </si>
  <si>
    <t>88% POLYAMIDE/12% ELASTANE                 225 GM/M2</t>
  </si>
  <si>
    <t>STS24W50797</t>
  </si>
  <si>
    <t>STS24W51042</t>
  </si>
  <si>
    <t>STS24W51043</t>
  </si>
  <si>
    <t>STS24W51041</t>
  </si>
  <si>
    <t>STS24W51044</t>
  </si>
  <si>
    <t>UKS24W10105</t>
  </si>
  <si>
    <t>95% POLYESTER/5% ELASTANE VELOUR 220 GM/M2</t>
  </si>
  <si>
    <t>UKS24W10106</t>
  </si>
  <si>
    <t>95% POLYESTER/5% ELASTANE VELOUR 220 GM/M2</t>
    <phoneticPr fontId="3" type="noConversion"/>
  </si>
  <si>
    <t>UKS24W10129</t>
  </si>
  <si>
    <t>UKS24W10130</t>
  </si>
  <si>
    <t xml:space="preserve">TANK  </t>
  </si>
  <si>
    <t>UKS24W10110</t>
  </si>
  <si>
    <t>75% COTTON/25% POLYESTER TOWELING 270 GM/M2</t>
  </si>
  <si>
    <t>6114.20.0010</t>
  </si>
  <si>
    <t>UKS24W10111</t>
  </si>
  <si>
    <t>UKS24W10118</t>
  </si>
  <si>
    <t>100% COTTON 2/30, 4 ENDS*12 GAUGE</t>
  </si>
  <si>
    <t>6106.10.0010</t>
  </si>
  <si>
    <t>UKS24W13450</t>
  </si>
  <si>
    <r>
      <t xml:space="preserve">90% POLYESTER/10% SPANDEX JERSEY 235 </t>
    </r>
    <r>
      <rPr>
        <b/>
        <sz val="10"/>
        <color theme="1"/>
        <rFont val="Calibri (Body)"/>
      </rPr>
      <t>GM/M2</t>
    </r>
  </si>
  <si>
    <t>UKS24W10122</t>
  </si>
  <si>
    <t>UKS24W10131</t>
  </si>
  <si>
    <t>100% COTTON PIQUE 240 GM/M2</t>
  </si>
  <si>
    <t>UKS24W10132</t>
  </si>
  <si>
    <r>
      <t xml:space="preserve">100% POLYESTER TWILL 220 </t>
    </r>
    <r>
      <rPr>
        <b/>
        <sz val="10"/>
        <color theme="1"/>
        <rFont val="Calibri (Body)"/>
      </rPr>
      <t>GM/M2</t>
    </r>
  </si>
  <si>
    <t>CARDIGAN</t>
  </si>
  <si>
    <t>UKS24W10123</t>
  </si>
  <si>
    <t>100% COTTON 2/30, 4 ENDS*12 GAUGE</t>
    <phoneticPr fontId="3" type="noConversion"/>
  </si>
  <si>
    <r>
      <t xml:space="preserve">SPRING 2024 </t>
    </r>
    <r>
      <rPr>
        <b/>
        <sz val="10"/>
        <color rgb="FFFF0000"/>
        <rFont val="Calibri (Body)"/>
      </rPr>
      <t>REORDER</t>
    </r>
  </si>
  <si>
    <r>
      <t>ST</t>
    </r>
    <r>
      <rPr>
        <b/>
        <sz val="10"/>
        <color theme="1"/>
        <rFont val="Calibri (Body)"/>
      </rPr>
      <t>S24</t>
    </r>
    <r>
      <rPr>
        <b/>
        <sz val="10"/>
        <color theme="1"/>
        <rFont val="맑은 고딕"/>
        <family val="2"/>
        <scheme val="minor"/>
      </rPr>
      <t>M50643</t>
    </r>
  </si>
  <si>
    <r>
      <t>ST</t>
    </r>
    <r>
      <rPr>
        <b/>
        <sz val="10"/>
        <color theme="1"/>
        <rFont val="Calibri (Body)"/>
      </rPr>
      <t>S24</t>
    </r>
    <r>
      <rPr>
        <b/>
        <sz val="10"/>
        <color theme="1"/>
        <rFont val="맑은 고딕"/>
        <family val="2"/>
        <scheme val="minor"/>
      </rPr>
      <t>M50621</t>
    </r>
  </si>
  <si>
    <r>
      <rPr>
        <b/>
        <sz val="10"/>
        <color rgb="FFFF0000"/>
        <rFont val="Calibri (Body)"/>
      </rPr>
      <t>STF23</t>
    </r>
    <r>
      <rPr>
        <b/>
        <sz val="10"/>
        <color theme="1"/>
        <rFont val="맑은 고딕"/>
        <family val="2"/>
        <scheme val="minor"/>
      </rPr>
      <t>M50617</t>
    </r>
  </si>
  <si>
    <r>
      <rPr>
        <b/>
        <sz val="10"/>
        <color rgb="FFFF0000"/>
        <rFont val="Calibri (Body)"/>
      </rPr>
      <t>STF23</t>
    </r>
    <r>
      <rPr>
        <b/>
        <sz val="10"/>
        <color theme="1"/>
        <rFont val="맑은 고딕"/>
        <family val="2"/>
        <scheme val="minor"/>
      </rPr>
      <t>M50618</t>
    </r>
  </si>
  <si>
    <r>
      <t>SPRING 2024</t>
    </r>
    <r>
      <rPr>
        <b/>
        <sz val="10"/>
        <color rgb="FFFF0000"/>
        <rFont val="Calibri (Body)"/>
      </rPr>
      <t xml:space="preserve"> REORDER</t>
    </r>
  </si>
  <si>
    <r>
      <t>ST</t>
    </r>
    <r>
      <rPr>
        <b/>
        <sz val="10"/>
        <color rgb="FFFF0000"/>
        <rFont val="Calibri (Body)"/>
      </rPr>
      <t>F23</t>
    </r>
    <r>
      <rPr>
        <b/>
        <sz val="10"/>
        <color theme="1"/>
        <rFont val="맑은 고딕"/>
        <family val="2"/>
        <scheme val="minor"/>
      </rPr>
      <t>M50644</t>
    </r>
  </si>
  <si>
    <r>
      <t>ST</t>
    </r>
    <r>
      <rPr>
        <b/>
        <sz val="10"/>
        <color rgb="FFFF0000"/>
        <rFont val="Calibri (Body)"/>
      </rPr>
      <t>F23</t>
    </r>
    <r>
      <rPr>
        <b/>
        <sz val="10"/>
        <color theme="1"/>
        <rFont val="맑은 고딕"/>
        <family val="2"/>
        <scheme val="minor"/>
      </rPr>
      <t>M50645</t>
    </r>
  </si>
  <si>
    <r>
      <t>ST</t>
    </r>
    <r>
      <rPr>
        <b/>
        <sz val="10"/>
        <color theme="1"/>
        <rFont val="Calibri (Body)"/>
      </rPr>
      <t>S24</t>
    </r>
    <r>
      <rPr>
        <b/>
        <sz val="10"/>
        <color theme="1"/>
        <rFont val="맑은 고딕"/>
        <family val="2"/>
        <scheme val="minor"/>
      </rPr>
      <t>M50846</t>
    </r>
  </si>
  <si>
    <t>SPRING 2025</t>
  </si>
  <si>
    <t>MEN'S</t>
  </si>
  <si>
    <t>STS25M51110</t>
  </si>
  <si>
    <t xml:space="preserve">FF391-H </t>
  </si>
  <si>
    <t>100% POLYESTER INTERLOCK 145 GM/M2</t>
    <phoneticPr fontId="3" type="noConversion"/>
  </si>
  <si>
    <t>STS25M51104</t>
  </si>
  <si>
    <t xml:space="preserve">FF476
</t>
  </si>
  <si>
    <r>
      <t>100% POLYESTER PIQUE</t>
    </r>
    <r>
      <rPr>
        <b/>
        <sz val="10"/>
        <rFont val="Calibri (Body)"/>
      </rPr>
      <t xml:space="preserve"> 155 GM/M2</t>
    </r>
  </si>
  <si>
    <t>100% POLYESTER INTERLOCK 145 GM/M2</t>
  </si>
  <si>
    <t>CORE</t>
  </si>
  <si>
    <r>
      <rPr>
        <b/>
        <sz val="10"/>
        <rFont val="맑은 고딕"/>
        <family val="2"/>
        <scheme val="minor"/>
      </rPr>
      <t>STF</t>
    </r>
    <r>
      <rPr>
        <b/>
        <sz val="10"/>
        <rFont val="Calibri (Body)"/>
      </rPr>
      <t>24</t>
    </r>
    <r>
      <rPr>
        <b/>
        <sz val="10"/>
        <rFont val="맑은 고딕"/>
        <family val="2"/>
        <scheme val="minor"/>
      </rPr>
      <t>M50737</t>
    </r>
  </si>
  <si>
    <r>
      <rPr>
        <b/>
        <sz val="10"/>
        <rFont val="맑은 고딕"/>
        <family val="2"/>
        <scheme val="minor"/>
      </rPr>
      <t>STF2</t>
    </r>
    <r>
      <rPr>
        <b/>
        <sz val="10"/>
        <rFont val="Calibri (Body)"/>
      </rPr>
      <t>4</t>
    </r>
    <r>
      <rPr>
        <b/>
        <sz val="10"/>
        <rFont val="맑은 고딕"/>
        <family val="2"/>
        <scheme val="minor"/>
      </rPr>
      <t>M14552</t>
    </r>
  </si>
  <si>
    <t>2024 REORDER</t>
    <phoneticPr fontId="3" type="noConversion"/>
  </si>
  <si>
    <t>2024 REORDER</t>
  </si>
  <si>
    <r>
      <rPr>
        <b/>
        <sz val="10"/>
        <rFont val="Calibri (Body)"/>
      </rPr>
      <t>STS24</t>
    </r>
    <r>
      <rPr>
        <b/>
        <sz val="10"/>
        <rFont val="맑은 고딕"/>
        <family val="2"/>
        <scheme val="minor"/>
      </rPr>
      <t>M50737</t>
    </r>
  </si>
  <si>
    <r>
      <rPr>
        <b/>
        <sz val="10"/>
        <rFont val="Calibri (Body)"/>
      </rPr>
      <t>STS24</t>
    </r>
    <r>
      <rPr>
        <b/>
        <sz val="10"/>
        <rFont val="맑은 고딕"/>
        <family val="2"/>
        <scheme val="minor"/>
      </rPr>
      <t>M14552</t>
    </r>
  </si>
  <si>
    <t>STS25M50737</t>
  </si>
  <si>
    <t>STS25M51222</t>
  </si>
  <si>
    <t>SPRING 2025 LATE ADD</t>
  </si>
  <si>
    <t>STS25M50893</t>
  </si>
  <si>
    <t>STS25M50894</t>
  </si>
  <si>
    <t>STS25M51084</t>
  </si>
  <si>
    <t>STS25M51085</t>
  </si>
  <si>
    <t>STS25M51062</t>
  </si>
  <si>
    <t>STS25M51063</t>
  </si>
  <si>
    <t>STS25M51082</t>
  </si>
  <si>
    <t>85% POLYESTER/15% NYLON PEACHED 140 GM/M2</t>
  </si>
  <si>
    <t>STS25M51083</t>
  </si>
  <si>
    <t>JACKET</t>
  </si>
  <si>
    <t>STS25M51219</t>
  </si>
  <si>
    <t>FF367-H</t>
  </si>
  <si>
    <t>100% PLEATED POLYESTER</t>
  </si>
  <si>
    <t>PANT</t>
  </si>
  <si>
    <t>STS25M51220</t>
  </si>
  <si>
    <t>SHORT</t>
  </si>
  <si>
    <t>STS25M50457</t>
  </si>
  <si>
    <t>STS25M51102</t>
  </si>
  <si>
    <t>STS25M51103</t>
  </si>
  <si>
    <t>STS25M51105</t>
  </si>
  <si>
    <t>STS25M51223</t>
  </si>
  <si>
    <t>BODY: FF093                               LINING: FF094</t>
  </si>
  <si>
    <t>BODY: 100% NYLON TAFFETA LINING: 100% POLYESTER MESH 82 GM/M2</t>
    <phoneticPr fontId="3" type="noConversion"/>
  </si>
  <si>
    <t>STS25M51115</t>
  </si>
  <si>
    <t>FF404</t>
  </si>
  <si>
    <t>93% POLYESTER/7% SPANDEX 200 GM/M2</t>
  </si>
  <si>
    <t>STS25M51143</t>
  </si>
  <si>
    <r>
      <t xml:space="preserve">65% COTTON/30% POLYESTER/5% ELASTANE </t>
    </r>
    <r>
      <rPr>
        <b/>
        <sz val="10"/>
        <rFont val="Calibri (Body)"/>
      </rPr>
      <t xml:space="preserve">PIQUE </t>
    </r>
    <r>
      <rPr>
        <b/>
        <sz val="10"/>
        <rFont val="맑은 고딕"/>
        <family val="2"/>
        <scheme val="minor"/>
      </rPr>
      <t xml:space="preserve">200 GM/M2 </t>
    </r>
  </si>
  <si>
    <t>STS25M51125</t>
  </si>
  <si>
    <t>STS25M51126</t>
  </si>
  <si>
    <t>STS25M51146</t>
  </si>
  <si>
    <t>STS25M51127</t>
  </si>
  <si>
    <t>STS25M51128</t>
  </si>
  <si>
    <t>STS25M51203</t>
  </si>
  <si>
    <t>STS25M51204</t>
  </si>
  <si>
    <t>STS25M51145</t>
  </si>
  <si>
    <t>STS25M51193</t>
  </si>
  <si>
    <t>STS25M51194</t>
  </si>
  <si>
    <t>STS25M51150</t>
  </si>
  <si>
    <t>STS25M51129</t>
  </si>
  <si>
    <t>STS25M51407</t>
  </si>
  <si>
    <t>STS25M51408</t>
  </si>
  <si>
    <t>STS25M51409</t>
  </si>
  <si>
    <t xml:space="preserve">POLO </t>
  </si>
  <si>
    <t>STS25M50459</t>
  </si>
  <si>
    <t>FF021-S</t>
  </si>
  <si>
    <t>STS25M50458</t>
  </si>
  <si>
    <t>STS25M51147</t>
  </si>
  <si>
    <t>FF388</t>
  </si>
  <si>
    <r>
      <rPr>
        <b/>
        <sz val="10"/>
        <rFont val="Calibri (Body)"/>
      </rPr>
      <t>94% POLYESTER/6% ELASTANE JERSEY</t>
    </r>
    <r>
      <rPr>
        <b/>
        <sz val="10"/>
        <rFont val="맑은 고딕"/>
        <family val="2"/>
        <scheme val="minor"/>
      </rPr>
      <t xml:space="preserve"> 190 GM/M2</t>
    </r>
  </si>
  <si>
    <t>STS25M51144</t>
  </si>
  <si>
    <t>STS25M51148</t>
  </si>
  <si>
    <t>STS25M51149</t>
  </si>
  <si>
    <t>STS25M51151</t>
  </si>
  <si>
    <t>FF347</t>
  </si>
  <si>
    <t>92% NYLON/8% SPANDEX 125 GM/M2</t>
  </si>
  <si>
    <t>STS25M51152</t>
  </si>
  <si>
    <t>STS25M51154</t>
  </si>
  <si>
    <t>FF394-P</t>
  </si>
  <si>
    <t>92% POLYESTER/8% SPANDEX 170 GM/M2</t>
  </si>
  <si>
    <t>STS25M51155</t>
  </si>
  <si>
    <t>92% NYLON/8% SPANDEX 125-130 GM/M2</t>
  </si>
  <si>
    <t>STS25M51135</t>
  </si>
  <si>
    <t>FF141</t>
  </si>
  <si>
    <t>STS25M51136</t>
  </si>
  <si>
    <t>STS25M51221</t>
  </si>
  <si>
    <t>STS25M51179</t>
  </si>
  <si>
    <t>STS25M51180</t>
  </si>
  <si>
    <t>STS25M51181</t>
  </si>
  <si>
    <t>STS25M51177</t>
  </si>
  <si>
    <t>STS25M51178</t>
  </si>
  <si>
    <t>STS25M51131</t>
  </si>
  <si>
    <t>STS25M51132</t>
  </si>
  <si>
    <t>STS25M51130</t>
  </si>
  <si>
    <t>93% POLYESTER/7% SPANDEX 300 GM/M2 VELOUR VELOUR</t>
  </si>
  <si>
    <t>STS25M51133</t>
  </si>
  <si>
    <t>6110.30.3030</t>
  </si>
  <si>
    <t>STS25M51134</t>
  </si>
  <si>
    <t>STS25M50912</t>
  </si>
  <si>
    <t>95% POLYESTER/5% SPANDEX 280 GM/M2</t>
    <phoneticPr fontId="3" type="noConversion"/>
  </si>
  <si>
    <t>STS25M50913</t>
  </si>
  <si>
    <t>95% POLYESTER/5% SPANDEX 280 GM/M2</t>
  </si>
  <si>
    <t>STS25M51086</t>
  </si>
  <si>
    <t>FF400</t>
  </si>
  <si>
    <t>BODY: 100% NYLON RIPSTOP 35 GM/M2 LINING: 90% POLYESTER/10% SPANDEX 90 GM/M2</t>
    <phoneticPr fontId="3" type="noConversion"/>
  </si>
  <si>
    <t>STS25M51087</t>
  </si>
  <si>
    <t>STS25M51197</t>
  </si>
  <si>
    <t>FF402</t>
  </si>
  <si>
    <t>42% TENCEL/50%POLYESTER/8% SPANDEX PIQUE 250 GM/M2</t>
    <phoneticPr fontId="3" type="noConversion"/>
  </si>
  <si>
    <t>STS25M51198</t>
  </si>
  <si>
    <t>42% TENCEL/50%POLYESTER/8% SPANDEX PIQUE 250 GM/M2</t>
  </si>
  <si>
    <t>STS25M51111</t>
  </si>
  <si>
    <t>92% POLYESTER/8% SPANDEX 300 GM/M2</t>
  </si>
  <si>
    <t>STS25M51112</t>
  </si>
  <si>
    <t>STS25M51165</t>
  </si>
  <si>
    <t xml:space="preserve">62% ECOVERO VISCOSE/38% POLYESTER 14GG FULL NEEDLE RIB </t>
  </si>
  <si>
    <t>STS25M51166</t>
  </si>
  <si>
    <t>CHINA</t>
    <phoneticPr fontId="3" type="noConversion"/>
  </si>
  <si>
    <t>STS25M51167</t>
  </si>
  <si>
    <t xml:space="preserve">62% ECOVERO VISCOSE/38% POLYESTER 14 GG FULL NEEDLE RIB </t>
  </si>
  <si>
    <t>STS25M51225</t>
  </si>
  <si>
    <t xml:space="preserve">62% ECOVERO VISCOSE/38% POLYESTER 14 GG FULL NEEDLE RIB </t>
    <phoneticPr fontId="3" type="noConversion"/>
  </si>
  <si>
    <t>STS25M51168</t>
  </si>
  <si>
    <t>FF408</t>
  </si>
  <si>
    <t>95% ORGANIC COTTON/5% CASHMERE 5 GG JERSEY</t>
    <phoneticPr fontId="3" type="noConversion"/>
  </si>
  <si>
    <t>STS25M51169</t>
  </si>
  <si>
    <t>STS25M51170</t>
  </si>
  <si>
    <t>FF286</t>
  </si>
  <si>
    <t>100% COTTON 14GG 3ENDS</t>
  </si>
  <si>
    <t>STS25M51171</t>
  </si>
  <si>
    <t>100% COTTON 14GG 3ENDS</t>
    <phoneticPr fontId="3" type="noConversion"/>
  </si>
  <si>
    <r>
      <t>ST</t>
    </r>
    <r>
      <rPr>
        <b/>
        <sz val="10"/>
        <rFont val="Calibri (Body)"/>
      </rPr>
      <t>F24</t>
    </r>
    <r>
      <rPr>
        <b/>
        <sz val="10"/>
        <rFont val="맑은 고딕"/>
        <family val="2"/>
        <scheme val="minor"/>
      </rPr>
      <t>M50963</t>
    </r>
  </si>
  <si>
    <t>FF259</t>
  </si>
  <si>
    <r>
      <t>ST</t>
    </r>
    <r>
      <rPr>
        <b/>
        <sz val="10"/>
        <rFont val="Calibri (Body)"/>
      </rPr>
      <t>F24</t>
    </r>
    <r>
      <rPr>
        <b/>
        <sz val="10"/>
        <rFont val="맑은 고딕"/>
        <family val="2"/>
        <scheme val="minor"/>
      </rPr>
      <t>M51045</t>
    </r>
  </si>
  <si>
    <t>86% POLYESTER/11% RAYON/3% SPANDEX 295 GM/M2</t>
    <phoneticPr fontId="3" type="noConversion"/>
  </si>
  <si>
    <t>STS25M50963</t>
  </si>
  <si>
    <t>STS25M51045</t>
  </si>
  <si>
    <t>STS25M51161</t>
  </si>
  <si>
    <t>FF409</t>
  </si>
  <si>
    <t>64% POLYESTER/35% RAYON/1% SPANDEX 330 GM/M2</t>
  </si>
  <si>
    <t>STS25M51162</t>
  </si>
  <si>
    <t>64% POLYESTER/35% RAYON/1% SPANDEX 330 GM/M2</t>
    <phoneticPr fontId="3" type="noConversion"/>
  </si>
  <si>
    <t>STS25M51163</t>
  </si>
  <si>
    <t>STS25M51164</t>
  </si>
  <si>
    <t>6105.20.2010</t>
    <phoneticPr fontId="3" type="noConversion"/>
  </si>
  <si>
    <t>STFS25M50914</t>
  </si>
  <si>
    <t>FF228</t>
  </si>
  <si>
    <t>STS25M50915</t>
  </si>
  <si>
    <t>STS25M51206</t>
  </si>
  <si>
    <t>FF158-P</t>
  </si>
  <si>
    <t>100% POLYESTER 120 GM/M2</t>
  </si>
  <si>
    <t>STS25M51207</t>
  </si>
  <si>
    <t xml:space="preserve">CABANA SHIRT </t>
  </si>
  <si>
    <t>STS25M51100</t>
  </si>
  <si>
    <t>FF398</t>
  </si>
  <si>
    <t>54% TENCEL/40% POLYESTER/6% SPANDEX 178 GM/M2</t>
  </si>
  <si>
    <t>STS25M51101</t>
  </si>
  <si>
    <t>STS25M51186</t>
  </si>
  <si>
    <t>98% COTTON/2% SPANDEX 120 GM/M2 200X78/60X60+40D</t>
    <phoneticPr fontId="3" type="noConversion"/>
  </si>
  <si>
    <t>STS25M51187</t>
  </si>
  <si>
    <t>98% COTTON/2% SPANDEX 120 GM/M2 200X78/60X60+40D</t>
  </si>
  <si>
    <t>STS25M51113</t>
  </si>
  <si>
    <t>STS25M51114</t>
  </si>
  <si>
    <t>STS25M51183</t>
  </si>
  <si>
    <t>FF300</t>
  </si>
  <si>
    <t>78% COTTON/22% POLYESTER TERRY 300 GM/M2</t>
    <phoneticPr fontId="3" type="noConversion"/>
  </si>
  <si>
    <t>STS25M51184</t>
  </si>
  <si>
    <t>78% COTTON/22% POLYESTER TERRY 300 GM/M2</t>
  </si>
  <si>
    <t>STS25X51226</t>
  </si>
  <si>
    <t>STS25M51201</t>
  </si>
  <si>
    <r>
      <t>6112.</t>
    </r>
    <r>
      <rPr>
        <b/>
        <i/>
        <sz val="10"/>
        <color rgb="FFFF0000"/>
        <rFont val="Calibri (Body)"/>
      </rPr>
      <t>11</t>
    </r>
    <r>
      <rPr>
        <b/>
        <i/>
        <sz val="10"/>
        <color rgb="FF00B050"/>
        <rFont val="맑은 고딕"/>
        <family val="2"/>
        <scheme val="minor"/>
      </rPr>
      <t>.0010</t>
    </r>
  </si>
  <si>
    <t>STS25M51202</t>
  </si>
  <si>
    <t>6214.20.0055</t>
  </si>
  <si>
    <t>STS25M51185</t>
  </si>
  <si>
    <t>STS25M51196</t>
  </si>
  <si>
    <t>FF410</t>
  </si>
  <si>
    <t>GATESWEAR</t>
  </si>
  <si>
    <t>STS25M51412</t>
  </si>
  <si>
    <t>FF155-G</t>
  </si>
  <si>
    <t>STS25M51411</t>
  </si>
  <si>
    <t>STS25M51413</t>
  </si>
  <si>
    <t>FF042-G</t>
  </si>
  <si>
    <t>STS25M51078</t>
  </si>
  <si>
    <t>FF450-F                        (SC-1271)</t>
  </si>
  <si>
    <r>
      <t>54% NYLON/34% POLYESTER/12% SPANDEX 180 GM/M2</t>
    </r>
    <r>
      <rPr>
        <b/>
        <sz val="10"/>
        <rFont val="Calibri (Body)"/>
      </rPr>
      <t xml:space="preserve">** WICKING ** </t>
    </r>
    <phoneticPr fontId="3" type="noConversion"/>
  </si>
  <si>
    <t xml:space="preserve">54% NYLON/34% POLYESTER/12% SPANDEX 180 GM/M2** WICKING ** </t>
  </si>
  <si>
    <t>STS25M51074</t>
  </si>
  <si>
    <t>FF466 -F (DA1103-N)                 FF467-F (BEF009)</t>
  </si>
  <si>
    <r>
      <t>90% POLYESTER/10% SPANDEX POPLIN 140 GM/M2</t>
    </r>
    <r>
      <rPr>
        <b/>
        <sz val="10"/>
        <rFont val="Calibri (Body)"/>
      </rPr>
      <t xml:space="preserve">** WATER REPELLANT **  </t>
    </r>
    <r>
      <rPr>
        <b/>
        <sz val="10"/>
        <rFont val="맑은 고딕"/>
        <family val="2"/>
        <scheme val="minor"/>
      </rPr>
      <t xml:space="preserve">                                            (LINER 88% POLYESTER/12% SPANDEX 170 GM/M2)</t>
    </r>
    <phoneticPr fontId="3" type="noConversion"/>
  </si>
  <si>
    <t>LS KNIT</t>
  </si>
  <si>
    <t>STS25M51075</t>
  </si>
  <si>
    <t>FF468-F (MTZ/SN0005)</t>
  </si>
  <si>
    <r>
      <t>75% NYLON/25% SPANDEX 230 GM/M2</t>
    </r>
    <r>
      <rPr>
        <b/>
        <sz val="10"/>
        <rFont val="Calibri (Body)"/>
      </rPr>
      <t xml:space="preserve">** WICKING ** </t>
    </r>
    <phoneticPr fontId="3" type="noConversion"/>
  </si>
  <si>
    <t>STS25M51077</t>
  </si>
  <si>
    <t>STS25M51079</t>
  </si>
  <si>
    <t xml:space="preserve">FF466-F (DA1103-N)               </t>
  </si>
  <si>
    <r>
      <t>90% POLYESTER/10% SPANDEX POPLIN 140 GM/M2</t>
    </r>
    <r>
      <rPr>
        <b/>
        <sz val="10"/>
        <rFont val="Calibri (Body)"/>
      </rPr>
      <t xml:space="preserve">** WATER REPELLANT **      </t>
    </r>
    <phoneticPr fontId="3" type="noConversion"/>
  </si>
  <si>
    <t>UKS25M12162</t>
  </si>
  <si>
    <t>80% COTTON/20% POLYESTER VELOUR 280 GM/M2</t>
  </si>
  <si>
    <t>UKS25M12163</t>
  </si>
  <si>
    <t>UKS25M12122</t>
  </si>
  <si>
    <t>UKS25M12164</t>
  </si>
  <si>
    <t>UKS25M12123</t>
  </si>
  <si>
    <t>100% COTTON 2/30'S 2 END 12 GAUGE</t>
  </si>
  <si>
    <t>6214.20.0055</t>
    <phoneticPr fontId="3" type="noConversion"/>
  </si>
  <si>
    <t>80% COTTON/20% POLYESTER VELOUR 280 GM/M2</t>
    <phoneticPr fontId="3" type="noConversion"/>
  </si>
  <si>
    <r>
      <rPr>
        <b/>
        <sz val="10"/>
        <rFont val="Calibri (Body)"/>
      </rPr>
      <t>UKS24</t>
    </r>
    <r>
      <rPr>
        <b/>
        <sz val="10"/>
        <rFont val="맑은 고딕"/>
        <family val="2"/>
        <scheme val="minor"/>
      </rPr>
      <t>M16204</t>
    </r>
  </si>
  <si>
    <r>
      <rPr>
        <b/>
        <sz val="10"/>
        <rFont val="Calibri (Body)"/>
      </rPr>
      <t>UKS24</t>
    </r>
    <r>
      <rPr>
        <b/>
        <sz val="10"/>
        <rFont val="맑은 고딕"/>
        <family val="2"/>
        <scheme val="minor"/>
      </rPr>
      <t>M16248</t>
    </r>
  </si>
  <si>
    <t>UKS25M16204</t>
  </si>
  <si>
    <t>UKS25M16248</t>
  </si>
  <si>
    <r>
      <rPr>
        <b/>
        <sz val="10"/>
        <rFont val="Calibri (Body)"/>
      </rPr>
      <t>UKS24</t>
    </r>
    <r>
      <rPr>
        <b/>
        <sz val="10"/>
        <rFont val="맑은 고딕"/>
        <family val="2"/>
        <scheme val="minor"/>
      </rPr>
      <t>M27300</t>
    </r>
  </si>
  <si>
    <r>
      <rPr>
        <b/>
        <sz val="10"/>
        <rFont val="Calibri (Body)"/>
      </rPr>
      <t>UKS24</t>
    </r>
    <r>
      <rPr>
        <b/>
        <sz val="10"/>
        <rFont val="맑은 고딕"/>
        <family val="2"/>
        <scheme val="minor"/>
      </rPr>
      <t>M27301</t>
    </r>
  </si>
  <si>
    <t>UKS25M27300</t>
  </si>
  <si>
    <t>UKS25M27301</t>
  </si>
  <si>
    <t xml:space="preserve">CHINA </t>
  </si>
  <si>
    <t>UKS25M12128</t>
  </si>
  <si>
    <t>100% POLYESTER MESH 185 GM/M2</t>
  </si>
  <si>
    <t>UKS25M12127</t>
  </si>
  <si>
    <t>UKS25M12129</t>
  </si>
  <si>
    <t>100% POLYESTER MESH 185 GM/M2</t>
    <phoneticPr fontId="3" type="noConversion"/>
  </si>
  <si>
    <t>SPRING 2025</t>
    <phoneticPr fontId="3" type="noConversion"/>
  </si>
  <si>
    <t>UKS25M12124</t>
  </si>
  <si>
    <t>UKS25M14595</t>
  </si>
  <si>
    <t xml:space="preserve">INDIA  </t>
  </si>
  <si>
    <t>UKS25M12125</t>
  </si>
  <si>
    <t>UKS25M12137</t>
  </si>
  <si>
    <t>STS25W51058</t>
  </si>
  <si>
    <t>STS25W51059</t>
  </si>
  <si>
    <t>STS25W50887</t>
  </si>
  <si>
    <t>STS25W50888</t>
  </si>
  <si>
    <t>STS25W51199</t>
  </si>
  <si>
    <t>FF358</t>
  </si>
  <si>
    <t>100% POLYESTER MESH 128 GM/M2</t>
    <phoneticPr fontId="3" type="noConversion"/>
  </si>
  <si>
    <t>STS25W51200</t>
  </si>
  <si>
    <t>100% POLYESTER MESH 128 GM/M2</t>
  </si>
  <si>
    <t>STS25W51088</t>
  </si>
  <si>
    <t>TRACK SHORT</t>
  </si>
  <si>
    <t>STS25W51089</t>
  </si>
  <si>
    <t>85% POLYESTER/15% NYLON PEACHED 140 GM/M2</t>
    <phoneticPr fontId="3" type="noConversion"/>
  </si>
  <si>
    <t>SHIRT</t>
  </si>
  <si>
    <t>STS25W51090</t>
  </si>
  <si>
    <t>100% POLYESTER 195 GM/M2</t>
  </si>
  <si>
    <t>STS25W51091</t>
  </si>
  <si>
    <t>STS25W51092</t>
  </si>
  <si>
    <t>72% COTTON/25% RECYCLED POLYESTER/3% SPANDEX 190 GM/M2</t>
    <phoneticPr fontId="3" type="noConversion"/>
  </si>
  <si>
    <t>6211.32.9050</t>
  </si>
  <si>
    <t>STS25W51093</t>
  </si>
  <si>
    <t>72% COTTON/25% RECYCLED POLYESTER/3% SPANDEX 190 GM/M2</t>
  </si>
  <si>
    <t>6204.52.2070</t>
  </si>
  <si>
    <t xml:space="preserve">T-SHIRT </t>
  </si>
  <si>
    <t>STS25W51160</t>
  </si>
  <si>
    <t>100% COTTON 250 GM/M2</t>
    <phoneticPr fontId="3" type="noConversion"/>
  </si>
  <si>
    <t>TANK</t>
  </si>
  <si>
    <t>STS25W51217</t>
  </si>
  <si>
    <t xml:space="preserve">SKORT </t>
  </si>
  <si>
    <t>STS25W51218</t>
  </si>
  <si>
    <t>STS25W51212</t>
  </si>
  <si>
    <t>JOGGER</t>
  </si>
  <si>
    <t>STS25W51213</t>
  </si>
  <si>
    <t>STS25W51216</t>
  </si>
  <si>
    <t>STS25W51159</t>
  </si>
  <si>
    <r>
      <t>65% COTTON/30% POLYESTER/5% ELASTANE</t>
    </r>
    <r>
      <rPr>
        <b/>
        <sz val="10"/>
        <color rgb="FFFF0000"/>
        <rFont val="Calibri (Body)"/>
      </rPr>
      <t xml:space="preserve"> PIQUE </t>
    </r>
    <r>
      <rPr>
        <b/>
        <sz val="10"/>
        <color theme="1"/>
        <rFont val="맑은 고딕"/>
        <family val="2"/>
        <scheme val="minor"/>
      </rPr>
      <t xml:space="preserve">160 GM/M2 </t>
    </r>
  </si>
  <si>
    <t>STS25W51209</t>
  </si>
  <si>
    <t>94% POLYESTER/6% ELASTANE 190 GM/M2</t>
  </si>
  <si>
    <t>STS25W51211</t>
  </si>
  <si>
    <t>STS25W51210</t>
  </si>
  <si>
    <t>STS25W51141</t>
  </si>
  <si>
    <t>100% COTTON JERSEY 250 GM/M2</t>
  </si>
  <si>
    <t xml:space="preserve">BRA </t>
  </si>
  <si>
    <t>STS25W51208</t>
  </si>
  <si>
    <t>STS25W51068</t>
  </si>
  <si>
    <t>STS25W51069</t>
  </si>
  <si>
    <t>FF401</t>
  </si>
  <si>
    <t>86% POLYESTER/14% SPANDEX 160 GM/M2</t>
  </si>
  <si>
    <t>STS25W51118</t>
  </si>
  <si>
    <t>82% NYLON/18% SPANDEX 220 GM/M2</t>
  </si>
  <si>
    <t>STS25W51071</t>
  </si>
  <si>
    <t>FF395-K</t>
  </si>
  <si>
    <t>STS25W51072</t>
  </si>
  <si>
    <t>92% POLYESTER/8% SPANDEX 170 GM/M2</t>
    <phoneticPr fontId="3" type="noConversion"/>
  </si>
  <si>
    <t>6109.90.1065</t>
  </si>
  <si>
    <t>STS25W51073</t>
  </si>
  <si>
    <t>FF384-P</t>
  </si>
  <si>
    <t>STS25W51116</t>
  </si>
  <si>
    <t>FF392-P</t>
  </si>
  <si>
    <t>87% NYLON/13% SPANDEX PIQUE 170 GM/M2</t>
  </si>
  <si>
    <t>STS25W51117</t>
  </si>
  <si>
    <t>STS25W51097</t>
  </si>
  <si>
    <t>STS25W51096</t>
  </si>
  <si>
    <t>STS25W51095</t>
  </si>
  <si>
    <t>STS25W51098</t>
  </si>
  <si>
    <t>73% NYLON/27% SPANDEX 250 GM/MW</t>
  </si>
  <si>
    <t>STS25W51099</t>
  </si>
  <si>
    <t>STS25W51094</t>
  </si>
  <si>
    <t xml:space="preserve">ACTIVE JACKET </t>
  </si>
  <si>
    <t>STS24W51108</t>
  </si>
  <si>
    <t>STS25W51109</t>
  </si>
  <si>
    <t>STS25W51056</t>
  </si>
  <si>
    <t>STS25W51057</t>
  </si>
  <si>
    <t>STS25W51055</t>
  </si>
  <si>
    <t>STS25W51054</t>
  </si>
  <si>
    <t>STS25W51052</t>
  </si>
  <si>
    <t>STS25W51053</t>
  </si>
  <si>
    <t>STS25W51064</t>
  </si>
  <si>
    <t>STS25W51065</t>
  </si>
  <si>
    <t>STS25W51066</t>
  </si>
  <si>
    <t>FF343</t>
  </si>
  <si>
    <t>83% DULL VISCOSE/17% ELITE 14GG JACQUARD</t>
  </si>
  <si>
    <t>STS25W51067</t>
  </si>
  <si>
    <t>STS25W51172</t>
  </si>
  <si>
    <t xml:space="preserve">FF343 </t>
  </si>
  <si>
    <t>83% MATTE VISCOSE/17% ELITE 14 GG POINTELLE</t>
  </si>
  <si>
    <t>STS25W51174</t>
  </si>
  <si>
    <t>100% COTTON HIGH TWIST 12 GG POINTELLE</t>
  </si>
  <si>
    <t>STS25W51175</t>
  </si>
  <si>
    <t>6110.20.2035</t>
    <phoneticPr fontId="3" type="noConversion"/>
  </si>
  <si>
    <t>100% COTTON HIGH TWIST 12 GG POINTELLE</t>
    <phoneticPr fontId="3" type="noConversion"/>
  </si>
  <si>
    <t>STS25W51119</t>
  </si>
  <si>
    <t>STS25W51120</t>
  </si>
  <si>
    <t>STS25W51121</t>
  </si>
  <si>
    <t>86% POLYESTER/14% SPANDEX MESH 160 GM/M2</t>
  </si>
  <si>
    <t>STS25W51124</t>
  </si>
  <si>
    <t>STS25W51106</t>
  </si>
  <si>
    <t>42% TENCEL/50% POLYESTER/ 8% SPANDEX 250 GM/M2</t>
  </si>
  <si>
    <t>STS25W51107</t>
  </si>
  <si>
    <t>STS25W51139</t>
  </si>
  <si>
    <t>6206.30.3045</t>
  </si>
  <si>
    <t>STS25W51138</t>
  </si>
  <si>
    <t>6204.62.8010</t>
  </si>
  <si>
    <t>STS25W51140</t>
  </si>
  <si>
    <t>STS25W51214</t>
  </si>
  <si>
    <t>STS25W51215</t>
  </si>
  <si>
    <t>STS25W51188</t>
  </si>
  <si>
    <t>78% COTTON 22% POLYESTER TERRY CLOTH 300 GM/M2</t>
  </si>
  <si>
    <t>STS25W51189</t>
  </si>
  <si>
    <t>STS25W51190</t>
  </si>
  <si>
    <t>STS25W51191</t>
  </si>
  <si>
    <t>STS25W51192</t>
  </si>
  <si>
    <r>
      <t>STS</t>
    </r>
    <r>
      <rPr>
        <b/>
        <sz val="10"/>
        <rFont val="Calibri (Body)"/>
      </rPr>
      <t>25</t>
    </r>
    <r>
      <rPr>
        <b/>
        <sz val="10"/>
        <rFont val="맑은 고딕"/>
        <family val="2"/>
        <scheme val="minor"/>
      </rPr>
      <t>X51034</t>
    </r>
  </si>
  <si>
    <t>85% COTTON/13% POLYAMIDE/2% ELASTANE</t>
  </si>
  <si>
    <r>
      <t>STS</t>
    </r>
    <r>
      <rPr>
        <b/>
        <sz val="10"/>
        <rFont val="Calibri (Body)"/>
      </rPr>
      <t>25</t>
    </r>
    <r>
      <rPr>
        <b/>
        <sz val="10"/>
        <rFont val="맑은 고딕"/>
        <family val="2"/>
        <scheme val="minor"/>
      </rPr>
      <t>X51035</t>
    </r>
  </si>
  <si>
    <r>
      <t>STS</t>
    </r>
    <r>
      <rPr>
        <b/>
        <sz val="10"/>
        <rFont val="Calibri (Body)"/>
      </rPr>
      <t>22</t>
    </r>
    <r>
      <rPr>
        <b/>
        <sz val="10"/>
        <rFont val="맑은 고딕"/>
        <family val="2"/>
        <scheme val="minor"/>
      </rPr>
      <t>X60089</t>
    </r>
  </si>
  <si>
    <t>STS25X51396</t>
  </si>
  <si>
    <t>STS25X51415</t>
  </si>
  <si>
    <t>HARDWARE</t>
  </si>
  <si>
    <t>9506.59.8060</t>
  </si>
  <si>
    <t>SHANGHAI YUXIU</t>
  </si>
  <si>
    <t>STS25X51414</t>
  </si>
  <si>
    <t xml:space="preserve">100% POLYESTER   </t>
  </si>
  <si>
    <t>UKS25X51397</t>
  </si>
  <si>
    <t>100% POLYESTER 290T</t>
  </si>
  <si>
    <t>4202.92.3131</t>
  </si>
  <si>
    <t>UKS25X51398</t>
  </si>
  <si>
    <t>100% POLYESTER 290T</t>
    <phoneticPr fontId="3" type="noConversion"/>
  </si>
  <si>
    <t>STS25X51399</t>
  </si>
  <si>
    <t>STS25X51400</t>
  </si>
  <si>
    <t>STS25X51401</t>
  </si>
  <si>
    <t>SHANGHAI YUXIU</t>
    <phoneticPr fontId="3" type="noConversion"/>
  </si>
  <si>
    <t>25SS PO QTY</t>
  </si>
  <si>
    <t>25SS PO MSRP</t>
  </si>
  <si>
    <t>25SS PO LDP</t>
  </si>
  <si>
    <t>25SS PO FOB</t>
  </si>
  <si>
    <t>24SS PO QTY</t>
  </si>
  <si>
    <t>24SS PO MSRP</t>
  </si>
  <si>
    <t>24SS PO LDP</t>
  </si>
  <si>
    <t>24SS PO FOB</t>
  </si>
  <si>
    <t>6112.12.0010</t>
    <phoneticPr fontId="3" type="noConversion"/>
  </si>
  <si>
    <t>합계 : Ecomm MSRP</t>
  </si>
  <si>
    <t>합계 : Ecomm LDP</t>
  </si>
  <si>
    <t>(비어 있음)</t>
  </si>
  <si>
    <t>25FW</t>
    <phoneticPr fontId="3" type="noConversion"/>
  </si>
  <si>
    <t>24FW</t>
    <phoneticPr fontId="3" type="noConversion"/>
  </si>
  <si>
    <t>25SS</t>
    <phoneticPr fontId="3" type="noConversion"/>
  </si>
  <si>
    <t>24SS</t>
    <phoneticPr fontId="3" type="noConversion"/>
  </si>
  <si>
    <t>아이템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</si>
</sst>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24" formatCode="\$#,##0_);[Red]\(\$#,##0\)"/>
    <numFmt numFmtId="176" formatCode="000"/>
    <numFmt numFmtId="177" formatCode="&quot;$&quot;#,##0.00"/>
    <numFmt numFmtId="178" formatCode="[$€-2]\ #,##0.00"/>
    <numFmt numFmtId="179" formatCode="#,##0.0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 tint="4.9989318521683403E-2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Calibri (Body)"/>
    </font>
    <font>
      <b/>
      <sz val="10"/>
      <color theme="1"/>
      <name val="Calibri (Body)"/>
    </font>
    <font>
      <b/>
      <sz val="10"/>
      <color rgb="FF00B0F0"/>
      <name val="Calibri (Body)"/>
    </font>
    <font>
      <b/>
      <sz val="10"/>
      <color rgb="FF00B0F0"/>
      <name val="맑은 고딕"/>
      <family val="2"/>
      <scheme val="minor"/>
    </font>
    <font>
      <b/>
      <sz val="10"/>
      <name val="Calibri (Body)"/>
    </font>
    <font>
      <b/>
      <i/>
      <sz val="10"/>
      <color rgb="FFFF0000"/>
      <name val="Calibri (Body)"/>
    </font>
    <font>
      <b/>
      <i/>
      <sz val="10"/>
      <color rgb="FF00B05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</cellStyleXfs>
  <cellXfs count="146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2" applyFont="1"/>
    <xf numFmtId="0" fontId="11" fillId="0" borderId="0" xfId="2" applyFont="1" applyAlignment="1">
      <alignment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right" vertical="center" wrapText="1"/>
    </xf>
    <xf numFmtId="10" fontId="9" fillId="0" borderId="10" xfId="0" applyNumberFormat="1" applyFont="1" applyBorder="1" applyAlignment="1">
      <alignment horizontal="center" vertical="center"/>
    </xf>
    <xf numFmtId="41" fontId="7" fillId="0" borderId="10" xfId="1" applyFont="1" applyFill="1" applyBorder="1" applyAlignment="1">
      <alignment horizontal="center" vertical="center"/>
    </xf>
    <xf numFmtId="41" fontId="5" fillId="0" borderId="12" xfId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41" fontId="5" fillId="0" borderId="11" xfId="1" applyFont="1" applyFill="1" applyBorder="1" applyAlignment="1">
      <alignment horizontal="center" vertical="center"/>
    </xf>
    <xf numFmtId="41" fontId="9" fillId="0" borderId="9" xfId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right" vertical="center" wrapText="1"/>
    </xf>
    <xf numFmtId="10" fontId="9" fillId="0" borderId="14" xfId="0" applyNumberFormat="1" applyFont="1" applyBorder="1" applyAlignment="1">
      <alignment horizontal="center" vertical="center"/>
    </xf>
    <xf numFmtId="41" fontId="7" fillId="0" borderId="14" xfId="1" applyFont="1" applyFill="1" applyBorder="1" applyAlignment="1">
      <alignment horizontal="center" vertical="center"/>
    </xf>
    <xf numFmtId="41" fontId="5" fillId="0" borderId="16" xfId="1" applyFont="1" applyFill="1" applyBorder="1" applyAlignment="1">
      <alignment horizontal="center" vertical="center"/>
    </xf>
    <xf numFmtId="41" fontId="7" fillId="0" borderId="16" xfId="1" applyFont="1" applyFill="1" applyBorder="1" applyAlignment="1">
      <alignment horizontal="center" vertical="center"/>
    </xf>
    <xf numFmtId="41" fontId="5" fillId="0" borderId="15" xfId="1" applyFont="1" applyFill="1" applyBorder="1" applyAlignment="1">
      <alignment horizontal="center" vertical="center"/>
    </xf>
    <xf numFmtId="41" fontId="9" fillId="0" borderId="13" xfId="1" applyFont="1" applyFill="1" applyBorder="1" applyAlignment="1">
      <alignment horizontal="center" vertical="center"/>
    </xf>
    <xf numFmtId="178" fontId="9" fillId="0" borderId="13" xfId="2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1" fontId="6" fillId="0" borderId="16" xfId="1" applyFont="1" applyFill="1" applyBorder="1" applyAlignment="1">
      <alignment horizontal="center" vertical="center"/>
    </xf>
    <xf numFmtId="41" fontId="5" fillId="0" borderId="14" xfId="1" applyFont="1" applyFill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right" vertical="center" wrapText="1"/>
    </xf>
    <xf numFmtId="10" fontId="9" fillId="0" borderId="19" xfId="0" applyNumberFormat="1" applyFont="1" applyBorder="1" applyAlignment="1">
      <alignment horizontal="center" vertical="center"/>
    </xf>
    <xf numFmtId="41" fontId="5" fillId="0" borderId="21" xfId="1" applyFont="1" applyFill="1" applyBorder="1" applyAlignment="1">
      <alignment horizontal="center" vertical="center"/>
    </xf>
    <xf numFmtId="41" fontId="7" fillId="0" borderId="21" xfId="1" applyFont="1" applyFill="1" applyBorder="1" applyAlignment="1">
      <alignment horizontal="center" vertical="center"/>
    </xf>
    <xf numFmtId="41" fontId="5" fillId="0" borderId="20" xfId="1" applyFont="1" applyFill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 wrapText="1"/>
    </xf>
    <xf numFmtId="10" fontId="6" fillId="6" borderId="6" xfId="0" applyNumberFormat="1" applyFont="1" applyFill="1" applyBorder="1" applyAlignment="1">
      <alignment horizontal="center" vertical="center" wrapText="1"/>
    </xf>
    <xf numFmtId="177" fontId="9" fillId="6" borderId="8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5" fillId="6" borderId="7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1" fontId="2" fillId="6" borderId="7" xfId="0" applyNumberFormat="1" applyFont="1" applyFill="1" applyBorder="1" applyAlignment="1">
      <alignment horizontal="center" vertical="center" wrapText="1"/>
    </xf>
    <xf numFmtId="1" fontId="2" fillId="6" borderId="8" xfId="0" applyNumberFormat="1" applyFont="1" applyFill="1" applyBorder="1" applyAlignment="1">
      <alignment horizontal="center" vertical="center" wrapText="1"/>
    </xf>
    <xf numFmtId="41" fontId="9" fillId="3" borderId="1" xfId="1" applyFont="1" applyFill="1" applyBorder="1" applyAlignment="1">
      <alignment horizontal="center" vertical="center"/>
    </xf>
    <xf numFmtId="24" fontId="9" fillId="3" borderId="1" xfId="1" applyNumberFormat="1" applyFont="1" applyFill="1" applyBorder="1" applyAlignment="1">
      <alignment vertical="center"/>
    </xf>
    <xf numFmtId="24" fontId="9" fillId="0" borderId="9" xfId="1" applyNumberFormat="1" applyFont="1" applyFill="1" applyBorder="1" applyAlignment="1">
      <alignment vertical="center"/>
    </xf>
    <xf numFmtId="24" fontId="9" fillId="0" borderId="13" xfId="1" applyNumberFormat="1" applyFont="1" applyFill="1" applyBorder="1" applyAlignment="1">
      <alignment vertical="center"/>
    </xf>
    <xf numFmtId="24" fontId="9" fillId="0" borderId="18" xfId="1" applyNumberFormat="1" applyFont="1" applyFill="1" applyBorder="1" applyAlignment="1">
      <alignment vertical="center"/>
    </xf>
    <xf numFmtId="24" fontId="9" fillId="0" borderId="10" xfId="1" applyNumberFormat="1" applyFont="1" applyFill="1" applyBorder="1" applyAlignment="1">
      <alignment vertical="center"/>
    </xf>
    <xf numFmtId="24" fontId="9" fillId="0" borderId="14" xfId="1" applyNumberFormat="1" applyFont="1" applyFill="1" applyBorder="1" applyAlignment="1">
      <alignment vertical="center"/>
    </xf>
    <xf numFmtId="24" fontId="9" fillId="3" borderId="6" xfId="1" applyNumberFormat="1" applyFont="1" applyFill="1" applyBorder="1" applyAlignment="1">
      <alignment vertical="center"/>
    </xf>
    <xf numFmtId="24" fontId="9" fillId="0" borderId="24" xfId="1" applyNumberFormat="1" applyFont="1" applyFill="1" applyBorder="1" applyAlignment="1">
      <alignment vertical="center"/>
    </xf>
    <xf numFmtId="24" fontId="9" fillId="0" borderId="25" xfId="1" applyNumberFormat="1" applyFont="1" applyFill="1" applyBorder="1" applyAlignment="1">
      <alignment vertical="center"/>
    </xf>
    <xf numFmtId="24" fontId="9" fillId="3" borderId="23" xfId="1" applyNumberFormat="1" applyFont="1" applyFill="1" applyBorder="1" applyAlignment="1">
      <alignment vertical="center"/>
    </xf>
    <xf numFmtId="24" fontId="9" fillId="0" borderId="28" xfId="1" applyNumberFormat="1" applyFont="1" applyFill="1" applyBorder="1" applyAlignment="1">
      <alignment vertical="center"/>
    </xf>
    <xf numFmtId="24" fontId="9" fillId="0" borderId="29" xfId="1" applyNumberFormat="1" applyFont="1" applyFill="1" applyBorder="1" applyAlignment="1">
      <alignment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0" xfId="2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right" vertical="center" wrapText="1"/>
    </xf>
    <xf numFmtId="10" fontId="9" fillId="0" borderId="31" xfId="0" applyNumberFormat="1" applyFont="1" applyBorder="1" applyAlignment="1">
      <alignment horizontal="center" vertical="center"/>
    </xf>
    <xf numFmtId="41" fontId="5" fillId="0" borderId="31" xfId="1" applyFont="1" applyFill="1" applyBorder="1" applyAlignment="1">
      <alignment horizontal="center" vertical="center"/>
    </xf>
    <xf numFmtId="41" fontId="5" fillId="0" borderId="33" xfId="1" applyFont="1" applyFill="1" applyBorder="1" applyAlignment="1">
      <alignment horizontal="center" vertical="center"/>
    </xf>
    <xf numFmtId="41" fontId="7" fillId="0" borderId="33" xfId="1" applyFont="1" applyFill="1" applyBorder="1" applyAlignment="1">
      <alignment horizontal="center" vertical="center"/>
    </xf>
    <xf numFmtId="41" fontId="5" fillId="0" borderId="32" xfId="1" applyFont="1" applyFill="1" applyBorder="1" applyAlignment="1">
      <alignment horizontal="center" vertical="center"/>
    </xf>
    <xf numFmtId="41" fontId="9" fillId="0" borderId="30" xfId="1" applyFont="1" applyFill="1" applyBorder="1" applyAlignment="1">
      <alignment horizontal="center" vertical="center"/>
    </xf>
    <xf numFmtId="24" fontId="9" fillId="0" borderId="31" xfId="1" applyNumberFormat="1" applyFont="1" applyFill="1" applyBorder="1" applyAlignment="1">
      <alignment vertical="center"/>
    </xf>
    <xf numFmtId="24" fontId="9" fillId="0" borderId="34" xfId="1" applyNumberFormat="1" applyFont="1" applyFill="1" applyBorder="1" applyAlignment="1">
      <alignment vertical="center"/>
    </xf>
    <xf numFmtId="41" fontId="7" fillId="0" borderId="19" xfId="1" applyFont="1" applyFill="1" applyBorder="1" applyAlignment="1">
      <alignment horizontal="center" vertical="center"/>
    </xf>
    <xf numFmtId="177" fontId="2" fillId="6" borderId="2" xfId="0" applyNumberFormat="1" applyFont="1" applyFill="1" applyBorder="1" applyAlignment="1">
      <alignment horizontal="center" vertical="center" wrapText="1"/>
    </xf>
    <xf numFmtId="177" fontId="9" fillId="6" borderId="4" xfId="0" applyNumberFormat="1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4" fontId="0" fillId="0" borderId="0" xfId="0" applyNumberFormat="1">
      <alignment vertical="center"/>
    </xf>
    <xf numFmtId="3" fontId="9" fillId="6" borderId="2" xfId="0" applyNumberFormat="1" applyFont="1" applyFill="1" applyBorder="1" applyAlignment="1">
      <alignment horizontal="center" vertical="center" wrapText="1"/>
    </xf>
    <xf numFmtId="177" fontId="2" fillId="6" borderId="26" xfId="0" applyNumberFormat="1" applyFont="1" applyFill="1" applyBorder="1" applyAlignment="1">
      <alignment horizontal="center" vertical="center" wrapText="1"/>
    </xf>
    <xf numFmtId="177" fontId="2" fillId="6" borderId="27" xfId="0" applyNumberFormat="1" applyFont="1" applyFill="1" applyBorder="1" applyAlignment="1">
      <alignment horizontal="center" vertical="center" wrapText="1"/>
    </xf>
    <xf numFmtId="24" fontId="9" fillId="0" borderId="30" xfId="1" applyNumberFormat="1" applyFont="1" applyFill="1" applyBorder="1" applyAlignment="1">
      <alignment vertical="center"/>
    </xf>
    <xf numFmtId="41" fontId="8" fillId="3" borderId="6" xfId="1" applyFont="1" applyFill="1" applyBorder="1" applyAlignment="1">
      <alignment horizontal="center" vertical="center"/>
    </xf>
    <xf numFmtId="41" fontId="8" fillId="3" borderId="7" xfId="1" applyFont="1" applyFill="1" applyBorder="1" applyAlignment="1">
      <alignment horizontal="center" vertical="center"/>
    </xf>
    <xf numFmtId="41" fontId="10" fillId="3" borderId="7" xfId="1" applyFont="1" applyFill="1" applyBorder="1" applyAlignment="1">
      <alignment horizontal="center" vertical="center"/>
    </xf>
    <xf numFmtId="41" fontId="8" fillId="3" borderId="8" xfId="1" applyFont="1" applyFill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right" vertical="center"/>
    </xf>
    <xf numFmtId="177" fontId="5" fillId="4" borderId="13" xfId="0" applyNumberFormat="1" applyFont="1" applyFill="1" applyBorder="1" applyAlignment="1">
      <alignment horizontal="right" vertical="center"/>
    </xf>
    <xf numFmtId="177" fontId="6" fillId="4" borderId="13" xfId="0" applyNumberFormat="1" applyFont="1" applyFill="1" applyBorder="1" applyAlignment="1">
      <alignment horizontal="right" vertical="center"/>
    </xf>
    <xf numFmtId="177" fontId="5" fillId="4" borderId="30" xfId="0" applyNumberFormat="1" applyFont="1" applyFill="1" applyBorder="1" applyAlignment="1">
      <alignment horizontal="right" vertical="center"/>
    </xf>
    <xf numFmtId="177" fontId="5" fillId="4" borderId="18" xfId="0" applyNumberFormat="1" applyFont="1" applyFill="1" applyBorder="1" applyAlignment="1">
      <alignment horizontal="right" vertical="center"/>
    </xf>
    <xf numFmtId="177" fontId="9" fillId="4" borderId="11" xfId="0" applyNumberFormat="1" applyFont="1" applyFill="1" applyBorder="1" applyAlignment="1">
      <alignment horizontal="center" vertical="center"/>
    </xf>
    <xf numFmtId="177" fontId="9" fillId="4" borderId="9" xfId="0" applyNumberFormat="1" applyFont="1" applyFill="1" applyBorder="1" applyAlignment="1">
      <alignment horizontal="center" vertical="center"/>
    </xf>
    <xf numFmtId="177" fontId="9" fillId="4" borderId="15" xfId="0" applyNumberFormat="1" applyFont="1" applyFill="1" applyBorder="1" applyAlignment="1">
      <alignment horizontal="center" vertical="center"/>
    </xf>
    <xf numFmtId="177" fontId="9" fillId="4" borderId="13" xfId="0" applyNumberFormat="1" applyFont="1" applyFill="1" applyBorder="1" applyAlignment="1">
      <alignment horizontal="center" vertical="center"/>
    </xf>
    <xf numFmtId="177" fontId="9" fillId="4" borderId="32" xfId="0" applyNumberFormat="1" applyFont="1" applyFill="1" applyBorder="1" applyAlignment="1">
      <alignment horizontal="center" vertical="center"/>
    </xf>
    <xf numFmtId="177" fontId="9" fillId="4" borderId="30" xfId="0" applyNumberFormat="1" applyFont="1" applyFill="1" applyBorder="1" applyAlignment="1">
      <alignment horizontal="center" vertical="center"/>
    </xf>
    <xf numFmtId="177" fontId="9" fillId="4" borderId="20" xfId="0" applyNumberFormat="1" applyFont="1" applyFill="1" applyBorder="1" applyAlignment="1">
      <alignment horizontal="center" vertical="center"/>
    </xf>
    <xf numFmtId="177" fontId="9" fillId="4" borderId="18" xfId="0" applyNumberFormat="1" applyFont="1" applyFill="1" applyBorder="1" applyAlignment="1">
      <alignment horizontal="center" vertical="center"/>
    </xf>
    <xf numFmtId="177" fontId="5" fillId="5" borderId="9" xfId="0" applyNumberFormat="1" applyFont="1" applyFill="1" applyBorder="1" applyAlignment="1">
      <alignment horizontal="right" vertical="center" wrapText="1"/>
    </xf>
    <xf numFmtId="177" fontId="5" fillId="5" borderId="13" xfId="0" applyNumberFormat="1" applyFont="1" applyFill="1" applyBorder="1" applyAlignment="1">
      <alignment horizontal="right" vertical="center" wrapText="1"/>
    </xf>
    <xf numFmtId="177" fontId="7" fillId="5" borderId="13" xfId="0" applyNumberFormat="1" applyFont="1" applyFill="1" applyBorder="1" applyAlignment="1">
      <alignment horizontal="right" vertical="center" wrapText="1"/>
    </xf>
    <xf numFmtId="177" fontId="6" fillId="5" borderId="13" xfId="0" applyNumberFormat="1" applyFont="1" applyFill="1" applyBorder="1" applyAlignment="1">
      <alignment horizontal="right" vertical="center" wrapText="1"/>
    </xf>
    <xf numFmtId="177" fontId="5" fillId="5" borderId="30" xfId="0" applyNumberFormat="1" applyFont="1" applyFill="1" applyBorder="1" applyAlignment="1">
      <alignment horizontal="right" vertical="center" wrapText="1"/>
    </xf>
    <xf numFmtId="177" fontId="5" fillId="5" borderId="18" xfId="0" applyNumberFormat="1" applyFont="1" applyFill="1" applyBorder="1" applyAlignment="1">
      <alignment horizontal="right" vertical="center" wrapText="1"/>
    </xf>
    <xf numFmtId="177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8" fillId="0" borderId="13" xfId="2" applyFont="1" applyBorder="1" applyAlignment="1">
      <alignment horizontal="left" vertical="center" wrapText="1"/>
    </xf>
    <xf numFmtId="41" fontId="5" fillId="0" borderId="19" xfId="1" applyFont="1" applyFill="1" applyBorder="1" applyAlignment="1">
      <alignment horizontal="center" vertical="center"/>
    </xf>
    <xf numFmtId="24" fontId="9" fillId="0" borderId="19" xfId="1" applyNumberFormat="1" applyFont="1" applyFill="1" applyBorder="1" applyAlignment="1">
      <alignment vertical="center"/>
    </xf>
    <xf numFmtId="24" fontId="9" fillId="0" borderId="35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3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22" fillId="0" borderId="0" xfId="0" applyNumberFormat="1" applyFont="1">
      <alignment vertical="center"/>
    </xf>
    <xf numFmtId="177" fontId="5" fillId="6" borderId="1" xfId="0" applyNumberFormat="1" applyFont="1" applyFill="1" applyBorder="1" applyAlignment="1">
      <alignment horizontal="center" vertical="center"/>
    </xf>
    <xf numFmtId="177" fontId="5" fillId="6" borderId="5" xfId="0" applyNumberFormat="1" applyFont="1" applyFill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 vertical="center"/>
    </xf>
    <xf numFmtId="10" fontId="9" fillId="3" borderId="22" xfId="0" applyNumberFormat="1" applyFont="1" applyFill="1" applyBorder="1" applyAlignment="1">
      <alignment horizontal="center" vertical="center"/>
    </xf>
    <xf numFmtId="10" fontId="9" fillId="3" borderId="3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</cellXfs>
  <cellStyles count="3">
    <cellStyle name="Normal 2" xfId="2" xr:uid="{958655D8-0071-42FE-921C-906558046704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590</xdr:row>
      <xdr:rowOff>507999</xdr:rowOff>
    </xdr:from>
    <xdr:to>
      <xdr:col>7</xdr:col>
      <xdr:colOff>69850</xdr:colOff>
      <xdr:row>592</xdr:row>
      <xdr:rowOff>22224</xdr:rowOff>
    </xdr:to>
    <xdr:pic>
      <xdr:nvPicPr>
        <xdr:cNvPr id="2" name="Picture 236">
          <a:extLst>
            <a:ext uri="{FF2B5EF4-FFF2-40B4-BE49-F238E27FC236}">
              <a16:creationId xmlns:a16="http://schemas.microsoft.com/office/drawing/2014/main" id="{1B84112A-1431-48B2-BDF0-23F401B7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115427124"/>
          <a:ext cx="936625" cy="19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590</xdr:row>
      <xdr:rowOff>507999</xdr:rowOff>
    </xdr:from>
    <xdr:to>
      <xdr:col>7</xdr:col>
      <xdr:colOff>69850</xdr:colOff>
      <xdr:row>592</xdr:row>
      <xdr:rowOff>22224</xdr:rowOff>
    </xdr:to>
    <xdr:pic>
      <xdr:nvPicPr>
        <xdr:cNvPr id="3" name="Picture 153">
          <a:extLst>
            <a:ext uri="{FF2B5EF4-FFF2-40B4-BE49-F238E27FC236}">
              <a16:creationId xmlns:a16="http://schemas.microsoft.com/office/drawing/2014/main" id="{A4BF5432-8F3D-4546-8E32-76BEA8E8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115427124"/>
          <a:ext cx="93662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267</xdr:row>
      <xdr:rowOff>0</xdr:rowOff>
    </xdr:from>
    <xdr:to>
      <xdr:col>7</xdr:col>
      <xdr:colOff>1195916</xdr:colOff>
      <xdr:row>267</xdr:row>
      <xdr:rowOff>0</xdr:rowOff>
    </xdr:to>
    <xdr:pic>
      <xdr:nvPicPr>
        <xdr:cNvPr id="2" name="Picture 236">
          <a:extLst>
            <a:ext uri="{FF2B5EF4-FFF2-40B4-BE49-F238E27FC236}">
              <a16:creationId xmlns:a16="http://schemas.microsoft.com/office/drawing/2014/main" id="{341E77C1-A666-4D1F-90B9-3ECBA694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1625" y="53740050"/>
          <a:ext cx="952500" cy="6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1195916</xdr:colOff>
      <xdr:row>267</xdr:row>
      <xdr:rowOff>0</xdr:rowOff>
    </xdr:to>
    <xdr:pic>
      <xdr:nvPicPr>
        <xdr:cNvPr id="3" name="Picture 153">
          <a:extLst>
            <a:ext uri="{FF2B5EF4-FFF2-40B4-BE49-F238E27FC236}">
              <a16:creationId xmlns:a16="http://schemas.microsoft.com/office/drawing/2014/main" id="{44FB074A-19C6-42F1-B7B0-8582F9561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1625" y="53740050"/>
          <a:ext cx="952500" cy="63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1036" refreshedDate="45665.466371643517" createdVersion="8" refreshedVersion="8" minRefreshableVersion="3" recordCount="349" xr:uid="{F5FC9152-1FD9-43E9-A971-1BE1C22D4018}">
  <cacheSource type="worksheet">
    <worksheetSource ref="A3:AK352" sheet="25FW"/>
  </cacheSource>
  <cacheFields count="37">
    <cacheField name="SEASON" numFmtId="0">
      <sharedItems/>
    </cacheField>
    <cacheField name="GENDER" numFmtId="0">
      <sharedItems count="3">
        <s v="MEN"/>
        <s v="WOMENS"/>
        <s v="UNISEX"/>
      </sharedItems>
    </cacheField>
    <cacheField name="CATEGORY" numFmtId="0">
      <sharedItems count="26">
        <s v="TRACK JACKET"/>
        <s v="TRACK PANT"/>
        <s v="T-SHIRT"/>
        <s v="SHORT "/>
        <s v="POLO"/>
        <s v="CREWNECK"/>
        <s v="QUARTER ZIP"/>
        <s v="VEST"/>
        <s v="HOODIE"/>
        <s v="SWEATPANTS"/>
        <s v="OUTERWEAR"/>
        <s v="CABANA SHIRT"/>
        <s v="KNITWEAR"/>
        <s v="LONG SLEEVE"/>
        <s v="CROP TOP"/>
        <s v="SKORT"/>
        <s v="TANK TOP"/>
        <s v="SHORTS"/>
        <s v="SKIRT"/>
        <s v="DRESS"/>
        <s v="LEGGING"/>
        <s v="SPORTS BRA"/>
        <s v="PULL OVER"/>
        <s v="SWEATPANT"/>
        <s v="SOCKS"/>
        <s v="HAT"/>
      </sharedItems>
    </cacheField>
    <cacheField name="VENDOR " numFmtId="0">
      <sharedItems/>
    </cacheField>
    <cacheField name="C.O.O. " numFmtId="0">
      <sharedItems count="4">
        <s v="CHINA"/>
        <s v="BANGLADESH"/>
        <s v="INDIA"/>
        <s v="PORTUGAL"/>
      </sharedItems>
    </cacheField>
    <cacheField name="STYLE #" numFmtId="0">
      <sharedItems/>
    </cacheField>
    <cacheField name="FABRIC #" numFmtId="0">
      <sharedItems containsBlank="1"/>
    </cacheField>
    <cacheField name="FABRIC CONTENT" numFmtId="0">
      <sharedItems/>
    </cacheField>
    <cacheField name="FABRIC " numFmtId="0">
      <sharedItems containsBlank="1"/>
    </cacheField>
    <cacheField name="HTS # USA" numFmtId="0">
      <sharedItems/>
    </cacheField>
    <cacheField name="MSRP" numFmtId="177">
      <sharedItems containsSemiMixedTypes="0" containsString="0" containsNumber="1" containsInteger="1" minValue="18" maxValue="325"/>
    </cacheField>
    <cacheField name="LDP" numFmtId="177">
      <sharedItems containsSemiMixedTypes="0" containsString="0" containsNumber="1" minValue="4.2014000000000005" maxValue="64.876750000000001"/>
    </cacheField>
    <cacheField name="FOB" numFmtId="177">
      <sharedItems containsSemiMixedTypes="0" containsString="0" containsNumber="1" minValue="3.08" maxValue="46"/>
    </cacheField>
    <cacheField name="Duty_x000a_(%)" numFmtId="10">
      <sharedItems containsSemiMixedTypes="0" containsString="0" containsNumber="1" minValue="7.0000000000000007E-2" maxValue="0.32"/>
    </cacheField>
    <cacheField name="Duty_x000a_($)" numFmtId="177">
      <sharedItems containsSemiMixedTypes="0" containsString="0" containsNumber="1" minValue="0.38919999999999999" maxValue="14.064000000000002"/>
    </cacheField>
    <cacheField name="Tariff_x000a_(%)" numFmtId="10">
      <sharedItems containsString="0" containsBlank="1" containsNumber="1" minValue="7.4999999999999997E-2" maxValue="0.25"/>
    </cacheField>
    <cacheField name="Tariff_x000a_($)" numFmtId="177">
      <sharedItems containsString="0" containsBlank="1" containsNumber="1" minValue="0.53174999999999994" maxValue="3.4499999999999997"/>
    </cacheField>
    <cacheField name="Shipping_x000a_(%)" numFmtId="10">
      <sharedItems containsString="0" containsBlank="1" containsNumber="1" minValue="7.0000000000000007E-2" maxValue="7.0000000000000007E-2"/>
    </cacheField>
    <cacheField name="Shipping_x000a_($)" numFmtId="177">
      <sharedItems containsSemiMixedTypes="0" containsString="0" containsNumber="1" minValue="0.21560000000000001" maxValue="3.22"/>
    </cacheField>
    <cacheField name="Receiving_x000a_($)" numFmtId="177">
      <sharedItems containsSemiMixedTypes="0" containsString="0" containsNumber="1" minValue="0.49" maxValue="0.49"/>
    </cacheField>
    <cacheField name="Ecomm QTY" numFmtId="41">
      <sharedItems containsSemiMixedTypes="0" containsString="0" containsNumber="1" containsInteger="1" minValue="200" maxValue="1300"/>
    </cacheField>
    <cacheField name="WHS QTY" numFmtId="41">
      <sharedItems containsString="0" containsBlank="1" containsNumber="1" containsInteger="1" minValue="4" maxValue="395"/>
    </cacheField>
    <cacheField name="ATS_x000a_QTY" numFmtId="41">
      <sharedItems containsString="0" containsBlank="1" containsNumber="1" containsInteger="1" minValue="10" maxValue="174"/>
    </cacheField>
    <cacheField name="FNF_x000a_QTY" numFmtId="41">
      <sharedItems containsString="0" containsBlank="1" containsNumber="1" containsInteger="1" minValue="50" maxValue="100"/>
    </cacheField>
    <cacheField name="BBUK QTY" numFmtId="41">
      <sharedItems containsNonDate="0" containsString="0" containsBlank="1"/>
    </cacheField>
    <cacheField name="SILVER QTY" numFmtId="41">
      <sharedItems containsString="0" containsBlank="1" containsNumber="1" containsInteger="1" minValue="3" maxValue="25"/>
    </cacheField>
    <cacheField name="EVE_x000a_QTY" numFmtId="41">
      <sharedItems containsString="0" containsBlank="1" containsNumber="1" containsInteger="1" minValue="4" maxValue="18"/>
    </cacheField>
    <cacheField name="TTL_x000a_QTY" numFmtId="41">
      <sharedItems containsSemiMixedTypes="0" containsString="0" containsNumber="1" containsInteger="1" minValue="200" maxValue="1624"/>
    </cacheField>
    <cacheField name="Ecomm MSRP" numFmtId="24">
      <sharedItems containsSemiMixedTypes="0" containsString="0" containsNumber="1" containsInteger="1" minValue="8400" maxValue="240500"/>
    </cacheField>
    <cacheField name="WHS MSRP" numFmtId="24">
      <sharedItems containsSemiMixedTypes="0" containsString="0" containsNumber="1" containsInteger="1" minValue="0" maxValue="65175"/>
    </cacheField>
    <cacheField name="MSRP Total" numFmtId="24">
      <sharedItems containsSemiMixedTypes="0" containsString="0" containsNumber="1" containsInteger="1" minValue="10500" maxValue="285640"/>
    </cacheField>
    <cacheField name="Ecomm LDP" numFmtId="24">
      <sharedItems containsSemiMixedTypes="0" containsString="0" containsNumber="1" minValue="1147.75" maxValue="44231.850000000006"/>
    </cacheField>
    <cacheField name="WHS LDP" numFmtId="24">
      <sharedItems containsSemiMixedTypes="0" containsString="0" containsNumber="1" minValue="0" maxValue="12030.514999999999"/>
    </cacheField>
    <cacheField name="LDP Total" numFmtId="24">
      <sharedItems containsSemiMixedTypes="0" containsString="0" containsNumber="1" minValue="1434.6875" maxValue="51797.113000000005"/>
    </cacheField>
    <cacheField name="Ecomm FOB" numFmtId="24">
      <sharedItems containsSemiMixedTypes="0" containsString="0" containsNumber="1" minValue="850" maxValue="30550"/>
    </cacheField>
    <cacheField name="WHS FOB" numFmtId="24">
      <sharedItems containsSemiMixedTypes="0" containsString="0" containsNumber="1" minValue="0" maxValue="8295"/>
    </cacheField>
    <cacheField name="FOB Total" numFmtId="24">
      <sharedItems containsSemiMixedTypes="0" containsString="0" containsNumber="1" minValue="1062.5" maxValue="36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1036" refreshedDate="45665.466871643519" createdVersion="8" refreshedVersion="8" minRefreshableVersion="3" recordCount="264" xr:uid="{3B0EA00F-8C02-4A41-9E60-6DAE511CAD89}">
  <cacheSource type="worksheet">
    <worksheetSource ref="A3:AK267" sheet="24FW"/>
  </cacheSource>
  <cacheFields count="37">
    <cacheField name="SEASON" numFmtId="0">
      <sharedItems/>
    </cacheField>
    <cacheField name="GENDER" numFmtId="0">
      <sharedItems count="3">
        <s v="MENS"/>
        <s v="UNISEX"/>
        <s v="WOMENS"/>
      </sharedItems>
    </cacheField>
    <cacheField name="CATEGORY" numFmtId="0">
      <sharedItems count="20">
        <s v="POLO"/>
        <s v="LONG SLEEVE KNIT"/>
        <s v="SHORTS"/>
        <s v="T-SHIRT"/>
        <s v="TRACK JACKET"/>
        <s v="TRACK PANT"/>
        <s v="HOODIE"/>
        <s v="SWEATPANTS"/>
        <s v="CREWNECK"/>
        <s v="OUTERWEAR"/>
        <s v="CAMP SHIRT"/>
        <s v="SWEATER"/>
        <s v="ACCESSORY"/>
        <s v="SPORTS BRA"/>
        <s v="LEGGINGS"/>
        <s v="DRESS"/>
        <s v="SKORT"/>
        <s v="SWEATSHIRT"/>
        <s v="SWEATPANT"/>
        <s v="SKIRT"/>
      </sharedItems>
    </cacheField>
    <cacheField name="VENDOR " numFmtId="0">
      <sharedItems/>
    </cacheField>
    <cacheField name="C.O.O. " numFmtId="0">
      <sharedItems count="4">
        <s v="CHINA"/>
        <s v="BANGLADESH"/>
        <s v="INDIA"/>
        <s v="VIETNAM"/>
      </sharedItems>
    </cacheField>
    <cacheField name="STYLE #" numFmtId="0">
      <sharedItems/>
    </cacheField>
    <cacheField name="FABRIC #" numFmtId="0">
      <sharedItems containsNonDate="0" containsString="0" containsBlank="1"/>
    </cacheField>
    <cacheField name="FABRIC CONTENT" numFmtId="0">
      <sharedItems/>
    </cacheField>
    <cacheField name="FABRIC " numFmtId="0">
      <sharedItems/>
    </cacheField>
    <cacheField name="HTS # USA" numFmtId="0">
      <sharedItems/>
    </cacheField>
    <cacheField name="MSRP" numFmtId="177">
      <sharedItems containsSemiMixedTypes="0" containsString="0" containsNumber="1" containsInteger="1" minValue="38" maxValue="345"/>
    </cacheField>
    <cacheField name="LDP" numFmtId="177">
      <sharedItems containsSemiMixedTypes="0" containsString="0" containsNumber="1" minValue="6.8145000000000007" maxValue="67.562499999999986"/>
    </cacheField>
    <cacheField name="FOB" numFmtId="177">
      <sharedItems containsSemiMixedTypes="0" containsString="0" containsNumber="1" minValue="4.55" maxValue="49.5"/>
    </cacheField>
    <cacheField name="Duty_x000a_(%)" numFmtId="10">
      <sharedItems containsSemiMixedTypes="0" containsString="0" containsNumber="1" minValue="7.0000000000000007E-2" maxValue="0.32"/>
    </cacheField>
    <cacheField name="Duty_x000a_($)" numFmtId="177">
      <sharedItems containsSemiMixedTypes="0" containsString="0" containsNumber="1" minValue="0.31850000000000001" maxValue="13.76"/>
    </cacheField>
    <cacheField name="Tariff_x000a_(%)" numFmtId="10">
      <sharedItems containsString="0" containsBlank="1" containsNumber="1" minValue="7.4999999999999997E-2" maxValue="0.25"/>
    </cacheField>
    <cacheField name="Tariff_x000a_($)" numFmtId="177">
      <sharedItems containsString="0" containsBlank="1" containsNumber="1" minValue="0.70124999999999993" maxValue="3.7124999999999999"/>
    </cacheField>
    <cacheField name="Shipping_x000a_(%)" numFmtId="10">
      <sharedItems containsSemiMixedTypes="0" containsString="0" containsNumber="1" minValue="7.0000000000000007E-2" maxValue="7.0000000000000007E-2"/>
    </cacheField>
    <cacheField name="Shipping_x000a_($)" numFmtId="177">
      <sharedItems containsSemiMixedTypes="0" containsString="0" containsNumber="1" minValue="0.31850000000000001" maxValue="3.4650000000000003"/>
    </cacheField>
    <cacheField name="Receiving_x000a_($)" numFmtId="177">
      <sharedItems containsSemiMixedTypes="0" containsString="0" containsNumber="1" minValue="0.49" maxValue="0.49"/>
    </cacheField>
    <cacheField name="Ecomm QTY" numFmtId="41">
      <sharedItems containsSemiMixedTypes="0" containsString="0" containsNumber="1" containsInteger="1" minValue="151" maxValue="1000"/>
    </cacheField>
    <cacheField name="WHS QTY" numFmtId="41">
      <sharedItems containsString="0" containsBlank="1" containsNumber="1" containsInteger="1" minValue="3" maxValue="298"/>
    </cacheField>
    <cacheField name="ATS_x000a_QTY" numFmtId="41">
      <sharedItems containsString="0" containsBlank="1" containsNumber="1" containsInteger="1" minValue="14" maxValue="223"/>
    </cacheField>
    <cacheField name="FNF_x000a_QTY" numFmtId="41">
      <sharedItems containsNonDate="0" containsString="0" containsBlank="1"/>
    </cacheField>
    <cacheField name="BBUK QTY" numFmtId="41">
      <sharedItems containsNonDate="0" containsString="0" containsBlank="1"/>
    </cacheField>
    <cacheField name="SILVER QTY" numFmtId="41">
      <sharedItems containsString="0" containsBlank="1" containsNumber="1" containsInteger="1" minValue="5" maxValue="36"/>
    </cacheField>
    <cacheField name="EVE_x000a_QTY" numFmtId="41">
      <sharedItems containsString="0" containsBlank="1" containsNumber="1" containsInteger="1" minValue="4" maxValue="32"/>
    </cacheField>
    <cacheField name="TTL_x000a_QTY" numFmtId="41">
      <sharedItems containsSemiMixedTypes="0" containsString="0" containsNumber="1" containsInteger="1" minValue="151" maxValue="1214"/>
    </cacheField>
    <cacheField name="Ecomm MSRP" numFmtId="24">
      <sharedItems containsSemiMixedTypes="0" containsString="0" containsNumber="1" containsInteger="1" minValue="7296" maxValue="160000"/>
    </cacheField>
    <cacheField name="WHS MSRP" numFmtId="24">
      <sharedItems containsSemiMixedTypes="0" containsString="0" containsNumber="1" containsInteger="1" minValue="0" maxValue="58500"/>
    </cacheField>
    <cacheField name="MSRP Total" numFmtId="24">
      <sharedItems containsSemiMixedTypes="0" containsString="0" containsNumber="1" containsInteger="1" minValue="7600" maxValue="187680"/>
    </cacheField>
    <cacheField name="Ecomm LDP" numFmtId="24">
      <sharedItems containsSemiMixedTypes="0" containsString="0" containsNumber="1" minValue="1153.8700000000001" maxValue="31170.499999999996"/>
    </cacheField>
    <cacheField name="WHS LDP" numFmtId="24">
      <sharedItems containsSemiMixedTypes="0" containsString="0" containsNumber="1" minValue="0" maxValue="14118.03"/>
    </cacheField>
    <cacheField name="LDP Total" numFmtId="24">
      <sharedItems containsSemiMixedTypes="0" containsString="0" containsNumber="1" minValue="1362.9" maxValue="37523.491599999994"/>
    </cacheField>
    <cacheField name="Ecomm FOB" numFmtId="24">
      <sharedItems containsSemiMixedTypes="0" containsString="0" containsNumber="1" minValue="874" maxValue="21500"/>
    </cacheField>
    <cacheField name="WHS FOB" numFmtId="24">
      <sharedItems containsSemiMixedTypes="0" containsString="0" containsNumber="1" minValue="0" maxValue="10062"/>
    </cacheField>
    <cacheField name="FOB Total" numFmtId="24">
      <sharedItems containsSemiMixedTypes="0" containsString="0" containsNumber="1" minValue="910" maxValue="2591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5995.373995601854" createdVersion="8" refreshedVersion="8" minRefreshableVersion="3" recordCount="350" xr:uid="{076F1252-4959-4E9E-A546-785A0C74A831}">
  <cacheSource type="worksheet">
    <worksheetSource ref="A3:AF353" sheet="25FW"/>
  </cacheSource>
  <cacheFields count="32">
    <cacheField name="SEASON" numFmtId="0">
      <sharedItems/>
    </cacheField>
    <cacheField name="GENDER" numFmtId="0">
      <sharedItems containsBlank="1"/>
    </cacheField>
    <cacheField name="CATEGORY" numFmtId="0">
      <sharedItems containsBlank="1" count="27">
        <s v="TRACK JACKET"/>
        <s v="TRACK PANT"/>
        <s v="T-SHIRT"/>
        <s v="SHORT "/>
        <s v="POLO"/>
        <s v="CREWNECK"/>
        <s v="QUARTER ZIP"/>
        <s v="VEST"/>
        <s v="HOODIE"/>
        <s v="SWEATPANTS"/>
        <s v="OUTERWEAR"/>
        <s v="CABANA SHIRT"/>
        <s v="KNITWEAR"/>
        <s v="LONG SLEEVE"/>
        <s v="CROP TOP"/>
        <s v="SKORT"/>
        <s v="TANK TOP"/>
        <s v="SHORTS"/>
        <s v="SKIRT"/>
        <s v="DRESS"/>
        <s v="LEGGING"/>
        <s v="SPORTS BRA"/>
        <s v="PULL OVER"/>
        <s v="SWEATPANT"/>
        <s v="SOCKS"/>
        <s v="HAT"/>
        <m/>
      </sharedItems>
    </cacheField>
    <cacheField name="VENDOR " numFmtId="0">
      <sharedItems containsBlank="1"/>
    </cacheField>
    <cacheField name="C.O.O. " numFmtId="0">
      <sharedItems containsBlank="1"/>
    </cacheField>
    <cacheField name="STYLE #" numFmtId="0">
      <sharedItems containsBlank="1"/>
    </cacheField>
    <cacheField name="FABRIC #" numFmtId="0">
      <sharedItems containsBlank="1"/>
    </cacheField>
    <cacheField name="FABRIC CONTENT" numFmtId="0">
      <sharedItems containsBlank="1"/>
    </cacheField>
    <cacheField name="FABRIC " numFmtId="0">
      <sharedItems containsBlank="1"/>
    </cacheField>
    <cacheField name="HTS # USA" numFmtId="0">
      <sharedItems containsBlank="1"/>
    </cacheField>
    <cacheField name="MSRP" numFmtId="0">
      <sharedItems containsString="0" containsBlank="1" containsNumber="1" containsInteger="1" minValue="18" maxValue="325"/>
    </cacheField>
    <cacheField name="LDP" numFmtId="0">
      <sharedItems containsString="0" containsBlank="1" containsNumber="1" minValue="4.2014000000000005" maxValue="64.876750000000001"/>
    </cacheField>
    <cacheField name="FOB" numFmtId="0">
      <sharedItems containsString="0" containsBlank="1" containsNumber="1" minValue="3.08" maxValue="46"/>
    </cacheField>
    <cacheField name="Duty_x000a_(%)" numFmtId="10">
      <sharedItems containsString="0" containsBlank="1" containsNumber="1" minValue="7.0000000000000007E-2" maxValue="0.32"/>
    </cacheField>
    <cacheField name="Duty_x000a_($)" numFmtId="0">
      <sharedItems containsString="0" containsBlank="1" containsNumber="1" minValue="0.38919999999999999" maxValue="14.064000000000002"/>
    </cacheField>
    <cacheField name="Tariff_x000a_(%)" numFmtId="10">
      <sharedItems containsString="0" containsBlank="1" containsNumber="1" minValue="7.4999999999999997E-2" maxValue="0.25"/>
    </cacheField>
    <cacheField name="Tariff_x000a_($)" numFmtId="0">
      <sharedItems containsString="0" containsBlank="1" containsNumber="1" minValue="0.53174999999999994" maxValue="3.4499999999999997"/>
    </cacheField>
    <cacheField name="Shipping_x000a_(%)" numFmtId="10">
      <sharedItems containsString="0" containsBlank="1" containsNumber="1" minValue="7.0000000000000007E-2" maxValue="7.0000000000000007E-2"/>
    </cacheField>
    <cacheField name="Shipping_x000a_($)" numFmtId="0">
      <sharedItems containsString="0" containsBlank="1" containsNumber="1" minValue="0.21560000000000001" maxValue="3.22"/>
    </cacheField>
    <cacheField name="Receiving_x000a_($)" numFmtId="0">
      <sharedItems containsString="0" containsBlank="1" containsNumber="1" minValue="0.49" maxValue="0.49"/>
    </cacheField>
    <cacheField name="Ecomm QTY" numFmtId="41">
      <sharedItems containsSemiMixedTypes="0" containsString="0" containsNumber="1" containsInteger="1" minValue="200" maxValue="174300"/>
    </cacheField>
    <cacheField name="WHS QTY" numFmtId="41">
      <sharedItems containsString="0" containsBlank="1" containsNumber="1" containsInteger="1" minValue="4" maxValue="35240"/>
    </cacheField>
    <cacheField name="ATS_x000a_QTY" numFmtId="41">
      <sharedItems containsString="0" containsBlank="1" containsNumber="1" containsInteger="1" minValue="10" maxValue="881"/>
    </cacheField>
    <cacheField name="FNF_x000a_QTY" numFmtId="41">
      <sharedItems containsString="0" containsBlank="1" containsNumber="1" containsInteger="1" minValue="50" maxValue="1120"/>
    </cacheField>
    <cacheField name="BBUK QTY" numFmtId="41">
      <sharedItems containsString="0" containsBlank="1" containsNumber="1" containsInteger="1" minValue="0" maxValue="0"/>
    </cacheField>
    <cacheField name="SILVER QTY" numFmtId="41">
      <sharedItems containsString="0" containsBlank="1" containsNumber="1" containsInteger="1" minValue="3" maxValue="185"/>
    </cacheField>
    <cacheField name="EVE_x000a_QTY" numFmtId="41">
      <sharedItems containsString="0" containsBlank="1" containsNumber="1" containsInteger="1" minValue="4" maxValue="426"/>
    </cacheField>
    <cacheField name="TTL_x000a_QTY" numFmtId="41">
      <sharedItems containsSemiMixedTypes="0" containsString="0" containsNumber="1" containsInteger="1" minValue="200" maxValue="212152"/>
    </cacheField>
    <cacheField name="Ecomm MSRP" numFmtId="24">
      <sharedItems containsSemiMixedTypes="0" containsString="0" containsNumber="1" containsInteger="1" minValue="8400" maxValue="22136150"/>
    </cacheField>
    <cacheField name="WHS MSRP" numFmtId="24">
      <sharedItems containsSemiMixedTypes="0" containsString="0" containsNumber="1" containsInteger="1" minValue="0" maxValue="4818026"/>
    </cacheField>
    <cacheField name="MSRP Total" numFmtId="24">
      <sharedItems containsSemiMixedTypes="0" containsString="0" containsNumber="1" containsInteger="1" minValue="10500" maxValue="26954176"/>
    </cacheField>
    <cacheField name="Ecomm LDP" numFmtId="24">
      <sharedItems containsSemiMixedTypes="0" containsString="0" containsNumber="1" minValue="1147.75" maxValue="4238315.9414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5995.37538888889" createdVersion="8" refreshedVersion="8" minRefreshableVersion="3" recordCount="264" xr:uid="{38DDEB29-F9C4-4A80-91F6-A5E53530759D}">
  <cacheSource type="worksheet">
    <worksheetSource ref="C3:AF267" sheet="24FW"/>
  </cacheSource>
  <cacheFields count="30">
    <cacheField name="CATEGORY" numFmtId="0">
      <sharedItems count="20">
        <s v="POLO"/>
        <s v="LONG SLEEVE KNIT"/>
        <s v="SHORTS"/>
        <s v="T-SHIRT"/>
        <s v="TRACK JACKET"/>
        <s v="TRACK PANT"/>
        <s v="HOODIE"/>
        <s v="SWEATPANTS"/>
        <s v="CREWNECK"/>
        <s v="OUTERWEAR"/>
        <s v="CAMP SHIRT"/>
        <s v="SWEATER"/>
        <s v="ACCESSORY"/>
        <s v="SPORTS BRA"/>
        <s v="LEGGINGS"/>
        <s v="DRESS"/>
        <s v="SKORT"/>
        <s v="SWEATSHIRT"/>
        <s v="SWEATPANT"/>
        <s v="SKIRT"/>
      </sharedItems>
    </cacheField>
    <cacheField name="VENDOR " numFmtId="0">
      <sharedItems/>
    </cacheField>
    <cacheField name="C.O.O. " numFmtId="0">
      <sharedItems/>
    </cacheField>
    <cacheField name="STYLE #" numFmtId="0">
      <sharedItems/>
    </cacheField>
    <cacheField name="FABRIC #" numFmtId="0">
      <sharedItems containsNonDate="0" containsString="0" containsBlank="1"/>
    </cacheField>
    <cacheField name="FABRIC CONTENT" numFmtId="0">
      <sharedItems/>
    </cacheField>
    <cacheField name="FABRIC " numFmtId="0">
      <sharedItems/>
    </cacheField>
    <cacheField name="HTS # USA" numFmtId="0">
      <sharedItems/>
    </cacheField>
    <cacheField name="MSRP" numFmtId="177">
      <sharedItems containsSemiMixedTypes="0" containsString="0" containsNumber="1" containsInteger="1" minValue="38" maxValue="345"/>
    </cacheField>
    <cacheField name="LDP" numFmtId="177">
      <sharedItems containsSemiMixedTypes="0" containsString="0" containsNumber="1" minValue="6.8145000000000007" maxValue="67.562499999999986"/>
    </cacheField>
    <cacheField name="FOB" numFmtId="177">
      <sharedItems containsSemiMixedTypes="0" containsString="0" containsNumber="1" minValue="4.55" maxValue="49.5"/>
    </cacheField>
    <cacheField name="Duty_x000a_(%)" numFmtId="10">
      <sharedItems containsSemiMixedTypes="0" containsString="0" containsNumber="1" minValue="7.0000000000000007E-2" maxValue="0.32"/>
    </cacheField>
    <cacheField name="Duty_x000a_($)" numFmtId="177">
      <sharedItems containsSemiMixedTypes="0" containsString="0" containsNumber="1" minValue="0.31850000000000001" maxValue="13.76"/>
    </cacheField>
    <cacheField name="Tariff_x000a_(%)" numFmtId="10">
      <sharedItems containsString="0" containsBlank="1" containsNumber="1" minValue="7.4999999999999997E-2" maxValue="0.25"/>
    </cacheField>
    <cacheField name="Tariff_x000a_($)" numFmtId="177">
      <sharedItems containsString="0" containsBlank="1" containsNumber="1" minValue="0.70124999999999993" maxValue="3.7124999999999999"/>
    </cacheField>
    <cacheField name="Shipping_x000a_(%)" numFmtId="10">
      <sharedItems containsSemiMixedTypes="0" containsString="0" containsNumber="1" minValue="7.0000000000000007E-2" maxValue="7.0000000000000007E-2"/>
    </cacheField>
    <cacheField name="Shipping_x000a_($)" numFmtId="177">
      <sharedItems containsSemiMixedTypes="0" containsString="0" containsNumber="1" minValue="0.31850000000000001" maxValue="3.4650000000000003"/>
    </cacheField>
    <cacheField name="Receiving_x000a_($)" numFmtId="177">
      <sharedItems containsSemiMixedTypes="0" containsString="0" containsNumber="1" minValue="0.49" maxValue="0.49"/>
    </cacheField>
    <cacheField name="Ecomm QTY" numFmtId="41">
      <sharedItems containsSemiMixedTypes="0" containsString="0" containsNumber="1" containsInteger="1" minValue="151" maxValue="1000"/>
    </cacheField>
    <cacheField name="WHS QTY" numFmtId="41">
      <sharedItems containsString="0" containsBlank="1" containsNumber="1" containsInteger="1" minValue="3" maxValue="298"/>
    </cacheField>
    <cacheField name="ATS_x000a_QTY" numFmtId="41">
      <sharedItems containsString="0" containsBlank="1" containsNumber="1" containsInteger="1" minValue="14" maxValue="223"/>
    </cacheField>
    <cacheField name="FNF_x000a_QTY" numFmtId="41">
      <sharedItems containsNonDate="0" containsString="0" containsBlank="1"/>
    </cacheField>
    <cacheField name="BBUK QTY" numFmtId="41">
      <sharedItems containsNonDate="0" containsString="0" containsBlank="1"/>
    </cacheField>
    <cacheField name="SILVER QTY" numFmtId="41">
      <sharedItems containsString="0" containsBlank="1" containsNumber="1" containsInteger="1" minValue="5" maxValue="36"/>
    </cacheField>
    <cacheField name="EVE_x000a_QTY" numFmtId="41">
      <sharedItems containsString="0" containsBlank="1" containsNumber="1" containsInteger="1" minValue="4" maxValue="32"/>
    </cacheField>
    <cacheField name="TTL_x000a_QTY" numFmtId="41">
      <sharedItems containsSemiMixedTypes="0" containsString="0" containsNumber="1" containsInteger="1" minValue="151" maxValue="1214"/>
    </cacheField>
    <cacheField name="Ecomm MSRP" numFmtId="24">
      <sharedItems containsSemiMixedTypes="0" containsString="0" containsNumber="1" containsInteger="1" minValue="7296" maxValue="160000"/>
    </cacheField>
    <cacheField name="WHS MSRP" numFmtId="24">
      <sharedItems containsSemiMixedTypes="0" containsString="0" containsNumber="1" containsInteger="1" minValue="0" maxValue="58500"/>
    </cacheField>
    <cacheField name="MSRP Total" numFmtId="24">
      <sharedItems containsSemiMixedTypes="0" containsString="0" containsNumber="1" containsInteger="1" minValue="7600" maxValue="187680"/>
    </cacheField>
    <cacheField name="Ecomm LDP" numFmtId="24">
      <sharedItems containsSemiMixedTypes="0" containsString="0" containsNumber="1" minValue="1153.8700000000001" maxValue="31170.4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5995.388349305555" createdVersion="8" refreshedVersion="8" minRefreshableVersion="3" recordCount="501" xr:uid="{3C1D5BEF-D897-4B5A-B00F-82C30277B258}">
  <cacheSource type="worksheet">
    <worksheetSource ref="C3:AH504" sheet="25SS"/>
  </cacheSource>
  <cacheFields count="32">
    <cacheField name="CATEGORY" numFmtId="0">
      <sharedItems count="36">
        <s v="POLO"/>
        <s v="SHORT "/>
        <s v="TRACK JACKET"/>
        <s v="TRACK PANT"/>
        <s v="JACKET"/>
        <s v="PANT"/>
        <s v="SHORT"/>
        <s v="T-SHIRT"/>
        <s v="SWEATSHIRT"/>
        <s v="SWEATPANT"/>
        <s v="HOODIE"/>
        <s v="CREWNECK"/>
        <s v="POLO "/>
        <s v="VEST"/>
        <s v="KNITWEAR"/>
        <s v="SHORTS"/>
        <s v="CABANA SHIRT "/>
        <s v="HAT"/>
        <s v="TANK TOP"/>
        <s v="LS KNIT"/>
        <s v="TRACK SHORT"/>
        <s v="SHIRT"/>
        <s v="SKIRT "/>
        <s v="SKIRT"/>
        <s v="T-SHIRT "/>
        <s v="TANK"/>
        <s v="SKORT "/>
        <s v="JOGGER"/>
        <s v="LONG SLEEVE KNIT"/>
        <s v="BRA "/>
        <s v="DRESS"/>
        <s v="LEGGING"/>
        <s v="ACTIVE JACKET "/>
        <s v="CABANA SHIRT"/>
        <s v="SOCKS"/>
        <s v="ACCESSORIES"/>
      </sharedItems>
    </cacheField>
    <cacheField name="VENDOR " numFmtId="0">
      <sharedItems/>
    </cacheField>
    <cacheField name="C.O.O. " numFmtId="0">
      <sharedItems containsBlank="1"/>
    </cacheField>
    <cacheField name="STYLE #" numFmtId="0">
      <sharedItems/>
    </cacheField>
    <cacheField name="FABRIC #" numFmtId="0">
      <sharedItems containsBlank="1"/>
    </cacheField>
    <cacheField name="FABRIC CONTENT" numFmtId="0">
      <sharedItems containsBlank="1"/>
    </cacheField>
    <cacheField name="FABRIC " numFmtId="0">
      <sharedItems containsBlank="1"/>
    </cacheField>
    <cacheField name="HTS # USA" numFmtId="0">
      <sharedItems/>
    </cacheField>
    <cacheField name="MSRP" numFmtId="177">
      <sharedItems containsString="0" containsBlank="1" containsNumber="1" containsInteger="1" minValue="18" maxValue="250"/>
    </cacheField>
    <cacheField name="LDP" numFmtId="177">
      <sharedItems containsSemiMixedTypes="0" containsString="0" containsNumber="1" minValue="0.49" maxValue="62.723199999999999"/>
    </cacheField>
    <cacheField name="FOB" numFmtId="177">
      <sharedItems containsString="0" containsBlank="1" containsNumber="1" minValue="2.95" maxValue="42.48"/>
    </cacheField>
    <cacheField name="Duty_x000a_(%)" numFmtId="10">
      <sharedItems containsSemiMixedTypes="0" containsString="0" containsNumber="1" minValue="0.04" maxValue="0.32"/>
    </cacheField>
    <cacheField name="Duty_x000a_($)" numFmtId="177">
      <sharedItems containsSemiMixedTypes="0" containsString="0" containsNumber="1" minValue="0" maxValue="13.593599999999999"/>
    </cacheField>
    <cacheField name="Tariff_x000a_(%)" numFmtId="10">
      <sharedItems containsString="0" containsBlank="1" containsNumber="1" minValue="7.4999999999999997E-2" maxValue="0.25"/>
    </cacheField>
    <cacheField name="Tariff_x000a_($)" numFmtId="177">
      <sharedItems containsString="0" containsBlank="1" containsNumber="1" minValue="0" maxValue="5.49"/>
    </cacheField>
    <cacheField name="Shipping_x000a_(%)" numFmtId="10">
      <sharedItems containsSemiMixedTypes="0" containsString="0" containsNumber="1" minValue="7.0000000000000007E-2" maxValue="7.0000000000000007E-2"/>
    </cacheField>
    <cacheField name="Shipping_x000a_($)" numFmtId="177">
      <sharedItems containsSemiMixedTypes="0" containsString="0" containsNumber="1" minValue="0" maxValue="2.9736000000000002"/>
    </cacheField>
    <cacheField name="Receiving_x000a_($)" numFmtId="177">
      <sharedItems containsSemiMixedTypes="0" containsString="0" containsNumber="1" minValue="0.49" maxValue="0.49"/>
    </cacheField>
    <cacheField name="Ecomm QTY" numFmtId="41">
      <sharedItems containsString="0" containsBlank="1" containsNumber="1" containsInteger="1" minValue="143" maxValue="5200"/>
    </cacheField>
    <cacheField name="WHS QTY" numFmtId="41">
      <sharedItems containsString="0" containsBlank="1" containsNumber="1" containsInteger="1" minValue="3" maxValue="735"/>
    </cacheField>
    <cacheField name="ATS_x000a_QTY" numFmtId="41">
      <sharedItems containsString="0" containsBlank="1" containsNumber="1" containsInteger="1" minValue="0" maxValue="200"/>
    </cacheField>
    <cacheField name="FNF_x000a_QTY" numFmtId="41">
      <sharedItems containsString="0" containsBlank="1" containsNumber="1" containsInteger="1" minValue="40" maxValue="150"/>
    </cacheField>
    <cacheField name="BBUK QTY" numFmtId="41">
      <sharedItems containsString="0" containsBlank="1" containsNumber="1" containsInteger="1" minValue="16" maxValue="21"/>
    </cacheField>
    <cacheField name="SILVER QTY" numFmtId="41">
      <sharedItems containsString="0" containsBlank="1" containsNumber="1" containsInteger="1" minValue="4" maxValue="22"/>
    </cacheField>
    <cacheField name="EVE_x000a_QTY" numFmtId="41">
      <sharedItems containsString="0" containsBlank="1" containsNumber="1" containsInteger="1" minValue="4" maxValue="50"/>
    </cacheField>
    <cacheField name="TTL_x000a_QTY" numFmtId="41">
      <sharedItems containsSemiMixedTypes="0" containsString="0" containsNumber="1" containsInteger="1" minValue="0" maxValue="5200"/>
    </cacheField>
    <cacheField name="Ecomm MSRP" numFmtId="24">
      <sharedItems containsSemiMixedTypes="0" containsString="0" containsNumber="1" containsInteger="1" minValue="0" maxValue="457600"/>
    </cacheField>
    <cacheField name="WHS MSRP" numFmtId="24">
      <sharedItems containsSemiMixedTypes="0" containsString="0" containsNumber="1" containsInteger="1" minValue="0" maxValue="128625"/>
    </cacheField>
    <cacheField name="MSRP Total" numFmtId="24">
      <sharedItems containsSemiMixedTypes="0" containsString="0" containsNumber="1" containsInteger="1" minValue="0" maxValue="457600"/>
    </cacheField>
    <cacheField name="Ecomm LDP" numFmtId="24">
      <sharedItems containsSemiMixedTypes="0" containsString="0" containsNumber="1" minValue="0" maxValue="86959.599999999991"/>
    </cacheField>
    <cacheField name="WHS LDP" numFmtId="24">
      <sharedItems containsSemiMixedTypes="0" containsString="0" containsNumber="1" minValue="0" maxValue="30100.064000000002"/>
    </cacheField>
    <cacheField name="LDP Total" numFmtId="24">
      <sharedItems containsSemiMixedTypes="0" containsString="0" containsNumber="1" minValue="0" maxValue="86959.5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5995.38937650463" createdVersion="8" refreshedVersion="8" minRefreshableVersion="3" recordCount="321" xr:uid="{2D1931F4-6215-4A97-AADC-76D3C025C3F6}">
  <cacheSource type="worksheet">
    <worksheetSource ref="C3:AH324" sheet="24SS"/>
  </cacheSource>
  <cacheFields count="32">
    <cacheField name="CATEGORY" numFmtId="0">
      <sharedItems count="22">
        <s v="T-SHIRT"/>
        <s v="SHORTS"/>
        <s v="LONG SLEEVE KNIT"/>
        <s v="POLO"/>
        <s v="TRACK JACKET"/>
        <s v="TRACK PANT"/>
        <s v="TRACKSUIT"/>
        <s v="HOODIE"/>
        <s v="OUTERWEAR"/>
        <s v="HAT"/>
        <s v="SWEATER"/>
        <s v="CAMP SHIRT"/>
        <s v="ACCESSORIES"/>
        <s v="SWEATPANTS"/>
        <s v="DRESS"/>
        <s v="TANK TOP"/>
        <s v="SKIRT "/>
        <s v="SKORT"/>
        <s v="SPORT BRA"/>
        <s v="SKIRT"/>
        <s v="TANK  "/>
        <s v="CARDIGAN"/>
      </sharedItems>
    </cacheField>
    <cacheField name="VENDOR " numFmtId="0">
      <sharedItems/>
    </cacheField>
    <cacheField name="C.O.O. " numFmtId="0">
      <sharedItems/>
    </cacheField>
    <cacheField name="STYLE #" numFmtId="0">
      <sharedItems/>
    </cacheField>
    <cacheField name="FABRIC #" numFmtId="0">
      <sharedItems containsNonDate="0" containsString="0" containsBlank="1"/>
    </cacheField>
    <cacheField name="FABRIC CONTENT" numFmtId="0">
      <sharedItems containsBlank="1"/>
    </cacheField>
    <cacheField name="FABRIC " numFmtId="0">
      <sharedItems/>
    </cacheField>
    <cacheField name="HTS # USA" numFmtId="0">
      <sharedItems containsBlank="1"/>
    </cacheField>
    <cacheField name="MSRP" numFmtId="177">
      <sharedItems containsString="0" containsBlank="1" containsNumber="1" containsInteger="1" minValue="15" maxValue="250"/>
    </cacheField>
    <cacheField name="LDP" numFmtId="177">
      <sharedItems containsSemiMixedTypes="0" containsString="0" containsNumber="1" minValue="5.6770000000000014" maxValue="69.125"/>
    </cacheField>
    <cacheField name="FOB" numFmtId="177">
      <sharedItems containsSemiMixedTypes="0" containsString="0" containsNumber="1" minValue="4.2" maxValue="52"/>
    </cacheField>
    <cacheField name="Duty_x000a_(%)" numFmtId="10">
      <sharedItems containsString="0" containsBlank="1" containsNumber="1" minValue="7.0000000000000007E-2" maxValue="0.32"/>
    </cacheField>
    <cacheField name="Duty_x000a_($)" numFmtId="177">
      <sharedItems containsString="0" containsBlank="1" containsNumber="1" minValue="0.54250000000000009" maxValue="15.68"/>
    </cacheField>
    <cacheField name="Tariff_x000a_(%)" numFmtId="10">
      <sharedItems containsString="0" containsBlank="1" containsNumber="1" minValue="7.4999999999999997E-2" maxValue="0.25"/>
    </cacheField>
    <cacheField name="Tariff_x000a_($)" numFmtId="177">
      <sharedItems containsString="0" containsBlank="1" containsNumber="1" minValue="0.39749999999999996" maxValue="3.6749999999999998"/>
    </cacheField>
    <cacheField name="Shipping_x000a_(%)" numFmtId="10">
      <sharedItems containsSemiMixedTypes="0" containsString="0" containsNumber="1" minValue="7.0000000000000007E-2" maxValue="7.0000000000000007E-2"/>
    </cacheField>
    <cacheField name="Shipping_x000a_($)" numFmtId="177">
      <sharedItems containsSemiMixedTypes="0" containsString="0" containsNumber="1" minValue="0.15" maxValue="6.03"/>
    </cacheField>
    <cacheField name="Receiving_x000a_($)" numFmtId="177">
      <sharedItems containsSemiMixedTypes="0" containsString="0" containsNumber="1" minValue="0.49" maxValue="0.49"/>
    </cacheField>
    <cacheField name="Ecomm QTY" numFmtId="41">
      <sharedItems containsString="0" containsBlank="1" containsNumber="1" containsInteger="1" minValue="50" maxValue="800"/>
    </cacheField>
    <cacheField name="WHS QTY" numFmtId="41">
      <sharedItems containsString="0" containsBlank="1" containsNumber="1" containsInteger="1" minValue="0" maxValue="938"/>
    </cacheField>
    <cacheField name="ATS_x000a_QTY" numFmtId="41">
      <sharedItems containsString="0" containsBlank="1" containsNumber="1" containsInteger="1" minValue="50" maxValue="450"/>
    </cacheField>
    <cacheField name="FNF_x000a_QTY" numFmtId="41">
      <sharedItems containsString="0" containsBlank="1" containsNumber="1" containsInteger="1" minValue="90" maxValue="150"/>
    </cacheField>
    <cacheField name="BBUK QTY" numFmtId="41">
      <sharedItems containsString="0" containsBlank="1" containsNumber="1" containsInteger="1" minValue="20" maxValue="105"/>
    </cacheField>
    <cacheField name="DACH" numFmtId="41">
      <sharedItems containsString="0" containsBlank="1" containsNumber="1" containsInteger="1" minValue="5" maxValue="229"/>
    </cacheField>
    <cacheField name="EVE_x000a_QTY" numFmtId="41">
      <sharedItems containsNonDate="0" containsString="0" containsBlank="1"/>
    </cacheField>
    <cacheField name="TTL_x000a_QTY" numFmtId="41">
      <sharedItems containsSemiMixedTypes="0" containsString="0" containsNumber="1" containsInteger="1" minValue="12" maxValue="1400"/>
    </cacheField>
    <cacheField name="Ecomm MSRP" numFmtId="24">
      <sharedItems containsSemiMixedTypes="0" containsString="0" containsNumber="1" containsInteger="1" minValue="0" maxValue="112000"/>
    </cacheField>
    <cacheField name="WHS MSRP" numFmtId="24">
      <sharedItems containsSemiMixedTypes="0" containsString="0" containsNumber="1" containsInteger="1" minValue="0" maxValue="94500"/>
    </cacheField>
    <cacheField name="MSRP Total" numFmtId="24">
      <sharedItems containsSemiMixedTypes="0" containsString="0" containsNumber="1" containsInteger="1" minValue="0" maxValue="196000"/>
    </cacheField>
    <cacheField name="Ecomm LDP" numFmtId="24">
      <sharedItems containsSemiMixedTypes="0" containsString="0" containsNumber="1" minValue="0" maxValue="24137.279999999999"/>
    </cacheField>
    <cacheField name="WHS LDP" numFmtId="24">
      <sharedItems containsSemiMixedTypes="0" containsString="0" containsNumber="1" minValue="0" maxValue="28575.05"/>
    </cacheField>
    <cacheField name="LDP Total" numFmtId="24">
      <sharedItems containsSemiMixedTypes="0" containsString="0" containsNumber="1" minValue="380.52" maxValue="42240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s v="FALL 2025"/>
    <x v="0"/>
    <x v="0"/>
    <s v="FYNEX"/>
    <x v="0"/>
    <s v="STF25M51348"/>
    <s v="FF447-F"/>
    <s v="88% NYLON/12% SPANDEX 125 GM/M2 WATER REPELLENT"/>
    <s v="WOVEN"/>
    <s v="6201.40.7511"/>
    <n v="165"/>
    <n v="33.039580000000008"/>
    <n v="22.89"/>
    <n v="0.27700000000000002"/>
    <n v="6.3405300000000011"/>
    <n v="7.4999999999999997E-2"/>
    <n v="1.71675"/>
    <n v="7.0000000000000007E-2"/>
    <n v="1.6023000000000003"/>
    <n v="0.49"/>
    <n v="550"/>
    <n v="139"/>
    <m/>
    <m/>
    <m/>
    <m/>
    <m/>
    <n v="689"/>
    <n v="90750"/>
    <n v="22935"/>
    <n v="113685"/>
    <n v="18171.769000000004"/>
    <n v="4592.5016200000009"/>
    <n v="22764.270620000003"/>
    <n v="12589.5"/>
    <n v="3181.71"/>
    <n v="15771.21"/>
  </r>
  <r>
    <s v="FALL 2025"/>
    <x v="0"/>
    <x v="1"/>
    <s v="FYNEX"/>
    <x v="0"/>
    <s v="STF25M51349"/>
    <s v="FF447-F"/>
    <s v="88% NYLON/12% SPANDEX 125 GM/M2 WATER REPELLENT"/>
    <s v="WOVEN"/>
    <s v="6203.43.9010"/>
    <n v="135"/>
    <n v="25.253360000000001"/>
    <n v="17.39"/>
    <n v="0.27900000000000003"/>
    <n v="4.8518100000000004"/>
    <n v="7.4999999999999997E-2"/>
    <n v="1.3042499999999999"/>
    <n v="7.0000000000000007E-2"/>
    <n v="1.2173"/>
    <n v="0.49"/>
    <n v="450"/>
    <n v="140"/>
    <m/>
    <m/>
    <m/>
    <m/>
    <m/>
    <n v="590"/>
    <n v="60750"/>
    <n v="18900"/>
    <n v="79650"/>
    <n v="11364.012000000001"/>
    <n v="3535.4704000000002"/>
    <n v="14899.482400000001"/>
    <n v="7825.5"/>
    <n v="2434.6"/>
    <n v="10260.1"/>
  </r>
  <r>
    <s v="FALL 2025"/>
    <x v="0"/>
    <x v="0"/>
    <s v="FYNEX"/>
    <x v="0"/>
    <s v="STF25M51348"/>
    <s v="FF447-F"/>
    <s v="88% NYLON/12% SPANDEX 125 GM/M2 WATER REPELLENT"/>
    <s v="WOVEN"/>
    <s v="6201.40.7511"/>
    <n v="165"/>
    <n v="33.039580000000008"/>
    <n v="22.89"/>
    <n v="0.27700000000000002"/>
    <n v="6.3405300000000011"/>
    <n v="7.4999999999999997E-2"/>
    <n v="1.71675"/>
    <n v="7.0000000000000007E-2"/>
    <n v="1.6023000000000003"/>
    <n v="0.49"/>
    <n v="450"/>
    <n v="15"/>
    <n v="35"/>
    <m/>
    <m/>
    <m/>
    <m/>
    <n v="500"/>
    <n v="74250"/>
    <n v="8250"/>
    <n v="82500"/>
    <n v="14867.811000000003"/>
    <n v="1651.9790000000005"/>
    <n v="16519.790000000005"/>
    <n v="10300.5"/>
    <n v="1144.5"/>
    <n v="11445"/>
  </r>
  <r>
    <s v="FALL 2025"/>
    <x v="0"/>
    <x v="1"/>
    <s v="FYNEX"/>
    <x v="0"/>
    <s v="STF25M51349"/>
    <s v="FF447-F"/>
    <s v="88% NYLON/12% SPANDEX 125 GM/M2 WATER REPELLENT"/>
    <s v="WOVEN"/>
    <s v="6203.43.9010"/>
    <n v="135"/>
    <n v="25.253360000000001"/>
    <n v="17.39"/>
    <n v="0.27900000000000003"/>
    <n v="4.8518100000000004"/>
    <n v="7.4999999999999997E-2"/>
    <n v="1.3042499999999999"/>
    <n v="7.0000000000000007E-2"/>
    <n v="1.2173"/>
    <n v="0.49"/>
    <n v="400"/>
    <n v="15"/>
    <n v="85"/>
    <m/>
    <m/>
    <m/>
    <m/>
    <n v="500"/>
    <n v="54000"/>
    <n v="13500"/>
    <n v="67500"/>
    <n v="10101.344000000001"/>
    <n v="2525.3360000000002"/>
    <n v="12626.68"/>
    <n v="6956"/>
    <n v="1739"/>
    <n v="8695"/>
  </r>
  <r>
    <s v="FALL 2025"/>
    <x v="0"/>
    <x v="2"/>
    <s v="FYNEX"/>
    <x v="0"/>
    <s v="STF25M51350"/>
    <s v="FF445-F"/>
    <s v="100% POLYESTER DRY TOUCH PIQUE 130 GM/M2 MOISTURE WICKING"/>
    <s v="KNIT"/>
    <s v="6109.90.1007"/>
    <n v="58"/>
    <n v="10.876850000000001"/>
    <n v="7.09"/>
    <n v="0.32"/>
    <n v="2.2688000000000001"/>
    <n v="7.4999999999999997E-2"/>
    <n v="0.53174999999999994"/>
    <n v="7.0000000000000007E-2"/>
    <n v="0.49630000000000002"/>
    <n v="0.49"/>
    <n v="500"/>
    <n v="13"/>
    <m/>
    <m/>
    <m/>
    <m/>
    <m/>
    <n v="513"/>
    <n v="29000"/>
    <n v="754"/>
    <n v="29754"/>
    <n v="5438.4250000000002"/>
    <n v="141.39905000000002"/>
    <n v="5579.8240500000002"/>
    <n v="3545"/>
    <n v="92.17"/>
    <n v="3637.17"/>
  </r>
  <r>
    <s v="FALL 2025"/>
    <x v="0"/>
    <x v="2"/>
    <s v="FYNEX"/>
    <x v="0"/>
    <s v="STF25M51350"/>
    <s v="FF445-F"/>
    <s v="100% POLYESTER DRY TOUCH PIQUE 130 GM/M2 MOISTURE WICKING"/>
    <s v="KNIT"/>
    <s v="6109.90.1007"/>
    <n v="58"/>
    <n v="10.876850000000001"/>
    <n v="7.09"/>
    <n v="0.32"/>
    <n v="2.2688000000000001"/>
    <n v="7.4999999999999997E-2"/>
    <n v="0.53174999999999994"/>
    <n v="7.0000000000000007E-2"/>
    <n v="0.49630000000000002"/>
    <n v="0.49"/>
    <n v="500"/>
    <n v="116"/>
    <m/>
    <m/>
    <m/>
    <m/>
    <m/>
    <n v="616"/>
    <n v="29000"/>
    <n v="6728"/>
    <n v="35728"/>
    <n v="5438.4250000000002"/>
    <n v="1261.7146"/>
    <n v="6700.1396000000004"/>
    <n v="3545"/>
    <n v="822.43999999999994"/>
    <n v="4367.4399999999996"/>
  </r>
  <r>
    <s v="FALL 2025"/>
    <x v="0"/>
    <x v="3"/>
    <s v="FYNEX"/>
    <x v="0"/>
    <s v="STF25M51351"/>
    <s v="FF447-F"/>
    <s v="88% NYLON/12% SPANDEX 125 GM/M2 WATER REPELLENT"/>
    <s v="WOVEN"/>
    <s v="6203.43.9030"/>
    <n v="78"/>
    <n v="16.282160000000001"/>
    <n v="11.09"/>
    <n v="0.27900000000000003"/>
    <n v="3.0941100000000001"/>
    <n v="7.4999999999999997E-2"/>
    <n v="0.83174999999999999"/>
    <n v="7.0000000000000007E-2"/>
    <n v="0.7763000000000001"/>
    <n v="0.49"/>
    <n v="500"/>
    <n v="13"/>
    <m/>
    <m/>
    <m/>
    <m/>
    <m/>
    <n v="513"/>
    <n v="39000"/>
    <n v="1014"/>
    <n v="40014"/>
    <n v="8141.0800000000008"/>
    <n v="211.66808"/>
    <n v="8352.7480800000012"/>
    <n v="5545"/>
    <n v="144.16999999999999"/>
    <n v="5689.17"/>
  </r>
  <r>
    <s v="FALL 2025"/>
    <x v="0"/>
    <x v="3"/>
    <s v="FYNEX"/>
    <x v="0"/>
    <s v="STF25M51351"/>
    <s v="FF447-F"/>
    <s v="88% NYLON/12% SPANDEX 125 GM/M2 WATER REPELLENT"/>
    <s v="WOVEN"/>
    <s v="6203.43.9030"/>
    <n v="78"/>
    <n v="16.282160000000001"/>
    <n v="11.09"/>
    <n v="0.27900000000000003"/>
    <n v="3.0941100000000001"/>
    <n v="7.4999999999999997E-2"/>
    <n v="0.83174999999999999"/>
    <n v="7.0000000000000007E-2"/>
    <n v="0.7763000000000001"/>
    <n v="0.49"/>
    <n v="500"/>
    <n v="116"/>
    <m/>
    <m/>
    <m/>
    <m/>
    <m/>
    <n v="616"/>
    <n v="39000"/>
    <n v="9048"/>
    <n v="48048"/>
    <n v="8141.0800000000008"/>
    <n v="1888.7305600000002"/>
    <n v="10029.810560000002"/>
    <n v="5545"/>
    <n v="1286.44"/>
    <n v="6831.4400000000005"/>
  </r>
  <r>
    <s v="FALL 2025"/>
    <x v="0"/>
    <x v="2"/>
    <s v="FYNEX"/>
    <x v="0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96"/>
    <m/>
    <m/>
    <m/>
    <m/>
    <m/>
    <n v="596"/>
    <n v="34000"/>
    <n v="6528"/>
    <n v="40528"/>
    <n v="6903.4249999999993"/>
    <n v="1325.4576"/>
    <n v="8228.882599999999"/>
    <n v="4545"/>
    <n v="872.64"/>
    <n v="5417.64"/>
  </r>
  <r>
    <s v="FALL 2025"/>
    <x v="0"/>
    <x v="2"/>
    <s v="FYNEX"/>
    <x v="0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72"/>
    <m/>
    <m/>
    <m/>
    <m/>
    <m/>
    <n v="572"/>
    <n v="34000"/>
    <n v="4896"/>
    <n v="38896"/>
    <n v="6903.4249999999993"/>
    <n v="994.09319999999991"/>
    <n v="7897.5181999999995"/>
    <n v="4545"/>
    <n v="654.48"/>
    <n v="5199.4799999999996"/>
  </r>
  <r>
    <s v="FALL 2025"/>
    <x v="0"/>
    <x v="2"/>
    <s v="FYNEX"/>
    <x v="0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72"/>
    <m/>
    <m/>
    <m/>
    <m/>
    <m/>
    <n v="572"/>
    <n v="34000"/>
    <n v="4896"/>
    <n v="38896"/>
    <n v="6903.4249999999993"/>
    <n v="994.09319999999991"/>
    <n v="7897.5181999999995"/>
    <n v="4545"/>
    <n v="654.48"/>
    <n v="5199.4799999999996"/>
  </r>
  <r>
    <s v="FALL 2025"/>
    <x v="0"/>
    <x v="3"/>
    <s v="FYNEX"/>
    <x v="0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72"/>
    <m/>
    <m/>
    <m/>
    <m/>
    <m/>
    <n v="572"/>
    <n v="39000"/>
    <n v="5616"/>
    <n v="44616"/>
    <n v="7800.9650000000001"/>
    <n v="1123.33896"/>
    <n v="8924.3039600000011"/>
    <n v="5295"/>
    <n v="762.48"/>
    <n v="6057.48"/>
  </r>
  <r>
    <s v="FALL 2025"/>
    <x v="0"/>
    <x v="3"/>
    <s v="FYNEX"/>
    <x v="0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96"/>
    <m/>
    <m/>
    <m/>
    <m/>
    <m/>
    <n v="596"/>
    <n v="39000"/>
    <n v="7488"/>
    <n v="46488"/>
    <n v="7800.9650000000001"/>
    <n v="1497.7852800000001"/>
    <n v="9298.7502800000002"/>
    <n v="5295"/>
    <n v="1016.64"/>
    <n v="6311.64"/>
  </r>
  <r>
    <s v="FALL 2025"/>
    <x v="0"/>
    <x v="3"/>
    <s v="FYNEX"/>
    <x v="0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72"/>
    <m/>
    <m/>
    <m/>
    <m/>
    <m/>
    <n v="572"/>
    <n v="39000"/>
    <n v="5616"/>
    <n v="44616"/>
    <n v="7800.9650000000001"/>
    <n v="1123.33896"/>
    <n v="8924.3039600000011"/>
    <n v="5295"/>
    <n v="762.48"/>
    <n v="6057.48"/>
  </r>
  <r>
    <s v="FALL 2025"/>
    <x v="0"/>
    <x v="2"/>
    <s v="FYNEX"/>
    <x v="0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400"/>
    <n v="53"/>
    <n v="47"/>
    <m/>
    <m/>
    <m/>
    <m/>
    <n v="500"/>
    <n v="23200"/>
    <n v="5800"/>
    <n v="29000"/>
    <n v="5053.9399999999996"/>
    <n v="1263.4849999999999"/>
    <n v="6317.4249999999993"/>
    <n v="3315.9999999999995"/>
    <n v="828.99999999999989"/>
    <n v="4144.9999999999991"/>
  </r>
  <r>
    <s v="FALL 2025"/>
    <x v="0"/>
    <x v="2"/>
    <s v="FYNEX"/>
    <x v="0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400"/>
    <n v="48"/>
    <n v="52"/>
    <m/>
    <m/>
    <m/>
    <m/>
    <n v="500"/>
    <n v="23200"/>
    <n v="5800"/>
    <n v="29000"/>
    <n v="5053.9399999999996"/>
    <n v="1263.4849999999999"/>
    <n v="6317.4249999999993"/>
    <n v="3315.9999999999995"/>
    <n v="828.99999999999989"/>
    <n v="4144.9999999999991"/>
  </r>
  <r>
    <s v="FALL 2025"/>
    <x v="0"/>
    <x v="2"/>
    <s v="FYNEX"/>
    <x v="0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500"/>
    <n v="48"/>
    <m/>
    <m/>
    <m/>
    <m/>
    <m/>
    <n v="548"/>
    <n v="29000"/>
    <n v="2784"/>
    <n v="31784"/>
    <n v="6317.4249999999993"/>
    <n v="606.47279999999989"/>
    <n v="6923.8977999999988"/>
    <n v="4145"/>
    <n v="397.91999999999996"/>
    <n v="4542.92"/>
  </r>
  <r>
    <s v="FALL 2025"/>
    <x v="0"/>
    <x v="2"/>
    <s v="FYNEX"/>
    <x v="0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450"/>
    <n v="101"/>
    <m/>
    <m/>
    <m/>
    <m/>
    <n v="12"/>
    <n v="563"/>
    <n v="35100"/>
    <n v="8814"/>
    <n v="43914"/>
    <n v="7201.9574999999995"/>
    <n v="1743.5193499999998"/>
    <n v="8945.4768499999991"/>
    <n v="4765.5"/>
    <n v="1196.67"/>
    <n v="5962.17"/>
  </r>
  <r>
    <s v="FALL 2025"/>
    <x v="0"/>
    <x v="2"/>
    <s v="FYNEX"/>
    <x v="0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400"/>
    <n v="103"/>
    <m/>
    <m/>
    <m/>
    <m/>
    <n v="12"/>
    <n v="515"/>
    <n v="31200"/>
    <n v="8970"/>
    <n v="40170"/>
    <n v="6401.74"/>
    <n v="1775.5280499999999"/>
    <n v="8177.2680499999997"/>
    <n v="4236"/>
    <n v="1217.8499999999999"/>
    <n v="5453.85"/>
  </r>
  <r>
    <s v="FALL 2025"/>
    <x v="0"/>
    <x v="2"/>
    <s v="FYNEX"/>
    <x v="0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500"/>
    <n v="96"/>
    <m/>
    <m/>
    <m/>
    <m/>
    <m/>
    <n v="596"/>
    <n v="39000"/>
    <n v="7488"/>
    <n v="46488"/>
    <n v="8002.1749999999993"/>
    <n v="1536.4175999999998"/>
    <n v="9538.5925999999999"/>
    <n v="5295"/>
    <n v="1016.64"/>
    <n v="6311.64"/>
  </r>
  <r>
    <s v="FALL 2025"/>
    <x v="0"/>
    <x v="0"/>
    <s v="FYNEX"/>
    <x v="0"/>
    <s v="STF25M51338"/>
    <s v="FF449-F"/>
    <s v="95% POLYESTER/5% SPANDEX PIQUE DOUBLE KNIT 300GM/M2 MOISTURE WICKING"/>
    <s v="KNIT"/>
    <s v="6112.12.0010"/>
    <n v="145"/>
    <n v="25.59093"/>
    <n v="17.59"/>
    <n v="0.28199999999999997"/>
    <n v="4.9603799999999998"/>
    <n v="7.4999999999999997E-2"/>
    <n v="1.31925"/>
    <n v="7.0000000000000007E-2"/>
    <n v="1.2313000000000001"/>
    <n v="0.49"/>
    <n v="550"/>
    <n v="159"/>
    <m/>
    <m/>
    <m/>
    <m/>
    <n v="6"/>
    <n v="715"/>
    <n v="79750"/>
    <n v="23925"/>
    <n v="103675"/>
    <n v="14075.011500000001"/>
    <n v="4174.4978700000001"/>
    <n v="18249.50937"/>
    <n v="9674.5"/>
    <n v="2902.35"/>
    <n v="12576.85"/>
  </r>
  <r>
    <s v="FALL 2025"/>
    <x v="0"/>
    <x v="1"/>
    <s v="FYNEX"/>
    <x v="0"/>
    <s v="STF25M51339"/>
    <s v="FF449-F"/>
    <s v="95% POLYESTER/5% SPANDEX PIQUE DOUBLE KNIT 300GM/M2 MOISTURE WICKING"/>
    <s v="KNIT"/>
    <s v="6112.12.0050"/>
    <n v="125"/>
    <n v="22.451530000000002"/>
    <n v="15.39"/>
    <n v="0.28199999999999997"/>
    <n v="4.3399799999999997"/>
    <n v="7.4999999999999997E-2"/>
    <n v="1.15425"/>
    <n v="7.0000000000000007E-2"/>
    <n v="1.0773000000000001"/>
    <n v="0.49"/>
    <n v="450"/>
    <n v="160"/>
    <m/>
    <m/>
    <m/>
    <m/>
    <n v="6"/>
    <n v="616"/>
    <n v="56250"/>
    <n v="20750"/>
    <n v="77000"/>
    <n v="10103.1885"/>
    <n v="3684.5848000000005"/>
    <n v="13787.773300000001"/>
    <n v="6925.5"/>
    <n v="2554.7400000000002"/>
    <n v="9480.24"/>
  </r>
  <r>
    <s v="FALL 2025"/>
    <x v="0"/>
    <x v="0"/>
    <s v="FYNEX"/>
    <x v="0"/>
    <s v="STF25M51338"/>
    <s v="FF449-F"/>
    <s v="95% POLYESTER/5% SPANDEX PIQUE DOUBLE KNIT 300GM/M2 MOISTURE WICKING"/>
    <s v="KNIT"/>
    <s v="6112.12.0010"/>
    <n v="145"/>
    <n v="25.59093"/>
    <n v="17.59"/>
    <n v="0.28199999999999997"/>
    <n v="4.9603799999999998"/>
    <n v="7.4999999999999997E-2"/>
    <n v="1.31925"/>
    <n v="7.0000000000000007E-2"/>
    <n v="1.2313000000000001"/>
    <n v="0.49"/>
    <n v="450"/>
    <n v="23"/>
    <n v="27"/>
    <m/>
    <m/>
    <m/>
    <m/>
    <n v="500"/>
    <n v="65250"/>
    <n v="7250"/>
    <n v="72500"/>
    <n v="11515.9185"/>
    <n v="1279.5464999999999"/>
    <n v="12795.465"/>
    <n v="7915.5"/>
    <n v="879.5"/>
    <n v="8795"/>
  </r>
  <r>
    <s v="FALL 2025"/>
    <x v="0"/>
    <x v="1"/>
    <s v="FYNEX"/>
    <x v="0"/>
    <s v="STF25M51339"/>
    <s v="FF449-F"/>
    <s v="95% POLYESTER/5% SPANDEX PIQUE DOUBLE KNIT 300GM/M2 MOISTURE WICKING"/>
    <s v="KNIT"/>
    <s v="6112.12.0050"/>
    <n v="125"/>
    <n v="22.451530000000002"/>
    <n v="15.39"/>
    <n v="0.28199999999999997"/>
    <n v="4.3399799999999997"/>
    <n v="7.4999999999999997E-2"/>
    <n v="1.15425"/>
    <n v="7.0000000000000007E-2"/>
    <n v="1.0773000000000001"/>
    <n v="0.49"/>
    <n v="400"/>
    <n v="23"/>
    <n v="77"/>
    <m/>
    <m/>
    <m/>
    <m/>
    <n v="500"/>
    <n v="50000"/>
    <n v="12500"/>
    <n v="62500"/>
    <n v="8980.612000000001"/>
    <n v="2245.1530000000002"/>
    <n v="11225.765000000001"/>
    <n v="6156"/>
    <n v="1539"/>
    <n v="7695"/>
  </r>
  <r>
    <s v="FALL 2025"/>
    <x v="0"/>
    <x v="4"/>
    <s v="FYNEX"/>
    <x v="0"/>
    <s v="STF25M51340"/>
    <s v="FF445-F"/>
    <s v="100% POLYESTER DRY TOUCH PIQUE 130 GM/M2 MOISTURE WICKING"/>
    <s v="KNIT"/>
    <s v="6105.20.2010"/>
    <n v="78"/>
    <n v="15.56485"/>
    <n v="10.29"/>
    <n v="0.32"/>
    <n v="3.2927999999999997"/>
    <n v="7.4999999999999997E-2"/>
    <n v="0.77174999999999994"/>
    <n v="7.0000000000000007E-2"/>
    <n v="0.72030000000000005"/>
    <n v="0.49"/>
    <n v="450"/>
    <n v="165"/>
    <m/>
    <m/>
    <m/>
    <m/>
    <m/>
    <n v="615"/>
    <n v="35100"/>
    <n v="12870"/>
    <n v="47970"/>
    <n v="7004.1824999999999"/>
    <n v="2568.2002499999999"/>
    <n v="9572.3827500000007"/>
    <n v="4630.5"/>
    <n v="1697.85"/>
    <n v="6328.35"/>
  </r>
  <r>
    <s v="FALL 2025"/>
    <x v="0"/>
    <x v="4"/>
    <s v="FYNEX"/>
    <x v="0"/>
    <s v="STF25M51340"/>
    <s v="FF445-F"/>
    <s v="100% POLYESTER DRY TOUCH PIQUE 130 GM/M2 MOISTURE WICKING"/>
    <s v="KNIT"/>
    <s v="6105.20.2010"/>
    <n v="78"/>
    <n v="15.56485"/>
    <n v="10.29"/>
    <n v="0.32"/>
    <n v="3.2927999999999997"/>
    <n v="7.4999999999999997E-2"/>
    <n v="0.77174999999999994"/>
    <n v="7.0000000000000007E-2"/>
    <n v="0.72030000000000005"/>
    <n v="0.49"/>
    <n v="350"/>
    <n v="39"/>
    <n v="111"/>
    <m/>
    <m/>
    <m/>
    <m/>
    <n v="500"/>
    <n v="27300"/>
    <n v="11700"/>
    <n v="39000"/>
    <n v="5447.6975000000002"/>
    <n v="2334.7275"/>
    <n v="7782.4250000000002"/>
    <n v="3601.4999999999995"/>
    <n v="1543.4999999999998"/>
    <n v="5144.9999999999991"/>
  </r>
  <r>
    <s v="FALL 2025"/>
    <x v="0"/>
    <x v="3"/>
    <s v="FYNEX"/>
    <x v="0"/>
    <s v="STF25M51341"/>
    <s v="FF449-F"/>
    <s v="95% POLYESTER/5% SPANDEX PIQUE DOUBLE KNIT 300GM/M2 MOISTURE WICKING"/>
    <s v="KNIT"/>
    <s v="6103.43.1550"/>
    <n v="78"/>
    <n v="16.315429999999999"/>
    <n v="11.09"/>
    <n v="0.28199999999999997"/>
    <n v="3.1273799999999996"/>
    <n v="7.4999999999999997E-2"/>
    <n v="0.83174999999999999"/>
    <n v="7.0000000000000007E-2"/>
    <n v="0.7763000000000001"/>
    <n v="0.49"/>
    <n v="400"/>
    <n v="163"/>
    <m/>
    <m/>
    <m/>
    <m/>
    <m/>
    <n v="563"/>
    <n v="31200"/>
    <n v="12714"/>
    <n v="43914"/>
    <n v="6526.1719999999996"/>
    <n v="2659.41509"/>
    <n v="9185.5870899999991"/>
    <n v="4436"/>
    <n v="1807.67"/>
    <n v="6243.67"/>
  </r>
  <r>
    <s v="FALL 2025"/>
    <x v="0"/>
    <x v="3"/>
    <s v="FYNEX"/>
    <x v="0"/>
    <s v="STF25M51341"/>
    <s v="FF449-F"/>
    <s v="95% POLYESTER/5% SPANDEX PIQUE DOUBLE KNIT 300GM/M2 MOISTURE WICKING"/>
    <s v="KNIT"/>
    <s v="6103.43.1550"/>
    <n v="78"/>
    <n v="16.315429999999999"/>
    <n v="11.09"/>
    <n v="0.28199999999999997"/>
    <n v="3.1273799999999996"/>
    <n v="7.4999999999999997E-2"/>
    <n v="0.83174999999999999"/>
    <n v="7.0000000000000007E-2"/>
    <n v="0.7763000000000001"/>
    <n v="0.49"/>
    <n v="300"/>
    <n v="33"/>
    <n v="167"/>
    <m/>
    <m/>
    <m/>
    <m/>
    <n v="500"/>
    <n v="23400"/>
    <n v="15600"/>
    <n v="39000"/>
    <n v="4894.6289999999999"/>
    <n v="3263.0859999999998"/>
    <n v="8157.7150000000001"/>
    <n v="3327"/>
    <n v="2218"/>
    <n v="5545"/>
  </r>
  <r>
    <s v="FALL 2025"/>
    <x v="0"/>
    <x v="5"/>
    <s v="FYNEX"/>
    <x v="0"/>
    <s v="STF25M51342"/>
    <s v="FF449-F"/>
    <s v="95% POLYESTER/5% SPANDEX PIQUE DOUBLE KNIT 300GM/M2 MOISTURE WICKING"/>
    <s v="KNIT"/>
    <s v="6109.90.1007"/>
    <n v="110"/>
    <n v="19.959849999999996"/>
    <n v="13.29"/>
    <n v="0.32"/>
    <n v="4.2527999999999997"/>
    <n v="7.4999999999999997E-2"/>
    <n v="0.99674999999999991"/>
    <n v="7.0000000000000007E-2"/>
    <n v="0.93030000000000002"/>
    <n v="0.49"/>
    <n v="600"/>
    <n v="122"/>
    <m/>
    <m/>
    <m/>
    <m/>
    <n v="18"/>
    <n v="740"/>
    <n v="66000"/>
    <n v="15400"/>
    <n v="81400"/>
    <n v="11975.909999999998"/>
    <n v="2674.3216999999995"/>
    <n v="14650.231699999997"/>
    <n v="7973.9999999999991"/>
    <n v="1860.6"/>
    <n v="9834.5999999999985"/>
  </r>
  <r>
    <s v="FALL 2025"/>
    <x v="0"/>
    <x v="6"/>
    <s v="FYNEX"/>
    <x v="0"/>
    <s v="STF25M51373"/>
    <s v="FF451-F"/>
    <s v="85% POLYESTER/15% SPANDEX 240GM/M2  BRUSHED HEATHER DOUBLE KNIT MOISTURE WICKING                                   "/>
    <s v="KNIT"/>
    <s v="6112.11.0010"/>
    <n v="125"/>
    <n v="24.592030000000001"/>
    <n v="16.89"/>
    <n v="0.28199999999999997"/>
    <n v="4.7629799999999998"/>
    <n v="7.4999999999999997E-2"/>
    <n v="1.26675"/>
    <n v="7.0000000000000007E-2"/>
    <n v="1.1823000000000001"/>
    <n v="0.49"/>
    <n v="600"/>
    <n v="124"/>
    <m/>
    <m/>
    <m/>
    <m/>
    <n v="6"/>
    <n v="730"/>
    <n v="75000"/>
    <n v="16250"/>
    <n v="91250"/>
    <n v="14755.218000000001"/>
    <n v="3150.7517200000002"/>
    <n v="17905.969720000001"/>
    <n v="10134"/>
    <n v="2195.7000000000003"/>
    <n v="12329.7"/>
  </r>
  <r>
    <s v="FALL 2025"/>
    <x v="0"/>
    <x v="1"/>
    <s v="FYNEX"/>
    <x v="0"/>
    <s v="STF25M51374"/>
    <s v="FF451-F"/>
    <s v="85% POLYESTER/15% SPANDEX 240GM/M2  BRUSHED HEATHER DOUBLE KNIT MOISTURE WICKING                                   "/>
    <s v="KNIT"/>
    <s v="6112.12.0050"/>
    <n v="110"/>
    <n v="22.023429999999998"/>
    <n v="15.09"/>
    <n v="0.28199999999999997"/>
    <n v="4.2553799999999997"/>
    <n v="7.4999999999999997E-2"/>
    <n v="1.13175"/>
    <n v="7.0000000000000007E-2"/>
    <n v="1.0563"/>
    <n v="0.49"/>
    <n v="500"/>
    <n v="124"/>
    <m/>
    <m/>
    <m/>
    <m/>
    <n v="6"/>
    <n v="630"/>
    <n v="55000"/>
    <n v="14300"/>
    <n v="69300"/>
    <n v="11011.714999999998"/>
    <n v="2821.4453199999998"/>
    <n v="13833.160319999999"/>
    <n v="7545"/>
    <n v="1961.7"/>
    <n v="9506.7000000000007"/>
  </r>
  <r>
    <s v="FALL 2025"/>
    <x v="0"/>
    <x v="6"/>
    <s v="FYNEX"/>
    <x v="0"/>
    <s v="STF25M51373"/>
    <s v="FF451-F"/>
    <s v="85% POLYESTER/15% SPANDEX 240GM/M2  BRUSHED HEATHER DOUBLE KNIT MOISTURE WICKING                                   "/>
    <s v="KNIT"/>
    <s v="6112.11.0010"/>
    <n v="125"/>
    <n v="24.592030000000001"/>
    <n v="16.89"/>
    <n v="0.28199999999999997"/>
    <n v="4.7629799999999998"/>
    <n v="7.4999999999999997E-2"/>
    <n v="1.26675"/>
    <n v="7.0000000000000007E-2"/>
    <n v="1.1823000000000001"/>
    <n v="0.49"/>
    <n v="700"/>
    <n v="159"/>
    <m/>
    <m/>
    <m/>
    <m/>
    <m/>
    <n v="859"/>
    <n v="87500"/>
    <n v="19875"/>
    <n v="107375"/>
    <n v="17214.421000000002"/>
    <n v="3910.1327700000002"/>
    <n v="21124.553770000002"/>
    <n v="11823"/>
    <n v="2685.51"/>
    <n v="14508.51"/>
  </r>
  <r>
    <s v="FALL 2025"/>
    <x v="0"/>
    <x v="1"/>
    <s v="FYNEX"/>
    <x v="0"/>
    <s v="STF25M51374"/>
    <s v="FF451-F"/>
    <s v="85% POLYESTER/15% SPANDEX 240GM/M2  BRUSHED HEATHER DOUBLE KNIT MOISTURE WICKING                                   "/>
    <s v="KNIT"/>
    <s v="6112.12.0050"/>
    <n v="110"/>
    <n v="22.023429999999998"/>
    <n v="15.09"/>
    <n v="0.28199999999999997"/>
    <n v="4.2553799999999997"/>
    <n v="7.4999999999999997E-2"/>
    <n v="1.13175"/>
    <n v="7.0000000000000007E-2"/>
    <n v="1.0563"/>
    <n v="0.49"/>
    <n v="600"/>
    <n v="160"/>
    <m/>
    <m/>
    <m/>
    <m/>
    <m/>
    <n v="760"/>
    <n v="66000"/>
    <n v="17600"/>
    <n v="83600"/>
    <n v="13214.057999999999"/>
    <n v="3523.7487999999994"/>
    <n v="16737.806799999998"/>
    <n v="9054"/>
    <n v="2414.4"/>
    <n v="11468.4"/>
  </r>
  <r>
    <s v="FALL 2025"/>
    <x v="0"/>
    <x v="7"/>
    <s v="HESRRO"/>
    <x v="0"/>
    <s v="STF25M51354"/>
    <s v="FF093"/>
    <s v="100% TAFFETA NYLON "/>
    <s v="WOVEN"/>
    <s v="6211.33.9054"/>
    <n v="110"/>
    <n v="22.022500000000001"/>
    <n v="16.5"/>
    <n v="0.16"/>
    <n v="2.64"/>
    <n v="7.4999999999999997E-2"/>
    <n v="1.2375"/>
    <n v="7.0000000000000007E-2"/>
    <n v="1.155"/>
    <n v="0.49"/>
    <n v="400"/>
    <n v="85"/>
    <m/>
    <m/>
    <m/>
    <m/>
    <n v="6"/>
    <n v="491"/>
    <n v="44000"/>
    <n v="10010"/>
    <n v="54010"/>
    <n v="8809"/>
    <n v="1970.9125000000001"/>
    <n v="10779.9125"/>
    <n v="6600"/>
    <n v="1501.5"/>
    <n v="8101.5"/>
  </r>
  <r>
    <s v="FALL 2025"/>
    <x v="0"/>
    <x v="7"/>
    <s v="HESRRO"/>
    <x v="0"/>
    <s v="STF25M51354"/>
    <s v="FF093"/>
    <s v="100% TAFFETA NYLON "/>
    <s v="WOVEN"/>
    <s v="6211.33.9054"/>
    <n v="110"/>
    <n v="22.022500000000001"/>
    <n v="16.5"/>
    <n v="0.16"/>
    <n v="2.64"/>
    <n v="7.4999999999999997E-2"/>
    <n v="1.2375"/>
    <n v="7.0000000000000007E-2"/>
    <n v="1.155"/>
    <n v="0.49"/>
    <n v="400"/>
    <n v="79"/>
    <m/>
    <m/>
    <m/>
    <m/>
    <n v="6"/>
    <n v="485"/>
    <n v="44000"/>
    <n v="9350"/>
    <n v="53350"/>
    <n v="8809"/>
    <n v="1838.7775000000001"/>
    <n v="10647.7775"/>
    <n v="6600"/>
    <n v="1402.5"/>
    <n v="8002.5"/>
  </r>
  <r>
    <s v="FALL 2025"/>
    <x v="0"/>
    <x v="3"/>
    <s v="HESRRO"/>
    <x v="0"/>
    <s v="STF25M51355"/>
    <s v="FF093"/>
    <s v="100% TAFFETA NYLON "/>
    <s v="WOVEN"/>
    <s v="6203.43.9030"/>
    <n v="78"/>
    <n v="14.729999999999999"/>
    <n v="10"/>
    <n v="0.27900000000000003"/>
    <n v="2.79"/>
    <n v="7.4999999999999997E-2"/>
    <n v="0.75"/>
    <n v="7.0000000000000007E-2"/>
    <n v="0.70000000000000007"/>
    <n v="0.49"/>
    <n v="400"/>
    <n v="130"/>
    <m/>
    <m/>
    <m/>
    <m/>
    <n v="6"/>
    <n v="536"/>
    <n v="31200"/>
    <n v="10608"/>
    <n v="41808"/>
    <n v="5891.9999999999991"/>
    <n v="1974.8999999999999"/>
    <n v="7866.8999999999987"/>
    <n v="4000"/>
    <n v="1360"/>
    <n v="5360"/>
  </r>
  <r>
    <s v="FALL 2025"/>
    <x v="0"/>
    <x v="3"/>
    <s v="HESRRO"/>
    <x v="0"/>
    <s v="STF25M51355"/>
    <s v="FF093"/>
    <s v="100% TAFFETA NYLON "/>
    <s v="WOVEN"/>
    <s v="6203.43.9030"/>
    <n v="78"/>
    <n v="14.729999999999999"/>
    <n v="10"/>
    <n v="0.27900000000000003"/>
    <n v="2.79"/>
    <n v="7.4999999999999997E-2"/>
    <n v="0.75"/>
    <n v="7.0000000000000007E-2"/>
    <n v="0.70000000000000007"/>
    <n v="0.49"/>
    <n v="400"/>
    <n v="119"/>
    <m/>
    <m/>
    <m/>
    <m/>
    <n v="6"/>
    <n v="525"/>
    <n v="31200"/>
    <n v="9750"/>
    <n v="40950"/>
    <n v="5891.9999999999991"/>
    <n v="1812.87"/>
    <n v="7704.869999999999"/>
    <n v="4000"/>
    <n v="1250"/>
    <n v="5250"/>
  </r>
  <r>
    <s v="FALL 2025"/>
    <x v="0"/>
    <x v="5"/>
    <s v="HESRRO"/>
    <x v="0"/>
    <s v="STF25M51356"/>
    <s v="FF093"/>
    <s v="100% TAFFETA NYLON "/>
    <s v="WOVEN"/>
    <s v="6211.33.9044"/>
    <n v="125"/>
    <n v="21.369999999999997"/>
    <n v="16"/>
    <n v="0.16"/>
    <n v="2.56"/>
    <n v="7.4999999999999997E-2"/>
    <n v="1.2"/>
    <n v="7.0000000000000007E-2"/>
    <n v="1.1200000000000001"/>
    <n v="0.49"/>
    <n v="500"/>
    <n v="69"/>
    <m/>
    <m/>
    <m/>
    <n v="16"/>
    <n v="6"/>
    <n v="591"/>
    <n v="62500"/>
    <n v="11375"/>
    <n v="73875"/>
    <n v="10684.999999999998"/>
    <n v="1826.5299999999997"/>
    <n v="12511.529999999999"/>
    <n v="8000"/>
    <n v="1456"/>
    <n v="9456"/>
  </r>
  <r>
    <s v="FALL 2025"/>
    <x v="0"/>
    <x v="5"/>
    <s v="HESRRO"/>
    <x v="0"/>
    <s v="STF25M51356"/>
    <s v="FF093"/>
    <s v="100% TAFFETA NYLON "/>
    <s v="WOVEN"/>
    <s v="6211.33.9044"/>
    <n v="125"/>
    <n v="21.369999999999997"/>
    <n v="16"/>
    <n v="0.16"/>
    <n v="2.56"/>
    <n v="7.4999999999999997E-2"/>
    <n v="1.2"/>
    <n v="7.0000000000000007E-2"/>
    <n v="1.1200000000000001"/>
    <n v="0.49"/>
    <n v="500"/>
    <n v="55"/>
    <m/>
    <m/>
    <m/>
    <m/>
    <n v="6"/>
    <n v="561"/>
    <n v="62500"/>
    <n v="7625"/>
    <n v="70125"/>
    <n v="10684.999999999998"/>
    <n v="1271.3499999999999"/>
    <n v="11956.349999999999"/>
    <n v="8000"/>
    <n v="976"/>
    <n v="8976"/>
  </r>
  <r>
    <s v="FALL 2025"/>
    <x v="0"/>
    <x v="0"/>
    <s v="HESRRO"/>
    <x v="0"/>
    <s v="STF25M51343"/>
    <s v="FF093"/>
    <s v="100% TAFFETA NYLON 48GM/M2"/>
    <s v="WOVEN"/>
    <s v="6201.40.7511"/>
    <n v="150"/>
    <n v="28.3612"/>
    <n v="19.600000000000001"/>
    <n v="0.27700000000000002"/>
    <n v="5.4292000000000007"/>
    <n v="7.4999999999999997E-2"/>
    <n v="1.47"/>
    <n v="7.0000000000000007E-2"/>
    <n v="1.3720000000000003"/>
    <n v="0.49"/>
    <n v="600"/>
    <n v="244"/>
    <m/>
    <m/>
    <m/>
    <n v="16"/>
    <n v="12"/>
    <n v="872"/>
    <n v="90000"/>
    <n v="40800"/>
    <n v="130800"/>
    <n v="17016.72"/>
    <n v="7468.9328000000005"/>
    <n v="24485.652800000003"/>
    <n v="11760"/>
    <n v="5331.2000000000007"/>
    <n v="17091.2"/>
  </r>
  <r>
    <s v="FALL 2025"/>
    <x v="0"/>
    <x v="1"/>
    <s v="HESRRO"/>
    <x v="0"/>
    <s v="STF25M51344"/>
    <s v="FF093"/>
    <s v="100% TAFFETA NYLON 48GM/M2"/>
    <s v="WOVEN"/>
    <s v="6203.43.9010"/>
    <n v="135"/>
    <n v="20.710799999999999"/>
    <n v="14.2"/>
    <n v="0.27900000000000003"/>
    <n v="3.9618000000000002"/>
    <n v="7.4999999999999997E-2"/>
    <n v="1.0649999999999999"/>
    <n v="7.0000000000000007E-2"/>
    <n v="0.99399999999999999"/>
    <n v="0.49"/>
    <n v="500"/>
    <n v="268"/>
    <m/>
    <m/>
    <m/>
    <n v="16"/>
    <n v="12"/>
    <n v="796"/>
    <n v="67500"/>
    <n v="39960"/>
    <n v="107460"/>
    <n v="10355.4"/>
    <n v="5948.0944"/>
    <n v="16303.4944"/>
    <n v="7100"/>
    <n v="4203.2"/>
    <n v="11303.2"/>
  </r>
  <r>
    <s v="FALL 2025"/>
    <x v="0"/>
    <x v="0"/>
    <s v="HESRRO"/>
    <x v="0"/>
    <s v="STF25M51343"/>
    <s v="FF093"/>
    <s v="100% TAFFETA NYLON 48GM/M2"/>
    <s v="WOVEN"/>
    <s v="6201.40.7511"/>
    <n v="150"/>
    <n v="28.3612"/>
    <n v="19.600000000000001"/>
    <n v="0.27700000000000002"/>
    <n v="5.4292000000000007"/>
    <n v="7.4999999999999997E-2"/>
    <n v="1.47"/>
    <n v="7.0000000000000007E-2"/>
    <n v="1.3720000000000003"/>
    <n v="0.49"/>
    <n v="600"/>
    <n v="238"/>
    <m/>
    <m/>
    <m/>
    <m/>
    <n v="12"/>
    <n v="850"/>
    <n v="90000"/>
    <n v="37500"/>
    <n v="127500"/>
    <n v="17016.72"/>
    <n v="6985.1656000000003"/>
    <n v="24001.885600000001"/>
    <n v="11760"/>
    <n v="4900"/>
    <n v="16660"/>
  </r>
  <r>
    <s v="FALL 2025"/>
    <x v="0"/>
    <x v="1"/>
    <s v="HESRRO"/>
    <x v="0"/>
    <s v="STF25M51344"/>
    <s v="FF093"/>
    <s v="100% TAFFETA NYLON 48GM/M2"/>
    <s v="WOVEN"/>
    <s v="6203.43.9010"/>
    <n v="135"/>
    <n v="20.710799999999999"/>
    <n v="14.2"/>
    <n v="0.27900000000000003"/>
    <n v="3.9618000000000002"/>
    <n v="7.4999999999999997E-2"/>
    <n v="1.0649999999999999"/>
    <n v="7.0000000000000007E-2"/>
    <n v="0.99399999999999999"/>
    <n v="0.49"/>
    <n v="500"/>
    <n v="214"/>
    <m/>
    <m/>
    <m/>
    <m/>
    <n v="12"/>
    <n v="726"/>
    <n v="67500"/>
    <n v="30510"/>
    <n v="98010"/>
    <n v="10355.4"/>
    <n v="4602.511199999999"/>
    <n v="14957.911199999999"/>
    <n v="7100"/>
    <n v="3209.2"/>
    <n v="10309.200000000001"/>
  </r>
  <r>
    <s v="FALL 2025"/>
    <x v="0"/>
    <x v="4"/>
    <s v="HESRRO"/>
    <x v="0"/>
    <s v="STF25M51345"/>
    <s v="FF444-H"/>
    <s v="100% NYLON MICRO PIQUE 195GM/M2"/>
    <s v="KNIT"/>
    <s v="6105.20.2010"/>
    <n v="78"/>
    <n v="16.604999999999997"/>
    <n v="11"/>
    <n v="0.32"/>
    <n v="3.52"/>
    <n v="7.4999999999999997E-2"/>
    <n v="0.82499999999999996"/>
    <n v="7.0000000000000007E-2"/>
    <n v="0.77"/>
    <n v="0.49"/>
    <n v="400"/>
    <n v="23"/>
    <m/>
    <m/>
    <m/>
    <m/>
    <m/>
    <n v="423"/>
    <n v="31200"/>
    <n v="1794"/>
    <n v="32994"/>
    <n v="6641.9999999999991"/>
    <n v="381.91499999999991"/>
    <n v="7023.9149999999991"/>
    <n v="4400"/>
    <n v="253"/>
    <n v="4653"/>
  </r>
  <r>
    <s v="FALL 2025"/>
    <x v="0"/>
    <x v="4"/>
    <s v="HESRRO"/>
    <x v="0"/>
    <s v="STF25M51345"/>
    <s v="FF444-H"/>
    <s v="100% NYLON MICRO PIQUE 195GM/M2"/>
    <s v="KNIT"/>
    <s v="6105.20.2010"/>
    <n v="78"/>
    <n v="16.604999999999997"/>
    <n v="11"/>
    <n v="0.32"/>
    <n v="3.52"/>
    <n v="7.4999999999999997E-2"/>
    <n v="0.82499999999999996"/>
    <n v="7.0000000000000007E-2"/>
    <n v="0.77"/>
    <n v="0.49"/>
    <n v="500"/>
    <m/>
    <m/>
    <m/>
    <m/>
    <m/>
    <m/>
    <n v="500"/>
    <n v="39000"/>
    <n v="0"/>
    <n v="39000"/>
    <n v="8302.4999999999982"/>
    <n v="0"/>
    <n v="8302.4999999999982"/>
    <n v="5500"/>
    <n v="0"/>
    <n v="5500"/>
  </r>
  <r>
    <s v="FALL 2025"/>
    <x v="0"/>
    <x v="3"/>
    <s v="HESRRO"/>
    <x v="0"/>
    <s v="STF25M51346"/>
    <s v="FF444-H"/>
    <s v="100% NYLON MICRO PIQUE 195GM/M2"/>
    <s v="KNIT"/>
    <s v="6103.43.1550"/>
    <n v="68"/>
    <n v="14.0465"/>
    <n v="9.5"/>
    <n v="0.28199999999999997"/>
    <n v="2.6789999999999998"/>
    <n v="7.4999999999999997E-2"/>
    <n v="0.71250000000000002"/>
    <n v="7.0000000000000007E-2"/>
    <n v="0.66500000000000004"/>
    <n v="0.49"/>
    <n v="400"/>
    <n v="97"/>
    <m/>
    <m/>
    <m/>
    <m/>
    <m/>
    <n v="497"/>
    <n v="27200"/>
    <n v="6596"/>
    <n v="33796"/>
    <n v="5618.6"/>
    <n v="1362.5105000000001"/>
    <n v="6981.1105000000007"/>
    <n v="3800"/>
    <n v="921.5"/>
    <n v="4721.5"/>
  </r>
  <r>
    <s v="FALL 2025"/>
    <x v="0"/>
    <x v="3"/>
    <s v="HESRRO"/>
    <x v="0"/>
    <s v="STF25M51346"/>
    <s v="FF444-H"/>
    <s v="100% NYLON MICRO PIQUE 195GM/M2"/>
    <s v="KNIT"/>
    <s v="6103.43.1550"/>
    <n v="68"/>
    <n v="14.0465"/>
    <n v="9.5"/>
    <n v="0.28199999999999997"/>
    <n v="2.6789999999999998"/>
    <n v="7.4999999999999997E-2"/>
    <n v="0.71250000000000002"/>
    <n v="7.0000000000000007E-2"/>
    <n v="0.66500000000000004"/>
    <n v="0.49"/>
    <n v="500"/>
    <n v="93"/>
    <m/>
    <m/>
    <m/>
    <m/>
    <m/>
    <n v="593"/>
    <n v="34000"/>
    <n v="6324"/>
    <n v="40324"/>
    <n v="7023.25"/>
    <n v="1306.3244999999999"/>
    <n v="8329.5745000000006"/>
    <n v="4750"/>
    <n v="883.5"/>
    <n v="5633.5"/>
  </r>
  <r>
    <s v="FALL 2025"/>
    <x v="0"/>
    <x v="2"/>
    <s v="HESRRO"/>
    <x v="0"/>
    <s v="STF25M51347"/>
    <s v="FF444-H"/>
    <s v="100% NYLON MICRO PIQUE 195GM/M2"/>
    <s v="KNIT"/>
    <s v="6109.90.1007"/>
    <n v="58"/>
    <n v="12.21"/>
    <n v="8"/>
    <n v="0.32"/>
    <n v="2.56"/>
    <n v="7.4999999999999997E-2"/>
    <n v="0.6"/>
    <n v="7.0000000000000007E-2"/>
    <n v="0.56000000000000005"/>
    <n v="0.49"/>
    <n v="500"/>
    <n v="140"/>
    <m/>
    <m/>
    <m/>
    <m/>
    <m/>
    <n v="640"/>
    <n v="29000"/>
    <n v="8120"/>
    <n v="37120"/>
    <n v="6105"/>
    <n v="1709.4"/>
    <n v="7814.4"/>
    <n v="4000"/>
    <n v="1120"/>
    <n v="5120"/>
  </r>
  <r>
    <s v="FALL 2025"/>
    <x v="0"/>
    <x v="2"/>
    <s v="HESRRO"/>
    <x v="0"/>
    <s v="STF25M51347"/>
    <s v="FF444-H"/>
    <s v="100% NYLON MICRO PIQUE 195GM/M2"/>
    <s v="KNIT"/>
    <s v="6109.90.1007"/>
    <n v="58"/>
    <n v="12.21"/>
    <n v="8"/>
    <n v="0.32"/>
    <n v="2.56"/>
    <n v="7.4999999999999997E-2"/>
    <n v="0.6"/>
    <n v="7.0000000000000007E-2"/>
    <n v="0.56000000000000005"/>
    <n v="0.49"/>
    <n v="500"/>
    <n v="140"/>
    <m/>
    <m/>
    <m/>
    <m/>
    <m/>
    <n v="640"/>
    <n v="29000"/>
    <n v="8120"/>
    <n v="37120"/>
    <n v="6105"/>
    <n v="1709.4"/>
    <n v="7814.4"/>
    <n v="4000"/>
    <n v="1120"/>
    <n v="5120"/>
  </r>
  <r>
    <s v="FALL 2025"/>
    <x v="0"/>
    <x v="6"/>
    <s v="HESRRO"/>
    <x v="0"/>
    <s v="STF25M51384"/>
    <s v="FF425-H"/>
    <s v="QUILTED GRID 86% POLYESTER/16% RAYON/2% SPANDEX 303 GM/M2"/>
    <s v="KNIT"/>
    <s v="6112.11.001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900"/>
    <n v="85"/>
    <m/>
    <m/>
    <m/>
    <m/>
    <n v="12"/>
    <n v="997"/>
    <n v="121500"/>
    <n v="13095"/>
    <n v="134595"/>
    <n v="23879.474999999999"/>
    <n v="2474.2837499999996"/>
    <n v="26353.758749999997"/>
    <n v="16425"/>
    <n v="1770.25"/>
    <n v="18195.25"/>
  </r>
  <r>
    <s v="FALL 2025"/>
    <x v="0"/>
    <x v="1"/>
    <s v="HESRRO"/>
    <x v="0"/>
    <s v="STF25M51385"/>
    <s v="FF425-H"/>
    <s v="QUILTED GRID 86% POLYESTER/16% RAYON/2% SPANDEX 303 GM/M2"/>
    <s v="KNIT"/>
    <s v="6112.12.0050"/>
    <n v="118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800"/>
    <n v="85"/>
    <m/>
    <m/>
    <m/>
    <m/>
    <n v="12"/>
    <n v="897"/>
    <n v="94400"/>
    <n v="11446"/>
    <n v="105846"/>
    <n v="18086.8"/>
    <n v="2107.7224999999999"/>
    <n v="20194.522499999999"/>
    <n v="12400"/>
    <n v="1503.5"/>
    <n v="13903.5"/>
  </r>
  <r>
    <s v="FALL 2025"/>
    <x v="0"/>
    <x v="6"/>
    <s v="HESRRO"/>
    <x v="0"/>
    <s v="STF25M51384"/>
    <s v="FF425-H"/>
    <s v="QUILTED GRID 86% POLYESTER/16% RAYON/2% SPANDEX 303 GM/M2"/>
    <s v="KNIT"/>
    <s v="6112.11.001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900"/>
    <n v="162"/>
    <m/>
    <m/>
    <m/>
    <m/>
    <n v="18"/>
    <n v="1080"/>
    <n v="121500"/>
    <n v="24300"/>
    <n v="145800"/>
    <n v="23879.474999999999"/>
    <n v="4626.8054999999995"/>
    <n v="28506.280499999997"/>
    <n v="16425"/>
    <n v="3285"/>
    <n v="19710"/>
  </r>
  <r>
    <s v="FALL 2025"/>
    <x v="0"/>
    <x v="1"/>
    <s v="HESRRO"/>
    <x v="0"/>
    <s v="STF25M51385"/>
    <s v="FF425-H"/>
    <s v="QUILTED GRID 86% POLYESTER/16% RAYON/2% SPANDEX 303 GM/M2"/>
    <s v="KNIT"/>
    <s v="6112.12.0050"/>
    <n v="118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800"/>
    <n v="162"/>
    <m/>
    <m/>
    <m/>
    <m/>
    <n v="18"/>
    <n v="980"/>
    <n v="94400"/>
    <n v="21240"/>
    <n v="115640"/>
    <n v="18086.8"/>
    <n v="3941.5769999999998"/>
    <n v="22028.377"/>
    <n v="12400"/>
    <n v="2790"/>
    <n v="15190"/>
  </r>
  <r>
    <s v="FALL 2025"/>
    <x v="0"/>
    <x v="4"/>
    <s v="HESRRO"/>
    <x v="0"/>
    <s v="STF25M51388"/>
    <s v="FF444-H"/>
    <s v="85% NYLON/15% SPANDEX 195 GM/M2"/>
    <s v="KNIT"/>
    <s v="6105.20.2010"/>
    <n v="68"/>
    <n v="13.675000000000001"/>
    <n v="9"/>
    <n v="0.32"/>
    <n v="2.88"/>
    <n v="7.4999999999999997E-2"/>
    <n v="0.67499999999999993"/>
    <n v="7.0000000000000007E-2"/>
    <n v="0.63000000000000012"/>
    <n v="0.49"/>
    <n v="600"/>
    <m/>
    <m/>
    <m/>
    <m/>
    <m/>
    <m/>
    <n v="600"/>
    <n v="40800"/>
    <n v="0"/>
    <n v="40800"/>
    <n v="8205"/>
    <n v="0"/>
    <n v="8205"/>
    <n v="5400"/>
    <n v="0"/>
    <n v="5400"/>
  </r>
  <r>
    <s v="FALL 2025"/>
    <x v="0"/>
    <x v="4"/>
    <s v="HESRRO"/>
    <x v="0"/>
    <s v="STF25M51388"/>
    <s v="FF444-H"/>
    <s v="85% NYLON/15% SPANDEX 195 GM/M2"/>
    <s v="KNIT"/>
    <s v="6105.20.2010"/>
    <n v="68"/>
    <n v="13.675000000000001"/>
    <n v="9"/>
    <n v="0.32"/>
    <n v="2.88"/>
    <n v="7.4999999999999997E-2"/>
    <n v="0.67499999999999993"/>
    <n v="7.0000000000000007E-2"/>
    <n v="0.63000000000000012"/>
    <n v="0.49"/>
    <n v="500"/>
    <m/>
    <m/>
    <m/>
    <m/>
    <m/>
    <m/>
    <n v="500"/>
    <n v="34000"/>
    <n v="0"/>
    <n v="34000"/>
    <n v="6837.5"/>
    <n v="0"/>
    <n v="6837.5"/>
    <n v="4500"/>
    <n v="0"/>
    <n v="4500"/>
  </r>
  <r>
    <s v="FALL 2025"/>
    <x v="0"/>
    <x v="8"/>
    <s v="HESRRO"/>
    <x v="0"/>
    <s v="STF25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600"/>
    <n v="228"/>
    <m/>
    <m/>
    <m/>
    <m/>
    <m/>
    <n v="828"/>
    <n v="90000"/>
    <n v="34200"/>
    <n v="124200"/>
    <n v="17434.5"/>
    <n v="6625.1100000000006"/>
    <n v="24059.61"/>
    <n v="11700"/>
    <n v="4446"/>
    <n v="16146"/>
  </r>
  <r>
    <s v="FALL 2025"/>
    <x v="0"/>
    <x v="9"/>
    <s v="HESRRO"/>
    <x v="0"/>
    <s v="STF25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600"/>
    <n v="228"/>
    <m/>
    <m/>
    <m/>
    <m/>
    <m/>
    <n v="828"/>
    <n v="75000"/>
    <n v="28500"/>
    <n v="103500"/>
    <n v="15277.5"/>
    <n v="5805.45"/>
    <n v="21082.95"/>
    <n v="10500"/>
    <n v="3990"/>
    <n v="14490"/>
  </r>
  <r>
    <s v="FALL 2025"/>
    <x v="0"/>
    <x v="8"/>
    <s v="HESRRO"/>
    <x v="0"/>
    <s v="STF25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600"/>
    <n v="228"/>
    <m/>
    <m/>
    <m/>
    <m/>
    <m/>
    <n v="828"/>
    <n v="90000"/>
    <n v="34200"/>
    <n v="124200"/>
    <n v="17434.5"/>
    <n v="6625.1100000000006"/>
    <n v="24059.61"/>
    <n v="11700"/>
    <n v="4446"/>
    <n v="16146"/>
  </r>
  <r>
    <s v="FALL 2025"/>
    <x v="0"/>
    <x v="9"/>
    <s v="HESRRO"/>
    <x v="0"/>
    <s v="STF25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600"/>
    <n v="228"/>
    <m/>
    <m/>
    <m/>
    <m/>
    <m/>
    <n v="828"/>
    <n v="75000"/>
    <n v="28500"/>
    <n v="103500"/>
    <n v="15277.5"/>
    <n v="5805.45"/>
    <n v="21082.95"/>
    <n v="10500"/>
    <n v="3990"/>
    <n v="14490"/>
  </r>
  <r>
    <s v="FALL 2024 REORDER"/>
    <x v="0"/>
    <x v="8"/>
    <s v="HESRRO"/>
    <x v="0"/>
    <s v="STF24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700"/>
    <n v="96"/>
    <m/>
    <m/>
    <m/>
    <m/>
    <m/>
    <n v="796"/>
    <n v="105000"/>
    <n v="14400"/>
    <n v="119400"/>
    <n v="20340.25"/>
    <n v="2789.52"/>
    <n v="23129.77"/>
    <n v="13650"/>
    <n v="1872"/>
    <n v="15522"/>
  </r>
  <r>
    <s v="FALL 2024 REORDER"/>
    <x v="0"/>
    <x v="9"/>
    <s v="HESRRO"/>
    <x v="0"/>
    <s v="STF24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700"/>
    <n v="96"/>
    <m/>
    <m/>
    <m/>
    <m/>
    <m/>
    <n v="796"/>
    <n v="87500"/>
    <n v="12000"/>
    <n v="99500"/>
    <n v="17823.75"/>
    <n v="2444.3999999999996"/>
    <n v="20268.150000000001"/>
    <n v="12250"/>
    <n v="1680"/>
    <n v="13930"/>
  </r>
  <r>
    <s v="FALL 2025"/>
    <x v="0"/>
    <x v="0"/>
    <s v="HESRRO"/>
    <x v="0"/>
    <s v="STF25M51332"/>
    <s v="FF331-H"/>
    <s v="60% POLYESTER/40% COTTON DOUBLE KNIT 280 GM/M2"/>
    <s v="KNIT"/>
    <s v="6112.12.0010"/>
    <n v="140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1100"/>
    <n v="190"/>
    <m/>
    <m/>
    <m/>
    <m/>
    <m/>
    <n v="1290"/>
    <n v="154000"/>
    <n v="26600"/>
    <n v="180600"/>
    <n v="24869.35"/>
    <n v="4295.6149999999998"/>
    <n v="29164.964999999997"/>
    <n v="17050"/>
    <n v="2945"/>
    <n v="19995"/>
  </r>
  <r>
    <s v="FALL 2025"/>
    <x v="0"/>
    <x v="1"/>
    <s v="HESRRO"/>
    <x v="0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000"/>
    <n v="190"/>
    <m/>
    <m/>
    <m/>
    <m/>
    <m/>
    <n v="1190"/>
    <n v="125000"/>
    <n v="23750"/>
    <n v="148750"/>
    <n v="20896.100000000002"/>
    <n v="3970.259"/>
    <n v="24866.359000000004"/>
    <n v="14300"/>
    <n v="2717"/>
    <n v="17017"/>
  </r>
  <r>
    <s v="FALL 2025"/>
    <x v="0"/>
    <x v="0"/>
    <s v="HESRRO"/>
    <x v="0"/>
    <s v="STF25M51332"/>
    <s v="FF331-H"/>
    <s v="60% POLYESTER/40% COTTON DOUBLE KNIT 280 GM/M2"/>
    <s v="KNIT"/>
    <s v="6112.12.0010"/>
    <n v="140"/>
    <n v="23.321999999999999"/>
    <n v="16"/>
    <n v="0.28199999999999997"/>
    <n v="4.5119999999999996"/>
    <n v="7.4999999999999997E-2"/>
    <n v="1.2"/>
    <n v="7.0000000000000007E-2"/>
    <n v="1.1200000000000001"/>
    <n v="0.49"/>
    <n v="1200"/>
    <n v="287"/>
    <m/>
    <m/>
    <m/>
    <m/>
    <m/>
    <n v="1487"/>
    <n v="168000"/>
    <n v="40180"/>
    <n v="208180"/>
    <n v="27986.399999999998"/>
    <n v="6693.4139999999998"/>
    <n v="34679.813999999998"/>
    <n v="19200"/>
    <n v="4592"/>
    <n v="23792"/>
  </r>
  <r>
    <s v="FALL 2025"/>
    <x v="0"/>
    <x v="1"/>
    <s v="HESRRO"/>
    <x v="0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100"/>
    <n v="287"/>
    <m/>
    <m/>
    <m/>
    <m/>
    <m/>
    <n v="1387"/>
    <n v="137500"/>
    <n v="35875"/>
    <n v="173375"/>
    <n v="22985.71"/>
    <n v="5997.1806999999999"/>
    <n v="28982.8907"/>
    <n v="15730"/>
    <n v="4104.1000000000004"/>
    <n v="19834.099999999999"/>
  </r>
  <r>
    <s v="FALL 2025"/>
    <x v="0"/>
    <x v="0"/>
    <s v="HESRRO"/>
    <x v="0"/>
    <s v="STF25M51332"/>
    <s v="FF331-H"/>
    <s v="60% POLYESTER/40% COTTON DOUBLE KNIT 280 GM/M2"/>
    <s v="KNIT"/>
    <s v="6112.12.0010"/>
    <n v="140"/>
    <n v="23.321999999999999"/>
    <n v="16"/>
    <n v="0.28199999999999997"/>
    <n v="4.5119999999999996"/>
    <n v="7.4999999999999997E-2"/>
    <n v="1.2"/>
    <n v="7.0000000000000007E-2"/>
    <n v="1.1200000000000001"/>
    <n v="0.49"/>
    <n v="1200"/>
    <n v="272"/>
    <m/>
    <m/>
    <m/>
    <m/>
    <n v="6"/>
    <n v="1478"/>
    <n v="168000"/>
    <n v="38920"/>
    <n v="206920"/>
    <n v="27986.399999999998"/>
    <n v="6439.5839999999998"/>
    <n v="34425.983999999997"/>
    <n v="19200"/>
    <n v="4448"/>
    <n v="23648"/>
  </r>
  <r>
    <s v="FALL 2025"/>
    <x v="0"/>
    <x v="1"/>
    <s v="HESRRO"/>
    <x v="0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100"/>
    <n v="272"/>
    <m/>
    <m/>
    <m/>
    <m/>
    <n v="6"/>
    <n v="1378"/>
    <n v="137500"/>
    <n v="34750"/>
    <n v="172250"/>
    <n v="22985.71"/>
    <n v="5769.5392000000002"/>
    <n v="28755.249199999998"/>
    <n v="15730"/>
    <n v="3975.4"/>
    <n v="19705.400000000001"/>
  </r>
  <r>
    <s v="FALL 2025"/>
    <x v="0"/>
    <x v="0"/>
    <s v="HESRRO"/>
    <x v="0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900"/>
    <n v="215"/>
    <m/>
    <m/>
    <m/>
    <m/>
    <n v="6"/>
    <n v="1121"/>
    <n v="130500"/>
    <n v="32045"/>
    <n v="162545"/>
    <n v="24315.3"/>
    <n v="5931.6549999999997"/>
    <n v="30246.954999999998"/>
    <n v="18450"/>
    <n v="4530.5"/>
    <n v="22980.5"/>
  </r>
  <r>
    <s v="FALL 2025"/>
    <x v="0"/>
    <x v="1"/>
    <s v="HESRRO"/>
    <x v="0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800"/>
    <n v="215"/>
    <m/>
    <m/>
    <m/>
    <m/>
    <n v="6"/>
    <n v="1021"/>
    <n v="100000"/>
    <n v="27625"/>
    <n v="127625"/>
    <n v="20060.8"/>
    <n v="5505.3399999999992"/>
    <n v="25566.14"/>
    <n v="15200"/>
    <n v="4199"/>
    <n v="19399"/>
  </r>
  <r>
    <s v="FALL 2025"/>
    <x v="0"/>
    <x v="0"/>
    <s v="HESRRO"/>
    <x v="0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800"/>
    <n v="212"/>
    <m/>
    <m/>
    <m/>
    <m/>
    <m/>
    <n v="1012"/>
    <n v="116000"/>
    <n v="30740"/>
    <n v="146740"/>
    <n v="21613.599999999999"/>
    <n v="5727.6040000000003"/>
    <n v="27341.203999999998"/>
    <n v="16400"/>
    <n v="4346"/>
    <n v="20746"/>
  </r>
  <r>
    <s v="FALL 2025"/>
    <x v="0"/>
    <x v="1"/>
    <s v="HESRRO"/>
    <x v="0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700"/>
    <n v="212"/>
    <m/>
    <m/>
    <m/>
    <m/>
    <m/>
    <n v="912"/>
    <n v="87500"/>
    <n v="26500"/>
    <n v="114000"/>
    <n v="17553.199999999997"/>
    <n v="5316.1119999999992"/>
    <n v="22869.311999999998"/>
    <n v="13300"/>
    <n v="4028"/>
    <n v="17328"/>
  </r>
  <r>
    <s v="FALL 2025"/>
    <x v="0"/>
    <x v="0"/>
    <s v="HESRRO"/>
    <x v="0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700"/>
    <n v="96"/>
    <m/>
    <m/>
    <m/>
    <m/>
    <m/>
    <n v="796"/>
    <n v="101500"/>
    <n v="13920"/>
    <n v="115420"/>
    <n v="18911.899999999998"/>
    <n v="2593.6320000000001"/>
    <n v="21505.531999999999"/>
    <n v="14350"/>
    <n v="1968"/>
    <n v="16318"/>
  </r>
  <r>
    <s v="FALL 2025"/>
    <x v="0"/>
    <x v="1"/>
    <s v="HESRRO"/>
    <x v="0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600"/>
    <n v="96"/>
    <m/>
    <m/>
    <m/>
    <m/>
    <m/>
    <n v="696"/>
    <n v="75000"/>
    <n v="12000"/>
    <n v="87000"/>
    <n v="15045.599999999999"/>
    <n v="2407.2959999999998"/>
    <n v="17452.895999999997"/>
    <n v="11400"/>
    <n v="1824"/>
    <n v="13224"/>
  </r>
  <r>
    <s v="FALL 2025"/>
    <x v="0"/>
    <x v="0"/>
    <s v="HESRRO"/>
    <x v="0"/>
    <s v="STF25M51304"/>
    <s v="FF080-H"/>
    <s v="100% POLYESTER TRACK TWILL 220GM/M2"/>
    <s v="KNIT"/>
    <s v="6112.12.0010"/>
    <n v="165"/>
    <n v="31.170499999999997"/>
    <n v="21.5"/>
    <n v="0.28199999999999997"/>
    <n v="6.0629999999999997"/>
    <n v="7.4999999999999997E-2"/>
    <n v="1.6125"/>
    <n v="7.0000000000000007E-2"/>
    <n v="1.5050000000000001"/>
    <n v="0.49"/>
    <n v="500"/>
    <n v="260"/>
    <m/>
    <m/>
    <m/>
    <n v="25"/>
    <m/>
    <n v="785"/>
    <n v="82500"/>
    <n v="47025"/>
    <n v="129525"/>
    <n v="15585.249999999998"/>
    <n v="8641.8299999999981"/>
    <n v="24227.079999999994"/>
    <n v="10750"/>
    <n v="6127.5"/>
    <n v="16877.5"/>
  </r>
  <r>
    <s v="FALL 2025"/>
    <x v="0"/>
    <x v="1"/>
    <s v="HESRRO"/>
    <x v="0"/>
    <s v="STF25M51305"/>
    <s v="FF080-H"/>
    <s v="100% POLYESTER TRACK TWILL 220GM/M2"/>
    <s v="KNIT"/>
    <s v="6112.12.0050"/>
    <n v="125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n v="251"/>
    <m/>
    <m/>
    <m/>
    <n v="21"/>
    <m/>
    <n v="672"/>
    <n v="50000"/>
    <n v="34000"/>
    <n v="84000"/>
    <n v="7901.7999999999984"/>
    <n v="5241.8794999999991"/>
    <n v="13143.679499999998"/>
    <n v="5400"/>
    <n v="3672"/>
    <n v="9072"/>
  </r>
  <r>
    <s v="FALL 2025"/>
    <x v="0"/>
    <x v="4"/>
    <s v="HESRRO"/>
    <x v="0"/>
    <s v="STF25M51308"/>
    <s v="FF444-H"/>
    <s v="85% NYLON/15% SPANDEX 195 GM/M2"/>
    <s v="KNIT"/>
    <s v="6105.20.2010"/>
    <n v="98"/>
    <n v="18.802499999999998"/>
    <n v="12.5"/>
    <n v="0.32"/>
    <n v="4"/>
    <n v="7.4999999999999997E-2"/>
    <n v="0.9375"/>
    <n v="7.0000000000000007E-2"/>
    <n v="0.87500000000000011"/>
    <n v="0.49"/>
    <n v="400"/>
    <n v="175"/>
    <m/>
    <m/>
    <m/>
    <n v="4"/>
    <m/>
    <n v="579"/>
    <n v="39200"/>
    <n v="17542"/>
    <n v="56742"/>
    <n v="7520.9999999999991"/>
    <n v="3340.4374999999995"/>
    <n v="10861.437499999998"/>
    <n v="5000"/>
    <n v="2237.5"/>
    <n v="7237.5"/>
  </r>
  <r>
    <s v="FALL 2025"/>
    <x v="0"/>
    <x v="3"/>
    <s v="HESRRO"/>
    <x v="0"/>
    <s v="STF25M51309"/>
    <s v="FF093"/>
    <s v="100% NYLON TAFFETA "/>
    <s v="WOVEN"/>
    <s v="6203.43.9030"/>
    <n v="88"/>
    <n v="18.29"/>
    <n v="12.5"/>
    <n v="0.27900000000000003"/>
    <n v="3.4875000000000003"/>
    <n v="7.4999999999999997E-2"/>
    <n v="0.9375"/>
    <n v="7.0000000000000007E-2"/>
    <n v="0.87500000000000011"/>
    <n v="0.49"/>
    <n v="400"/>
    <n v="141"/>
    <m/>
    <m/>
    <m/>
    <m/>
    <m/>
    <n v="541"/>
    <n v="35200"/>
    <n v="12408"/>
    <n v="47608"/>
    <n v="7316"/>
    <n v="2578.89"/>
    <n v="9894.89"/>
    <n v="5000"/>
    <n v="1762.5"/>
    <n v="6762.5"/>
  </r>
  <r>
    <s v="FALL 2025"/>
    <x v="0"/>
    <x v="0"/>
    <s v="HESRRO"/>
    <x v="0"/>
    <s v="STF25M51311"/>
    <s v="FF331-H"/>
    <s v="60% POLYESTER/40% COTTON DOUBLE KNIT 28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500"/>
    <m/>
    <m/>
    <m/>
    <m/>
    <m/>
    <m/>
    <n v="500"/>
    <n v="82500"/>
    <n v="0"/>
    <n v="82500"/>
    <n v="15228.499999999998"/>
    <n v="0"/>
    <n v="15228.499999999998"/>
    <n v="10500"/>
    <n v="0"/>
    <n v="10500"/>
  </r>
  <r>
    <s v="FALL 2025"/>
    <x v="0"/>
    <x v="1"/>
    <s v="HESRRO"/>
    <x v="0"/>
    <s v="STF25M51312"/>
    <s v="FF331-H"/>
    <s v="60% POLYESTER/40% COTTON DOUBLE KNIT 280 GM/M2"/>
    <s v="KNIT"/>
    <s v="6112.12.005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400"/>
    <m/>
    <m/>
    <m/>
    <m/>
    <m/>
    <m/>
    <n v="400"/>
    <n v="50000"/>
    <n v="0"/>
    <n v="50000"/>
    <n v="9043.4"/>
    <n v="0"/>
    <n v="9043.4"/>
    <n v="6200"/>
    <n v="0"/>
    <n v="6200"/>
  </r>
  <r>
    <s v="FALL 2025"/>
    <x v="0"/>
    <x v="0"/>
    <s v="HESRRO"/>
    <x v="0"/>
    <s v="STF25M51311"/>
    <s v="FF331-H"/>
    <s v="60% POLYESTER/40% COTTON DOUBLE KNIT 28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500"/>
    <m/>
    <m/>
    <m/>
    <m/>
    <m/>
    <m/>
    <n v="500"/>
    <n v="82500"/>
    <n v="0"/>
    <n v="82500"/>
    <n v="15228.499999999998"/>
    <n v="0"/>
    <n v="15228.499999999998"/>
    <n v="10500"/>
    <n v="0"/>
    <n v="10500"/>
  </r>
  <r>
    <s v="FALL 2025"/>
    <x v="0"/>
    <x v="1"/>
    <s v="HESRRO"/>
    <x v="0"/>
    <s v="STF25M51312"/>
    <s v="FF331-H"/>
    <s v="60% POLYESTER/40% COTTON DOUBLE KNIT 280 GM/M2"/>
    <s v="KNIT"/>
    <s v="6112.12.005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400"/>
    <m/>
    <m/>
    <m/>
    <m/>
    <m/>
    <m/>
    <n v="400"/>
    <n v="50000"/>
    <n v="0"/>
    <n v="50000"/>
    <n v="9043.4"/>
    <n v="0"/>
    <n v="9043.4"/>
    <n v="6200"/>
    <n v="0"/>
    <n v="6200"/>
  </r>
  <r>
    <s v="FALL 2025"/>
    <x v="0"/>
    <x v="0"/>
    <s v="HESRRO"/>
    <x v="0"/>
    <s v="STF25M51293"/>
    <s v="FF302-H"/>
    <s v="72% COTTON/25% POLYESTER/3% SPANDEX RIPSTOP"/>
    <s v="WOVEN"/>
    <s v="6201.30.8051"/>
    <n v="150"/>
    <n v="24.090499999999999"/>
    <n v="19.25"/>
    <n v="8.1000000000000003E-2"/>
    <n v="1.55925"/>
    <n v="7.4999999999999997E-2"/>
    <n v="1.4437499999999999"/>
    <n v="7.0000000000000007E-2"/>
    <n v="1.3475000000000001"/>
    <n v="0.49"/>
    <n v="700"/>
    <n v="192"/>
    <m/>
    <m/>
    <m/>
    <n v="12"/>
    <n v="18"/>
    <n v="922"/>
    <n v="105000"/>
    <n v="33300"/>
    <n v="138300"/>
    <n v="16863.349999999999"/>
    <n v="5202.8760000000002"/>
    <n v="22066.225999999999"/>
    <n v="13475"/>
    <n v="4273.5"/>
    <n v="17748.5"/>
  </r>
  <r>
    <s v="FALL 2025"/>
    <x v="0"/>
    <x v="1"/>
    <s v="HESRRO"/>
    <x v="0"/>
    <s v="STF25M51294"/>
    <s v="FF302-H"/>
    <s v="72% COTTON/25% POLYESTER/3% SPANDEX RIPSTOP"/>
    <s v="WOVEN"/>
    <s v="6203.42.4518"/>
    <n v="135"/>
    <n v="23.563600000000001"/>
    <n v="17.600000000000001"/>
    <n v="0.16600000000000001"/>
    <n v="2.9216000000000002"/>
    <n v="7.4999999999999997E-2"/>
    <n v="1.32"/>
    <n v="7.0000000000000007E-2"/>
    <n v="1.2320000000000002"/>
    <n v="0.49"/>
    <n v="600"/>
    <n v="192"/>
    <m/>
    <m/>
    <m/>
    <n v="12"/>
    <n v="18"/>
    <n v="822"/>
    <n v="81000"/>
    <n v="29970"/>
    <n v="110970"/>
    <n v="14138.16"/>
    <n v="5052.2111999999997"/>
    <n v="19190.371200000001"/>
    <n v="10560"/>
    <n v="3907.2000000000003"/>
    <n v="14467.2"/>
  </r>
  <r>
    <s v="FALL 2025"/>
    <x v="0"/>
    <x v="0"/>
    <s v="HESRRO"/>
    <x v="0"/>
    <s v="STF25M51293"/>
    <s v="FF302-H"/>
    <s v="72% COTTON/25% POLYESTER/3% SPANDEX RIPSTOP"/>
    <s v="WOVEN"/>
    <s v="6201.30.8051"/>
    <n v="150"/>
    <n v="24.090499999999999"/>
    <n v="19.25"/>
    <n v="8.1000000000000003E-2"/>
    <n v="1.55925"/>
    <n v="7.4999999999999997E-2"/>
    <n v="1.4437499999999999"/>
    <n v="7.0000000000000007E-2"/>
    <n v="1.3475000000000001"/>
    <n v="0.49"/>
    <n v="500"/>
    <n v="188"/>
    <m/>
    <m/>
    <m/>
    <m/>
    <n v="18"/>
    <n v="706"/>
    <n v="75000"/>
    <n v="30900"/>
    <n v="105900"/>
    <n v="12045.25"/>
    <n v="4875.5140000000001"/>
    <n v="16920.763999999999"/>
    <n v="9625"/>
    <n v="3965.5"/>
    <n v="13590.5"/>
  </r>
  <r>
    <s v="FALL 2025"/>
    <x v="0"/>
    <x v="1"/>
    <s v="HESRRO"/>
    <x v="0"/>
    <s v="STF25M51294"/>
    <s v="FF302-H"/>
    <s v="72% COTTON/25% POLYESTER/3% SPANDEX RIPSTOP"/>
    <s v="WOVEN"/>
    <s v="6203.42.4518"/>
    <n v="135"/>
    <n v="23.563600000000001"/>
    <n v="17.600000000000001"/>
    <n v="0.16600000000000001"/>
    <n v="2.9216000000000002"/>
    <n v="7.4999999999999997E-2"/>
    <n v="1.32"/>
    <n v="7.0000000000000007E-2"/>
    <n v="1.2320000000000002"/>
    <n v="0.49"/>
    <n v="400"/>
    <n v="188"/>
    <m/>
    <m/>
    <m/>
    <m/>
    <n v="18"/>
    <n v="606"/>
    <n v="54000"/>
    <n v="27810"/>
    <n v="81810"/>
    <n v="9425.44"/>
    <n v="4746.7568000000001"/>
    <n v="14172.196800000002"/>
    <n v="7040.0000000000009"/>
    <n v="3625.6000000000004"/>
    <n v="10665.600000000002"/>
  </r>
  <r>
    <s v="FALL 2025"/>
    <x v="0"/>
    <x v="0"/>
    <s v="HESRRO"/>
    <x v="0"/>
    <s v="STF25M51297"/>
    <s v="FF359"/>
    <s v="85% POLYESTER/15% NYLON PEACHED"/>
    <s v="WOVEN"/>
    <s v="6201.40.7511"/>
    <n v="165"/>
    <n v="29.640999999999998"/>
    <n v="20.5"/>
    <n v="0.27700000000000002"/>
    <n v="5.6785000000000005"/>
    <n v="7.4999999999999997E-2"/>
    <n v="1.5374999999999999"/>
    <n v="7.0000000000000007E-2"/>
    <n v="1.4350000000000001"/>
    <n v="0.49"/>
    <n v="500"/>
    <n v="292"/>
    <m/>
    <m/>
    <m/>
    <m/>
    <m/>
    <n v="792"/>
    <n v="82500"/>
    <n v="48180"/>
    <n v="130680"/>
    <n v="14820.5"/>
    <n v="8655.1719999999987"/>
    <n v="23475.671999999999"/>
    <n v="10250"/>
    <n v="5986"/>
    <n v="16236"/>
  </r>
  <r>
    <s v="FALL 2025"/>
    <x v="0"/>
    <x v="1"/>
    <s v="HESRRO"/>
    <x v="0"/>
    <s v="STF25M51298"/>
    <s v="FF359"/>
    <s v="85% POLYESTER/15% NYLON PEACHED"/>
    <s v="WOVEN"/>
    <s v="6203.43.9010"/>
    <n v="135"/>
    <n v="24.698"/>
    <n v="17"/>
    <n v="0.27900000000000003"/>
    <n v="4.7430000000000003"/>
    <n v="7.4999999999999997E-2"/>
    <n v="1.2749999999999999"/>
    <n v="7.0000000000000007E-2"/>
    <n v="1.1900000000000002"/>
    <n v="0.49"/>
    <n v="400"/>
    <n v="285"/>
    <m/>
    <m/>
    <m/>
    <m/>
    <m/>
    <n v="685"/>
    <n v="54000"/>
    <n v="38475"/>
    <n v="92475"/>
    <n v="9879.2000000000007"/>
    <n v="7038.93"/>
    <n v="16918.13"/>
    <n v="6800"/>
    <n v="4845"/>
    <n v="11645"/>
  </r>
  <r>
    <s v="FALL 2025"/>
    <x v="0"/>
    <x v="0"/>
    <s v="HESRRO"/>
    <x v="0"/>
    <s v="STF25M51297"/>
    <s v="FF359"/>
    <s v="85% POLYESTER/15% NYLON PEACHED"/>
    <s v="WOVEN"/>
    <s v="6201.40.7511"/>
    <n v="165"/>
    <n v="29.640999999999998"/>
    <n v="20.5"/>
    <n v="0.27700000000000002"/>
    <n v="5.6785000000000005"/>
    <n v="7.4999999999999997E-2"/>
    <n v="1.5374999999999999"/>
    <n v="7.0000000000000007E-2"/>
    <n v="1.4350000000000001"/>
    <n v="0.49"/>
    <n v="500"/>
    <n v="232"/>
    <m/>
    <m/>
    <m/>
    <m/>
    <m/>
    <n v="732"/>
    <n v="82500"/>
    <n v="38280"/>
    <n v="120780"/>
    <n v="14820.5"/>
    <n v="6876.7119999999995"/>
    <n v="21697.212"/>
    <n v="10250"/>
    <n v="4756"/>
    <n v="15006"/>
  </r>
  <r>
    <s v="FALL 2025"/>
    <x v="0"/>
    <x v="1"/>
    <s v="HESRRO"/>
    <x v="0"/>
    <s v="STF25M51298"/>
    <s v="FF359"/>
    <s v="85% POLYESTER/15% NYLON PEACHED"/>
    <s v="WOVEN"/>
    <s v="6203.43.9010"/>
    <n v="135"/>
    <n v="24.698"/>
    <n v="17"/>
    <n v="0.27900000000000003"/>
    <n v="4.7430000000000003"/>
    <n v="7.4999999999999997E-2"/>
    <n v="1.2749999999999999"/>
    <n v="7.0000000000000007E-2"/>
    <n v="1.1900000000000002"/>
    <n v="0.49"/>
    <n v="400"/>
    <n v="239"/>
    <m/>
    <m/>
    <m/>
    <m/>
    <m/>
    <n v="639"/>
    <n v="54000"/>
    <n v="32265"/>
    <n v="86265"/>
    <n v="9879.2000000000007"/>
    <n v="5902.8220000000001"/>
    <n v="15782.022000000001"/>
    <n v="6800"/>
    <n v="4063"/>
    <n v="10863"/>
  </r>
  <r>
    <s v="FALL 2025"/>
    <x v="0"/>
    <x v="0"/>
    <s v="HESRRO"/>
    <x v="0"/>
    <s v="STF25M51326"/>
    <s v="FF093"/>
    <s v="100% TAFFETA NYLON 48GM/M2"/>
    <s v="WOVEN"/>
    <s v="6201.40.7511"/>
    <n v="165"/>
    <n v="30.351999999999997"/>
    <n v="21"/>
    <n v="0.27700000000000002"/>
    <n v="5.8170000000000002"/>
    <n v="7.4999999999999997E-2"/>
    <n v="1.575"/>
    <n v="7.0000000000000007E-2"/>
    <n v="1.4700000000000002"/>
    <n v="0.49"/>
    <n v="350"/>
    <n v="59"/>
    <m/>
    <m/>
    <m/>
    <n v="5"/>
    <m/>
    <n v="414"/>
    <n v="57750"/>
    <n v="10560"/>
    <n v="68310"/>
    <n v="10623.199999999999"/>
    <n v="1895.7679999999998"/>
    <n v="12518.967999999999"/>
    <n v="7350"/>
    <n v="1344"/>
    <n v="8694"/>
  </r>
  <r>
    <s v="FALL 2025"/>
    <x v="0"/>
    <x v="1"/>
    <s v="HESRRO"/>
    <x v="0"/>
    <s v="STF25M51327"/>
    <s v="FF093"/>
    <s v="100% TAFFETA NYLON 48GM/M2"/>
    <s v="WOVEN"/>
    <s v="6203.43.9010"/>
    <n v="145"/>
    <n v="27.546000000000003"/>
    <n v="19"/>
    <n v="0.27900000000000003"/>
    <n v="5.3010000000000002"/>
    <n v="7.4999999999999997E-2"/>
    <n v="1.425"/>
    <n v="7.0000000000000007E-2"/>
    <n v="1.33"/>
    <n v="0.49"/>
    <n v="300"/>
    <n v="54"/>
    <m/>
    <m/>
    <m/>
    <m/>
    <m/>
    <n v="354"/>
    <n v="43500"/>
    <n v="7830"/>
    <n v="51330"/>
    <n v="8263.8000000000011"/>
    <n v="1487.4840000000002"/>
    <n v="9751.2840000000015"/>
    <n v="5700"/>
    <n v="1026"/>
    <n v="6726"/>
  </r>
  <r>
    <s v="FALL 2025"/>
    <x v="0"/>
    <x v="0"/>
    <s v="HESRRO"/>
    <x v="0"/>
    <s v="STF25M51326"/>
    <s v="FF093"/>
    <s v="100% TAFFETA NYLON 48GM/M2"/>
    <s v="WOVEN"/>
    <s v="6201.40.7511"/>
    <n v="165"/>
    <n v="30.351999999999997"/>
    <n v="21"/>
    <n v="0.27700000000000002"/>
    <n v="5.8170000000000002"/>
    <n v="7.4999999999999997E-2"/>
    <n v="1.575"/>
    <n v="7.0000000000000007E-2"/>
    <n v="1.4700000000000002"/>
    <n v="0.49"/>
    <n v="350"/>
    <n v="238"/>
    <m/>
    <m/>
    <m/>
    <m/>
    <m/>
    <n v="588"/>
    <n v="57750"/>
    <n v="39270"/>
    <n v="97020"/>
    <n v="10623.199999999999"/>
    <n v="7223.7759999999989"/>
    <n v="17846.975999999999"/>
    <n v="7350"/>
    <n v="4998"/>
    <n v="12348"/>
  </r>
  <r>
    <s v="FALL 2025"/>
    <x v="0"/>
    <x v="1"/>
    <s v="HESRRO"/>
    <x v="0"/>
    <s v="STF25M51327"/>
    <s v="FF093"/>
    <s v="100% TAFFETA NYLON 48GM/M2"/>
    <s v="WOVEN"/>
    <s v="6203.43.9010"/>
    <n v="145"/>
    <n v="27.546000000000003"/>
    <n v="19"/>
    <n v="0.27900000000000003"/>
    <n v="5.3010000000000002"/>
    <n v="7.4999999999999997E-2"/>
    <n v="1.425"/>
    <n v="7.0000000000000007E-2"/>
    <n v="1.33"/>
    <n v="0.49"/>
    <n v="300"/>
    <n v="235"/>
    <m/>
    <m/>
    <m/>
    <m/>
    <m/>
    <n v="535"/>
    <n v="43500"/>
    <n v="34075"/>
    <n v="77575"/>
    <n v="8263.8000000000011"/>
    <n v="6473.31"/>
    <n v="14737.11"/>
    <n v="5700"/>
    <n v="4465"/>
    <n v="10165"/>
  </r>
  <r>
    <s v="FALL 2024 REORDER"/>
    <x v="0"/>
    <x v="0"/>
    <s v="HESRRO"/>
    <x v="0"/>
    <s v="STF24M50737"/>
    <s v="FF080"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  <n v="0"/>
    <n v="7901.7999999999984"/>
    <n v="5400"/>
    <n v="0"/>
    <n v="5400"/>
  </r>
  <r>
    <s v="FALL 2024 REORDER"/>
    <x v="0"/>
    <x v="1"/>
    <s v="HESRRO"/>
    <x v="0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400"/>
    <m/>
    <m/>
    <m/>
    <m/>
    <m/>
    <m/>
    <n v="400"/>
    <n v="44000"/>
    <n v="0"/>
    <n v="44000"/>
    <n v="6035.2840000000006"/>
    <n v="0"/>
    <n v="6035.2840000000006"/>
    <n v="4092"/>
    <n v="0"/>
    <n v="4092"/>
  </r>
  <r>
    <s v="FALL 2024 REORDER"/>
    <x v="0"/>
    <x v="0"/>
    <s v="HESRRO"/>
    <x v="0"/>
    <s v="STS24M50737"/>
    <s v="FF080"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500"/>
    <m/>
    <m/>
    <m/>
    <m/>
    <m/>
    <m/>
    <n v="500"/>
    <n v="70000"/>
    <n v="0"/>
    <n v="70000"/>
    <n v="9877.2499999999982"/>
    <n v="0"/>
    <n v="9877.2499999999982"/>
    <n v="6750"/>
    <n v="0"/>
    <n v="6750"/>
  </r>
  <r>
    <s v="FALL 2024 REORDER"/>
    <x v="0"/>
    <x v="1"/>
    <s v="HESRRO"/>
    <x v="0"/>
    <s v="STS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500"/>
    <m/>
    <m/>
    <m/>
    <m/>
    <m/>
    <m/>
    <n v="500"/>
    <n v="55000"/>
    <n v="0"/>
    <n v="55000"/>
    <n v="7544.1050000000014"/>
    <n v="0"/>
    <n v="7544.1050000000014"/>
    <n v="5115"/>
    <n v="0"/>
    <n v="5115"/>
  </r>
  <r>
    <s v="FALL 2025"/>
    <x v="0"/>
    <x v="10"/>
    <s v="HESRRO"/>
    <x v="0"/>
    <s v="STF25M51380"/>
    <s v="FF443-H"/>
    <s v="70% WOOL/15% NYLON/15% POLYESTER"/>
    <s v="WOVEN"/>
    <s v="6201.20.4011"/>
    <n v="325"/>
    <n v="63.28"/>
    <n v="46"/>
    <n v="0.22"/>
    <n v="10.119999999999999"/>
    <n v="7.4999999999999997E-2"/>
    <n v="3.4499999999999997"/>
    <n v="7.0000000000000007E-2"/>
    <n v="3.22"/>
    <n v="0.49"/>
    <n v="250"/>
    <n v="80"/>
    <m/>
    <m/>
    <m/>
    <m/>
    <m/>
    <n v="330"/>
    <n v="81250"/>
    <n v="26000"/>
    <n v="107250"/>
    <n v="15820"/>
    <n v="5062.3999999999996"/>
    <n v="20882.400000000001"/>
    <n v="11500"/>
    <n v="3680"/>
    <n v="15180"/>
  </r>
  <r>
    <s v="FALL 2025"/>
    <x v="0"/>
    <x v="10"/>
    <s v="HESRRO"/>
    <x v="0"/>
    <s v="STF25M51381"/>
    <s v="FF442-H"/>
    <s v="FACE: 95% NYLON/5% SPANDEX BACK: 99% POLYESTER/1% SPANDEX"/>
    <s v="WOVEN"/>
    <s v="6201.40.7511"/>
    <n v="198"/>
    <n v="37.462000000000003"/>
    <n v="26"/>
    <n v="0.27700000000000002"/>
    <n v="7.2020000000000008"/>
    <n v="7.4999999999999997E-2"/>
    <n v="1.95"/>
    <n v="7.0000000000000007E-2"/>
    <n v="1.8200000000000003"/>
    <n v="0.49"/>
    <n v="250"/>
    <m/>
    <m/>
    <m/>
    <m/>
    <m/>
    <m/>
    <n v="250"/>
    <n v="49500"/>
    <n v="0"/>
    <n v="49500"/>
    <n v="9365.5"/>
    <n v="0"/>
    <n v="9365.5"/>
    <n v="6500"/>
    <n v="0"/>
    <n v="6500"/>
  </r>
  <r>
    <s v="FALL 2025"/>
    <x v="0"/>
    <x v="10"/>
    <s v="HESRRO"/>
    <x v="0"/>
    <s v="STF25M51382"/>
    <s v="FF345"/>
    <s v="100% NYLON "/>
    <s v="WOVEN"/>
    <s v="6201.40.7511"/>
    <n v="225"/>
    <n v="42.439"/>
    <n v="29.5"/>
    <n v="0.27700000000000002"/>
    <n v="8.1715"/>
    <n v="7.4999999999999997E-2"/>
    <n v="2.2124999999999999"/>
    <n v="7.0000000000000007E-2"/>
    <n v="2.0650000000000004"/>
    <n v="0.49"/>
    <n v="250"/>
    <m/>
    <m/>
    <m/>
    <m/>
    <m/>
    <m/>
    <n v="250"/>
    <n v="56250"/>
    <n v="0"/>
    <n v="56250"/>
    <n v="10609.75"/>
    <n v="0"/>
    <n v="10609.75"/>
    <n v="7375"/>
    <n v="0"/>
    <n v="7375"/>
  </r>
  <r>
    <s v="FALL 2025"/>
    <x v="0"/>
    <x v="11"/>
    <s v="PORTA ASIATACA"/>
    <x v="0"/>
    <s v="STF25M51378"/>
    <s v="FF420-P"/>
    <s v="65% POLYESTER/35% COTTON WAFFLE"/>
    <s v="WOVEN"/>
    <s v="6205.30.2073"/>
    <n v="135"/>
    <n v="26.9879"/>
    <n v="18.7"/>
    <n v="0.27200000000000002"/>
    <n v="5.0864000000000003"/>
    <n v="7.4999999999999997E-2"/>
    <n v="1.4024999999999999"/>
    <n v="7.0000000000000007E-2"/>
    <n v="1.3090000000000002"/>
    <n v="0.49"/>
    <n v="500"/>
    <n v="163"/>
    <m/>
    <m/>
    <m/>
    <n v="4"/>
    <m/>
    <n v="667"/>
    <n v="67500"/>
    <n v="22545"/>
    <n v="90045"/>
    <n v="13493.95"/>
    <n v="4473.8276999999998"/>
    <n v="17967.777699999999"/>
    <n v="9350"/>
    <n v="3122.9"/>
    <n v="12472.9"/>
  </r>
  <r>
    <s v="FALL 2025"/>
    <x v="0"/>
    <x v="3"/>
    <s v="PORTA ASIATACA"/>
    <x v="0"/>
    <s v="STF25M51379"/>
    <s v="FF420-P"/>
    <s v="65% POLYESTER/35% COTTON WAFFLE"/>
    <s v="WOVEN"/>
    <s v="6203.43.9030"/>
    <n v="110"/>
    <n v="21.365839999999999"/>
    <n v="14.66"/>
    <n v="0.27900000000000003"/>
    <n v="4.0901400000000008"/>
    <n v="7.4999999999999997E-2"/>
    <n v="1.0994999999999999"/>
    <n v="7.0000000000000007E-2"/>
    <n v="1.0262"/>
    <n v="0.49"/>
    <n v="500"/>
    <n v="159"/>
    <m/>
    <m/>
    <m/>
    <m/>
    <m/>
    <n v="659"/>
    <n v="55000"/>
    <n v="17490"/>
    <n v="72490"/>
    <n v="10682.92"/>
    <n v="3397.1685599999996"/>
    <n v="14080.08856"/>
    <n v="7330"/>
    <n v="2330.94"/>
    <n v="9660.94"/>
  </r>
  <r>
    <s v="FALL 2025"/>
    <x v="0"/>
    <x v="11"/>
    <s v="PORTA ASIATACA"/>
    <x v="0"/>
    <s v="STF25M51378"/>
    <s v="FF420-P"/>
    <s v="65% POLYESTER/35% COTTON WAFFLE"/>
    <s v="WOVEN"/>
    <s v="6205.30.2073"/>
    <n v="135"/>
    <n v="26.9879"/>
    <n v="18.7"/>
    <n v="0.27200000000000002"/>
    <n v="5.0864000000000003"/>
    <n v="7.4999999999999997E-2"/>
    <n v="1.4024999999999999"/>
    <n v="7.0000000000000007E-2"/>
    <n v="1.3090000000000002"/>
    <n v="0.49"/>
    <n v="650"/>
    <n v="310"/>
    <m/>
    <m/>
    <m/>
    <n v="4"/>
    <m/>
    <n v="964"/>
    <n v="87750"/>
    <n v="42390"/>
    <n v="130140"/>
    <n v="17542.134999999998"/>
    <n v="8441.0489999999991"/>
    <n v="25983.183999999997"/>
    <n v="12155"/>
    <n v="5871.8"/>
    <n v="18026.8"/>
  </r>
  <r>
    <s v="FALL 2025"/>
    <x v="0"/>
    <x v="3"/>
    <s v="PORTA ASIATACA"/>
    <x v="0"/>
    <s v="STF25M51379"/>
    <s v="FF420-P"/>
    <s v="65% POLYESTER/35% COTTON WAFFLE"/>
    <s v="WOVEN"/>
    <s v="6203.43.9030"/>
    <n v="110"/>
    <n v="21.365839999999999"/>
    <n v="14.66"/>
    <n v="0.27900000000000003"/>
    <n v="4.0901400000000008"/>
    <n v="7.4999999999999997E-2"/>
    <n v="1.0994999999999999"/>
    <n v="7.0000000000000007E-2"/>
    <n v="1.0262"/>
    <n v="0.49"/>
    <n v="650"/>
    <n v="281"/>
    <m/>
    <m/>
    <m/>
    <m/>
    <m/>
    <n v="931"/>
    <n v="71500"/>
    <n v="30910"/>
    <n v="102410"/>
    <n v="13887.795999999998"/>
    <n v="6003.8010399999994"/>
    <n v="19891.597039999997"/>
    <n v="9529"/>
    <n v="4119.46"/>
    <n v="13648.46"/>
  </r>
  <r>
    <s v="FALL 2025"/>
    <x v="0"/>
    <x v="11"/>
    <s v="PORTA ASIATACA"/>
    <x v="0"/>
    <s v="STF25M51328"/>
    <s v="FF399"/>
    <s v="98% COTTON/2% SPANDEX 120 GM/M2"/>
    <s v="WOVEN"/>
    <s v="6205.20.2066"/>
    <n v="135"/>
    <n v="25.048599999999997"/>
    <n v="18.3"/>
    <n v="0.19700000000000001"/>
    <n v="3.6051000000000002"/>
    <n v="7.4999999999999997E-2"/>
    <n v="1.3725000000000001"/>
    <n v="7.0000000000000007E-2"/>
    <n v="1.2810000000000001"/>
    <n v="0.49"/>
    <n v="500"/>
    <n v="4"/>
    <m/>
    <m/>
    <m/>
    <m/>
    <m/>
    <n v="504"/>
    <n v="67500"/>
    <n v="540"/>
    <n v="68040"/>
    <n v="12524.3"/>
    <n v="100.19439999999999"/>
    <n v="12624.4944"/>
    <n v="9150"/>
    <n v="73.2"/>
    <n v="9223.2000000000007"/>
  </r>
  <r>
    <s v="FALL 2025"/>
    <x v="0"/>
    <x v="3"/>
    <s v="PORTA ASIATACA"/>
    <x v="0"/>
    <s v="STF25M51329"/>
    <s v="FF399"/>
    <s v="98% COTTON/2% SPANDEX 120 GM/M2"/>
    <s v="WOVEN"/>
    <s v="6203.42.4551"/>
    <n v="110"/>
    <n v="21.334899999999998"/>
    <n v="15.9"/>
    <n v="0.16600000000000001"/>
    <n v="2.6394000000000002"/>
    <n v="7.4999999999999997E-2"/>
    <n v="1.1924999999999999"/>
    <n v="7.0000000000000007E-2"/>
    <n v="1.1130000000000002"/>
    <n v="0.49"/>
    <n v="500"/>
    <n v="4"/>
    <m/>
    <m/>
    <m/>
    <m/>
    <m/>
    <n v="504"/>
    <n v="55000"/>
    <n v="440"/>
    <n v="55440"/>
    <n v="10667.449999999999"/>
    <n v="85.33959999999999"/>
    <n v="10752.789599999998"/>
    <n v="7950"/>
    <n v="63.6"/>
    <n v="8013.6"/>
  </r>
  <r>
    <s v="FALL 2025"/>
    <x v="0"/>
    <x v="11"/>
    <s v="PORTA ASIATACA"/>
    <x v="0"/>
    <s v="STF25M51328"/>
    <s v="FF399"/>
    <s v="98% COTTON/2% SPANDEX 120 GM/M2"/>
    <s v="WOVEN"/>
    <s v="6205.20.2066"/>
    <n v="135"/>
    <n v="25.048599999999997"/>
    <n v="18.3"/>
    <n v="0.19700000000000001"/>
    <n v="3.6051000000000002"/>
    <n v="7.4999999999999997E-2"/>
    <n v="1.3725000000000001"/>
    <n v="7.0000000000000007E-2"/>
    <n v="1.2810000000000001"/>
    <n v="0.49"/>
    <n v="400"/>
    <n v="209"/>
    <m/>
    <m/>
    <m/>
    <m/>
    <m/>
    <n v="609"/>
    <n v="54000"/>
    <n v="28215"/>
    <n v="82215"/>
    <n v="10019.439999999999"/>
    <n v="5235.1573999999991"/>
    <n v="15254.597399999999"/>
    <n v="7320"/>
    <n v="3824.7000000000003"/>
    <n v="11144.7"/>
  </r>
  <r>
    <s v="FALL 2025"/>
    <x v="0"/>
    <x v="3"/>
    <s v="PORTA ASIATACA"/>
    <x v="0"/>
    <s v="STF25M51329"/>
    <s v="FF399"/>
    <s v="98% COTTON/2% SPANDEX 120 GM/M2"/>
    <s v="WOVEN"/>
    <s v="6203.42.4551"/>
    <n v="110"/>
    <n v="21.334899999999998"/>
    <n v="15.9"/>
    <n v="0.16600000000000001"/>
    <n v="2.6394000000000002"/>
    <n v="7.4999999999999997E-2"/>
    <n v="1.1924999999999999"/>
    <n v="7.0000000000000007E-2"/>
    <n v="1.1130000000000002"/>
    <n v="0.49"/>
    <n v="400"/>
    <n v="209"/>
    <m/>
    <m/>
    <m/>
    <m/>
    <m/>
    <n v="609"/>
    <n v="44000"/>
    <n v="22990"/>
    <n v="66990"/>
    <n v="8533.9599999999991"/>
    <n v="4458.9940999999999"/>
    <n v="12992.954099999999"/>
    <n v="6360"/>
    <n v="3323.1"/>
    <n v="9683.1"/>
  </r>
  <r>
    <s v="FALL 2025"/>
    <x v="0"/>
    <x v="0"/>
    <s v="PORTA ASIATACA"/>
    <x v="0"/>
    <s v="STF25M51330"/>
    <s v="FF418"/>
    <s v="58% COTTON/40% VISCOSE/2% SPANDEX 370 GM/M2"/>
    <s v="WOVEN"/>
    <s v="6201.30.8051"/>
    <n v="185"/>
    <n v="36.779600000000009"/>
    <n v="29.6"/>
    <n v="8.1000000000000003E-2"/>
    <n v="2.3976000000000002"/>
    <n v="7.4999999999999997E-2"/>
    <n v="2.2200000000000002"/>
    <n v="7.0000000000000007E-2"/>
    <n v="2.0720000000000005"/>
    <n v="0.49"/>
    <n v="450"/>
    <n v="107"/>
    <m/>
    <m/>
    <m/>
    <n v="4"/>
    <m/>
    <n v="561"/>
    <n v="83250"/>
    <n v="20535"/>
    <n v="103785"/>
    <n v="16550.820000000003"/>
    <n v="4053.8172000000009"/>
    <n v="20604.637200000005"/>
    <n v="13320"/>
    <n v="3285.6000000000004"/>
    <n v="16605.599999999999"/>
  </r>
  <r>
    <s v="FALL 2025"/>
    <x v="0"/>
    <x v="1"/>
    <s v="PORTA ASIATACA"/>
    <x v="0"/>
    <s v="STF25M51331"/>
    <s v="FF418"/>
    <s v="58% COTTON/40% VISCOSE/2% SPANDEX 370 GM/M2"/>
    <s v="WOVEN"/>
    <s v="6203.42.4518"/>
    <n v="165"/>
    <n v="31.429600000000001"/>
    <n v="23.6"/>
    <n v="0.16600000000000001"/>
    <n v="3.9176000000000006"/>
    <n v="7.4999999999999997E-2"/>
    <n v="1.77"/>
    <n v="7.0000000000000007E-2"/>
    <n v="1.6520000000000004"/>
    <n v="0.49"/>
    <n v="400"/>
    <n v="107"/>
    <m/>
    <m/>
    <m/>
    <n v="4"/>
    <m/>
    <n v="511"/>
    <n v="66000"/>
    <n v="18315"/>
    <n v="84315"/>
    <n v="12571.84"/>
    <n v="3457.3672000000001"/>
    <n v="16029.207200000001"/>
    <n v="9440"/>
    <n v="2619.6000000000004"/>
    <n v="12059.6"/>
  </r>
  <r>
    <s v="FALL 2025"/>
    <x v="0"/>
    <x v="0"/>
    <s v="PORTA ASIATACA"/>
    <x v="0"/>
    <s v="STF25M51330"/>
    <s v="FF418"/>
    <s v="58% COTTON/40% VISCOSE/2% SPANDEX 370 GM/M2"/>
    <s v="WOVEN"/>
    <s v="6201.30.8051"/>
    <n v="185"/>
    <n v="36.779600000000009"/>
    <n v="29.6"/>
    <n v="8.1000000000000003E-2"/>
    <n v="2.3976000000000002"/>
    <n v="7.4999999999999997E-2"/>
    <n v="2.2200000000000002"/>
    <n v="7.0000000000000007E-2"/>
    <n v="2.0720000000000005"/>
    <n v="0.49"/>
    <n v="500"/>
    <n v="115"/>
    <m/>
    <m/>
    <m/>
    <n v="4"/>
    <n v="6"/>
    <n v="625"/>
    <n v="92500"/>
    <n v="23125"/>
    <n v="115625"/>
    <n v="18389.800000000003"/>
    <n v="4525.6540000000014"/>
    <n v="22915.454000000005"/>
    <n v="14800"/>
    <n v="3700"/>
    <n v="18500"/>
  </r>
  <r>
    <s v="FALL 2025"/>
    <x v="0"/>
    <x v="1"/>
    <s v="PORTA ASIATACA"/>
    <x v="0"/>
    <s v="STF25M51331"/>
    <s v="FF418"/>
    <s v="58% COTTON/40% VISCOSE/2% SPANDEX 370 GM/M2"/>
    <s v="WOVEN"/>
    <s v="6203.42.4518"/>
    <n v="165"/>
    <n v="31.429600000000001"/>
    <n v="23.6"/>
    <n v="0.16600000000000001"/>
    <n v="3.9176000000000006"/>
    <n v="7.4999999999999997E-2"/>
    <n v="1.77"/>
    <n v="7.0000000000000007E-2"/>
    <n v="1.6520000000000004"/>
    <n v="0.49"/>
    <n v="450"/>
    <n v="115"/>
    <m/>
    <m/>
    <m/>
    <n v="4"/>
    <n v="6"/>
    <n v="575"/>
    <n v="74250"/>
    <n v="20625"/>
    <n v="94875"/>
    <n v="14143.32"/>
    <n v="3850.404"/>
    <n v="17993.723999999998"/>
    <n v="10620"/>
    <n v="2950"/>
    <n v="13570"/>
  </r>
  <r>
    <s v="FALL 2025"/>
    <x v="0"/>
    <x v="0"/>
    <s v="PORTA ASIATACA"/>
    <x v="0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100"/>
    <n v="220"/>
    <m/>
    <m/>
    <m/>
    <m/>
    <m/>
    <n v="1320"/>
    <n v="181500"/>
    <n v="36300"/>
    <n v="217800"/>
    <n v="34993.914999999994"/>
    <n v="6998.7829999999985"/>
    <n v="41992.697999999989"/>
    <n v="24145"/>
    <n v="4829"/>
    <n v="28974"/>
  </r>
  <r>
    <s v="FALL 2025"/>
    <x v="0"/>
    <x v="1"/>
    <s v="PORTA ASIATACA"/>
    <x v="0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000"/>
    <n v="220"/>
    <m/>
    <m/>
    <m/>
    <m/>
    <m/>
    <n v="1220"/>
    <n v="145000"/>
    <n v="31900"/>
    <n v="176900"/>
    <n v="28673.249999999996"/>
    <n v="6308.1149999999989"/>
    <n v="34981.364999999998"/>
    <n v="19750"/>
    <n v="4345"/>
    <n v="24095"/>
  </r>
  <r>
    <s v="FALL 2025"/>
    <x v="0"/>
    <x v="0"/>
    <s v="PORTA ASIATACA"/>
    <x v="0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100"/>
    <n v="199"/>
    <m/>
    <m/>
    <m/>
    <m/>
    <m/>
    <n v="1299"/>
    <n v="181500"/>
    <n v="32835"/>
    <n v="214335"/>
    <n v="34993.914999999994"/>
    <n v="6330.717349999999"/>
    <n v="41324.632349999993"/>
    <n v="24145"/>
    <n v="4368.05"/>
    <n v="28513.05"/>
  </r>
  <r>
    <s v="FALL 2025"/>
    <x v="0"/>
    <x v="1"/>
    <s v="PORTA ASIATACA"/>
    <x v="0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000"/>
    <n v="199"/>
    <m/>
    <m/>
    <m/>
    <m/>
    <m/>
    <n v="1199"/>
    <n v="145000"/>
    <n v="28855"/>
    <n v="173855"/>
    <n v="28673.249999999996"/>
    <n v="5705.9767499999989"/>
    <n v="34379.226749999994"/>
    <n v="19750"/>
    <n v="3930.25"/>
    <n v="23680.25"/>
  </r>
  <r>
    <s v="FALL 2025"/>
    <x v="0"/>
    <x v="0"/>
    <s v="PORTA ASIATACA"/>
    <x v="0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200"/>
    <n v="174"/>
    <m/>
    <m/>
    <m/>
    <m/>
    <m/>
    <n v="1374"/>
    <n v="198000"/>
    <n v="28710"/>
    <n v="226710"/>
    <n v="38175.179999999993"/>
    <n v="5535.4010999999991"/>
    <n v="43710.581099999996"/>
    <n v="26340"/>
    <n v="3819.2999999999997"/>
    <n v="30159.3"/>
  </r>
  <r>
    <s v="FALL 2025"/>
    <x v="0"/>
    <x v="1"/>
    <s v="PORTA ASIATACA"/>
    <x v="0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100"/>
    <n v="174"/>
    <m/>
    <m/>
    <m/>
    <m/>
    <m/>
    <n v="1274"/>
    <n v="159500"/>
    <n v="25230"/>
    <n v="184730"/>
    <n v="31540.574999999997"/>
    <n v="4989.1454999999996"/>
    <n v="36529.720499999996"/>
    <n v="21725"/>
    <n v="3436.5"/>
    <n v="25161.5"/>
  </r>
  <r>
    <s v="FALL 2025"/>
    <x v="0"/>
    <x v="0"/>
    <s v="PORTA ASIATACA"/>
    <x v="0"/>
    <s v="STF25M51301"/>
    <s v="FF417"/>
    <s v="95% POLYESTER/5% SPANDEX FAUX SUEDE 300GM/M2"/>
    <s v="KNIT"/>
    <s v="6112.12.0010"/>
    <n v="175"/>
    <n v="32.954250000000002"/>
    <n v="22.75"/>
    <n v="0.28199999999999997"/>
    <n v="6.4154999999999998"/>
    <n v="7.4999999999999997E-2"/>
    <n v="1.70625"/>
    <n v="7.0000000000000007E-2"/>
    <n v="1.5925000000000002"/>
    <n v="0.49"/>
    <n v="500"/>
    <n v="155"/>
    <m/>
    <m/>
    <m/>
    <m/>
    <m/>
    <n v="655"/>
    <n v="87500"/>
    <n v="27125"/>
    <n v="114625"/>
    <n v="16477.125"/>
    <n v="5107.9087500000005"/>
    <n v="21585.033750000002"/>
    <n v="11375"/>
    <n v="3526.25"/>
    <n v="14901.25"/>
  </r>
  <r>
    <s v="FALL 2025"/>
    <x v="0"/>
    <x v="1"/>
    <s v="PORTA ASIATACA"/>
    <x v="0"/>
    <s v="STF25M51302"/>
    <s v="FF417"/>
    <s v="95% POLYESTER/5% SPANDEX FAUX SUEDE 300GM/M2"/>
    <s v="KNIT"/>
    <s v="6112.12.0050"/>
    <n v="145"/>
    <n v="26.889499999999998"/>
    <n v="18.5"/>
    <n v="0.28199999999999997"/>
    <n v="5.2169999999999996"/>
    <n v="7.4999999999999997E-2"/>
    <n v="1.3875"/>
    <n v="7.0000000000000007E-2"/>
    <n v="1.2950000000000002"/>
    <n v="0.49"/>
    <n v="400"/>
    <n v="233"/>
    <m/>
    <m/>
    <m/>
    <m/>
    <m/>
    <n v="633"/>
    <n v="58000"/>
    <n v="33785"/>
    <n v="91785"/>
    <n v="10755.8"/>
    <n v="6265.2534999999998"/>
    <n v="17021.053499999998"/>
    <n v="7400"/>
    <n v="4310.5"/>
    <n v="11710.5"/>
  </r>
  <r>
    <s v="FALL 2025"/>
    <x v="0"/>
    <x v="0"/>
    <s v="PORTA ASIATACA"/>
    <x v="0"/>
    <s v="STF25M51301"/>
    <s v="FF417"/>
    <s v="95% POLYESTER/5% SPANDEX FAUX SUEDE 300GM/M2"/>
    <s v="KNIT"/>
    <s v="6112.12.0010"/>
    <n v="175"/>
    <n v="32.954250000000002"/>
    <n v="22.75"/>
    <n v="0.28199999999999997"/>
    <n v="6.4154999999999998"/>
    <n v="7.4999999999999997E-2"/>
    <n v="1.70625"/>
    <n v="7.0000000000000007E-2"/>
    <n v="1.5925000000000002"/>
    <n v="0.49"/>
    <n v="400"/>
    <n v="192"/>
    <m/>
    <m/>
    <m/>
    <m/>
    <m/>
    <n v="592"/>
    <n v="70000"/>
    <n v="33600"/>
    <n v="103600"/>
    <n v="13181.7"/>
    <n v="6327.2160000000003"/>
    <n v="19508.916000000001"/>
    <n v="9100"/>
    <n v="4368"/>
    <n v="13468"/>
  </r>
  <r>
    <s v="FALL 2025"/>
    <x v="0"/>
    <x v="1"/>
    <s v="PORTA ASIATACA"/>
    <x v="0"/>
    <s v="STF25M51302"/>
    <s v="FF417"/>
    <s v="95% POLYESTER/5% SPANDEX FAUX SUEDE 300GM/M2"/>
    <s v="KNIT"/>
    <s v="6112.12.0050"/>
    <n v="145"/>
    <n v="26.889499999999998"/>
    <n v="18.5"/>
    <n v="0.28199999999999997"/>
    <n v="5.2169999999999996"/>
    <n v="7.4999999999999997E-2"/>
    <n v="1.3875"/>
    <n v="7.0000000000000007E-2"/>
    <n v="1.2950000000000002"/>
    <n v="0.49"/>
    <n v="300"/>
    <n v="267"/>
    <m/>
    <m/>
    <m/>
    <m/>
    <m/>
    <n v="567"/>
    <n v="43500"/>
    <n v="38715"/>
    <n v="82215"/>
    <n v="8066.8499999999995"/>
    <n v="7179.4964999999993"/>
    <n v="15246.3465"/>
    <n v="5550"/>
    <n v="4939.5"/>
    <n v="10489.5"/>
  </r>
  <r>
    <s v="FALL 2025"/>
    <x v="0"/>
    <x v="0"/>
    <s v="PORTA ASIATACA"/>
    <x v="0"/>
    <s v="STF25M51303"/>
    <s v="FF417"/>
    <s v="95% POLYESTER/5% SPANDEX FAUX SUEDE 300GM/M2"/>
    <s v="KNIT"/>
    <s v="6112.12.0010"/>
    <n v="175"/>
    <n v="34.381250000000001"/>
    <n v="23.75"/>
    <n v="0.28199999999999997"/>
    <n v="6.6974999999999998"/>
    <n v="7.4999999999999997E-2"/>
    <n v="1.78125"/>
    <n v="7.0000000000000007E-2"/>
    <n v="1.6625000000000001"/>
    <n v="0.49"/>
    <n v="350"/>
    <n v="81"/>
    <m/>
    <m/>
    <m/>
    <m/>
    <m/>
    <n v="431"/>
    <n v="61250"/>
    <n v="14175"/>
    <n v="75425"/>
    <n v="12033.4375"/>
    <n v="2784.8812499999999"/>
    <n v="14818.31875"/>
    <n v="8312.5"/>
    <n v="1923.75"/>
    <n v="10236.25"/>
  </r>
  <r>
    <s v="FALL 2025"/>
    <x v="0"/>
    <x v="0"/>
    <s v="PORTA ASIATACA"/>
    <x v="0"/>
    <s v="STF25M51303"/>
    <s v="FF417"/>
    <s v="95% POLYESTER/5% SPANDEX FAUX SUEDE 300GM/M2"/>
    <s v="KNIT"/>
    <s v="6112.12.0010"/>
    <n v="175"/>
    <n v="34.381250000000001"/>
    <n v="23.75"/>
    <n v="0.28199999999999997"/>
    <n v="6.6974999999999998"/>
    <n v="7.4999999999999997E-2"/>
    <n v="1.78125"/>
    <n v="7.0000000000000007E-2"/>
    <n v="1.6625000000000001"/>
    <n v="0.49"/>
    <n v="400"/>
    <n v="84"/>
    <m/>
    <m/>
    <m/>
    <m/>
    <m/>
    <n v="484"/>
    <n v="70000"/>
    <n v="14700"/>
    <n v="84700"/>
    <n v="13752.5"/>
    <n v="2888.0250000000001"/>
    <n v="16640.525000000001"/>
    <n v="9500"/>
    <n v="1995"/>
    <n v="11495"/>
  </r>
  <r>
    <s v="FALL 2025"/>
    <x v="0"/>
    <x v="0"/>
    <s v="PORTA ASIATACA"/>
    <x v="0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200"/>
    <n v="219"/>
    <m/>
    <m/>
    <m/>
    <m/>
    <n v="6"/>
    <n v="1425"/>
    <n v="180000"/>
    <n v="33750"/>
    <n v="213750"/>
    <n v="35264.1"/>
    <n v="6557.1982499999995"/>
    <n v="41821.29825"/>
    <n v="24300"/>
    <n v="4556.25"/>
    <n v="28856.25"/>
  </r>
  <r>
    <s v="FALL 2025"/>
    <x v="0"/>
    <x v="1"/>
    <s v="PORTA ASIATACA"/>
    <x v="0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1100"/>
    <n v="219"/>
    <m/>
    <m/>
    <m/>
    <m/>
    <n v="6"/>
    <n v="1325"/>
    <n v="148500"/>
    <n v="30375"/>
    <n v="178875"/>
    <n v="28008.75"/>
    <n v="5681.2874999999995"/>
    <n v="33690.037499999999"/>
    <n v="19250"/>
    <n v="3937.5"/>
    <n v="23187.5"/>
  </r>
  <r>
    <s v="FALL 2025"/>
    <x v="0"/>
    <x v="0"/>
    <s v="PORTA ASIATACA"/>
    <x v="0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300"/>
    <n v="155"/>
    <m/>
    <m/>
    <m/>
    <m/>
    <m/>
    <n v="1455"/>
    <n v="195000"/>
    <n v="23250"/>
    <n v="218250"/>
    <n v="38202.775000000001"/>
    <n v="4554.94625"/>
    <n v="42757.721250000002"/>
    <n v="26325"/>
    <n v="3138.75"/>
    <n v="29463.75"/>
  </r>
  <r>
    <s v="FALL 2025"/>
    <x v="0"/>
    <x v="1"/>
    <s v="PORTA ASIATACA"/>
    <x v="0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1200"/>
    <n v="155"/>
    <m/>
    <m/>
    <m/>
    <m/>
    <m/>
    <n v="1355"/>
    <n v="162000"/>
    <n v="20925"/>
    <n v="182925"/>
    <n v="30555"/>
    <n v="3946.6875"/>
    <n v="34501.6875"/>
    <n v="21000"/>
    <n v="2712.5"/>
    <n v="23712.5"/>
  </r>
  <r>
    <s v="FALL 2025"/>
    <x v="0"/>
    <x v="0"/>
    <s v="PORTA ASIATACA"/>
    <x v="0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000"/>
    <n v="12"/>
    <m/>
    <m/>
    <m/>
    <m/>
    <m/>
    <n v="1012"/>
    <n v="150000"/>
    <n v="1800"/>
    <n v="151800"/>
    <n v="29386.75"/>
    <n v="352.64099999999996"/>
    <n v="29739.391"/>
    <n v="20250"/>
    <n v="243"/>
    <n v="20493"/>
  </r>
  <r>
    <s v="FALL 2025"/>
    <x v="0"/>
    <x v="1"/>
    <s v="PORTA ASIATACA"/>
    <x v="0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900"/>
    <n v="12"/>
    <m/>
    <m/>
    <m/>
    <m/>
    <m/>
    <n v="912"/>
    <n v="121500"/>
    <n v="1620"/>
    <n v="123120"/>
    <n v="22916.25"/>
    <n v="305.54999999999995"/>
    <n v="23221.8"/>
    <n v="15750"/>
    <n v="210"/>
    <n v="15960"/>
  </r>
  <r>
    <s v="FALL 2025"/>
    <x v="0"/>
    <x v="0"/>
    <s v="PORTA ASIATACA"/>
    <x v="0"/>
    <s v="STF25M51295"/>
    <s v="FF151"/>
    <s v="95% POLYESTER/5% SPANDEX BRUSHED DIVER 280 GM/M2"/>
    <s v="KNIT"/>
    <s v="6112.12.0010"/>
    <n v="150"/>
    <n v="31.812649999999994"/>
    <n v="21.95"/>
    <n v="0.28199999999999997"/>
    <n v="6.1898999999999988"/>
    <n v="7.4999999999999997E-2"/>
    <n v="1.64625"/>
    <n v="7.0000000000000007E-2"/>
    <n v="1.5365000000000002"/>
    <n v="0.49"/>
    <n v="500"/>
    <n v="72"/>
    <m/>
    <m/>
    <m/>
    <m/>
    <m/>
    <n v="572"/>
    <n v="75000"/>
    <n v="10800"/>
    <n v="85800"/>
    <n v="15906.324999999997"/>
    <n v="2290.5107999999996"/>
    <n v="18196.835799999997"/>
    <n v="10975"/>
    <n v="1580.3999999999999"/>
    <n v="12555.4"/>
  </r>
  <r>
    <s v="FALL 2025"/>
    <x v="0"/>
    <x v="1"/>
    <s v="PORTA ASIATACA"/>
    <x v="0"/>
    <s v="STF25M51296"/>
    <s v="FF151"/>
    <s v="95% POLYESTER/5% SPANDEX BRUSHED DIVER 280 GM/M2"/>
    <s v="KNIT"/>
    <s v="6112.12.0050"/>
    <n v="135"/>
    <n v="28.102450000000001"/>
    <n v="19.350000000000001"/>
    <n v="0.28199999999999997"/>
    <n v="5.4566999999999997"/>
    <n v="7.4999999999999997E-2"/>
    <n v="1.4512500000000002"/>
    <n v="7.0000000000000007E-2"/>
    <n v="1.3545000000000003"/>
    <n v="0.49"/>
    <n v="400"/>
    <n v="73"/>
    <m/>
    <m/>
    <m/>
    <m/>
    <m/>
    <n v="473"/>
    <n v="54000"/>
    <n v="9855"/>
    <n v="63855"/>
    <n v="11240.98"/>
    <n v="2051.47885"/>
    <n v="13292.458849999999"/>
    <n v="7740.0000000000009"/>
    <n v="1412.5500000000002"/>
    <n v="9152.5500000000011"/>
  </r>
  <r>
    <s v="FALL 2025"/>
    <x v="0"/>
    <x v="12"/>
    <s v="PORTA ASIATACA"/>
    <x v="0"/>
    <s v="STF25M51314"/>
    <s v="FF288"/>
    <s v="62% VISCOSE/38% POLYESTER 2/68 NM 14GG 2 ENDS"/>
    <s v="SWEATER"/>
    <s v="6110.30.3010"/>
    <n v="225"/>
    <n v="49.567500000000003"/>
    <n v="33.5"/>
    <n v="0.32"/>
    <n v="10.72"/>
    <n v="7.4999999999999997E-2"/>
    <n v="2.5124999999999997"/>
    <n v="7.0000000000000007E-2"/>
    <n v="2.3450000000000002"/>
    <n v="0.49"/>
    <n v="250"/>
    <n v="59"/>
    <m/>
    <m/>
    <m/>
    <m/>
    <m/>
    <n v="309"/>
    <n v="56250"/>
    <n v="13275"/>
    <n v="69525"/>
    <n v="12391.875"/>
    <n v="2924.4825000000001"/>
    <n v="15316.3575"/>
    <n v="8375"/>
    <n v="1976.5"/>
    <n v="10351.5"/>
  </r>
  <r>
    <s v="FALL 2025"/>
    <x v="0"/>
    <x v="12"/>
    <s v="PORTA ASIATACA"/>
    <x v="0"/>
    <s v="STF25M51314"/>
    <s v="FF288"/>
    <s v="62% VISCOSE/38% POLYESTER 2/68 NM 14GG 2 ENDS"/>
    <s v="SWEATER"/>
    <s v="6110.30.3010"/>
    <n v="225"/>
    <n v="49.567500000000003"/>
    <n v="33.5"/>
    <n v="0.32"/>
    <n v="10.72"/>
    <n v="7.4999999999999997E-2"/>
    <n v="2.5124999999999997"/>
    <n v="7.0000000000000007E-2"/>
    <n v="2.3450000000000002"/>
    <n v="0.49"/>
    <n v="250"/>
    <n v="58"/>
    <m/>
    <m/>
    <m/>
    <m/>
    <m/>
    <n v="308"/>
    <n v="56250"/>
    <n v="13050"/>
    <n v="69300"/>
    <n v="12391.875"/>
    <n v="2874.915"/>
    <n v="15266.79"/>
    <n v="8375"/>
    <n v="1943"/>
    <n v="10318"/>
  </r>
  <r>
    <s v="FALL 2025"/>
    <x v="0"/>
    <x v="12"/>
    <s v="PORTA ASIATACA"/>
    <x v="0"/>
    <s v="STF25M51316"/>
    <s v="FF288"/>
    <s v="62% VISCOSE/38% POLYESTER 2/68 NM 14GG 2 ENDS"/>
    <s v="SWEATER"/>
    <s v="6110.30.3010"/>
    <n v="225"/>
    <n v="64.876750000000001"/>
    <n v="43.95"/>
    <n v="0.32"/>
    <n v="14.064000000000002"/>
    <n v="7.4999999999999997E-2"/>
    <n v="3.2962500000000001"/>
    <n v="7.0000000000000007E-2"/>
    <n v="3.0765000000000007"/>
    <n v="0.49"/>
    <n v="250"/>
    <n v="58"/>
    <m/>
    <m/>
    <m/>
    <m/>
    <m/>
    <n v="308"/>
    <n v="56250"/>
    <n v="13050"/>
    <n v="69300"/>
    <n v="16219.1875"/>
    <n v="3762.8515000000002"/>
    <n v="19982.039000000001"/>
    <n v="10987.5"/>
    <n v="2549.1000000000004"/>
    <n v="13536.6"/>
  </r>
  <r>
    <s v="FALL 2025"/>
    <x v="0"/>
    <x v="12"/>
    <s v="PORTA ASIATACA"/>
    <x v="0"/>
    <s v="STF25M51318"/>
    <s v="FF459"/>
    <s v="50% COTTON/50% COOLMAX POLYESTER 12 GG 16GG"/>
    <s v="SWEATER"/>
    <s v="6110.20.2010"/>
    <n v="135"/>
    <n v="29.244499999999995"/>
    <n v="21.95"/>
    <n v="0.16500000000000001"/>
    <n v="3.62175"/>
    <n v="7.4999999999999997E-2"/>
    <n v="1.64625"/>
    <n v="7.0000000000000007E-2"/>
    <n v="1.5365000000000002"/>
    <n v="0.49"/>
    <n v="400"/>
    <m/>
    <m/>
    <m/>
    <m/>
    <m/>
    <m/>
    <n v="400"/>
    <n v="54000"/>
    <n v="0"/>
    <n v="54000"/>
    <n v="11697.799999999997"/>
    <n v="0"/>
    <n v="11697.799999999997"/>
    <n v="8780"/>
    <n v="0"/>
    <n v="8780"/>
  </r>
  <r>
    <s v="FALL 2025"/>
    <x v="0"/>
    <x v="12"/>
    <s v="PORTA ASIATACA"/>
    <x v="0"/>
    <s v="STF25M51318"/>
    <s v="FF459"/>
    <s v="50% COTTON/50% COOLMAX POLYESTER 12 GG 16GG"/>
    <s v="SWEATER"/>
    <s v="6110.20.2010"/>
    <n v="135"/>
    <n v="29.244499999999995"/>
    <n v="21.95"/>
    <n v="0.16500000000000001"/>
    <n v="3.62175"/>
    <n v="7.4999999999999997E-2"/>
    <n v="1.64625"/>
    <n v="7.0000000000000007E-2"/>
    <n v="1.5365000000000002"/>
    <n v="0.49"/>
    <n v="400"/>
    <m/>
    <m/>
    <m/>
    <m/>
    <m/>
    <m/>
    <n v="400"/>
    <n v="54000"/>
    <n v="0"/>
    <n v="54000"/>
    <n v="11697.799999999997"/>
    <n v="0"/>
    <n v="11697.799999999997"/>
    <n v="8780"/>
    <n v="0"/>
    <n v="8780"/>
  </r>
  <r>
    <s v="FALL 2025"/>
    <x v="0"/>
    <x v="12"/>
    <s v="PORTA ASIATACA"/>
    <x v="0"/>
    <s v="STF25M51319"/>
    <s v="FF459"/>
    <s v="50% COTTON/50% COOLMAX POLYESTER 14 GG 16GG"/>
    <s v="SWEATER"/>
    <s v="6103.42.1050"/>
    <n v="125"/>
    <n v="29.156699999999997"/>
    <n v="21.95"/>
    <n v="0.161"/>
    <n v="3.5339499999999999"/>
    <n v="7.4999999999999997E-2"/>
    <n v="1.64625"/>
    <n v="7.0000000000000007E-2"/>
    <n v="1.5365000000000002"/>
    <n v="0.49"/>
    <n v="400"/>
    <m/>
    <m/>
    <m/>
    <m/>
    <m/>
    <m/>
    <n v="400"/>
    <n v="50000"/>
    <n v="0"/>
    <n v="50000"/>
    <n v="11662.679999999998"/>
    <n v="0"/>
    <n v="11662.679999999998"/>
    <n v="8780"/>
    <n v="0"/>
    <n v="8780"/>
  </r>
  <r>
    <s v="FALL 2025"/>
    <x v="0"/>
    <x v="12"/>
    <s v="PORTA ASIATACA"/>
    <x v="0"/>
    <s v="STF25M51319"/>
    <s v="FF459"/>
    <s v="50% COTTON/50% COOLMAX POLYESTER 14 GG 16GG"/>
    <s v="SWEATER"/>
    <s v="6103.42.1050"/>
    <n v="125"/>
    <n v="29.156699999999997"/>
    <n v="21.95"/>
    <n v="0.161"/>
    <n v="3.5339499999999999"/>
    <n v="7.4999999999999997E-2"/>
    <n v="1.64625"/>
    <n v="7.0000000000000007E-2"/>
    <n v="1.5365000000000002"/>
    <n v="0.49"/>
    <n v="400"/>
    <m/>
    <m/>
    <m/>
    <m/>
    <m/>
    <m/>
    <n v="400"/>
    <n v="50000"/>
    <n v="0"/>
    <n v="50000"/>
    <n v="11662.679999999998"/>
    <n v="0"/>
    <n v="11662.679999999998"/>
    <n v="8780"/>
    <n v="0"/>
    <n v="8780"/>
  </r>
  <r>
    <s v="FALL 2025"/>
    <x v="0"/>
    <x v="12"/>
    <s v="PORTA ASIATACA"/>
    <x v="0"/>
    <s v="STF25M51320"/>
    <s v="FF459"/>
    <s v="50% COTTON/50% COOLMAX POLYESTER 12 GG 16GG"/>
    <s v="SWEATER"/>
    <s v="6110.20.2010"/>
    <n v="175"/>
    <n v="39.763799999999996"/>
    <n v="29.98"/>
    <n v="0.16500000000000001"/>
    <n v="4.9466999999999999"/>
    <n v="7.4999999999999997E-2"/>
    <n v="2.2484999999999999"/>
    <n v="7.0000000000000007E-2"/>
    <n v="2.0986000000000002"/>
    <n v="0.49"/>
    <n v="500"/>
    <n v="74"/>
    <m/>
    <m/>
    <m/>
    <m/>
    <m/>
    <n v="574"/>
    <n v="87500"/>
    <n v="12950"/>
    <n v="100450"/>
    <n v="19881.899999999998"/>
    <n v="2942.5211999999997"/>
    <n v="22824.421199999997"/>
    <n v="14990"/>
    <n v="2218.52"/>
    <n v="17208.52"/>
  </r>
  <r>
    <s v="FALL 2025"/>
    <x v="0"/>
    <x v="12"/>
    <s v="PORTA ASIATACA"/>
    <x v="0"/>
    <s v="STF25M51320"/>
    <s v="FF459"/>
    <s v="50% COTTON/50% COOLMAX POLYESTER 12 GG 16GG"/>
    <s v="SWEATER"/>
    <s v="6110.20.2010"/>
    <n v="175"/>
    <n v="39.763799999999996"/>
    <n v="29.98"/>
    <n v="0.16500000000000001"/>
    <n v="4.9466999999999999"/>
    <n v="7.4999999999999997E-2"/>
    <n v="2.2484999999999999"/>
    <n v="7.0000000000000007E-2"/>
    <n v="2.0986000000000002"/>
    <n v="0.49"/>
    <n v="500"/>
    <n v="69"/>
    <m/>
    <m/>
    <m/>
    <m/>
    <m/>
    <n v="569"/>
    <n v="87500"/>
    <n v="12075"/>
    <n v="99575"/>
    <n v="19881.899999999998"/>
    <n v="2743.7021999999997"/>
    <n v="22625.602199999998"/>
    <n v="14990"/>
    <n v="2068.62"/>
    <n v="17058.62"/>
  </r>
  <r>
    <s v="FALL 2025"/>
    <x v="0"/>
    <x v="12"/>
    <s v="PORTA ASIATACA"/>
    <x v="0"/>
    <s v="STF25M51321"/>
    <s v="FF288"/>
    <s v="62% VISCOSE/38% POLYESTER 2/68 NM 14GG 2 ENDS"/>
    <s v="SWEATER"/>
    <s v="6110.30.3010"/>
    <n v="225"/>
    <n v="45.83175"/>
    <n v="30.95"/>
    <n v="0.32"/>
    <n v="9.9039999999999999"/>
    <n v="7.4999999999999997E-2"/>
    <n v="2.32125"/>
    <n v="7.0000000000000007E-2"/>
    <n v="2.1665000000000001"/>
    <n v="0.49"/>
    <n v="350"/>
    <n v="112"/>
    <m/>
    <m/>
    <m/>
    <m/>
    <m/>
    <n v="462"/>
    <n v="78750"/>
    <n v="25200"/>
    <n v="103950"/>
    <n v="16041.112499999999"/>
    <n v="5133.1559999999999"/>
    <n v="21174.268499999998"/>
    <n v="10832.5"/>
    <n v="3466.4"/>
    <n v="14298.9"/>
  </r>
  <r>
    <s v="FALL 2025"/>
    <x v="0"/>
    <x v="0"/>
    <s v="PORTA ASIATACA"/>
    <x v="0"/>
    <s v="STF25M51322"/>
    <s v="FF460"/>
    <s v="64% POLYESTER/35% RAYON/1% SPANDEX 330GM/M2"/>
    <s v="KNIT"/>
    <s v="6112.12.0010"/>
    <n v="175"/>
    <n v="35.1661"/>
    <n v="24.3"/>
    <n v="0.28199999999999997"/>
    <n v="6.8525999999999998"/>
    <n v="7.4999999999999997E-2"/>
    <n v="1.8225"/>
    <n v="7.0000000000000007E-2"/>
    <n v="1.7010000000000003"/>
    <n v="0.49"/>
    <n v="350"/>
    <n v="83"/>
    <m/>
    <m/>
    <m/>
    <m/>
    <m/>
    <n v="433"/>
    <n v="61250"/>
    <n v="14525"/>
    <n v="75775"/>
    <n v="12308.135"/>
    <n v="2918.7863000000002"/>
    <n v="15226.9213"/>
    <n v="8505"/>
    <n v="2016.9"/>
    <n v="10521.9"/>
  </r>
  <r>
    <s v="FALL 2025"/>
    <x v="0"/>
    <x v="1"/>
    <s v="PORTA ASIATACA"/>
    <x v="0"/>
    <s v="STF25M51323"/>
    <s v="FF460"/>
    <s v="64% POLYESTER/35% RAYON/1% SPANDEX 330GM/M2"/>
    <s v="KNIT"/>
    <s v="6112.12.0050"/>
    <n v="150"/>
    <n v="32.597500000000004"/>
    <n v="22.5"/>
    <n v="0.28199999999999997"/>
    <n v="6.3449999999999998"/>
    <n v="7.4999999999999997E-2"/>
    <n v="1.6875"/>
    <n v="7.0000000000000007E-2"/>
    <n v="1.5750000000000002"/>
    <n v="0.49"/>
    <n v="300"/>
    <n v="83"/>
    <m/>
    <m/>
    <m/>
    <m/>
    <m/>
    <n v="383"/>
    <n v="45000"/>
    <n v="12450"/>
    <n v="57450"/>
    <n v="9779.2500000000018"/>
    <n v="2705.5925000000002"/>
    <n v="12484.842500000002"/>
    <n v="6750"/>
    <n v="1867.5"/>
    <n v="8617.5"/>
  </r>
  <r>
    <s v="FALL 2025"/>
    <x v="0"/>
    <x v="4"/>
    <s v="PORTA ASIATACA"/>
    <x v="0"/>
    <s v="STF25M51324"/>
    <s v="FF460"/>
    <s v="64% POLYESTER/35% RAYON/1% SPANDEX 330GM/M2"/>
    <s v="KNIT"/>
    <s v="6105.20.2010"/>
    <n v="110"/>
    <n v="21.51275"/>
    <n v="14.35"/>
    <n v="0.32"/>
    <n v="4.5919999999999996"/>
    <n v="7.4999999999999997E-2"/>
    <n v="1.0762499999999999"/>
    <n v="7.0000000000000007E-2"/>
    <n v="1.0045000000000002"/>
    <n v="0.49"/>
    <n v="300"/>
    <n v="69"/>
    <m/>
    <m/>
    <m/>
    <m/>
    <m/>
    <n v="369"/>
    <n v="33000"/>
    <n v="7590"/>
    <n v="40590"/>
    <n v="6453.8249999999998"/>
    <n v="1484.3797500000001"/>
    <n v="7938.2047499999999"/>
    <n v="4305"/>
    <n v="990.15"/>
    <n v="5295.15"/>
  </r>
  <r>
    <s v="FALL 2025"/>
    <x v="0"/>
    <x v="3"/>
    <s v="PORTA ASIATACA"/>
    <x v="0"/>
    <s v="STF25M51325"/>
    <s v="FF460"/>
    <s v="64% POLYESTER/35% RAYON/1% SPANDEX 330GM/M2"/>
    <s v="KNIT"/>
    <s v="6103.43.1550"/>
    <n v="98"/>
    <n v="20.396649999999998"/>
    <n v="13.95"/>
    <n v="0.28199999999999997"/>
    <n v="3.9338999999999995"/>
    <n v="7.4999999999999997E-2"/>
    <n v="1.0462499999999999"/>
    <n v="7.0000000000000007E-2"/>
    <n v="0.97650000000000003"/>
    <n v="0.49"/>
    <n v="300"/>
    <n v="69"/>
    <m/>
    <m/>
    <m/>
    <m/>
    <m/>
    <n v="369"/>
    <n v="29400"/>
    <n v="6762"/>
    <n v="36162"/>
    <n v="6118.994999999999"/>
    <n v="1407.3688499999998"/>
    <n v="7526.3638499999988"/>
    <n v="4185"/>
    <n v="962.55"/>
    <n v="5147.55"/>
  </r>
  <r>
    <s v="FALL 2025"/>
    <x v="0"/>
    <x v="4"/>
    <s v="PORTA ASIATACA"/>
    <x v="0"/>
    <s v="STF25M51324"/>
    <s v="FF460"/>
    <s v="64% POLYESTER/35% RAYON/1% SPANDEX 330GM/M2"/>
    <s v="KNIT"/>
    <s v="6105.20.2010"/>
    <n v="110"/>
    <n v="21.51275"/>
    <n v="14.35"/>
    <n v="0.32"/>
    <n v="4.5919999999999996"/>
    <n v="7.4999999999999997E-2"/>
    <n v="1.0762499999999999"/>
    <n v="7.0000000000000007E-2"/>
    <n v="1.0045000000000002"/>
    <n v="0.49"/>
    <n v="300"/>
    <n v="107"/>
    <m/>
    <m/>
    <m/>
    <m/>
    <m/>
    <n v="407"/>
    <n v="33000"/>
    <n v="11770"/>
    <n v="44770"/>
    <n v="6453.8249999999998"/>
    <n v="2301.8642500000001"/>
    <n v="8755.6892499999994"/>
    <n v="4305"/>
    <n v="1535.45"/>
    <n v="5840.45"/>
  </r>
  <r>
    <s v="FALL 2025"/>
    <x v="0"/>
    <x v="3"/>
    <s v="PORTA ASIATACA"/>
    <x v="0"/>
    <s v="STF25M51325"/>
    <s v="FF460"/>
    <s v="64% POLYESTER/35% RAYON/1% SPANDEX 330GM/M2"/>
    <s v="KNIT"/>
    <s v="6103.43.1550"/>
    <n v="98"/>
    <n v="20.396649999999998"/>
    <n v="13.95"/>
    <n v="0.28199999999999997"/>
    <n v="3.9338999999999995"/>
    <n v="7.4999999999999997E-2"/>
    <n v="1.0462499999999999"/>
    <n v="7.0000000000000007E-2"/>
    <n v="0.97650000000000003"/>
    <n v="0.49"/>
    <n v="300"/>
    <n v="107"/>
    <m/>
    <m/>
    <m/>
    <m/>
    <m/>
    <n v="407"/>
    <n v="29400"/>
    <n v="10486"/>
    <n v="39886"/>
    <n v="6118.994999999999"/>
    <n v="2182.4415499999996"/>
    <n v="8301.4365499999985"/>
    <n v="4185"/>
    <n v="1492.6499999999999"/>
    <n v="5677.65"/>
  </r>
  <r>
    <s v="FALL 2025"/>
    <x v="0"/>
    <x v="0"/>
    <s v="PORTA ASIATACA"/>
    <x v="0"/>
    <s v="STF25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395"/>
    <m/>
    <m/>
    <m/>
    <m/>
    <m/>
    <n v="1595"/>
    <n v="198000"/>
    <n v="65175"/>
    <n v="263175"/>
    <n v="36548.399999999994"/>
    <n v="12030.514999999999"/>
    <n v="48578.914999999994"/>
    <n v="25200"/>
    <n v="8295"/>
    <n v="33495"/>
  </r>
  <r>
    <s v="FALL 2025"/>
    <x v="0"/>
    <x v="1"/>
    <s v="PORTA ASIATACA"/>
    <x v="0"/>
    <s v="STF25M50645"/>
    <s v="FF141-P"/>
    <s v="93% POLYESTER/7% SPANDEX VELOUR 300 GM/M2"/>
    <s v="KNIT"/>
    <s v="6112.12.0050"/>
    <n v="125"/>
    <n v="24.662500000000001"/>
    <n v="16.5"/>
    <n v="0.32"/>
    <n v="5.28"/>
    <n v="7.4999999999999997E-2"/>
    <n v="1.2375"/>
    <n v="7.0000000000000007E-2"/>
    <n v="1.155"/>
    <n v="0.49"/>
    <n v="1100"/>
    <n v="395"/>
    <m/>
    <m/>
    <m/>
    <m/>
    <m/>
    <n v="1495"/>
    <n v="137500"/>
    <n v="49375"/>
    <n v="186875"/>
    <n v="27128.75"/>
    <n v="9741.6875"/>
    <n v="36870.4375"/>
    <n v="18150"/>
    <n v="6517.5"/>
    <n v="24667.5"/>
  </r>
  <r>
    <s v="FALL 2025"/>
    <x v="0"/>
    <x v="0"/>
    <s v="PORTA ASIATACA"/>
    <x v="0"/>
    <s v="STF25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192"/>
    <m/>
    <m/>
    <m/>
    <m/>
    <m/>
    <n v="1392"/>
    <n v="198000"/>
    <n v="31680"/>
    <n v="229680"/>
    <n v="36548.399999999994"/>
    <n v="5847.7439999999997"/>
    <n v="42396.143999999993"/>
    <n v="25200"/>
    <n v="4032"/>
    <n v="29232"/>
  </r>
  <r>
    <s v="FALL 2025"/>
    <x v="0"/>
    <x v="1"/>
    <s v="PORTA ASIATACA"/>
    <x v="0"/>
    <s v="STF25M50645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100"/>
    <n v="192"/>
    <m/>
    <m/>
    <m/>
    <m/>
    <m/>
    <n v="1292"/>
    <n v="137500"/>
    <n v="24000"/>
    <n v="161500"/>
    <n v="26439.05"/>
    <n v="4614.8159999999998"/>
    <n v="31053.865999999998"/>
    <n v="18150"/>
    <n v="3168"/>
    <n v="21318"/>
  </r>
  <r>
    <s v="FALL 2023 REORDER"/>
    <x v="0"/>
    <x v="0"/>
    <s v="PORTA ASIATACA"/>
    <x v="0"/>
    <s v="STF23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300"/>
    <n v="324"/>
    <m/>
    <m/>
    <m/>
    <m/>
    <m/>
    <n v="1624"/>
    <n v="214500"/>
    <n v="53460"/>
    <n v="267960"/>
    <n v="39594.1"/>
    <n v="9868.0679999999993"/>
    <n v="49462.167999999998"/>
    <n v="27300"/>
    <n v="6804"/>
    <n v="34104"/>
  </r>
  <r>
    <s v="FALL 2023 REORDER"/>
    <x v="0"/>
    <x v="1"/>
    <s v="PORTA ASIATACA"/>
    <x v="0"/>
    <s v="STF23M50645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200"/>
    <n v="342"/>
    <m/>
    <m/>
    <m/>
    <m/>
    <m/>
    <n v="1542"/>
    <n v="150000"/>
    <n v="42750"/>
    <n v="192750"/>
    <n v="28842.6"/>
    <n v="8220.1409999999996"/>
    <n v="37062.740999999995"/>
    <n v="19800"/>
    <n v="5643"/>
    <n v="25443"/>
  </r>
  <r>
    <s v="FALL 2023 REORDER"/>
    <x v="0"/>
    <x v="0"/>
    <s v="PORTA ASIATACA"/>
    <x v="0"/>
    <s v="STF23M50736"/>
    <s v="FF141-P"/>
    <s v="93% POLYESTER/7% SPANDEX VELOUR 300 GM/M2"/>
    <s v="KNIT"/>
    <s v="6112.12.0010"/>
    <n v="160"/>
    <n v="30.456999999999997"/>
    <n v="21"/>
    <n v="0.28199999999999997"/>
    <n v="5.9219999999999997"/>
    <n v="7.4999999999999997E-2"/>
    <n v="1.575"/>
    <n v="7.0000000000000007E-2"/>
    <n v="1.4700000000000002"/>
    <n v="0.49"/>
    <n v="1100"/>
    <n v="336"/>
    <m/>
    <m/>
    <m/>
    <m/>
    <m/>
    <n v="1436"/>
    <n v="176000"/>
    <n v="53760"/>
    <n v="229760"/>
    <n v="33502.699999999997"/>
    <n v="10233.552"/>
    <n v="43736.251999999993"/>
    <n v="23100"/>
    <n v="7056"/>
    <n v="30156"/>
  </r>
  <r>
    <s v="FALL 2023 REORDER"/>
    <x v="0"/>
    <x v="1"/>
    <s v="PORTA ASIATACA"/>
    <x v="0"/>
    <s v="STF23M50550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336"/>
    <m/>
    <m/>
    <m/>
    <m/>
    <m/>
    <n v="1336"/>
    <n v="125000"/>
    <n v="42000"/>
    <n v="167000"/>
    <n v="24035.5"/>
    <n v="8075.9279999999999"/>
    <n v="32111.428"/>
    <n v="16500"/>
    <n v="5544"/>
    <n v="22044"/>
  </r>
  <r>
    <s v="FALL 2023 REORDER"/>
    <x v="0"/>
    <x v="0"/>
    <s v="PORTA ASIATACA"/>
    <x v="0"/>
    <s v="STF23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100"/>
    <n v="349"/>
    <m/>
    <m/>
    <m/>
    <m/>
    <m/>
    <n v="1449"/>
    <n v="181500"/>
    <n v="57585"/>
    <n v="239085"/>
    <n v="33502.699999999997"/>
    <n v="10629.492999999999"/>
    <n v="44132.192999999999"/>
    <n v="23100"/>
    <n v="7329"/>
    <n v="30429"/>
  </r>
  <r>
    <s v="FALL 2023 REORDER"/>
    <x v="0"/>
    <x v="1"/>
    <s v="PORTA ASIATACA"/>
    <x v="0"/>
    <s v="STF23M50550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349"/>
    <m/>
    <m/>
    <m/>
    <m/>
    <m/>
    <n v="1349"/>
    <n v="125000"/>
    <n v="43625"/>
    <n v="168625"/>
    <n v="24035.5"/>
    <n v="8388.3894999999993"/>
    <n v="32423.889499999997"/>
    <n v="16500"/>
    <n v="5758.5"/>
    <n v="22258.5"/>
  </r>
  <r>
    <s v="FALL 2025"/>
    <x v="0"/>
    <x v="0"/>
    <s v="PORTA ASIATACA"/>
    <x v="0"/>
    <s v="STF25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000"/>
    <n v="259"/>
    <m/>
    <m/>
    <m/>
    <m/>
    <m/>
    <n v="1259"/>
    <n v="165000"/>
    <n v="42735"/>
    <n v="207735"/>
    <n v="30456.999999999996"/>
    <n v="7888.3629999999994"/>
    <n v="38345.362999999998"/>
    <n v="21000"/>
    <n v="5439"/>
    <n v="26439"/>
  </r>
  <r>
    <s v="FALL 2025"/>
    <x v="0"/>
    <x v="1"/>
    <s v="PORTA ASIATACA"/>
    <x v="0"/>
    <s v="STF25M51362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900"/>
    <n v="259"/>
    <m/>
    <m/>
    <m/>
    <m/>
    <m/>
    <n v="1159"/>
    <n v="112500"/>
    <n v="32375"/>
    <n v="144875"/>
    <n v="21631.95"/>
    <n v="6225.1944999999996"/>
    <n v="27857.144500000002"/>
    <n v="14850"/>
    <n v="4273.5"/>
    <n v="19123.5"/>
  </r>
  <r>
    <s v="FALL 2025"/>
    <x v="0"/>
    <x v="0"/>
    <s v="PORTA ASIATACA"/>
    <x v="0"/>
    <s v="STF25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164"/>
    <m/>
    <m/>
    <m/>
    <m/>
    <m/>
    <n v="1364"/>
    <n v="198000"/>
    <n v="27060"/>
    <n v="225060"/>
    <n v="36548.399999999994"/>
    <n v="4994.9479999999994"/>
    <n v="41543.347999999991"/>
    <n v="25200"/>
    <n v="3444"/>
    <n v="28644"/>
  </r>
  <r>
    <s v="FALL 2025"/>
    <x v="0"/>
    <x v="1"/>
    <s v="PORTA ASIATACA"/>
    <x v="0"/>
    <s v="STF25M51362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100"/>
    <n v="164"/>
    <m/>
    <m/>
    <m/>
    <m/>
    <m/>
    <n v="1264"/>
    <n v="137500"/>
    <n v="20500"/>
    <n v="158000"/>
    <n v="26439.05"/>
    <n v="3941.8219999999997"/>
    <n v="30380.871999999999"/>
    <n v="18150"/>
    <n v="2706"/>
    <n v="20856"/>
  </r>
  <r>
    <s v="FALL 2024 REORDER"/>
    <x v="0"/>
    <x v="0"/>
    <s v="PORTA ASIATACA"/>
    <x v="0"/>
    <s v="STF24M50617"/>
    <s v="FF224"/>
    <s v="64% POLYESTER/35% RAYON/1% SPANDEX 340 GM/M2"/>
    <m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700"/>
    <m/>
    <m/>
    <m/>
    <m/>
    <m/>
    <m/>
    <n v="700"/>
    <n v="115500"/>
    <n v="0"/>
    <n v="115500"/>
    <n v="24766.105"/>
    <n v="0"/>
    <n v="24766.105"/>
    <n v="17115"/>
    <n v="0"/>
    <n v="17115"/>
  </r>
  <r>
    <s v="FALL 2024 REORDER"/>
    <x v="0"/>
    <x v="1"/>
    <s v="PORTA ASIATACA"/>
    <x v="0"/>
    <s v="STF24M50618"/>
    <s v="FF224"/>
    <s v="64% POLYESTER/35% RAYON/1% SPANDEX 340 GM/M2"/>
    <m/>
    <s v="6112.12.005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600"/>
    <m/>
    <m/>
    <m/>
    <m/>
    <m/>
    <m/>
    <n v="600"/>
    <n v="81000"/>
    <n v="0"/>
    <n v="81000"/>
    <n v="15919.649999999998"/>
    <n v="0"/>
    <n v="15919.649999999998"/>
    <n v="10950"/>
    <n v="0"/>
    <n v="10950"/>
  </r>
  <r>
    <s v="SPRING 2024 REORDER"/>
    <x v="0"/>
    <x v="0"/>
    <s v="PORTA ASIATACA"/>
    <x v="0"/>
    <s v="STS24M50617"/>
    <s v="FF224"/>
    <s v="64% POLYESTER/35% RAYON/1% SPANDEX 340 GM/M2"/>
    <m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500"/>
    <m/>
    <m/>
    <m/>
    <m/>
    <m/>
    <m/>
    <n v="500"/>
    <n v="82500"/>
    <n v="0"/>
    <n v="82500"/>
    <n v="17690.075000000001"/>
    <n v="0"/>
    <n v="17690.075000000001"/>
    <n v="12225"/>
    <n v="0"/>
    <n v="12225"/>
  </r>
  <r>
    <s v="SPRING 2024 REORDER"/>
    <x v="0"/>
    <x v="1"/>
    <s v="PORTA ASIATACA"/>
    <x v="0"/>
    <s v="STS24M50618"/>
    <s v="FF224"/>
    <s v="64% POLYESTER/35% RAYON/1% SPANDEX 340 GM/M2"/>
    <m/>
    <s v="6112.12.005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500"/>
    <m/>
    <m/>
    <m/>
    <m/>
    <m/>
    <m/>
    <n v="500"/>
    <n v="67500"/>
    <n v="0"/>
    <n v="67500"/>
    <n v="13266.374999999998"/>
    <n v="0"/>
    <n v="13266.374999999998"/>
    <n v="9125"/>
    <n v="0"/>
    <n v="9125"/>
  </r>
  <r>
    <s v="FALL 2025"/>
    <x v="0"/>
    <x v="0"/>
    <s v="PORTA ASIATACA"/>
    <x v="0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300"/>
    <n v="306"/>
    <m/>
    <m/>
    <m/>
    <m/>
    <m/>
    <n v="1606"/>
    <n v="195000"/>
    <n v="45900"/>
    <n v="240900"/>
    <n v="37646.244999999995"/>
    <n v="8861.3468999999986"/>
    <n v="46507.591899999992"/>
    <n v="25935"/>
    <n v="6104.7"/>
    <n v="32039.7"/>
  </r>
  <r>
    <s v="FALL 2025"/>
    <x v="0"/>
    <x v="1"/>
    <s v="PORTA ASIATACA"/>
    <x v="0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200"/>
    <n v="312"/>
    <m/>
    <m/>
    <m/>
    <m/>
    <m/>
    <n v="1512"/>
    <n v="150000"/>
    <n v="39000"/>
    <n v="189000"/>
    <n v="29698.799999999999"/>
    <n v="7721.6879999999992"/>
    <n v="37420.487999999998"/>
    <n v="20400"/>
    <n v="5304"/>
    <n v="25704"/>
  </r>
  <r>
    <s v="FALL 2025"/>
    <x v="0"/>
    <x v="0"/>
    <s v="PORTA ASIATACA"/>
    <x v="0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000"/>
    <n v="127"/>
    <m/>
    <m/>
    <m/>
    <m/>
    <m/>
    <n v="1127"/>
    <n v="150000"/>
    <n v="19050"/>
    <n v="169050"/>
    <n v="28958.649999999994"/>
    <n v="3677.7485499999993"/>
    <n v="32636.398549999994"/>
    <n v="19950"/>
    <n v="2533.65"/>
    <n v="22483.65"/>
  </r>
  <r>
    <s v="FALL 2025"/>
    <x v="0"/>
    <x v="1"/>
    <s v="PORTA ASIATACA"/>
    <x v="0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900"/>
    <n v="127"/>
    <m/>
    <m/>
    <m/>
    <m/>
    <m/>
    <n v="1027"/>
    <n v="112500"/>
    <n v="15875"/>
    <n v="128375"/>
    <n v="22274.1"/>
    <n v="3143.123"/>
    <n v="25417.222999999998"/>
    <n v="15300"/>
    <n v="2159"/>
    <n v="17459"/>
  </r>
  <r>
    <s v="FALL 2025"/>
    <x v="0"/>
    <x v="0"/>
    <s v="PORTA ASIATACA"/>
    <x v="0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200"/>
    <n v="277"/>
    <m/>
    <m/>
    <m/>
    <m/>
    <m/>
    <n v="1477"/>
    <n v="180000"/>
    <n v="41550"/>
    <n v="221550"/>
    <n v="34750.379999999997"/>
    <n v="8021.546049999999"/>
    <n v="42771.926049999995"/>
    <n v="23940"/>
    <n v="5526.15"/>
    <n v="29466.15"/>
  </r>
  <r>
    <s v="FALL 2025"/>
    <x v="0"/>
    <x v="1"/>
    <s v="PORTA ASIATACA"/>
    <x v="0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100"/>
    <n v="278"/>
    <m/>
    <m/>
    <m/>
    <m/>
    <m/>
    <n v="1378"/>
    <n v="137500"/>
    <n v="34750"/>
    <n v="172250"/>
    <n v="27223.899999999998"/>
    <n v="6880.2219999999998"/>
    <n v="34104.121999999996"/>
    <n v="18700"/>
    <n v="4726"/>
    <n v="23426"/>
  </r>
  <r>
    <s v="FALL 2025"/>
    <x v="0"/>
    <x v="0"/>
    <s v="PORTA ASIATACA"/>
    <x v="0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100"/>
    <n v="148"/>
    <m/>
    <m/>
    <m/>
    <m/>
    <m/>
    <n v="1248"/>
    <n v="165000"/>
    <n v="22200"/>
    <n v="187200"/>
    <n v="31854.514999999996"/>
    <n v="4285.8801999999996"/>
    <n v="36140.395199999999"/>
    <n v="21945"/>
    <n v="2952.6"/>
    <n v="24897.599999999999"/>
  </r>
  <r>
    <s v="FALL 2025"/>
    <x v="0"/>
    <x v="1"/>
    <s v="PORTA ASIATACA"/>
    <x v="0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000"/>
    <n v="148"/>
    <m/>
    <m/>
    <m/>
    <m/>
    <m/>
    <n v="1148"/>
    <n v="125000"/>
    <n v="18500"/>
    <n v="143500"/>
    <n v="24749"/>
    <n v="3662.8519999999999"/>
    <n v="28411.851999999999"/>
    <n v="17000"/>
    <n v="2516"/>
    <n v="19516"/>
  </r>
  <r>
    <s v="FALL 2025"/>
    <x v="0"/>
    <x v="0"/>
    <s v="PORTA ASIATACA"/>
    <x v="0"/>
    <s v="STF25M51365"/>
    <s v="FF141-P"/>
    <s v="93% POLYESTER/7% SPANDEX VELOUR 300 GM/M2"/>
    <s v="KNIT"/>
    <s v="6112.12.0010"/>
    <n v="225"/>
    <n v="46.8675"/>
    <n v="32.5"/>
    <n v="0.28199999999999997"/>
    <n v="9.1649999999999991"/>
    <n v="7.4999999999999997E-2"/>
    <n v="2.4375"/>
    <n v="7.0000000000000007E-2"/>
    <n v="2.2750000000000004"/>
    <n v="0.49"/>
    <n v="300"/>
    <n v="6"/>
    <m/>
    <m/>
    <m/>
    <m/>
    <m/>
    <n v="306"/>
    <n v="67500"/>
    <n v="1350"/>
    <n v="68850"/>
    <n v="14060.25"/>
    <n v="281.20499999999998"/>
    <n v="14341.455"/>
    <n v="9750"/>
    <n v="195"/>
    <n v="9945"/>
  </r>
  <r>
    <s v="FALL 2025"/>
    <x v="0"/>
    <x v="0"/>
    <s v="PORTA ASIATACA"/>
    <x v="0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86"/>
    <m/>
    <m/>
    <m/>
    <n v="13"/>
    <m/>
    <n v="899"/>
    <n v="122500"/>
    <n v="34825"/>
    <n v="157325"/>
    <n v="22268.854999999996"/>
    <n v="6202.5028999999995"/>
    <n v="28471.357899999995"/>
    <n v="15365"/>
    <n v="4368.05"/>
    <n v="19733.05"/>
  </r>
  <r>
    <s v="FALL 2025"/>
    <x v="0"/>
    <x v="1"/>
    <s v="PORTA ASIATACA"/>
    <x v="0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76"/>
    <m/>
    <m/>
    <m/>
    <n v="3"/>
    <m/>
    <n v="779"/>
    <n v="81000"/>
    <n v="24165"/>
    <n v="105165"/>
    <n v="15705.6"/>
    <n v="4660.9760000000006"/>
    <n v="20366.576000000001"/>
    <n v="10800"/>
    <n v="3222"/>
    <n v="14022"/>
  </r>
  <r>
    <s v="FALL 2025"/>
    <x v="0"/>
    <x v="0"/>
    <s v="PORTA ASIATACA"/>
    <x v="0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64"/>
    <m/>
    <m/>
    <m/>
    <m/>
    <m/>
    <n v="864"/>
    <n v="122500"/>
    <n v="28700"/>
    <n v="151200"/>
    <n v="22268.854999999996"/>
    <n v="5217.2745999999988"/>
    <n v="27486.129599999993"/>
    <n v="15365"/>
    <n v="3599.7999999999997"/>
    <n v="18964.8"/>
  </r>
  <r>
    <s v="FALL 2025"/>
    <x v="0"/>
    <x v="1"/>
    <s v="PORTA ASIATACA"/>
    <x v="0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88"/>
    <m/>
    <m/>
    <m/>
    <m/>
    <m/>
    <n v="788"/>
    <n v="81000"/>
    <n v="25380"/>
    <n v="106380"/>
    <n v="15705.6"/>
    <n v="4921.0880000000006"/>
    <n v="20626.688000000002"/>
    <n v="10800"/>
    <n v="3384"/>
    <n v="14184"/>
  </r>
  <r>
    <s v="FALL 2025"/>
    <x v="0"/>
    <x v="0"/>
    <s v="PORTA ASIATACA"/>
    <x v="0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43"/>
    <m/>
    <m/>
    <m/>
    <n v="12"/>
    <m/>
    <n v="855"/>
    <n v="122500"/>
    <n v="27125"/>
    <n v="149625"/>
    <n v="22268.854999999996"/>
    <n v="4812.6089499999989"/>
    <n v="27081.463949999994"/>
    <n v="15365"/>
    <n v="3402.25"/>
    <n v="18767.25"/>
  </r>
  <r>
    <s v="FALL 2025"/>
    <x v="0"/>
    <x v="1"/>
    <s v="PORTA ASIATACA"/>
    <x v="0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35"/>
    <m/>
    <m/>
    <m/>
    <n v="6"/>
    <m/>
    <n v="741"/>
    <n v="81000"/>
    <n v="19035"/>
    <n v="100035"/>
    <n v="15705.6"/>
    <n v="3641.76"/>
    <n v="19347.36"/>
    <n v="10800"/>
    <n v="2538"/>
    <n v="13338"/>
  </r>
  <r>
    <s v="FALL 2025"/>
    <x v="0"/>
    <x v="4"/>
    <s v="PORTA ASIATACA"/>
    <x v="0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500"/>
    <n v="86"/>
    <m/>
    <m/>
    <m/>
    <m/>
    <n v="6"/>
    <n v="592"/>
    <n v="55000"/>
    <n v="10120"/>
    <n v="65120"/>
    <n v="11232.5"/>
    <n v="2021.99"/>
    <n v="13254.49"/>
    <n v="7500"/>
    <n v="1380"/>
    <n v="8880"/>
  </r>
  <r>
    <s v="FALL 2025"/>
    <x v="0"/>
    <x v="4"/>
    <s v="PORTA ASIATACA"/>
    <x v="0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400"/>
    <n v="53"/>
    <m/>
    <m/>
    <m/>
    <m/>
    <n v="6"/>
    <n v="459"/>
    <n v="44000"/>
    <n v="6490"/>
    <n v="50490"/>
    <n v="8986"/>
    <n v="1280.645"/>
    <n v="10266.645"/>
    <n v="6000"/>
    <n v="885"/>
    <n v="6885"/>
  </r>
  <r>
    <s v="FALL 2025"/>
    <x v="0"/>
    <x v="4"/>
    <s v="PORTA ASIATACA"/>
    <x v="0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500"/>
    <n v="93"/>
    <m/>
    <m/>
    <m/>
    <m/>
    <n v="6"/>
    <n v="599"/>
    <n v="55000"/>
    <n v="10890"/>
    <n v="65890"/>
    <n v="11232.5"/>
    <n v="2179.2449999999999"/>
    <n v="13411.744999999999"/>
    <n v="7500"/>
    <n v="1485"/>
    <n v="8985"/>
  </r>
  <r>
    <s v="FALL 2025"/>
    <x v="0"/>
    <x v="0"/>
    <s v="PORTA ASIATACA"/>
    <x v="0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200"/>
    <n v="124"/>
    <m/>
    <m/>
    <m/>
    <m/>
    <m/>
    <n v="1324"/>
    <n v="222000"/>
    <n v="22940"/>
    <n v="244940"/>
    <n v="40829.4"/>
    <n v="4219.0380000000005"/>
    <n v="45048.438000000002"/>
    <n v="28200"/>
    <n v="2914"/>
    <n v="31114"/>
  </r>
  <r>
    <s v="FALL 2025"/>
    <x v="0"/>
    <x v="1"/>
    <s v="PORTA ASIATACA"/>
    <x v="0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100"/>
    <n v="124"/>
    <m/>
    <m/>
    <m/>
    <m/>
    <m/>
    <n v="1224"/>
    <n v="165000"/>
    <n v="18600"/>
    <n v="183600"/>
    <n v="30363.3"/>
    <n v="3422.7719999999999"/>
    <n v="33786.072"/>
    <n v="20900"/>
    <n v="2356"/>
    <n v="23256"/>
  </r>
  <r>
    <s v="FALL 2025"/>
    <x v="0"/>
    <x v="0"/>
    <s v="PORTA ASIATACA"/>
    <x v="0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300"/>
    <n v="178"/>
    <m/>
    <m/>
    <m/>
    <m/>
    <m/>
    <n v="1478"/>
    <n v="240500"/>
    <n v="32930"/>
    <n v="273430"/>
    <n v="44231.850000000006"/>
    <n v="6056.3610000000008"/>
    <n v="50288.21100000001"/>
    <n v="30550"/>
    <n v="4183"/>
    <n v="34733"/>
  </r>
  <r>
    <s v="FALL 2025"/>
    <x v="0"/>
    <x v="1"/>
    <s v="PORTA ASIATACA"/>
    <x v="0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200"/>
    <n v="178"/>
    <m/>
    <m/>
    <m/>
    <m/>
    <m/>
    <n v="1378"/>
    <n v="180000"/>
    <n v="26700"/>
    <n v="206700"/>
    <n v="33123.599999999999"/>
    <n v="4913.3339999999998"/>
    <n v="38036.934000000001"/>
    <n v="22800"/>
    <n v="3382"/>
    <n v="26182"/>
  </r>
  <r>
    <s v="FALL 2025"/>
    <x v="0"/>
    <x v="0"/>
    <s v="PORTA ASIATACA"/>
    <x v="0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300"/>
    <n v="199"/>
    <m/>
    <m/>
    <m/>
    <m/>
    <m/>
    <n v="1499"/>
    <n v="240500"/>
    <n v="36815"/>
    <n v="277315"/>
    <n v="44231.850000000006"/>
    <n v="6770.875500000001"/>
    <n v="51002.725500000008"/>
    <n v="30550"/>
    <n v="4676.5"/>
    <n v="35226.5"/>
  </r>
  <r>
    <s v="FALL 2025"/>
    <x v="0"/>
    <x v="1"/>
    <s v="PORTA ASIATACA"/>
    <x v="0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200"/>
    <n v="199"/>
    <m/>
    <m/>
    <m/>
    <m/>
    <m/>
    <n v="1399"/>
    <n v="180000"/>
    <n v="29850"/>
    <n v="209850"/>
    <n v="33123.599999999999"/>
    <n v="5492.9969999999994"/>
    <n v="38616.596999999994"/>
    <n v="22800"/>
    <n v="3781"/>
    <n v="26581"/>
  </r>
  <r>
    <s v="FALL 2025"/>
    <x v="0"/>
    <x v="0"/>
    <s v="PORTA ASIATACA"/>
    <x v="0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200"/>
    <n v="274"/>
    <m/>
    <n v="70"/>
    <m/>
    <m/>
    <m/>
    <n v="1544"/>
    <n v="222000"/>
    <n v="63640"/>
    <n v="285640"/>
    <n v="40829.4"/>
    <n v="10967.713000000002"/>
    <n v="51797.113000000005"/>
    <n v="28200"/>
    <n v="8084"/>
    <n v="36284"/>
  </r>
  <r>
    <s v="FALL 2025"/>
    <x v="0"/>
    <x v="1"/>
    <s v="PORTA ASIATACA"/>
    <x v="0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100"/>
    <n v="266"/>
    <m/>
    <n v="50"/>
    <m/>
    <m/>
    <m/>
    <n v="1416"/>
    <n v="165000"/>
    <n v="47400"/>
    <n v="212400"/>
    <n v="30363.3"/>
    <n v="8292.3979999999992"/>
    <n v="38655.697999999997"/>
    <n v="20900"/>
    <n v="6004"/>
    <n v="26904"/>
  </r>
  <r>
    <s v="FALL 2025"/>
    <x v="0"/>
    <x v="5"/>
    <s v="PORTA ASIATACA"/>
    <x v="0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900"/>
    <n v="5"/>
    <m/>
    <m/>
    <m/>
    <m/>
    <m/>
    <n v="905"/>
    <n v="126000"/>
    <n v="700"/>
    <n v="126700"/>
    <n v="24174"/>
    <n v="134.30000000000001"/>
    <n v="24308.3"/>
    <n v="16200"/>
    <n v="90"/>
    <n v="16290"/>
  </r>
  <r>
    <s v="FALL 2025"/>
    <x v="0"/>
    <x v="5"/>
    <s v="PORTA ASIATACA"/>
    <x v="0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800"/>
    <m/>
    <m/>
    <m/>
    <m/>
    <m/>
    <m/>
    <n v="800"/>
    <n v="112000"/>
    <n v="0"/>
    <n v="112000"/>
    <n v="21488"/>
    <n v="0"/>
    <n v="21488"/>
    <n v="14400"/>
    <n v="0"/>
    <n v="14400"/>
  </r>
  <r>
    <s v="FALL 2025"/>
    <x v="0"/>
    <x v="5"/>
    <s v="PORTA ASIATACA"/>
    <x v="0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700"/>
    <m/>
    <m/>
    <m/>
    <m/>
    <m/>
    <m/>
    <n v="700"/>
    <n v="98000"/>
    <n v="0"/>
    <n v="98000"/>
    <n v="18802"/>
    <n v="0"/>
    <n v="18802"/>
    <n v="12600"/>
    <n v="0"/>
    <n v="12600"/>
  </r>
  <r>
    <s v="FALL 2025"/>
    <x v="0"/>
    <x v="5"/>
    <s v="PORTA ASIATACA"/>
    <x v="0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800"/>
    <m/>
    <m/>
    <m/>
    <m/>
    <m/>
    <m/>
    <n v="800"/>
    <n v="112000"/>
    <n v="0"/>
    <n v="112000"/>
    <n v="21488"/>
    <n v="0"/>
    <n v="21488"/>
    <n v="14400"/>
    <n v="0"/>
    <n v="14400"/>
  </r>
  <r>
    <s v="FALL 2025"/>
    <x v="0"/>
    <x v="3"/>
    <s v="PORTA ASIATACA"/>
    <x v="0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500"/>
    <m/>
    <m/>
    <m/>
    <m/>
    <m/>
    <m/>
    <n v="500"/>
    <n v="44000"/>
    <n v="0"/>
    <n v="44000"/>
    <n v="9520.5"/>
    <n v="0"/>
    <n v="9520.5"/>
    <n v="6500"/>
    <n v="0"/>
    <n v="6500"/>
  </r>
  <r>
    <s v="FALL 2025"/>
    <x v="0"/>
    <x v="3"/>
    <s v="PORTA ASIATACA"/>
    <x v="0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600"/>
    <n v="5"/>
    <m/>
    <m/>
    <m/>
    <m/>
    <m/>
    <n v="605"/>
    <n v="52800"/>
    <n v="440"/>
    <n v="53240"/>
    <n v="11424.6"/>
    <n v="95.204999999999998"/>
    <n v="11519.805"/>
    <n v="7800"/>
    <n v="65"/>
    <n v="7865"/>
  </r>
  <r>
    <s v="FALL 2025"/>
    <x v="0"/>
    <x v="3"/>
    <s v="PORTA ASIATACA"/>
    <x v="0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600"/>
    <m/>
    <m/>
    <m/>
    <m/>
    <m/>
    <m/>
    <n v="600"/>
    <n v="52800"/>
    <n v="0"/>
    <n v="52800"/>
    <n v="11424.6"/>
    <n v="0"/>
    <n v="11424.6"/>
    <n v="7800"/>
    <n v="0"/>
    <n v="7800"/>
  </r>
  <r>
    <s v="FALL 2025"/>
    <x v="0"/>
    <x v="3"/>
    <s v="PORTA ASIATACA"/>
    <x v="0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500"/>
    <n v="8"/>
    <m/>
    <n v="60"/>
    <m/>
    <m/>
    <m/>
    <n v="568"/>
    <n v="44000"/>
    <n v="5984"/>
    <n v="49984"/>
    <n v="9520.5"/>
    <n v="932.32799999999997"/>
    <n v="10452.828"/>
    <n v="6500"/>
    <n v="884"/>
    <n v="7384"/>
  </r>
  <r>
    <s v="FALL 2025"/>
    <x v="0"/>
    <x v="10"/>
    <s v="PORTA ASIATACA"/>
    <x v="0"/>
    <s v="STF25M51383"/>
    <s v="FF141-P"/>
    <s v="100% POLYESTER VELOUR 275 GM/M2"/>
    <s v="KNIT"/>
    <s v="6112.12.0010"/>
    <n v="225"/>
    <n v="43.014600000000002"/>
    <n v="29.8"/>
    <n v="0.28199999999999997"/>
    <n v="8.4035999999999991"/>
    <n v="7.4999999999999997E-2"/>
    <n v="2.2349999999999999"/>
    <n v="7.0000000000000007E-2"/>
    <n v="2.0860000000000003"/>
    <n v="0.49"/>
    <n v="250"/>
    <n v="24"/>
    <m/>
    <m/>
    <m/>
    <m/>
    <m/>
    <n v="274"/>
    <n v="56250"/>
    <n v="5400"/>
    <n v="61650"/>
    <n v="10753.65"/>
    <n v="1032.3504"/>
    <n v="11786.000399999999"/>
    <n v="7450"/>
    <n v="715.2"/>
    <n v="8165.2"/>
  </r>
  <r>
    <s v="FALL 2025"/>
    <x v="0"/>
    <x v="10"/>
    <s v="PORTA ASIATACA"/>
    <x v="0"/>
    <s v="STF25M51383"/>
    <s v="FF141-P"/>
    <s v="100% POLYESTER VELOUR 275 GM/M2"/>
    <s v="KNIT"/>
    <s v="6112.12.0010"/>
    <n v="225"/>
    <n v="43.014600000000002"/>
    <n v="29.8"/>
    <n v="0.28199999999999997"/>
    <n v="8.4035999999999991"/>
    <n v="7.4999999999999997E-2"/>
    <n v="2.2349999999999999"/>
    <n v="7.0000000000000007E-2"/>
    <n v="2.0860000000000003"/>
    <n v="0.49"/>
    <n v="250"/>
    <n v="24"/>
    <m/>
    <m/>
    <m/>
    <m/>
    <m/>
    <n v="274"/>
    <n v="56250"/>
    <n v="5400"/>
    <n v="61650"/>
    <n v="10753.65"/>
    <n v="1032.3504"/>
    <n v="11786.000399999999"/>
    <n v="7450"/>
    <n v="715.2"/>
    <n v="8165.2"/>
  </r>
  <r>
    <s v="FALL 2025"/>
    <x v="0"/>
    <x v="5"/>
    <s v="SARA"/>
    <x v="1"/>
    <s v="STF25M51375"/>
    <s v="FF042"/>
    <s v="FRENCH TERRY 100% COTTON 360GM/M2"/>
    <s v="KNIT"/>
    <s v="6112.12.0010"/>
    <n v="98"/>
    <n v="17.779999999999998"/>
    <n v="14"/>
    <n v="0.16500000000000001"/>
    <n v="2.31"/>
    <m/>
    <m/>
    <n v="7.0000000000000007E-2"/>
    <n v="0.98000000000000009"/>
    <n v="0.49"/>
    <n v="600"/>
    <n v="163"/>
    <m/>
    <m/>
    <m/>
    <m/>
    <m/>
    <n v="763"/>
    <n v="58800"/>
    <n v="15974"/>
    <n v="74774"/>
    <n v="10667.999999999998"/>
    <n v="2898.1399999999994"/>
    <n v="13566.139999999998"/>
    <n v="8400"/>
    <n v="2282"/>
    <n v="10682"/>
  </r>
  <r>
    <s v="FALL 2025"/>
    <x v="0"/>
    <x v="5"/>
    <s v="SARA"/>
    <x v="1"/>
    <s v="STF25M51375"/>
    <s v="FF042"/>
    <s v="FRENCH TERRY 100% COTTON 360GM/M2"/>
    <s v="KNIT"/>
    <s v="6112.12.0010"/>
    <n v="98"/>
    <n v="17.779999999999998"/>
    <n v="14"/>
    <n v="0.16500000000000001"/>
    <n v="2.31"/>
    <m/>
    <m/>
    <n v="7.0000000000000007E-2"/>
    <n v="0.98000000000000009"/>
    <n v="0.49"/>
    <n v="600"/>
    <n v="161"/>
    <m/>
    <m/>
    <m/>
    <m/>
    <m/>
    <n v="761"/>
    <n v="58800"/>
    <n v="15778"/>
    <n v="74578"/>
    <n v="10667.999999999998"/>
    <n v="2862.5799999999995"/>
    <n v="13530.579999999998"/>
    <n v="8400"/>
    <n v="2254"/>
    <n v="10654"/>
  </r>
  <r>
    <s v="FALL 2025"/>
    <x v="0"/>
    <x v="9"/>
    <s v="SARA"/>
    <x v="1"/>
    <s v="STF25M51376"/>
    <s v="FF043"/>
    <s v="100% COTTON FRENCH TERRY 360 GM/M2"/>
    <s v="KNIT"/>
    <s v="6114.20.0055"/>
    <n v="88"/>
    <n v="17.555999999999997"/>
    <n v="14"/>
    <n v="0.14899999999999999"/>
    <n v="2.0859999999999999"/>
    <m/>
    <m/>
    <n v="7.0000000000000007E-2"/>
    <n v="0.98000000000000009"/>
    <n v="0.49"/>
    <n v="500"/>
    <n v="163"/>
    <m/>
    <m/>
    <m/>
    <m/>
    <m/>
    <n v="663"/>
    <n v="44000"/>
    <n v="14344"/>
    <n v="58344"/>
    <n v="8777.9999999999982"/>
    <n v="2861.6279999999997"/>
    <n v="11639.627999999997"/>
    <n v="7000"/>
    <n v="2282"/>
    <n v="9282"/>
  </r>
  <r>
    <s v="FALL 2025"/>
    <x v="0"/>
    <x v="9"/>
    <s v="SARA"/>
    <x v="1"/>
    <s v="STF25M51376"/>
    <s v="FF043"/>
    <s v="100% COTTON FRENCH TERRY 360 GM/M2"/>
    <s v="KNIT"/>
    <s v="6114.20.0055"/>
    <n v="88"/>
    <n v="17.555999999999997"/>
    <n v="14"/>
    <n v="0.14899999999999999"/>
    <n v="2.0859999999999999"/>
    <m/>
    <m/>
    <n v="7.0000000000000007E-2"/>
    <n v="0.98000000000000009"/>
    <n v="0.49"/>
    <n v="500"/>
    <n v="166"/>
    <m/>
    <m/>
    <m/>
    <m/>
    <m/>
    <n v="666"/>
    <n v="44000"/>
    <n v="14608"/>
    <n v="58608"/>
    <n v="8777.9999999999982"/>
    <n v="2914.2959999999994"/>
    <n v="11692.295999999998"/>
    <n v="7000"/>
    <n v="2324"/>
    <n v="9324"/>
  </r>
  <r>
    <s v="FALL 2025"/>
    <x v="0"/>
    <x v="8"/>
    <s v="SARA"/>
    <x v="1"/>
    <s v="STF25M51377"/>
    <s v="FF453"/>
    <s v="95% COTTON/5% ELASTANE 240 GM/M2"/>
    <s v="KNIT"/>
    <s v="6110.20.2041"/>
    <n v="88"/>
    <n v="15.31"/>
    <n v="12"/>
    <n v="0.16500000000000001"/>
    <n v="1.98"/>
    <m/>
    <m/>
    <n v="7.0000000000000007E-2"/>
    <n v="0.84000000000000008"/>
    <n v="0.49"/>
    <n v="600"/>
    <n v="128"/>
    <m/>
    <m/>
    <m/>
    <m/>
    <n v="12"/>
    <n v="740"/>
    <n v="52800"/>
    <n v="12320"/>
    <n v="65120"/>
    <n v="9186"/>
    <n v="2103.6800000000003"/>
    <n v="11289.68"/>
    <n v="7200"/>
    <n v="1680"/>
    <n v="8880"/>
  </r>
  <r>
    <s v="FALL 2025"/>
    <x v="0"/>
    <x v="8"/>
    <s v="SARA"/>
    <x v="1"/>
    <s v="STF25M51377"/>
    <s v="FF453"/>
    <s v="95% COTTON/5% ELASTANE 240 GM/M2"/>
    <s v="KNIT"/>
    <s v="6110.20.2041"/>
    <n v="88"/>
    <n v="15.31"/>
    <n v="12"/>
    <n v="0.16500000000000001"/>
    <n v="1.98"/>
    <m/>
    <m/>
    <n v="7.0000000000000007E-2"/>
    <n v="0.84000000000000008"/>
    <n v="0.49"/>
    <n v="600"/>
    <n v="123"/>
    <m/>
    <m/>
    <m/>
    <m/>
    <n v="6"/>
    <n v="729"/>
    <n v="52800"/>
    <n v="11352"/>
    <n v="64152"/>
    <n v="9186"/>
    <n v="1955.13"/>
    <n v="11141.130000000001"/>
    <n v="7200"/>
    <n v="1548"/>
    <n v="8748"/>
  </r>
  <r>
    <s v="FALL 2025"/>
    <x v="0"/>
    <x v="8"/>
    <s v="SARA"/>
    <x v="1"/>
    <s v="STF25M51386"/>
    <s v="FF042"/>
    <s v="FRENCH TERRY 100% COTTON 360GM/M2"/>
    <s v="KNIT"/>
    <s v="6110.20.2041"/>
    <n v="118"/>
    <n v="22.72"/>
    <n v="18"/>
    <n v="0.16500000000000001"/>
    <n v="2.97"/>
    <m/>
    <m/>
    <n v="7.0000000000000007E-2"/>
    <n v="1.2600000000000002"/>
    <n v="0.49"/>
    <n v="500"/>
    <n v="132"/>
    <m/>
    <m/>
    <m/>
    <m/>
    <n v="6"/>
    <n v="638"/>
    <n v="59000"/>
    <n v="16284"/>
    <n v="75284"/>
    <n v="11360"/>
    <n v="3107.04"/>
    <n v="14467.04"/>
    <n v="9000"/>
    <n v="2484"/>
    <n v="11484"/>
  </r>
  <r>
    <s v="FALL 2025"/>
    <x v="0"/>
    <x v="8"/>
    <s v="SARA"/>
    <x v="1"/>
    <s v="STF25M51386"/>
    <s v="FF042"/>
    <s v="FRENCH TERRY 100% COTTON 360GM/M2"/>
    <s v="KNIT"/>
    <s v="6110.20.2041"/>
    <n v="118"/>
    <n v="22.72"/>
    <n v="18"/>
    <n v="0.16500000000000001"/>
    <n v="2.97"/>
    <m/>
    <m/>
    <n v="7.0000000000000007E-2"/>
    <n v="1.2600000000000002"/>
    <n v="0.49"/>
    <n v="500"/>
    <n v="124"/>
    <m/>
    <m/>
    <m/>
    <m/>
    <n v="6"/>
    <n v="630"/>
    <n v="59000"/>
    <n v="15340"/>
    <n v="74340"/>
    <n v="11360"/>
    <n v="2925.2799999999997"/>
    <n v="14285.279999999999"/>
    <n v="9000"/>
    <n v="2340"/>
    <n v="11340"/>
  </r>
  <r>
    <s v="FALL 2025"/>
    <x v="0"/>
    <x v="2"/>
    <s v="SARA"/>
    <x v="1"/>
    <s v="STF25M51387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150"/>
    <m/>
    <m/>
    <m/>
    <m/>
    <m/>
    <n v="650"/>
    <n v="21000"/>
    <n v="6300"/>
    <n v="27300"/>
    <n v="3641.25"/>
    <n v="1092.375"/>
    <n v="4733.625"/>
    <n v="2750"/>
    <n v="825"/>
    <n v="3575"/>
  </r>
  <r>
    <s v="FALL 2025"/>
    <x v="0"/>
    <x v="2"/>
    <s v="SARA"/>
    <x v="1"/>
    <s v="STF25M51387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200"/>
    <m/>
    <m/>
    <m/>
    <m/>
    <m/>
    <n v="700"/>
    <n v="21000"/>
    <n v="8400"/>
    <n v="29400"/>
    <n v="3641.25"/>
    <n v="1456.5"/>
    <n v="5097.75"/>
    <n v="2750"/>
    <n v="1100"/>
    <n v="3850"/>
  </r>
  <r>
    <s v="FALL 2025"/>
    <x v="0"/>
    <x v="3"/>
    <s v="SARA"/>
    <x v="1"/>
    <s v="STF25M51410"/>
    <s v="FF042"/>
    <s v="FRENCH TERRY 100% COTTON 360GM/M2"/>
    <s v="KNIT"/>
    <s v="6103.42.1050"/>
    <n v="68"/>
    <n v="12.799999999999999"/>
    <n v="10"/>
    <n v="0.161"/>
    <n v="1.61"/>
    <m/>
    <m/>
    <n v="7.0000000000000007E-2"/>
    <n v="0.70000000000000007"/>
    <n v="0.49"/>
    <n v="400"/>
    <n v="158"/>
    <m/>
    <m/>
    <m/>
    <m/>
    <m/>
    <n v="558"/>
    <n v="27200"/>
    <n v="10744"/>
    <n v="37944"/>
    <n v="5120"/>
    <n v="2022.3999999999999"/>
    <n v="7142.4"/>
    <n v="4000"/>
    <n v="1580"/>
    <n v="5580"/>
  </r>
  <r>
    <s v="FALL 2025"/>
    <x v="0"/>
    <x v="3"/>
    <s v="SARA"/>
    <x v="1"/>
    <s v="STF25M51410"/>
    <s v="FF042"/>
    <s v="FRENCH TERRY 100% COTTON 360GM/M2"/>
    <s v="KNIT"/>
    <s v="6103.42.1050"/>
    <n v="68"/>
    <n v="12.799999999999999"/>
    <n v="10"/>
    <n v="0.161"/>
    <n v="1.61"/>
    <m/>
    <m/>
    <n v="7.0000000000000007E-2"/>
    <n v="0.70000000000000007"/>
    <n v="0.49"/>
    <n v="400"/>
    <n v="150"/>
    <m/>
    <m/>
    <m/>
    <m/>
    <m/>
    <n v="550"/>
    <n v="27200"/>
    <n v="10200"/>
    <n v="37400"/>
    <n v="5120"/>
    <n v="1919.9999999999998"/>
    <n v="7040"/>
    <n v="4000"/>
    <n v="1500"/>
    <n v="5500"/>
  </r>
  <r>
    <s v="FALL 2025"/>
    <x v="0"/>
    <x v="2"/>
    <s v="SARA "/>
    <x v="1"/>
    <s v="STF25M51389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5"/>
    <m/>
    <m/>
    <m/>
    <m/>
    <m/>
    <n v="505"/>
    <n v="21000"/>
    <n v="210"/>
    <n v="21210"/>
    <n v="3641.25"/>
    <n v="36.412500000000001"/>
    <n v="3677.6624999999999"/>
    <n v="2750"/>
    <n v="27.5"/>
    <n v="2777.5"/>
  </r>
  <r>
    <s v="FALL 2025"/>
    <x v="0"/>
    <x v="8"/>
    <s v="SARA"/>
    <x v="1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m/>
    <m/>
    <m/>
    <m/>
    <m/>
    <m/>
    <n v="400"/>
    <n v="47200"/>
    <n v="0"/>
    <n v="47200"/>
    <n v="8939.7999999999993"/>
    <n v="0"/>
    <n v="8939.7999999999993"/>
    <n v="7080"/>
    <n v="0"/>
    <n v="7080"/>
  </r>
  <r>
    <s v="FALL 2025"/>
    <x v="0"/>
    <x v="8"/>
    <s v="SARA"/>
    <x v="1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n v="48"/>
    <m/>
    <m/>
    <m/>
    <m/>
    <m/>
    <n v="448"/>
    <n v="47200"/>
    <n v="5664"/>
    <n v="52864"/>
    <n v="8939.7999999999993"/>
    <n v="1072.7759999999998"/>
    <n v="10012.575999999999"/>
    <n v="7080"/>
    <n v="849.59999999999991"/>
    <n v="7929.6"/>
  </r>
  <r>
    <s v="FALL 2025"/>
    <x v="0"/>
    <x v="8"/>
    <s v="SARA"/>
    <x v="1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n v="48"/>
    <m/>
    <m/>
    <m/>
    <m/>
    <m/>
    <n v="448"/>
    <n v="47200"/>
    <n v="5664"/>
    <n v="52864"/>
    <n v="8939.7999999999993"/>
    <n v="1072.7759999999998"/>
    <n v="10012.575999999999"/>
    <n v="7080"/>
    <n v="849.59999999999991"/>
    <n v="7929.6"/>
  </r>
  <r>
    <s v="FALL 2025"/>
    <x v="0"/>
    <x v="9"/>
    <s v="SARA"/>
    <x v="1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m/>
    <m/>
    <m/>
    <m/>
    <m/>
    <m/>
    <n v="400"/>
    <n v="39200"/>
    <n v="0"/>
    <n v="39200"/>
    <n v="7144.2999999999984"/>
    <n v="0"/>
    <n v="7144.2999999999984"/>
    <n v="5700"/>
    <n v="0"/>
    <n v="5700"/>
  </r>
  <r>
    <s v="FALL 2025"/>
    <x v="0"/>
    <x v="9"/>
    <s v="SARA"/>
    <x v="1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n v="48"/>
    <m/>
    <m/>
    <m/>
    <m/>
    <m/>
    <n v="448"/>
    <n v="39200"/>
    <n v="4704"/>
    <n v="43904"/>
    <n v="7144.2999999999984"/>
    <n v="857.3159999999998"/>
    <n v="8001.6159999999982"/>
    <n v="5700"/>
    <n v="684"/>
    <n v="6384"/>
  </r>
  <r>
    <s v="FALL 2025"/>
    <x v="0"/>
    <x v="9"/>
    <s v="SARA"/>
    <x v="1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n v="48"/>
    <m/>
    <m/>
    <m/>
    <m/>
    <m/>
    <n v="448"/>
    <n v="39200"/>
    <n v="4704"/>
    <n v="43904"/>
    <n v="7144.2999999999984"/>
    <n v="857.3159999999998"/>
    <n v="8001.6159999999982"/>
    <n v="5700"/>
    <n v="684"/>
    <n v="6384"/>
  </r>
  <r>
    <s v="FALL 2025"/>
    <x v="0"/>
    <x v="2"/>
    <s v="SARA"/>
    <x v="1"/>
    <s v="STF25M51392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19"/>
    <m/>
    <m/>
    <m/>
    <m/>
    <m/>
    <n v="519"/>
    <n v="21000"/>
    <n v="798"/>
    <n v="21798"/>
    <n v="3486.875"/>
    <n v="132.50125"/>
    <n v="3619.3762499999998"/>
    <n v="2625"/>
    <n v="99.75"/>
    <n v="2724.75"/>
  </r>
  <r>
    <s v="FALL 2025"/>
    <x v="0"/>
    <x v="2"/>
    <s v="SARA"/>
    <x v="1"/>
    <s v="STF25M51392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133"/>
    <m/>
    <m/>
    <m/>
    <m/>
    <m/>
    <n v="633"/>
    <n v="21000"/>
    <n v="5586"/>
    <n v="26586"/>
    <n v="3486.875"/>
    <n v="927.50874999999996"/>
    <n v="4414.38375"/>
    <n v="2625"/>
    <n v="698.25"/>
    <n v="3323.25"/>
  </r>
  <r>
    <s v="FALL 2025"/>
    <x v="0"/>
    <x v="2"/>
    <s v="SARA"/>
    <x v="1"/>
    <s v="STF25M51392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82"/>
    <m/>
    <m/>
    <m/>
    <m/>
    <m/>
    <n v="582"/>
    <n v="21000"/>
    <n v="3444"/>
    <n v="24444"/>
    <n v="3486.875"/>
    <n v="571.84749999999997"/>
    <n v="4058.7224999999999"/>
    <n v="2625"/>
    <n v="430.5"/>
    <n v="3055.5"/>
  </r>
  <r>
    <s v="FALL 2025"/>
    <x v="0"/>
    <x v="13"/>
    <s v="SARA"/>
    <x v="1"/>
    <s v="STF25M51306"/>
    <s v="FF441"/>
    <s v="100% COTTON FRENCH TERRY 260 GM/M2"/>
    <s v="KNIT"/>
    <s v="6109.10.0012"/>
    <n v="78"/>
    <n v="11.913750000000002"/>
    <n v="9.25"/>
    <n v="0.16500000000000001"/>
    <n v="1.5262500000000001"/>
    <m/>
    <m/>
    <n v="7.0000000000000007E-2"/>
    <n v="0.64750000000000008"/>
    <n v="0.49"/>
    <n v="400"/>
    <n v="64"/>
    <m/>
    <m/>
    <m/>
    <m/>
    <m/>
    <n v="464"/>
    <n v="31200"/>
    <n v="4992"/>
    <n v="36192"/>
    <n v="4765.5000000000009"/>
    <n v="762.48000000000013"/>
    <n v="5527.9800000000014"/>
    <n v="3700"/>
    <n v="592"/>
    <n v="4292"/>
  </r>
  <r>
    <s v="FALL 2025"/>
    <x v="0"/>
    <x v="9"/>
    <s v="SARA"/>
    <x v="1"/>
    <s v="STF25M51307"/>
    <s v="FF042-S"/>
    <s v="100% COTTON FRENCH TERRY 360 GM/M2"/>
    <s v="KNIT"/>
    <s v="6114.20.0055"/>
    <n v="98"/>
    <n v="18.774999999999999"/>
    <n v="15"/>
    <n v="0.14899999999999999"/>
    <n v="2.2349999999999999"/>
    <m/>
    <m/>
    <n v="7.0000000000000007E-2"/>
    <n v="1.05"/>
    <n v="0.49"/>
    <n v="300"/>
    <n v="64"/>
    <m/>
    <m/>
    <m/>
    <m/>
    <m/>
    <n v="364"/>
    <n v="29400"/>
    <n v="6272"/>
    <n v="35672"/>
    <n v="5632.5"/>
    <n v="1201.5999999999999"/>
    <n v="6834.1"/>
    <n v="4500"/>
    <n v="960"/>
    <n v="5460"/>
  </r>
  <r>
    <s v="FALL 2025"/>
    <x v="0"/>
    <x v="2"/>
    <s v="SARA"/>
    <x v="1"/>
    <s v="STF25M51310"/>
    <s v="FF437"/>
    <s v="94% POLYESTER/6% SPANDEX PIQUE 230 GM/M2"/>
    <s v="KNIT"/>
    <s v="6109.90.1007"/>
    <n v="48"/>
    <n v="8.4824999999999999"/>
    <n v="5.75"/>
    <n v="0.32"/>
    <n v="1.84"/>
    <m/>
    <m/>
    <n v="7.0000000000000007E-2"/>
    <n v="0.40250000000000002"/>
    <n v="0.49"/>
    <n v="500"/>
    <n v="136"/>
    <m/>
    <m/>
    <m/>
    <m/>
    <m/>
    <n v="636"/>
    <n v="24000"/>
    <n v="6528"/>
    <n v="30528"/>
    <n v="4241.25"/>
    <n v="1153.6199999999999"/>
    <n v="5394.87"/>
    <n v="2875"/>
    <n v="782"/>
    <n v="3657"/>
  </r>
  <r>
    <s v="FALL 2025"/>
    <x v="0"/>
    <x v="2"/>
    <s v="SARA"/>
    <x v="1"/>
    <s v="STF25M51310"/>
    <s v="FF437"/>
    <s v="94% POLYESTER/6% SPANDEX PIQUE 230 GM/M2"/>
    <s v="KNIT"/>
    <s v="6109.90.1007"/>
    <n v="48"/>
    <n v="8.4824999999999999"/>
    <n v="5.75"/>
    <n v="0.32"/>
    <n v="1.84"/>
    <m/>
    <m/>
    <n v="7.0000000000000007E-2"/>
    <n v="0.40250000000000002"/>
    <n v="0.49"/>
    <n v="500"/>
    <n v="151"/>
    <m/>
    <m/>
    <m/>
    <m/>
    <m/>
    <n v="651"/>
    <n v="24000"/>
    <n v="7248"/>
    <n v="31248"/>
    <n v="4241.25"/>
    <n v="1280.8575000000001"/>
    <n v="5522.1075000000001"/>
    <n v="2875"/>
    <n v="868.25"/>
    <n v="3743.25"/>
  </r>
  <r>
    <s v="FALL 2025"/>
    <x v="0"/>
    <x v="2"/>
    <s v="SARA"/>
    <x v="1"/>
    <s v="STF25M51313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m/>
    <m/>
    <m/>
    <m/>
    <m/>
    <n v="500"/>
    <n v="21000"/>
    <n v="0"/>
    <n v="21000"/>
    <n v="3486.875"/>
    <n v="0"/>
    <n v="3486.875"/>
    <n v="2625"/>
    <n v="0"/>
    <n v="2625"/>
  </r>
  <r>
    <s v="FALL 2025"/>
    <x v="0"/>
    <x v="2"/>
    <s v="SARA"/>
    <x v="1"/>
    <s v="STF25M51313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m/>
    <m/>
    <m/>
    <m/>
    <m/>
    <n v="500"/>
    <n v="21000"/>
    <n v="0"/>
    <n v="21000"/>
    <n v="3486.875"/>
    <n v="0"/>
    <n v="3486.875"/>
    <n v="2625"/>
    <n v="0"/>
    <n v="2625"/>
  </r>
  <r>
    <s v="FALL 2025"/>
    <x v="0"/>
    <x v="12"/>
    <s v="BBUK"/>
    <x v="2"/>
    <s v="UKF25M21204"/>
    <m/>
    <s v="100% COTTON 4 END 7 GG FULLY KNITTED 2/30S "/>
    <s v="SWEATER"/>
    <s v="6110.20.2010"/>
    <n v="125"/>
    <n v="24.881249999999998"/>
    <n v="19.75"/>
    <n v="0.16500000000000001"/>
    <n v="3.25875"/>
    <m/>
    <m/>
    <n v="7.0000000000000007E-2"/>
    <n v="1.3825000000000001"/>
    <n v="0.49"/>
    <n v="500"/>
    <n v="218"/>
    <m/>
    <m/>
    <m/>
    <m/>
    <m/>
    <n v="718"/>
    <n v="62500"/>
    <n v="27250"/>
    <n v="89750"/>
    <n v="12440.624999999998"/>
    <n v="5424.1124999999993"/>
    <n v="17864.737499999996"/>
    <n v="9875"/>
    <n v="4305.5"/>
    <n v="14180.5"/>
  </r>
  <r>
    <s v="FALL 2025"/>
    <x v="0"/>
    <x v="12"/>
    <s v="BBUK"/>
    <x v="2"/>
    <s v="UKF25M21204"/>
    <m/>
    <s v="100% COTTON 4 END 7 GG FULLY KNITTED 2/30S "/>
    <s v="SWEATER"/>
    <s v="6110.20.2010"/>
    <n v="125"/>
    <n v="24.881249999999998"/>
    <n v="19.75"/>
    <n v="0.16500000000000001"/>
    <n v="3.25875"/>
    <m/>
    <m/>
    <n v="7.0000000000000007E-2"/>
    <n v="1.3825000000000001"/>
    <n v="0.49"/>
    <n v="600"/>
    <n v="194"/>
    <m/>
    <m/>
    <m/>
    <m/>
    <m/>
    <n v="794"/>
    <n v="75000"/>
    <n v="24250"/>
    <n v="99250"/>
    <n v="14928.749999999998"/>
    <n v="4826.9624999999996"/>
    <n v="19755.712499999998"/>
    <n v="11850"/>
    <n v="3831.5"/>
    <n v="15681.5"/>
  </r>
  <r>
    <s v="FALL 2025"/>
    <x v="0"/>
    <x v="12"/>
    <s v="BBUK"/>
    <x v="2"/>
    <s v="UKF25M21242"/>
    <m/>
    <s v="100% COTTON 4END 7GAUGE, FULLY KNITTED"/>
    <s v="SWEATER"/>
    <s v="6110.20.2010"/>
    <n v="125"/>
    <n v="25.375249999999998"/>
    <n v="20.149999999999999"/>
    <n v="0.16500000000000001"/>
    <n v="3.3247499999999999"/>
    <m/>
    <m/>
    <n v="7.0000000000000007E-2"/>
    <n v="1.4105000000000001"/>
    <n v="0.49"/>
    <n v="600"/>
    <n v="164"/>
    <m/>
    <m/>
    <m/>
    <m/>
    <m/>
    <n v="764"/>
    <n v="75000"/>
    <n v="20500"/>
    <n v="95500"/>
    <n v="15225.149999999998"/>
    <n v="4161.5409999999993"/>
    <n v="19386.690999999999"/>
    <n v="12090"/>
    <n v="3304.6"/>
    <n v="15394.6"/>
  </r>
  <r>
    <s v="FALL 2025"/>
    <x v="0"/>
    <x v="12"/>
    <s v="BBUK"/>
    <x v="2"/>
    <s v="UKF25M21244"/>
    <m/>
    <s v="100% COTTON 4 END 7 GG"/>
    <s v="SWEATER"/>
    <s v="6110.20.2010"/>
    <n v="98"/>
    <n v="20.25"/>
    <n v="16"/>
    <n v="0.16500000000000001"/>
    <n v="2.64"/>
    <m/>
    <m/>
    <n v="7.0000000000000007E-2"/>
    <n v="1.1200000000000001"/>
    <n v="0.49"/>
    <n v="500"/>
    <n v="139"/>
    <m/>
    <m/>
    <m/>
    <m/>
    <m/>
    <n v="639"/>
    <n v="49000"/>
    <n v="13622"/>
    <n v="62622"/>
    <n v="10125"/>
    <n v="2814.75"/>
    <n v="12939.75"/>
    <n v="8000"/>
    <n v="2224"/>
    <n v="10224"/>
  </r>
  <r>
    <s v="FALL 2025"/>
    <x v="0"/>
    <x v="12"/>
    <s v="BBUK"/>
    <x v="2"/>
    <s v="UKF25M21145"/>
    <m/>
    <s v="100% COTTON 4 END 7 GG"/>
    <s v="SWEATER"/>
    <s v="6110.20.2010"/>
    <n v="110"/>
    <n v="18.397499999999997"/>
    <n v="14.5"/>
    <n v="0.16500000000000001"/>
    <n v="2.3925000000000001"/>
    <m/>
    <m/>
    <n v="7.0000000000000007E-2"/>
    <n v="1.0150000000000001"/>
    <n v="0.49"/>
    <n v="500"/>
    <n v="53"/>
    <m/>
    <m/>
    <m/>
    <m/>
    <m/>
    <n v="553"/>
    <n v="55000"/>
    <n v="5830"/>
    <n v="60830"/>
    <n v="9198.7499999999982"/>
    <n v="975.06749999999988"/>
    <n v="10173.817499999997"/>
    <n v="7250"/>
    <n v="768.5"/>
    <n v="8018.5"/>
  </r>
  <r>
    <s v="FALL 2025"/>
    <x v="1"/>
    <x v="14"/>
    <s v="FYNEX"/>
    <x v="0"/>
    <s v="STF25W51233"/>
    <s v="FF448-F"/>
    <s v="77% POLYESTER/23% SPANDEX COURT STRETCH MOISTURE WICKING                                   "/>
    <s v="KNIT"/>
    <s v="6109.90.1050"/>
    <n v="78"/>
    <n v="15.56485"/>
    <n v="10.29"/>
    <n v="0.32"/>
    <n v="3.2927999999999997"/>
    <n v="7.4999999999999997E-2"/>
    <n v="0.77174999999999994"/>
    <n v="7.0000000000000007E-2"/>
    <n v="0.72030000000000005"/>
    <n v="0.49"/>
    <n v="200"/>
    <n v="40"/>
    <n v="10"/>
    <m/>
    <m/>
    <m/>
    <m/>
    <n v="250"/>
    <n v="15600"/>
    <n v="3900"/>
    <n v="19500"/>
    <n v="3112.97"/>
    <n v="778.24249999999995"/>
    <n v="3891.2124999999996"/>
    <n v="2058"/>
    <n v="514.5"/>
    <n v="2572.5"/>
  </r>
  <r>
    <s v="FALL 2025"/>
    <x v="1"/>
    <x v="14"/>
    <s v="FYNEX"/>
    <x v="0"/>
    <s v="STF25W51233"/>
    <s v="FF448-F"/>
    <s v="77% POLYESTER/23% SPANDEX COURT STRETCH MOISTURE WICKING                                   "/>
    <s v="KNIT"/>
    <s v="6109.90.1050"/>
    <n v="78"/>
    <n v="15.56485"/>
    <n v="10.29"/>
    <n v="0.32"/>
    <n v="3.2927999999999997"/>
    <n v="7.4999999999999997E-2"/>
    <n v="0.77174999999999994"/>
    <n v="7.0000000000000007E-2"/>
    <n v="0.72030000000000005"/>
    <n v="0.49"/>
    <n v="250"/>
    <n v="56"/>
    <m/>
    <m/>
    <m/>
    <m/>
    <m/>
    <n v="306"/>
    <n v="19500"/>
    <n v="4368"/>
    <n v="23868"/>
    <n v="3891.2125000000001"/>
    <n v="871.63159999999993"/>
    <n v="4762.8441000000003"/>
    <n v="2572.5"/>
    <n v="576.24"/>
    <n v="3148.74"/>
  </r>
  <r>
    <s v="FALL 2025"/>
    <x v="1"/>
    <x v="15"/>
    <s v="FYNEX"/>
    <x v="0"/>
    <s v="STF25W51234"/>
    <s v="FF448-F"/>
    <s v="77% POLYESTER/23% SPANDEX COURT STRETCH MOISTURE WICKING                                   "/>
    <s v="KNIT"/>
    <s v="6104.53.2010"/>
    <n v="88"/>
    <n v="18.61645"/>
    <n v="13.89"/>
    <n v="0.16"/>
    <n v="2.2223999999999999"/>
    <n v="7.4999999999999997E-2"/>
    <n v="1.04175"/>
    <n v="7.0000000000000007E-2"/>
    <n v="0.97230000000000016"/>
    <n v="0.49"/>
    <n v="200"/>
    <n v="40"/>
    <n v="10"/>
    <m/>
    <m/>
    <m/>
    <m/>
    <n v="250"/>
    <n v="17600"/>
    <n v="4400"/>
    <n v="22000"/>
    <n v="3723.29"/>
    <n v="930.82249999999999"/>
    <n v="4654.1125000000002"/>
    <n v="2778"/>
    <n v="694.5"/>
    <n v="3472.5"/>
  </r>
  <r>
    <s v="FALL 2025"/>
    <x v="1"/>
    <x v="15"/>
    <s v="FYNEX"/>
    <x v="0"/>
    <s v="STF25W51234"/>
    <s v="FF448-F"/>
    <s v="77% POLYESTER/23% SPANDEX COURT STRETCH MOISTURE WICKING                                   "/>
    <s v="KNIT"/>
    <s v="6104.53.2010"/>
    <n v="88"/>
    <n v="18.61645"/>
    <n v="13.89"/>
    <n v="0.16"/>
    <n v="2.2223999999999999"/>
    <n v="7.4999999999999997E-2"/>
    <n v="1.04175"/>
    <n v="7.0000000000000007E-2"/>
    <n v="0.97230000000000016"/>
    <n v="0.49"/>
    <n v="250"/>
    <n v="56"/>
    <m/>
    <m/>
    <m/>
    <m/>
    <m/>
    <n v="306"/>
    <n v="22000"/>
    <n v="4928"/>
    <n v="26928"/>
    <n v="4654.1125000000002"/>
    <n v="1042.5212000000001"/>
    <n v="5696.6337000000003"/>
    <n v="3472.5"/>
    <n v="777.84"/>
    <n v="4250.34"/>
  </r>
  <r>
    <s v="FALL 2025"/>
    <x v="1"/>
    <x v="0"/>
    <s v="FYNEX"/>
    <x v="0"/>
    <s v="STF25W51235"/>
    <s v="FF448-F"/>
    <s v="77% POLYESTER/23% SPANDEX COURT STRETCH MOISTURE WICKING                                   "/>
    <s v="KNIT"/>
    <s v="6112.12.0020"/>
    <n v="135"/>
    <n v="24.877429999999997"/>
    <n v="17.09"/>
    <n v="0.28199999999999997"/>
    <n v="4.8193799999999998"/>
    <n v="7.4999999999999997E-2"/>
    <n v="1.2817499999999999"/>
    <n v="7.0000000000000007E-2"/>
    <n v="1.1963000000000001"/>
    <n v="0.49"/>
    <n v="200"/>
    <n v="24"/>
    <n v="26"/>
    <m/>
    <m/>
    <m/>
    <m/>
    <n v="250"/>
    <n v="27000"/>
    <n v="6750"/>
    <n v="33750"/>
    <n v="4975.485999999999"/>
    <n v="1243.8714999999997"/>
    <n v="6219.3574999999983"/>
    <n v="3418"/>
    <n v="854.5"/>
    <n v="4272.5"/>
  </r>
  <r>
    <s v="FALL 2025"/>
    <x v="1"/>
    <x v="0"/>
    <s v="FYNEX"/>
    <x v="0"/>
    <s v="STF25W51235"/>
    <s v="FF448-F"/>
    <s v="77% POLYESTER/23% SPANDEX COURT STRETCH MOISTURE WICKING                                   "/>
    <s v="KNIT"/>
    <s v="6112.12.0020"/>
    <n v="135"/>
    <n v="24.877429999999997"/>
    <n v="17.09"/>
    <n v="0.28199999999999997"/>
    <n v="4.8193799999999998"/>
    <n v="7.4999999999999997E-2"/>
    <n v="1.2817499999999999"/>
    <n v="7.0000000000000007E-2"/>
    <n v="1.1963000000000001"/>
    <n v="0.49"/>
    <n v="250"/>
    <n v="32"/>
    <m/>
    <m/>
    <m/>
    <m/>
    <m/>
    <n v="282"/>
    <n v="33750"/>
    <n v="4320"/>
    <n v="38070"/>
    <n v="6219.3574999999992"/>
    <n v="796.0777599999999"/>
    <n v="7015.4352599999993"/>
    <n v="4272.5"/>
    <n v="546.88"/>
    <n v="4819.38"/>
  </r>
  <r>
    <s v="FALL 2025"/>
    <x v="1"/>
    <x v="16"/>
    <s v="FYNEX"/>
    <x v="0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n v="31"/>
    <m/>
    <m/>
    <m/>
    <m/>
    <m/>
    <n v="281"/>
    <n v="19500"/>
    <n v="2418"/>
    <n v="21918"/>
    <n v="4184.2124999999996"/>
    <n v="518.8423499999999"/>
    <n v="4703.0548499999995"/>
    <n v="2772.5"/>
    <n v="343.79"/>
    <n v="3116.29"/>
  </r>
  <r>
    <s v="FALL 2025"/>
    <x v="1"/>
    <x v="16"/>
    <s v="FYNEX"/>
    <x v="0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m/>
    <m/>
    <m/>
    <m/>
    <m/>
    <m/>
    <n v="250"/>
    <n v="19500"/>
    <n v="0"/>
    <n v="19500"/>
    <n v="4184.2124999999996"/>
    <n v="0"/>
    <n v="4184.2124999999996"/>
    <n v="2772.5"/>
    <n v="0"/>
    <n v="2772.5"/>
  </r>
  <r>
    <s v="FALL 2025"/>
    <x v="1"/>
    <x v="16"/>
    <s v="FYNEX"/>
    <x v="0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n v="32"/>
    <m/>
    <m/>
    <m/>
    <m/>
    <m/>
    <n v="282"/>
    <n v="19500"/>
    <n v="2496"/>
    <n v="21996"/>
    <n v="4184.2124999999996"/>
    <n v="535.5791999999999"/>
    <n v="4719.7916999999998"/>
    <n v="2772.5"/>
    <n v="354.88"/>
    <n v="3127.38"/>
  </r>
  <r>
    <s v="FALL 2025"/>
    <x v="1"/>
    <x v="1"/>
    <s v="FYNEX"/>
    <x v="0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n v="31"/>
    <m/>
    <m/>
    <m/>
    <m/>
    <m/>
    <n v="281"/>
    <n v="31250"/>
    <n v="3875"/>
    <n v="35125"/>
    <n v="6683.1324999999997"/>
    <n v="828.70843000000002"/>
    <n v="7511.8409299999994"/>
    <n v="4597.5"/>
    <n v="570.09"/>
    <n v="5167.59"/>
  </r>
  <r>
    <s v="FALL 2025"/>
    <x v="1"/>
    <x v="1"/>
    <s v="FYNEX"/>
    <x v="0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m/>
    <m/>
    <m/>
    <m/>
    <m/>
    <m/>
    <n v="250"/>
    <n v="31250"/>
    <n v="0"/>
    <n v="31250"/>
    <n v="6683.1324999999997"/>
    <n v="0"/>
    <n v="6683.1324999999997"/>
    <n v="4597.5"/>
    <n v="0"/>
    <n v="4597.5"/>
  </r>
  <r>
    <s v="FALL 2025"/>
    <x v="1"/>
    <x v="1"/>
    <s v="FYNEX"/>
    <x v="0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n v="32"/>
    <m/>
    <m/>
    <m/>
    <m/>
    <m/>
    <n v="282"/>
    <n v="31250"/>
    <n v="4000"/>
    <n v="35250"/>
    <n v="6683.1324999999997"/>
    <n v="855.44096000000002"/>
    <n v="7538.5734599999996"/>
    <n v="4597.5"/>
    <n v="588.48"/>
    <n v="5185.9799999999996"/>
  </r>
  <r>
    <s v="FALL 2025"/>
    <x v="1"/>
    <x v="14"/>
    <s v="FYNEX"/>
    <x v="0"/>
    <s v="STF25W51242"/>
    <s v="FF446-F"/>
    <s v="60% NYLON/40% SPANDEX GRID KNIT MOISTURE WICKING                                                  "/>
    <s v="KNIT"/>
    <s v="6109.90.1050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200"/>
    <n v="50"/>
    <m/>
    <m/>
    <m/>
    <m/>
    <m/>
    <n v="250"/>
    <n v="13600"/>
    <n v="3400"/>
    <n v="17000"/>
    <n v="2761.37"/>
    <n v="690.34249999999997"/>
    <n v="3451.7124999999996"/>
    <n v="1818"/>
    <n v="454.5"/>
    <n v="2272.5"/>
  </r>
  <r>
    <s v="FALL 2025"/>
    <x v="1"/>
    <x v="14"/>
    <s v="FYNEX"/>
    <x v="0"/>
    <s v="STF25W51242"/>
    <s v="FF446-F"/>
    <s v="60% NYLON/40% SPANDEX GRID KNIT MOISTURE WICKING                                                  "/>
    <s v="KNIT"/>
    <s v="6109.90.1050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200"/>
    <n v="50"/>
    <m/>
    <m/>
    <m/>
    <m/>
    <m/>
    <n v="250"/>
    <n v="13600"/>
    <n v="3400"/>
    <n v="17000"/>
    <n v="2761.37"/>
    <n v="690.34249999999997"/>
    <n v="3451.7124999999996"/>
    <n v="1818"/>
    <n v="454.5"/>
    <n v="2272.5"/>
  </r>
  <r>
    <s v="FALL 2025"/>
    <x v="1"/>
    <x v="17"/>
    <s v="FYNEX"/>
    <x v="0"/>
    <s v="STF25W51243"/>
    <s v="FF446-F"/>
    <s v="60% NYLON/40% SPANDEX GRID KNIT MOISTURE WICKING                                                  "/>
    <s v="KNIT"/>
    <s v="6204.63.9032"/>
    <n v="88"/>
    <n v="19.937289999999997"/>
    <n v="13.59"/>
    <n v="0.28599999999999998"/>
    <n v="3.8867399999999996"/>
    <n v="7.4999999999999997E-2"/>
    <n v="1.01925"/>
    <n v="7.0000000000000007E-2"/>
    <n v="0.95130000000000003"/>
    <n v="0.49"/>
    <n v="200"/>
    <n v="50"/>
    <m/>
    <m/>
    <m/>
    <m/>
    <m/>
    <n v="250"/>
    <n v="17600"/>
    <n v="4400"/>
    <n v="22000"/>
    <n v="3987.4579999999996"/>
    <n v="996.86449999999991"/>
    <n v="4984.3224999999993"/>
    <n v="2718"/>
    <n v="679.5"/>
    <n v="3397.5"/>
  </r>
  <r>
    <s v="FALL 2025"/>
    <x v="1"/>
    <x v="17"/>
    <s v="FYNEX"/>
    <x v="0"/>
    <s v="STF25W51243"/>
    <s v="FF446-F"/>
    <s v="60% NYLON/40% SPANDEX GRID KNIT MOISTURE WICKING                                                  "/>
    <s v="KNIT"/>
    <s v="6204.63.9032"/>
    <n v="88"/>
    <n v="19.937289999999997"/>
    <n v="13.59"/>
    <n v="0.28599999999999998"/>
    <n v="3.8867399999999996"/>
    <n v="7.4999999999999997E-2"/>
    <n v="1.01925"/>
    <n v="7.0000000000000007E-2"/>
    <n v="0.95130000000000003"/>
    <n v="0.49"/>
    <n v="200"/>
    <n v="50"/>
    <m/>
    <m/>
    <m/>
    <m/>
    <m/>
    <n v="250"/>
    <n v="17600"/>
    <n v="4400"/>
    <n v="22000"/>
    <n v="3987.4579999999996"/>
    <n v="996.86449999999991"/>
    <n v="4984.3224999999993"/>
    <n v="2718"/>
    <n v="679.5"/>
    <n v="3397.5"/>
  </r>
  <r>
    <s v="FALL 2025"/>
    <x v="1"/>
    <x v="15"/>
    <s v="FYNEX"/>
    <x v="0"/>
    <s v="STF24W51406"/>
    <s v="FF447-F"/>
    <s v="88% NYLON/12% SPANDEX 125 GSM WATER REPELLENT"/>
    <s v="WOVEN"/>
    <s v="6204.53.3010"/>
    <n v="88"/>
    <n v="18.22495"/>
    <n v="13.59"/>
    <n v="0.16"/>
    <n v="2.1743999999999999"/>
    <n v="7.4999999999999997E-2"/>
    <n v="1.01925"/>
    <n v="7.0000000000000007E-2"/>
    <n v="0.95130000000000003"/>
    <n v="0.49"/>
    <n v="350"/>
    <n v="56"/>
    <m/>
    <m/>
    <m/>
    <m/>
    <n v="8"/>
    <n v="414"/>
    <n v="30800"/>
    <n v="5632"/>
    <n v="36432"/>
    <n v="6378.7325000000001"/>
    <n v="1129.3172"/>
    <n v="7508.0496999999996"/>
    <n v="4756.5"/>
    <n v="869.76"/>
    <n v="5626.26"/>
  </r>
  <r>
    <s v="FALL 2025"/>
    <x v="1"/>
    <x v="0"/>
    <s v="HESRRO"/>
    <x v="0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00"/>
    <n v="55"/>
    <m/>
    <m/>
    <m/>
    <m/>
    <m/>
    <n v="355"/>
    <n v="37500"/>
    <n v="6875"/>
    <n v="44375"/>
    <n v="7852.8"/>
    <n v="1439.68"/>
    <n v="9292.48"/>
    <n v="5400"/>
    <n v="990"/>
    <n v="6390"/>
  </r>
  <r>
    <s v="FALL 2025"/>
    <x v="1"/>
    <x v="1"/>
    <s v="HESRRO"/>
    <x v="0"/>
    <s v="STF25W51253"/>
    <s v="FF331"/>
    <s v="60% POLYESTER/40% COTTON DOUBLE KNIT 280 GM/M2"/>
    <s v="KNIT"/>
    <s v="6112.12.0060"/>
    <n v="110"/>
    <n v="22.965249999999994"/>
    <n v="15.75"/>
    <n v="0.28199999999999997"/>
    <n v="4.4414999999999996"/>
    <n v="7.4999999999999997E-2"/>
    <n v="1.1812499999999999"/>
    <n v="7.0000000000000007E-2"/>
    <n v="1.1025"/>
    <n v="0.49"/>
    <n v="300"/>
    <n v="55"/>
    <m/>
    <m/>
    <m/>
    <m/>
    <m/>
    <n v="355"/>
    <n v="33000"/>
    <n v="6050"/>
    <n v="39050"/>
    <n v="6889.574999999998"/>
    <n v="1263.0887499999997"/>
    <n v="8152.6637499999979"/>
    <n v="4725"/>
    <n v="866.25"/>
    <n v="5591.25"/>
  </r>
  <r>
    <s v="FALL 2025"/>
    <x v="1"/>
    <x v="0"/>
    <s v="HESRRO"/>
    <x v="0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64"/>
    <m/>
    <m/>
    <m/>
    <m/>
    <m/>
    <n v="314"/>
    <n v="31250"/>
    <n v="8000"/>
    <n v="39250"/>
    <n v="6544.0000000000009"/>
    <n v="1675.2640000000001"/>
    <n v="8219.264000000001"/>
    <n v="4500"/>
    <n v="1152"/>
    <n v="5652"/>
  </r>
  <r>
    <s v="FALL 2025"/>
    <x v="1"/>
    <x v="1"/>
    <s v="HESRRO"/>
    <x v="0"/>
    <s v="STF25W51253"/>
    <s v="FF331"/>
    <s v="60% POLYESTER/40% COTTON DOUBLE KNIT 280 GM/M2"/>
    <s v="KNIT"/>
    <s v="6112.12.0060"/>
    <n v="110"/>
    <n v="22.965249999999994"/>
    <n v="15.75"/>
    <n v="0.28199999999999997"/>
    <n v="4.4414999999999996"/>
    <n v="7.4999999999999997E-2"/>
    <n v="1.1812499999999999"/>
    <n v="7.0000000000000007E-2"/>
    <n v="1.1025"/>
    <n v="0.49"/>
    <n v="250"/>
    <n v="64"/>
    <m/>
    <m/>
    <m/>
    <m/>
    <m/>
    <n v="314"/>
    <n v="27500"/>
    <n v="7040"/>
    <n v="34540"/>
    <n v="5741.3124999999982"/>
    <n v="1469.7759999999996"/>
    <n v="7211.088499999998"/>
    <n v="3937.5"/>
    <n v="1008"/>
    <n v="4945.5"/>
  </r>
  <r>
    <s v="FALL 2025"/>
    <x v="1"/>
    <x v="0"/>
    <s v="HESRRO"/>
    <x v="0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48"/>
    <m/>
    <m/>
    <m/>
    <m/>
    <n v="4"/>
    <n v="302"/>
    <n v="31250"/>
    <n v="6500"/>
    <n v="37750"/>
    <n v="6544.0000000000009"/>
    <n v="1328.4480000000001"/>
    <n v="7872.4480000000012"/>
    <n v="4500"/>
    <n v="936"/>
    <n v="5436"/>
  </r>
  <r>
    <s v="FALL 2025"/>
    <x v="1"/>
    <x v="18"/>
    <s v="HESRRO"/>
    <x v="0"/>
    <s v="STF25W51254"/>
    <s v="FF331"/>
    <s v="60% POLYESTER/40% COTTON DOUBLE KNIT 280 GM/M2"/>
    <s v="KNIT"/>
    <s v="6104.53.2010"/>
    <n v="78"/>
    <n v="14.844999999999999"/>
    <n v="11"/>
    <n v="0.16"/>
    <n v="1.76"/>
    <n v="7.4999999999999997E-2"/>
    <n v="0.82499999999999996"/>
    <n v="7.0000000000000007E-2"/>
    <n v="0.77"/>
    <n v="0.49"/>
    <n v="250"/>
    <n v="48"/>
    <m/>
    <m/>
    <m/>
    <m/>
    <n v="4"/>
    <n v="302"/>
    <n v="19500"/>
    <n v="4056"/>
    <n v="23556"/>
    <n v="3711.2499999999995"/>
    <n v="756.56"/>
    <n v="4467.8099999999995"/>
    <n v="2750"/>
    <n v="572"/>
    <n v="3322"/>
  </r>
  <r>
    <s v="FALL 2025"/>
    <x v="1"/>
    <x v="0"/>
    <s v="HESRRO"/>
    <x v="0"/>
    <s v="STF25W51255"/>
    <s v="FF331"/>
    <s v="60% POLYESTER/40% COTTON DOUBLE KNIT 280 GM/M2"/>
    <s v="KNIT"/>
    <s v="6112.12.0020"/>
    <n v="150"/>
    <n v="28.673249999999996"/>
    <n v="19.75"/>
    <n v="0.28199999999999997"/>
    <n v="5.5694999999999997"/>
    <n v="7.4999999999999997E-2"/>
    <n v="1.48125"/>
    <n v="7.0000000000000007E-2"/>
    <n v="1.3825000000000001"/>
    <n v="0.49"/>
    <n v="200"/>
    <n v="11"/>
    <m/>
    <m/>
    <m/>
    <m/>
    <m/>
    <n v="211"/>
    <n v="30000"/>
    <n v="1650"/>
    <n v="31650"/>
    <n v="5734.65"/>
    <n v="315.40574999999995"/>
    <n v="6050.0557499999995"/>
    <n v="3950"/>
    <n v="217.25"/>
    <n v="4167.25"/>
  </r>
  <r>
    <s v="FALL 2025"/>
    <x v="1"/>
    <x v="1"/>
    <s v="HESRRO"/>
    <x v="0"/>
    <s v="STF25W51256"/>
    <s v="FF331"/>
    <s v="60% POLYESTER/40% COTTON DOUBLE KNIT 280 GM/M2"/>
    <s v="KNIT"/>
    <s v="6112.12.0060"/>
    <n v="125"/>
    <n v="21.895"/>
    <n v="15"/>
    <n v="0.28199999999999997"/>
    <n v="4.2299999999999995"/>
    <n v="7.4999999999999997E-2"/>
    <n v="1.125"/>
    <n v="7.0000000000000007E-2"/>
    <n v="1.05"/>
    <n v="0.49"/>
    <n v="200"/>
    <n v="11"/>
    <m/>
    <m/>
    <m/>
    <m/>
    <m/>
    <n v="211"/>
    <n v="25000"/>
    <n v="1375"/>
    <n v="26375"/>
    <n v="4379"/>
    <n v="240.845"/>
    <n v="4619.8450000000003"/>
    <n v="3000"/>
    <n v="165"/>
    <n v="3165"/>
  </r>
  <r>
    <s v="FALL 2025"/>
    <x v="1"/>
    <x v="0"/>
    <s v="HESRRO"/>
    <x v="0"/>
    <s v="STF25W51255"/>
    <s v="FF331"/>
    <s v="60% POLYESTER/40% COTTON DOUBLE KNIT 280 GM/M2"/>
    <s v="KNIT"/>
    <s v="6112.12.0020"/>
    <n v="150"/>
    <n v="28.673249999999996"/>
    <n v="19.75"/>
    <n v="0.28199999999999997"/>
    <n v="5.5694999999999997"/>
    <n v="7.4999999999999997E-2"/>
    <n v="1.48125"/>
    <n v="7.0000000000000007E-2"/>
    <n v="1.3825000000000001"/>
    <n v="0.49"/>
    <n v="200"/>
    <n v="43"/>
    <m/>
    <m/>
    <m/>
    <m/>
    <m/>
    <n v="243"/>
    <n v="30000"/>
    <n v="6450"/>
    <n v="36450"/>
    <n v="5734.65"/>
    <n v="1232.9497499999998"/>
    <n v="6967.5997499999994"/>
    <n v="3950"/>
    <n v="849.25"/>
    <n v="4799.25"/>
  </r>
  <r>
    <s v="FALL 2025"/>
    <x v="1"/>
    <x v="1"/>
    <s v="HESRRO"/>
    <x v="0"/>
    <s v="STF25W51256"/>
    <s v="FF331"/>
    <s v="60% POLYESTER/40% COTTON DOUBLE KNIT 280 GM/M2"/>
    <s v="KNIT"/>
    <s v="6112.12.0060"/>
    <n v="125"/>
    <n v="21.895"/>
    <n v="15"/>
    <n v="0.28199999999999997"/>
    <n v="4.2299999999999995"/>
    <n v="7.4999999999999997E-2"/>
    <n v="1.125"/>
    <n v="7.0000000000000007E-2"/>
    <n v="1.05"/>
    <n v="0.49"/>
    <n v="200"/>
    <n v="43"/>
    <m/>
    <m/>
    <m/>
    <m/>
    <m/>
    <n v="243"/>
    <n v="25000"/>
    <n v="5375"/>
    <n v="30375"/>
    <n v="4379"/>
    <n v="941.48500000000001"/>
    <n v="5320.4849999999997"/>
    <n v="3000"/>
    <n v="645"/>
    <n v="3645"/>
  </r>
  <r>
    <s v="FALL 2025"/>
    <x v="1"/>
    <x v="0"/>
    <s v="HESRRO"/>
    <x v="0"/>
    <s v="STF25W51271"/>
    <s v="FF080-H"/>
    <s v="100% POLYESTER TWILL 220 GM/M2"/>
    <s v="KNIT"/>
    <s v="6112.12.002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64"/>
    <m/>
    <m/>
    <m/>
    <m/>
    <m/>
    <n v="314"/>
    <n v="33750"/>
    <n v="8640"/>
    <n v="42390"/>
    <n v="6008.875"/>
    <n v="1538.2719999999999"/>
    <n v="7547.1469999999999"/>
    <n v="4125"/>
    <n v="1056"/>
    <n v="5181"/>
  </r>
  <r>
    <s v="FALL 2025"/>
    <x v="1"/>
    <x v="1"/>
    <s v="HESRRO"/>
    <x v="0"/>
    <s v="STF25W51272"/>
    <s v="FF080-H"/>
    <s v="100% POLYESTER TWILL 220 GM/M2"/>
    <s v="KNIT"/>
    <s v="6112.12.0060"/>
    <n v="110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64"/>
    <m/>
    <m/>
    <m/>
    <m/>
    <m/>
    <n v="314"/>
    <n v="27500"/>
    <n v="7040"/>
    <n v="34540"/>
    <n v="4403.4999999999991"/>
    <n v="1127.2959999999998"/>
    <n v="5530.7959999999985"/>
    <n v="3000"/>
    <n v="768"/>
    <n v="3768"/>
  </r>
  <r>
    <s v="FALL 2025"/>
    <x v="1"/>
    <x v="0"/>
    <s v="HESRRO"/>
    <x v="0"/>
    <s v="STF25W51271"/>
    <s v="FF080-H"/>
    <s v="100% POLYESTER TWILL 220 GM/M2"/>
    <s v="KNIT"/>
    <s v="6112.12.002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39"/>
    <m/>
    <n v="80"/>
    <m/>
    <m/>
    <m/>
    <n v="369"/>
    <n v="33750"/>
    <n v="16065"/>
    <n v="49815"/>
    <n v="6008.875"/>
    <n v="2257.3845000000001"/>
    <n v="8266.2595000000001"/>
    <n v="4125"/>
    <n v="1963.5"/>
    <n v="6088.5"/>
  </r>
  <r>
    <s v="FALL 2025"/>
    <x v="1"/>
    <x v="1"/>
    <s v="HESRRO"/>
    <x v="0"/>
    <s v="STF25W51272"/>
    <s v="FF080-H"/>
    <s v="100% POLYESTER TWILL 220 GM/M2"/>
    <s v="KNIT"/>
    <s v="6112.12.0060"/>
    <n v="110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39"/>
    <m/>
    <n v="70"/>
    <m/>
    <m/>
    <m/>
    <n v="359"/>
    <n v="27500"/>
    <n v="11990"/>
    <n v="39490"/>
    <n v="4403.4999999999991"/>
    <n v="1526.9459999999999"/>
    <n v="5930.445999999999"/>
    <n v="3000"/>
    <n v="1308"/>
    <n v="4308"/>
  </r>
  <r>
    <s v="FALL 2025"/>
    <x v="1"/>
    <x v="0"/>
    <s v="HESRRO"/>
    <x v="0"/>
    <s v="STF25W51273"/>
    <s v="FF359"/>
    <s v="85% POLYESTER/15% NYLON PEACHED BLEND"/>
    <s v="WOVEN"/>
    <s v="6202.40.7511"/>
    <n v="13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50"/>
    <n v="49"/>
    <m/>
    <m/>
    <m/>
    <m/>
    <n v="4"/>
    <n v="303"/>
    <n v="33750"/>
    <n v="7155"/>
    <n v="40905"/>
    <n v="7079.1249999999982"/>
    <n v="1465.5084999999997"/>
    <n v="8544.6334999999981"/>
    <n v="4875"/>
    <n v="1033.5"/>
    <n v="5908.5"/>
  </r>
  <r>
    <s v="FALL 2025"/>
    <x v="1"/>
    <x v="1"/>
    <s v="HESRRO"/>
    <x v="0"/>
    <s v="STF25W51274"/>
    <s v="FF359"/>
    <s v="85% POLYESTER/15% NYLON PEACHED BLEND"/>
    <s v="WOVEN"/>
    <s v="6204.63.9011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n v="49"/>
    <m/>
    <m/>
    <m/>
    <m/>
    <n v="4"/>
    <n v="303"/>
    <n v="27500"/>
    <n v="5830"/>
    <n v="33330"/>
    <n v="6008.875"/>
    <n v="1243.7394999999999"/>
    <n v="7252.6144999999997"/>
    <n v="4125"/>
    <n v="874.5"/>
    <n v="4999.5"/>
  </r>
  <r>
    <s v="FALL 2025"/>
    <x v="1"/>
    <x v="0"/>
    <s v="HESRRO"/>
    <x v="0"/>
    <s v="STF25W51273"/>
    <s v="FF359"/>
    <s v="85% POLYESTER/15% NYLON PEACHED BLEND"/>
    <s v="WOVEN"/>
    <s v="6202.40.7511"/>
    <n v="13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50"/>
    <n v="81"/>
    <m/>
    <m/>
    <m/>
    <m/>
    <n v="4"/>
    <n v="335"/>
    <n v="33750"/>
    <n v="11475"/>
    <n v="45225"/>
    <n v="7079.1249999999982"/>
    <n v="2371.6364999999996"/>
    <n v="9450.7614999999969"/>
    <n v="4875"/>
    <n v="1657.5"/>
    <n v="6532.5"/>
  </r>
  <r>
    <s v="FALL 2025"/>
    <x v="1"/>
    <x v="1"/>
    <s v="HESRRO"/>
    <x v="0"/>
    <s v="STF25W51274"/>
    <s v="FF359"/>
    <s v="85% POLYESTER/15% NYLON PEACHED BLEND"/>
    <s v="WOVEN"/>
    <s v="6204.63.9011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n v="81"/>
    <m/>
    <m/>
    <m/>
    <m/>
    <n v="4"/>
    <n v="335"/>
    <n v="27500"/>
    <n v="9350"/>
    <n v="36850"/>
    <n v="6008.875"/>
    <n v="2012.8754999999999"/>
    <n v="8021.7505000000001"/>
    <n v="4125"/>
    <n v="1402.5"/>
    <n v="5527.5"/>
  </r>
  <r>
    <s v="FALL 2025"/>
    <x v="1"/>
    <x v="10"/>
    <s v="HESRRO"/>
    <x v="0"/>
    <s v="STF25W51289"/>
    <s v="FF443-H"/>
    <s v="70% WOOL/15% NYLON/15% POLYESTER"/>
    <s v="WOVEN"/>
    <s v="6202.20.4011"/>
    <n v="275"/>
    <n v="57.465000000000003"/>
    <n v="43"/>
    <n v="0.18"/>
    <n v="7.7399999999999993"/>
    <n v="7.4999999999999997E-2"/>
    <n v="3.2250000000000001"/>
    <n v="7.0000000000000007E-2"/>
    <n v="3.0100000000000002"/>
    <n v="0.49"/>
    <n v="200"/>
    <n v="32"/>
    <m/>
    <m/>
    <m/>
    <m/>
    <m/>
    <n v="232"/>
    <n v="55000"/>
    <n v="8800"/>
    <n v="63800"/>
    <n v="11493"/>
    <n v="1838.88"/>
    <n v="13331.880000000001"/>
    <n v="8600"/>
    <n v="1376"/>
    <n v="9976"/>
  </r>
  <r>
    <s v="FALL 2025"/>
    <x v="1"/>
    <x v="0"/>
    <s v="HESRRO"/>
    <x v="0"/>
    <s v="STF25W51290"/>
    <s v="FF345/FF442-H"/>
    <s v="FF345: 100% SHINY NYLON FF442-H FACE: 95% NYLON/5% SPANDEX BACK: 99% POLYESTER/1% SPANDEX"/>
    <s v="WOVEN"/>
    <s v="6202.40.7511"/>
    <n v="145"/>
    <n v="30.456999999999997"/>
    <n v="21"/>
    <n v="0.28199999999999997"/>
    <n v="5.9219999999999997"/>
    <n v="7.4999999999999997E-2"/>
    <n v="1.575"/>
    <n v="7.0000000000000007E-2"/>
    <n v="1.4700000000000002"/>
    <n v="0.49"/>
    <n v="200"/>
    <m/>
    <m/>
    <m/>
    <m/>
    <m/>
    <m/>
    <n v="200"/>
    <n v="29000"/>
    <n v="0"/>
    <n v="29000"/>
    <n v="6091.4"/>
    <n v="0"/>
    <n v="6091.4"/>
    <n v="4200"/>
    <n v="0"/>
    <n v="4200"/>
  </r>
  <r>
    <s v="FALL 2025"/>
    <x v="1"/>
    <x v="0"/>
    <s v="PORTA ASIATACA"/>
    <x v="0"/>
    <s v="STF25W51286"/>
    <s v="FF418"/>
    <s v="58% COTTON/40% VISCOSE/2% SPANDEX 370 GM/M2"/>
    <s v="WOVEN"/>
    <s v="6211.42.1040"/>
    <n v="165"/>
    <n v="32.733800000000002"/>
    <n v="26.3"/>
    <n v="8.1000000000000003E-2"/>
    <n v="2.1303000000000001"/>
    <n v="7.4999999999999997E-2"/>
    <n v="1.9724999999999999"/>
    <n v="7.0000000000000007E-2"/>
    <n v="1.8410000000000002"/>
    <n v="0.49"/>
    <n v="200"/>
    <n v="32"/>
    <m/>
    <m/>
    <m/>
    <m/>
    <m/>
    <n v="232"/>
    <n v="33000"/>
    <n v="5280"/>
    <n v="38280"/>
    <n v="6546.76"/>
    <n v="1047.4816000000001"/>
    <n v="7594.2416000000003"/>
    <n v="5260"/>
    <n v="841.6"/>
    <n v="6101.6"/>
  </r>
  <r>
    <s v="FALL 2025"/>
    <x v="1"/>
    <x v="1"/>
    <s v="PORTA ASIATACA"/>
    <x v="0"/>
    <s v="STF25W51287"/>
    <s v="FF418"/>
    <s v="58% COTTON/40% VISCOSE/2% SPANDEX 370 GM/M2"/>
    <s v="WOVEN"/>
    <s v="6211.42.1030"/>
    <n v="135"/>
    <n v="25.622999999999998"/>
    <n v="20.5"/>
    <n v="8.1000000000000003E-2"/>
    <n v="1.6605000000000001"/>
    <n v="7.4999999999999997E-2"/>
    <n v="1.5374999999999999"/>
    <n v="7.0000000000000007E-2"/>
    <n v="1.4350000000000001"/>
    <n v="0.49"/>
    <n v="200"/>
    <n v="32"/>
    <m/>
    <m/>
    <m/>
    <m/>
    <m/>
    <n v="232"/>
    <n v="27000"/>
    <n v="4320"/>
    <n v="31320"/>
    <n v="5124.5999999999995"/>
    <n v="819.93599999999992"/>
    <n v="5944.5359999999991"/>
    <n v="4100"/>
    <n v="656"/>
    <n v="4756"/>
  </r>
  <r>
    <s v="FALL 2025"/>
    <x v="1"/>
    <x v="0"/>
    <s v="PORTA ASIATACA"/>
    <x v="0"/>
    <s v="STF25W51286"/>
    <s v="FF418"/>
    <s v="58% COTTON/40% VISCOSE/2% SPANDEX 370 GM/M2"/>
    <s v="WOVEN"/>
    <s v="6211.42.1040"/>
    <n v="165"/>
    <n v="32.733800000000002"/>
    <n v="26.3"/>
    <n v="8.1000000000000003E-2"/>
    <n v="2.1303000000000001"/>
    <n v="7.4999999999999997E-2"/>
    <n v="1.9724999999999999"/>
    <n v="7.0000000000000007E-2"/>
    <n v="1.8410000000000002"/>
    <n v="0.49"/>
    <n v="200"/>
    <m/>
    <m/>
    <m/>
    <m/>
    <m/>
    <m/>
    <n v="200"/>
    <n v="33000"/>
    <n v="0"/>
    <n v="33000"/>
    <n v="6546.76"/>
    <n v="0"/>
    <n v="6546.76"/>
    <n v="5260"/>
    <n v="0"/>
    <n v="5260"/>
  </r>
  <r>
    <s v="FALL 2025"/>
    <x v="1"/>
    <x v="1"/>
    <s v="PORTA ASIATACA"/>
    <x v="0"/>
    <s v="STF25W51287"/>
    <s v="FF418"/>
    <s v="58% COTTON/40% VISCOSE/2% SPANDEX 370 GM/M2"/>
    <s v="WOVEN"/>
    <s v="6211.42.1030"/>
    <n v="135"/>
    <n v="25.622999999999998"/>
    <n v="20.5"/>
    <n v="8.1000000000000003E-2"/>
    <n v="1.6605000000000001"/>
    <n v="7.4999999999999997E-2"/>
    <n v="1.5374999999999999"/>
    <n v="7.0000000000000007E-2"/>
    <n v="1.4350000000000001"/>
    <n v="0.49"/>
    <n v="200"/>
    <m/>
    <m/>
    <m/>
    <m/>
    <m/>
    <m/>
    <n v="200"/>
    <n v="27000"/>
    <n v="0"/>
    <n v="27000"/>
    <n v="5124.5999999999995"/>
    <n v="0"/>
    <n v="5124.5999999999995"/>
    <n v="4100"/>
    <n v="0"/>
    <n v="4100"/>
  </r>
  <r>
    <s v="FALL 2025"/>
    <x v="1"/>
    <x v="19"/>
    <s v="PORTA ASIATACA"/>
    <x v="0"/>
    <s v="STF25W51288"/>
    <s v="FF418"/>
    <s v="58% COTTON/40% VISCOSE/2% SPANDEX 370 GM/M2"/>
    <s v="WOVEN"/>
    <s v="6104.42.0010"/>
    <n v="175"/>
    <n v="37.786000000000008"/>
    <n v="29.6"/>
    <n v="0.115"/>
    <n v="3.4040000000000004"/>
    <n v="7.4999999999999997E-2"/>
    <n v="2.2200000000000002"/>
    <n v="7.0000000000000007E-2"/>
    <n v="2.0720000000000005"/>
    <n v="0.49"/>
    <n v="200"/>
    <n v="38"/>
    <m/>
    <m/>
    <m/>
    <m/>
    <m/>
    <n v="238"/>
    <n v="35000"/>
    <n v="6650"/>
    <n v="41650"/>
    <n v="7557.2000000000016"/>
    <n v="1435.8680000000004"/>
    <n v="8993.0680000000029"/>
    <n v="5920"/>
    <n v="1124.8"/>
    <n v="7044.8"/>
  </r>
  <r>
    <s v="FALL 2025"/>
    <x v="1"/>
    <x v="4"/>
    <s v="PORTA ASIATACA"/>
    <x v="0"/>
    <s v="STF25W51227"/>
    <s v="FF403-P"/>
    <s v="82% NYLON/18% SPANDEX PERFORMANCE DOUBLE KNIT"/>
    <s v="KNIT"/>
    <s v="6109.90.1050"/>
    <n v="78"/>
    <n v="18.069999999999997"/>
    <n v="12"/>
    <n v="0.32"/>
    <n v="3.84"/>
    <n v="7.4999999999999997E-2"/>
    <n v="0.89999999999999991"/>
    <n v="7.0000000000000007E-2"/>
    <n v="0.84000000000000008"/>
    <n v="0.49"/>
    <n v="250"/>
    <n v="48"/>
    <m/>
    <m/>
    <m/>
    <m/>
    <m/>
    <n v="298"/>
    <n v="19500"/>
    <n v="3744"/>
    <n v="23244"/>
    <n v="4517.4999999999991"/>
    <n v="867.3599999999999"/>
    <n v="5384.8599999999988"/>
    <n v="3000"/>
    <n v="576"/>
    <n v="3576"/>
  </r>
  <r>
    <s v="FALL 2025"/>
    <x v="1"/>
    <x v="4"/>
    <s v="PORTA ASIATACA"/>
    <x v="0"/>
    <s v="STF25W51227"/>
    <s v="FF403-P"/>
    <s v="82% NYLON/18% SPANDEX PERFORMANCE DOUBLE KNIT"/>
    <s v="KNIT"/>
    <s v="6109.90.1050"/>
    <n v="78"/>
    <n v="18.069999999999997"/>
    <n v="12"/>
    <n v="0.32"/>
    <n v="3.84"/>
    <n v="7.4999999999999997E-2"/>
    <n v="0.89999999999999991"/>
    <n v="7.0000000000000007E-2"/>
    <n v="0.84000000000000008"/>
    <n v="0.49"/>
    <n v="250"/>
    <n v="32"/>
    <m/>
    <m/>
    <m/>
    <m/>
    <m/>
    <n v="282"/>
    <n v="19500"/>
    <n v="2496"/>
    <n v="21996"/>
    <n v="4517.4999999999991"/>
    <n v="578.2399999999999"/>
    <n v="5095.7399999999989"/>
    <n v="3000"/>
    <n v="384"/>
    <n v="3384"/>
  </r>
  <r>
    <s v="FALL 2025"/>
    <x v="1"/>
    <x v="15"/>
    <s v="PORTA ASIATACA"/>
    <x v="0"/>
    <s v="STF25W51228"/>
    <s v="FF403-P"/>
    <s v="82% NYLON/18% SPANDEX PERFORMANCE DOUBLE KNIT"/>
    <s v="KNIT"/>
    <s v="6104.53.2010"/>
    <n v="78"/>
    <n v="17.454999999999998"/>
    <n v="13"/>
    <n v="0.16"/>
    <n v="2.08"/>
    <n v="7.4999999999999997E-2"/>
    <n v="0.97499999999999998"/>
    <n v="7.0000000000000007E-2"/>
    <n v="0.91000000000000014"/>
    <n v="0.49"/>
    <n v="250"/>
    <n v="48"/>
    <m/>
    <m/>
    <m/>
    <m/>
    <m/>
    <n v="298"/>
    <n v="19500"/>
    <n v="3744"/>
    <n v="23244"/>
    <n v="4363.75"/>
    <n v="837.83999999999992"/>
    <n v="5201.59"/>
    <n v="3250"/>
    <n v="624"/>
    <n v="3874"/>
  </r>
  <r>
    <s v="FALL 2025"/>
    <x v="1"/>
    <x v="15"/>
    <s v="PORTA ASIATACA"/>
    <x v="0"/>
    <s v="STF25W51228"/>
    <s v="FF403-P"/>
    <s v="82% NYLON/18% SPANDEX PERFORMANCE DOUBLE KNIT"/>
    <s v="KNIT"/>
    <s v="6104.53.2010"/>
    <n v="78"/>
    <n v="17.454999999999998"/>
    <n v="13"/>
    <n v="0.16"/>
    <n v="2.08"/>
    <n v="7.4999999999999997E-2"/>
    <n v="0.97499999999999998"/>
    <n v="7.0000000000000007E-2"/>
    <n v="0.91000000000000014"/>
    <n v="0.49"/>
    <n v="250"/>
    <n v="32"/>
    <m/>
    <m/>
    <m/>
    <m/>
    <m/>
    <n v="282"/>
    <n v="19500"/>
    <n v="2496"/>
    <n v="21996"/>
    <n v="4363.75"/>
    <n v="558.55999999999995"/>
    <n v="4922.3099999999995"/>
    <n v="3250"/>
    <n v="416"/>
    <n v="3666"/>
  </r>
  <r>
    <s v="FALL 2025"/>
    <x v="1"/>
    <x v="19"/>
    <s v="PORTA ASIATACA"/>
    <x v="0"/>
    <s v="STF25W51229"/>
    <s v="FF403-P"/>
    <s v="82% NYLON/18% SPANDEX PERFORMANCE DOUBLE KNIT"/>
    <s v="KNIT"/>
    <s v="6104.43.2010"/>
    <n v="135"/>
    <n v="26.916250000000002"/>
    <n v="20.25"/>
    <n v="0.16"/>
    <n v="3.24"/>
    <n v="7.4999999999999997E-2"/>
    <n v="1.51875"/>
    <n v="7.0000000000000007E-2"/>
    <n v="1.4175000000000002"/>
    <n v="0.49"/>
    <n v="250"/>
    <m/>
    <m/>
    <m/>
    <m/>
    <m/>
    <m/>
    <n v="250"/>
    <n v="33750"/>
    <n v="0"/>
    <n v="33750"/>
    <n v="6729.0625"/>
    <n v="0"/>
    <n v="6729.0625"/>
    <n v="5062.5"/>
    <n v="0"/>
    <n v="5062.5"/>
  </r>
  <r>
    <s v="FALL 2025"/>
    <x v="1"/>
    <x v="19"/>
    <s v="PORTA ASIATACA"/>
    <x v="0"/>
    <s v="STF25W51230"/>
    <s v="FF414"/>
    <s v="73% NYLON/27% SPANDEX OTTOMAN KNIT"/>
    <s v="KNIT"/>
    <s v="6104.43.2010"/>
    <n v="125"/>
    <n v="25.937499999999996"/>
    <n v="19.5"/>
    <n v="0.16"/>
    <n v="3.12"/>
    <n v="7.4999999999999997E-2"/>
    <n v="1.4624999999999999"/>
    <n v="7.0000000000000007E-2"/>
    <n v="1.3650000000000002"/>
    <n v="0.49"/>
    <n v="300"/>
    <n v="39"/>
    <m/>
    <m/>
    <m/>
    <m/>
    <m/>
    <n v="339"/>
    <n v="37500"/>
    <n v="4875"/>
    <n v="42375"/>
    <n v="7781.2499999999991"/>
    <n v="1011.5624999999999"/>
    <n v="8792.8124999999982"/>
    <n v="5850"/>
    <n v="760.5"/>
    <n v="6610.5"/>
  </r>
  <r>
    <s v="FALL 2025"/>
    <x v="1"/>
    <x v="19"/>
    <s v="PORTA ASIATACA"/>
    <x v="0"/>
    <s v="STF25W51230"/>
    <s v="FF414"/>
    <s v="73% NYLON/27% SPANDEX OTTOMAN KNIT"/>
    <s v="KNIT"/>
    <s v="6104.43.2010"/>
    <n v="125"/>
    <n v="25.937499999999996"/>
    <n v="19.5"/>
    <n v="0.16"/>
    <n v="3.12"/>
    <n v="7.4999999999999997E-2"/>
    <n v="1.4624999999999999"/>
    <n v="7.0000000000000007E-2"/>
    <n v="1.3650000000000002"/>
    <n v="0.49"/>
    <n v="250"/>
    <n v="32"/>
    <m/>
    <m/>
    <m/>
    <m/>
    <m/>
    <n v="282"/>
    <n v="31250"/>
    <n v="4000"/>
    <n v="35250"/>
    <n v="6484.3749999999991"/>
    <n v="829.99999999999989"/>
    <n v="7314.3749999999991"/>
    <n v="4875"/>
    <n v="624"/>
    <n v="5499"/>
  </r>
  <r>
    <s v="FALL 2025"/>
    <x v="1"/>
    <x v="7"/>
    <s v="PORTA ASIATACA"/>
    <x v="0"/>
    <s v="STF25W51231"/>
    <s v="FF403-P"/>
    <s v="82% NYLON/18% SPANDEX PERFORMANCE DOUBLE KNIT"/>
    <s v="KNIT"/>
    <s v="6109.90.1050"/>
    <n v="98"/>
    <n v="23.197500000000002"/>
    <n v="15.5"/>
    <n v="0.32"/>
    <n v="4.96"/>
    <n v="7.4999999999999997E-2"/>
    <n v="1.1624999999999999"/>
    <n v="7.0000000000000007E-2"/>
    <n v="1.0850000000000002"/>
    <n v="0.49"/>
    <n v="250"/>
    <n v="48"/>
    <m/>
    <m/>
    <m/>
    <m/>
    <m/>
    <n v="298"/>
    <n v="24500"/>
    <n v="4704"/>
    <n v="29204"/>
    <n v="5799.375"/>
    <n v="1113.48"/>
    <n v="6912.8549999999996"/>
    <n v="3875"/>
    <n v="744"/>
    <n v="4619"/>
  </r>
  <r>
    <s v="FALL 2025"/>
    <x v="1"/>
    <x v="20"/>
    <s v="PORTA ASIATACA"/>
    <x v="0"/>
    <s v="STF25W51232"/>
    <s v="FF403-P"/>
    <s v="82% NYLON/18% SPANDEX PERFORMANCE DOUBLE KNIT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48"/>
    <m/>
    <m/>
    <m/>
    <m/>
    <m/>
    <n v="298"/>
    <n v="29500"/>
    <n v="5664"/>
    <n v="35164"/>
    <n v="5295.3749999999991"/>
    <n v="1016.7119999999998"/>
    <n v="6312.0869999999986"/>
    <n v="3625"/>
    <n v="696"/>
    <n v="4321"/>
  </r>
  <r>
    <s v="FALL 2025"/>
    <x v="1"/>
    <x v="7"/>
    <s v="PORTA ASIATACA"/>
    <x v="0"/>
    <s v="STF25W51231"/>
    <s v="FF403-P"/>
    <s v="82% NYLON/18% SPANDEX PERFORMANCE DOUBLE KNIT"/>
    <s v="KNIT"/>
    <s v="6109.90.1050"/>
    <n v="98"/>
    <n v="23.197500000000002"/>
    <n v="15.5"/>
    <n v="0.32"/>
    <n v="4.96"/>
    <n v="7.4999999999999997E-2"/>
    <n v="1.1624999999999999"/>
    <n v="7.0000000000000007E-2"/>
    <n v="1.0850000000000002"/>
    <n v="0.49"/>
    <n v="250"/>
    <n v="48"/>
    <m/>
    <m/>
    <m/>
    <m/>
    <m/>
    <n v="298"/>
    <n v="24500"/>
    <n v="4704"/>
    <n v="29204"/>
    <n v="5799.375"/>
    <n v="1113.48"/>
    <n v="6912.8549999999996"/>
    <n v="3875"/>
    <n v="744"/>
    <n v="4619"/>
  </r>
  <r>
    <s v="FALL 2025"/>
    <x v="1"/>
    <x v="20"/>
    <s v="PORTA ASIATACA"/>
    <x v="0"/>
    <s v="STF25W51232"/>
    <s v="FF403-P"/>
    <s v="82% NYLON/18% SPANDEX PERFORMANCE DOUBLE KNIT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48"/>
    <m/>
    <m/>
    <m/>
    <m/>
    <m/>
    <n v="298"/>
    <n v="29500"/>
    <n v="5664"/>
    <n v="35164"/>
    <n v="5295.3749999999991"/>
    <n v="1016.7119999999998"/>
    <n v="6312.0869999999986"/>
    <n v="3625"/>
    <n v="696"/>
    <n v="4321"/>
  </r>
  <r>
    <s v="FALL 2025"/>
    <x v="1"/>
    <x v="21"/>
    <s v="PORTA ASIATACA"/>
    <x v="0"/>
    <s v="STF25W51097"/>
    <s v="FF403-P"/>
    <s v="82% NYLON/18% SPANDEX PERFORMANCE DOUBLE KNIT"/>
    <s v="KNIT"/>
    <s v="6212.10.9020"/>
    <n v="68"/>
    <n v="16.231719999999999"/>
    <n v="11.98"/>
    <n v="0.16900000000000001"/>
    <n v="2.0246200000000001"/>
    <n v="7.4999999999999997E-2"/>
    <n v="0.89849999999999997"/>
    <n v="7.0000000000000007E-2"/>
    <n v="0.83860000000000012"/>
    <n v="0.49"/>
    <n v="250"/>
    <m/>
    <m/>
    <m/>
    <m/>
    <m/>
    <m/>
    <n v="250"/>
    <n v="17000"/>
    <n v="0"/>
    <n v="17000"/>
    <n v="4057.93"/>
    <n v="0"/>
    <n v="4057.93"/>
    <n v="2995"/>
    <n v="0"/>
    <n v="2995"/>
  </r>
  <r>
    <s v="FALL 2025"/>
    <x v="1"/>
    <x v="20"/>
    <s v="PORTA ASIATACA"/>
    <x v="0"/>
    <s v="STF25W51096"/>
    <s v="FF403-P"/>
    <s v="82% NYLON/18% SPANDEX PERFORMANCE DOUBLE KNIT"/>
    <s v="KNIT"/>
    <s v="6104.63.2011"/>
    <n v="110"/>
    <n v="20.468"/>
    <n v="14"/>
    <n v="0.28199999999999997"/>
    <n v="3.9479999999999995"/>
    <n v="7.4999999999999997E-2"/>
    <n v="1.05"/>
    <n v="7.0000000000000007E-2"/>
    <n v="0.98000000000000009"/>
    <n v="0.49"/>
    <n v="250"/>
    <n v="56"/>
    <m/>
    <n v="70"/>
    <m/>
    <m/>
    <m/>
    <n v="376"/>
    <n v="27500"/>
    <n v="13860"/>
    <n v="41360"/>
    <n v="5117"/>
    <n v="2126.2080000000001"/>
    <n v="7243.2080000000005"/>
    <n v="3500"/>
    <n v="1764"/>
    <n v="5264"/>
  </r>
  <r>
    <s v="FALL 2025"/>
    <x v="1"/>
    <x v="0"/>
    <s v="PORTA ASIATACA"/>
    <x v="0"/>
    <s v="STF25W51108"/>
    <s v="FF403-P"/>
    <s v="82% NYLON/18% SPANDEX PERFORMANCE DOUBLE KNIT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56"/>
    <m/>
    <n v="80"/>
    <m/>
    <m/>
    <m/>
    <n v="386"/>
    <n v="31250"/>
    <n v="17000"/>
    <n v="48250"/>
    <n v="6544.0000000000009"/>
    <n v="2905.8560000000002"/>
    <n v="9449.8560000000016"/>
    <n v="4500"/>
    <n v="2448"/>
    <n v="6948"/>
  </r>
  <r>
    <s v="FALL 2025"/>
    <x v="1"/>
    <x v="12"/>
    <s v="PORTA ASIATACA"/>
    <x v="0"/>
    <s v="STF25W51261"/>
    <s v="FF288"/>
    <s v="62% VISCOSE/38% POLYESTER 14GG FULL NEEDLE "/>
    <s v="SWEATER"/>
    <s v="6110.30.3020"/>
    <n v="225"/>
    <n v="46.637499999999996"/>
    <n v="31.5"/>
    <n v="0.32"/>
    <n v="10.08"/>
    <n v="7.4999999999999997E-2"/>
    <n v="2.3624999999999998"/>
    <n v="7.0000000000000007E-2"/>
    <n v="2.2050000000000001"/>
    <n v="0.49"/>
    <n v="200"/>
    <m/>
    <m/>
    <m/>
    <m/>
    <m/>
    <m/>
    <n v="200"/>
    <n v="45000"/>
    <n v="0"/>
    <n v="45000"/>
    <n v="9327.5"/>
    <n v="0"/>
    <n v="9327.5"/>
    <n v="6300"/>
    <n v="0"/>
    <n v="6300"/>
  </r>
  <r>
    <s v="FALL 2025"/>
    <x v="1"/>
    <x v="12"/>
    <s v="PORTA ASIATACA"/>
    <x v="0"/>
    <s v="STF25W51261"/>
    <s v="FF288"/>
    <s v="62% VISCOSE/38% POLYESTER 14GG FULL NEEDLE "/>
    <s v="SWEATER"/>
    <s v="6110.30.3020"/>
    <n v="225"/>
    <n v="46.637499999999996"/>
    <n v="31.5"/>
    <n v="0.32"/>
    <n v="10.08"/>
    <n v="7.4999999999999997E-2"/>
    <n v="2.3624999999999998"/>
    <n v="7.0000000000000007E-2"/>
    <n v="2.2050000000000001"/>
    <n v="0.49"/>
    <n v="200"/>
    <m/>
    <m/>
    <m/>
    <m/>
    <m/>
    <m/>
    <n v="200"/>
    <n v="45000"/>
    <n v="0"/>
    <n v="45000"/>
    <n v="9327.5"/>
    <n v="0"/>
    <n v="9327.5"/>
    <n v="6300"/>
    <n v="0"/>
    <n v="6300"/>
  </r>
  <r>
    <s v="FALL 2025"/>
    <x v="1"/>
    <x v="12"/>
    <s v="PORTA ASIATACA"/>
    <x v="0"/>
    <s v="STF25W51263"/>
    <s v="FF288"/>
    <s v="62% VISCOSE/38% POLYESTER 7GG BIRDSEYE BACK JACQUARD "/>
    <s v="SWEATER"/>
    <s v="6110.30.3035"/>
    <n v="175"/>
    <n v="37.115000000000002"/>
    <n v="25"/>
    <n v="0.32"/>
    <n v="8"/>
    <n v="7.4999999999999997E-2"/>
    <n v="1.875"/>
    <n v="7.0000000000000007E-2"/>
    <n v="1.7500000000000002"/>
    <n v="0.49"/>
    <n v="200"/>
    <n v="53"/>
    <m/>
    <m/>
    <m/>
    <m/>
    <m/>
    <n v="253"/>
    <n v="35000"/>
    <n v="9275"/>
    <n v="44275"/>
    <n v="7423"/>
    <n v="1967.095"/>
    <n v="9390.0949999999993"/>
    <n v="5000"/>
    <n v="1325"/>
    <n v="6325"/>
  </r>
  <r>
    <s v="FALL 2025"/>
    <x v="1"/>
    <x v="12"/>
    <s v="PORTA ASIATACA"/>
    <x v="0"/>
    <s v="STF25W51264"/>
    <s v="FF288"/>
    <s v="62% VISCOSE/38% POLYESTER 16GG FULL NEEDLE"/>
    <s v="SWEATER"/>
    <s v="6104.59.1030"/>
    <n v="125"/>
    <n v="24.965500000000002"/>
    <n v="19.98"/>
    <n v="0.08"/>
    <n v="1.5984"/>
    <n v="7.4999999999999997E-2"/>
    <n v="1.4984999999999999"/>
    <n v="7.0000000000000007E-2"/>
    <n v="1.3986000000000001"/>
    <n v="0.49"/>
    <n v="200"/>
    <n v="37"/>
    <m/>
    <m/>
    <m/>
    <m/>
    <m/>
    <n v="237"/>
    <n v="25000"/>
    <n v="4625"/>
    <n v="29625"/>
    <n v="4993.1000000000004"/>
    <n v="923.72350000000006"/>
    <n v="5916.8235000000004"/>
    <n v="3996"/>
    <n v="739.26"/>
    <n v="4735.26"/>
  </r>
  <r>
    <s v="FALL 2025"/>
    <x v="1"/>
    <x v="12"/>
    <s v="PORTA ASIATACA"/>
    <x v="0"/>
    <s v="STF25W51265"/>
    <s v="FF288"/>
    <s v="62% VISCOSE/38% POLYESTER 7GG JERSEY"/>
    <s v="SWEATER"/>
    <s v="6110.30.3059"/>
    <n v="165"/>
    <n v="33.452500000000001"/>
    <n v="22.5"/>
    <n v="0.32"/>
    <n v="7.2"/>
    <n v="7.4999999999999997E-2"/>
    <n v="1.6875"/>
    <n v="7.0000000000000007E-2"/>
    <n v="1.5750000000000002"/>
    <n v="0.49"/>
    <n v="250"/>
    <n v="48"/>
    <m/>
    <m/>
    <m/>
    <m/>
    <n v="8"/>
    <n v="306"/>
    <n v="41250"/>
    <n v="9240"/>
    <n v="50490"/>
    <n v="8363.125"/>
    <n v="1785.72"/>
    <n v="10148.844999999999"/>
    <n v="5625"/>
    <n v="1260"/>
    <n v="6885"/>
  </r>
  <r>
    <s v="FALL 2025"/>
    <x v="1"/>
    <x v="12"/>
    <s v="PORTA ASIATACA"/>
    <x v="0"/>
    <s v="STF25W51265"/>
    <s v="FF288"/>
    <s v="62% VISCOSE/38% POLYESTER 7GG JERSEY"/>
    <s v="SWEATER"/>
    <s v="6110.30.3059"/>
    <n v="165"/>
    <n v="33.452500000000001"/>
    <n v="22.5"/>
    <n v="0.32"/>
    <n v="7.2"/>
    <n v="7.4999999999999997E-2"/>
    <n v="1.6875"/>
    <n v="7.0000000000000007E-2"/>
    <n v="1.5750000000000002"/>
    <n v="0.49"/>
    <n v="200"/>
    <n v="31"/>
    <m/>
    <m/>
    <m/>
    <m/>
    <m/>
    <n v="231"/>
    <n v="33000"/>
    <n v="5115"/>
    <n v="38115"/>
    <n v="6690.5"/>
    <n v="1037.0274999999999"/>
    <n v="7727.5275000000001"/>
    <n v="4500"/>
    <n v="697.5"/>
    <n v="5197.5"/>
  </r>
  <r>
    <s v="FALL 2025"/>
    <x v="1"/>
    <x v="12"/>
    <s v="PORTA ASIATACA"/>
    <x v="0"/>
    <s v="STF25W51266"/>
    <s v="FF288"/>
    <s v="62% VISCOSE/38% POLYESTER 7GG MIXED STITCHES"/>
    <s v="SWEATER"/>
    <s v="6104.44.2010"/>
    <n v="225"/>
    <n v="47.720999999999997"/>
    <n v="36.5"/>
    <n v="0.14899999999999999"/>
    <n v="5.4384999999999994"/>
    <n v="7.4999999999999997E-2"/>
    <n v="2.7374999999999998"/>
    <n v="7.0000000000000007E-2"/>
    <n v="2.5550000000000002"/>
    <n v="0.49"/>
    <n v="200"/>
    <n v="40"/>
    <m/>
    <m/>
    <m/>
    <m/>
    <m/>
    <n v="240"/>
    <n v="45000"/>
    <n v="9000"/>
    <n v="54000"/>
    <n v="9544.1999999999989"/>
    <n v="1908.84"/>
    <n v="11453.039999999999"/>
    <n v="7300"/>
    <n v="1460"/>
    <n v="8760"/>
  </r>
  <r>
    <s v="FALL 2025"/>
    <x v="1"/>
    <x v="0"/>
    <s v="PORTA ASIATACA"/>
    <x v="0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300"/>
    <n v="48"/>
    <m/>
    <n v="100"/>
    <m/>
    <m/>
    <m/>
    <n v="448"/>
    <n v="45000"/>
    <n v="22200"/>
    <n v="67200"/>
    <n v="9137.0999999999985"/>
    <n v="3561.9359999999997"/>
    <n v="12699.035999999998"/>
    <n v="6300"/>
    <n v="3108"/>
    <n v="9408"/>
  </r>
  <r>
    <s v="FALL 2025"/>
    <x v="1"/>
    <x v="1"/>
    <s v="PORTA ASIATACA"/>
    <x v="0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48"/>
    <m/>
    <n v="90"/>
    <m/>
    <m/>
    <m/>
    <n v="438"/>
    <n v="37500"/>
    <n v="17250"/>
    <n v="54750"/>
    <n v="7424.7"/>
    <n v="2717.9520000000002"/>
    <n v="10142.652"/>
    <n v="5100"/>
    <n v="2346"/>
    <n v="7446"/>
  </r>
  <r>
    <s v="FALL 2025"/>
    <x v="1"/>
    <x v="0"/>
    <s v="PORTA ASIATACA"/>
    <x v="0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250"/>
    <n v="59"/>
    <m/>
    <n v="80"/>
    <m/>
    <m/>
    <m/>
    <n v="389"/>
    <n v="37500"/>
    <n v="20850"/>
    <n v="58350"/>
    <n v="7614.2499999999991"/>
    <n v="3476.9629999999997"/>
    <n v="11091.213"/>
    <n v="5250"/>
    <n v="2919"/>
    <n v="8169"/>
  </r>
  <r>
    <s v="FALL 2025"/>
    <x v="1"/>
    <x v="1"/>
    <s v="PORTA ASIATACA"/>
    <x v="0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250"/>
    <n v="59"/>
    <m/>
    <n v="70"/>
    <m/>
    <m/>
    <m/>
    <n v="379"/>
    <n v="31250"/>
    <n v="16125"/>
    <n v="47375"/>
    <n v="6187.25"/>
    <n v="2650.1909999999998"/>
    <n v="8837.4409999999989"/>
    <n v="4250"/>
    <n v="2193"/>
    <n v="6443"/>
  </r>
  <r>
    <s v="FALL 2025"/>
    <x v="1"/>
    <x v="0"/>
    <s v="PORTA ASIATACA"/>
    <x v="0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300"/>
    <n v="91"/>
    <m/>
    <m/>
    <m/>
    <m/>
    <m/>
    <n v="391"/>
    <n v="45000"/>
    <n v="13650"/>
    <n v="58650"/>
    <n v="9137.0999999999985"/>
    <n v="2771.5869999999995"/>
    <n v="11908.686999999998"/>
    <n v="6300"/>
    <n v="1911"/>
    <n v="8211"/>
  </r>
  <r>
    <s v="FALL 2025"/>
    <x v="1"/>
    <x v="1"/>
    <s v="PORTA ASIATACA"/>
    <x v="0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91"/>
    <m/>
    <m/>
    <m/>
    <m/>
    <m/>
    <n v="391"/>
    <n v="37500"/>
    <n v="11375"/>
    <n v="48875"/>
    <n v="7424.7"/>
    <n v="2252.1590000000001"/>
    <n v="9676.8590000000004"/>
    <n v="5100"/>
    <n v="1547"/>
    <n v="6647"/>
  </r>
  <r>
    <s v="FALL 2025"/>
    <x v="1"/>
    <x v="0"/>
    <s v="PORTA ASIATACA"/>
    <x v="0"/>
    <s v="STF25W51269"/>
    <s v="FF031"/>
    <s v="92% POLYESTER/8% SPANDEX DIVER 300 GM/M2"/>
    <s v="KNIT"/>
    <s v="6112.12.002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250"/>
    <n v="75"/>
    <m/>
    <m/>
    <m/>
    <m/>
    <m/>
    <n v="325"/>
    <n v="36250"/>
    <n v="10875"/>
    <n v="47125"/>
    <n v="7168.3124999999991"/>
    <n v="2150.4937499999996"/>
    <n v="9318.8062499999978"/>
    <n v="4937.5"/>
    <n v="1481.25"/>
    <n v="6418.75"/>
  </r>
  <r>
    <s v="FALL 2025"/>
    <x v="1"/>
    <x v="1"/>
    <s v="PORTA ASIATACA"/>
    <x v="0"/>
    <s v="STF25W51270"/>
    <s v="FF031"/>
    <s v="92% POLYESTER/8% SPANDEX DIVER 300 GM/M2"/>
    <s v="KNIT"/>
    <s v="6112.12.0060"/>
    <n v="125"/>
    <n v="24.035499999999999"/>
    <n v="16.5"/>
    <n v="0.28199999999999997"/>
    <n v="4.6529999999999996"/>
    <n v="7.4999999999999997E-2"/>
    <n v="1.2375"/>
    <n v="7.0000000000000007E-2"/>
    <n v="1.155"/>
    <n v="0.49"/>
    <n v="250"/>
    <n v="75"/>
    <m/>
    <m/>
    <m/>
    <m/>
    <m/>
    <n v="325"/>
    <n v="31250"/>
    <n v="9375"/>
    <n v="40625"/>
    <n v="6008.875"/>
    <n v="1802.6624999999999"/>
    <n v="7811.5375000000004"/>
    <n v="4125"/>
    <n v="1237.5"/>
    <n v="5362.5"/>
  </r>
  <r>
    <s v="FALL 2025"/>
    <x v="1"/>
    <x v="0"/>
    <s v="PORTA ASIATACA"/>
    <x v="0"/>
    <s v="STF25W51269"/>
    <s v="FF031"/>
    <s v="92% POLYESTER/8% SPANDEX DIVER 300 GM/M2"/>
    <s v="KNIT"/>
    <s v="6112.12.002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250"/>
    <n v="57"/>
    <m/>
    <m/>
    <m/>
    <m/>
    <m/>
    <n v="307"/>
    <n v="36250"/>
    <n v="8265"/>
    <n v="44515"/>
    <n v="7168.3124999999991"/>
    <n v="1634.3752499999998"/>
    <n v="8802.6877499999991"/>
    <n v="4937.5"/>
    <n v="1125.75"/>
    <n v="6063.25"/>
  </r>
  <r>
    <s v="FALL 2025"/>
    <x v="1"/>
    <x v="1"/>
    <s v="PORTA ASIATACA"/>
    <x v="0"/>
    <s v="STF25W51270"/>
    <s v="FF031"/>
    <s v="92% POLYESTER/8% SPANDEX DIVER 300 GM/M2"/>
    <s v="KNIT"/>
    <s v="6112.12.0060"/>
    <n v="125"/>
    <n v="24.035499999999999"/>
    <n v="16.5"/>
    <n v="0.28199999999999997"/>
    <n v="4.6529999999999996"/>
    <n v="7.4999999999999997E-2"/>
    <n v="1.2375"/>
    <n v="7.0000000000000007E-2"/>
    <n v="1.155"/>
    <n v="0.49"/>
    <n v="250"/>
    <n v="57"/>
    <m/>
    <m/>
    <m/>
    <m/>
    <m/>
    <n v="307"/>
    <n v="31250"/>
    <n v="7125"/>
    <n v="38375"/>
    <n v="6008.875"/>
    <n v="1370.0235"/>
    <n v="7378.8985000000002"/>
    <n v="4125"/>
    <n v="940.5"/>
    <n v="5065.5"/>
  </r>
  <r>
    <s v="FALL 2025"/>
    <x v="1"/>
    <x v="0"/>
    <s v="PORTA ASIATACA"/>
    <x v="0"/>
    <s v="STF25W51275"/>
    <s v="FF460"/>
    <s v="64% POLYESTER/35% RAYON/1% SPANDEX 330GSM"/>
    <s v="KNIT"/>
    <s v="6112.12.0020"/>
    <n v="150"/>
    <n v="31.170499999999997"/>
    <n v="21.5"/>
    <n v="0.28199999999999997"/>
    <n v="6.0629999999999997"/>
    <n v="7.4999999999999997E-2"/>
    <n v="1.6125"/>
    <n v="7.0000000000000007E-2"/>
    <n v="1.5050000000000001"/>
    <n v="0.49"/>
    <n v="200"/>
    <n v="24"/>
    <m/>
    <m/>
    <m/>
    <m/>
    <m/>
    <n v="224"/>
    <n v="30000"/>
    <n v="3600"/>
    <n v="33600"/>
    <n v="6234.0999999999995"/>
    <n v="748.09199999999987"/>
    <n v="6982.1919999999991"/>
    <n v="4300"/>
    <n v="516"/>
    <n v="4816"/>
  </r>
  <r>
    <s v="FALL 2025"/>
    <x v="1"/>
    <x v="1"/>
    <s v="PORTA ASIATACA"/>
    <x v="0"/>
    <s v="STF25W51276"/>
    <s v="FF460"/>
    <s v="64% POLYESTER/35% RAYON/1% SPANDEX 330GSM"/>
    <s v="KNIT"/>
    <s v="6112.12.0060"/>
    <n v="135"/>
    <n v="30.385649999999995"/>
    <n v="20.95"/>
    <n v="0.28199999999999997"/>
    <n v="5.9078999999999988"/>
    <n v="7.4999999999999997E-2"/>
    <n v="1.5712499999999998"/>
    <n v="7.0000000000000007E-2"/>
    <n v="1.4665000000000001"/>
    <n v="0.49"/>
    <n v="200"/>
    <n v="24"/>
    <m/>
    <m/>
    <m/>
    <m/>
    <m/>
    <n v="224"/>
    <n v="27000"/>
    <n v="3240"/>
    <n v="30240"/>
    <n v="6077.1299999999992"/>
    <n v="729.25559999999984"/>
    <n v="6806.3855999999987"/>
    <n v="4190"/>
    <n v="502.79999999999995"/>
    <n v="4692.8"/>
  </r>
  <r>
    <s v="FALL 2025"/>
    <x v="1"/>
    <x v="0"/>
    <s v="PORTA ASIATACA"/>
    <x v="0"/>
    <s v="STF25W51278"/>
    <s v="FF417"/>
    <s v="95% POLYESTER/5% SPANDEX FAUX SUEDE 300GSM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59"/>
    <m/>
    <m/>
    <m/>
    <m/>
    <m/>
    <n v="259"/>
    <n v="33000"/>
    <n v="9735"/>
    <n v="42735"/>
    <n v="6376.7999999999993"/>
    <n v="1881.1559999999997"/>
    <n v="8257.9559999999983"/>
    <n v="4400"/>
    <n v="1298"/>
    <n v="5698"/>
  </r>
  <r>
    <s v="FALL 2025"/>
    <x v="1"/>
    <x v="1"/>
    <s v="PORTA ASIATACA"/>
    <x v="0"/>
    <s v="STF25W51279"/>
    <s v="FF417"/>
    <s v="95% POLYESTER/5% SPANDEX FAUX SUEDE 300GSM"/>
    <s v="KNIT"/>
    <s v="6112.12.006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00"/>
    <n v="59"/>
    <m/>
    <m/>
    <m/>
    <m/>
    <m/>
    <n v="259"/>
    <n v="27000"/>
    <n v="7965"/>
    <n v="34965"/>
    <n v="5235.2000000000007"/>
    <n v="1544.384"/>
    <n v="6779.5840000000007"/>
    <n v="3600"/>
    <n v="1062"/>
    <n v="4662"/>
  </r>
  <r>
    <s v="FALL 2025"/>
    <x v="1"/>
    <x v="0"/>
    <s v="PORTA ASIATACA"/>
    <x v="0"/>
    <s v="STF25W51278"/>
    <s v="FF417"/>
    <s v="95% POLYESTER/5% SPANDEX FAUX SUEDE 300GSM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54"/>
    <m/>
    <m/>
    <m/>
    <m/>
    <n v="4"/>
    <n v="258"/>
    <n v="33000"/>
    <n v="9570"/>
    <n v="42570"/>
    <n v="6376.7999999999993"/>
    <n v="1809.7359999999999"/>
    <n v="8186.5359999999991"/>
    <n v="4400"/>
    <n v="1276"/>
    <n v="5676"/>
  </r>
  <r>
    <s v="FALL 2025"/>
    <x v="1"/>
    <x v="1"/>
    <s v="PORTA ASIATACA"/>
    <x v="0"/>
    <s v="STF25W51279"/>
    <s v="FF417"/>
    <s v="95% POLYESTER/5% SPANDEX FAUX SUEDE 300GSM"/>
    <s v="KNIT"/>
    <s v="6112.12.006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00"/>
    <n v="54"/>
    <m/>
    <m/>
    <m/>
    <m/>
    <n v="4"/>
    <n v="258"/>
    <n v="27000"/>
    <n v="7830"/>
    <n v="34830"/>
    <n v="5235.2000000000007"/>
    <n v="1485.5040000000001"/>
    <n v="6720.7040000000006"/>
    <n v="3600"/>
    <n v="1044"/>
    <n v="4644"/>
  </r>
  <r>
    <s v="FALL 2025"/>
    <x v="1"/>
    <x v="0"/>
    <s v="PORTA ASIATACA"/>
    <x v="0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50"/>
    <n v="78"/>
    <m/>
    <m/>
    <m/>
    <m/>
    <m/>
    <n v="328"/>
    <n v="41250"/>
    <n v="12870"/>
    <n v="54120"/>
    <n v="7435.8749999999991"/>
    <n v="2319.9929999999999"/>
    <n v="9755.8679999999986"/>
    <n v="5125"/>
    <n v="1599"/>
    <n v="6724"/>
  </r>
  <r>
    <s v="FALL 2025"/>
    <x v="1"/>
    <x v="1"/>
    <s v="PORTA ASIATACA"/>
    <x v="0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78"/>
    <m/>
    <m/>
    <m/>
    <m/>
    <m/>
    <n v="328"/>
    <n v="33750"/>
    <n v="10530"/>
    <n v="44280"/>
    <n v="6365.625"/>
    <n v="1986.0749999999998"/>
    <n v="8351.7000000000007"/>
    <n v="4375"/>
    <n v="1365"/>
    <n v="5740"/>
  </r>
  <r>
    <s v="FALL 2025"/>
    <x v="1"/>
    <x v="0"/>
    <s v="PORTA ASIATACA"/>
    <x v="0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50"/>
    <n v="38"/>
    <m/>
    <m/>
    <m/>
    <m/>
    <m/>
    <n v="288"/>
    <n v="41250"/>
    <n v="6270"/>
    <n v="47520"/>
    <n v="7435.8749999999991"/>
    <n v="1130.2529999999999"/>
    <n v="8566.1279999999988"/>
    <n v="5125"/>
    <n v="779"/>
    <n v="5904"/>
  </r>
  <r>
    <s v="FALL 2025"/>
    <x v="1"/>
    <x v="1"/>
    <s v="PORTA ASIATACA"/>
    <x v="0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38"/>
    <m/>
    <m/>
    <m/>
    <m/>
    <m/>
    <n v="288"/>
    <n v="33750"/>
    <n v="5130"/>
    <n v="38880"/>
    <n v="6365.625"/>
    <n v="967.57499999999993"/>
    <n v="7333.2"/>
    <n v="4375"/>
    <n v="665"/>
    <n v="5040"/>
  </r>
  <r>
    <s v="FALL 2025"/>
    <x v="1"/>
    <x v="0"/>
    <s v="PORTA ASIATACA"/>
    <x v="0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00"/>
    <n v="32"/>
    <m/>
    <m/>
    <m/>
    <m/>
    <m/>
    <n v="232"/>
    <n v="33000"/>
    <n v="5280"/>
    <n v="38280"/>
    <n v="5948.7"/>
    <n v="951.79199999999992"/>
    <n v="6900.4920000000002"/>
    <n v="4100"/>
    <n v="656"/>
    <n v="4756"/>
  </r>
  <r>
    <s v="FALL 2025"/>
    <x v="1"/>
    <x v="1"/>
    <s v="PORTA ASIATACA"/>
    <x v="0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00"/>
    <n v="32"/>
    <m/>
    <m/>
    <m/>
    <m/>
    <m/>
    <n v="232"/>
    <n v="27000"/>
    <n v="4320"/>
    <n v="31320"/>
    <n v="5092.5"/>
    <n v="814.8"/>
    <n v="5907.3"/>
    <n v="3500"/>
    <n v="560"/>
    <n v="4060"/>
  </r>
  <r>
    <s v="FALL 2025"/>
    <x v="1"/>
    <x v="19"/>
    <s v="PORTA ASIATACA"/>
    <x v="0"/>
    <s v="STF25W51282"/>
    <s v="FF141-P"/>
    <s v="93% POLYESTER/7% SPANDEX VELOUR 300 GM/M2"/>
    <s v="KNIT"/>
    <s v="6104.43.2010"/>
    <n v="125"/>
    <n v="22.674999999999997"/>
    <n v="17"/>
    <n v="0.16"/>
    <n v="2.72"/>
    <n v="7.4999999999999997E-2"/>
    <n v="1.2749999999999999"/>
    <n v="7.0000000000000007E-2"/>
    <n v="1.1900000000000002"/>
    <n v="0.49"/>
    <n v="250"/>
    <n v="56"/>
    <m/>
    <m/>
    <m/>
    <m/>
    <m/>
    <n v="306"/>
    <n v="31250"/>
    <n v="7000"/>
    <n v="38250"/>
    <n v="5668.7499999999991"/>
    <n v="1269.7999999999997"/>
    <n v="6938.5499999999993"/>
    <n v="4250"/>
    <n v="952"/>
    <n v="5202"/>
  </r>
  <r>
    <s v="FALL 2025"/>
    <x v="1"/>
    <x v="22"/>
    <s v="PORTA ASIATACA"/>
    <x v="0"/>
    <s v="STF25W51283"/>
    <s v="FF141-P"/>
    <s v="93% POLYESTER/7% SPANDEX VELOUR 300 GM/M2"/>
    <s v="KNIT"/>
    <s v="6110.20.2079"/>
    <n v="125"/>
    <n v="21.122499999999995"/>
    <n v="15.75"/>
    <n v="0.16500000000000001"/>
    <n v="2.5987500000000003"/>
    <n v="7.4999999999999997E-2"/>
    <n v="1.1812499999999999"/>
    <n v="7.0000000000000007E-2"/>
    <n v="1.1025"/>
    <n v="0.49"/>
    <n v="300"/>
    <m/>
    <m/>
    <m/>
    <m/>
    <m/>
    <m/>
    <n v="300"/>
    <n v="37500"/>
    <n v="0"/>
    <n v="37500"/>
    <n v="6336.7499999999982"/>
    <n v="0"/>
    <n v="6336.7499999999982"/>
    <n v="4725"/>
    <n v="0"/>
    <n v="4725"/>
  </r>
  <r>
    <s v="FALL 2025"/>
    <x v="1"/>
    <x v="22"/>
    <s v="PORTA ASIATACA"/>
    <x v="0"/>
    <s v="STF25W51283"/>
    <s v="FF141-P"/>
    <s v="93% POLYESTER/7% SPANDEX VELOUR 300 GM/M2"/>
    <s v="KNIT"/>
    <s v="6110.20.2079"/>
    <n v="125"/>
    <n v="21.122499999999995"/>
    <n v="15.75"/>
    <n v="0.16500000000000001"/>
    <n v="2.5987500000000003"/>
    <n v="7.4999999999999997E-2"/>
    <n v="1.1812499999999999"/>
    <n v="7.0000000000000007E-2"/>
    <n v="1.1025"/>
    <n v="0.49"/>
    <n v="300"/>
    <m/>
    <m/>
    <m/>
    <m/>
    <m/>
    <m/>
    <n v="300"/>
    <n v="37500"/>
    <n v="0"/>
    <n v="37500"/>
    <n v="6336.7499999999982"/>
    <n v="0"/>
    <n v="6336.7499999999982"/>
    <n v="4725"/>
    <n v="0"/>
    <n v="4725"/>
  </r>
  <r>
    <s v="FALL 2025"/>
    <x v="1"/>
    <x v="1"/>
    <s v="PORTA ASIATACA"/>
    <x v="0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m/>
    <m/>
    <m/>
    <m/>
    <m/>
    <m/>
    <n v="250"/>
    <n v="33750"/>
    <n v="0"/>
    <n v="33750"/>
    <n v="6365.625"/>
    <n v="0"/>
    <n v="6365.625"/>
    <n v="4375"/>
    <n v="0"/>
    <n v="4375"/>
  </r>
  <r>
    <s v="FALL 2025"/>
    <x v="1"/>
    <x v="0"/>
    <s v="PORTA ASIATACA"/>
    <x v="0"/>
    <s v="STF25W51284"/>
    <s v="FF141-P"/>
    <s v="93% POLYESTER/7% SPANDEX VELOUR 300 GM/M2"/>
    <s v="KNIT"/>
    <s v="6112.12.0020"/>
    <n v="135"/>
    <n v="27.602999999999998"/>
    <n v="19"/>
    <n v="0.28199999999999997"/>
    <n v="5.3579999999999997"/>
    <n v="7.4999999999999997E-2"/>
    <n v="1.425"/>
    <n v="7.0000000000000007E-2"/>
    <n v="1.33"/>
    <n v="0.49"/>
    <n v="250"/>
    <m/>
    <m/>
    <m/>
    <m/>
    <m/>
    <m/>
    <n v="250"/>
    <n v="33750"/>
    <n v="0"/>
    <n v="33750"/>
    <n v="6900.7499999999991"/>
    <n v="0"/>
    <n v="6900.7499999999991"/>
    <n v="4750"/>
    <n v="0"/>
    <n v="4750"/>
  </r>
  <r>
    <s v="FALL 2025"/>
    <x v="1"/>
    <x v="18"/>
    <s v="PORTA ASIATACA"/>
    <x v="0"/>
    <s v="STF25W51285"/>
    <s v="FF141-P"/>
    <s v="93% POLYESTER/7% SPANDEX VELOUR 300 GM/M2"/>
    <s v="KNIT"/>
    <s v="6104.53.2010"/>
    <n v="78"/>
    <n v="16.149999999999999"/>
    <n v="12"/>
    <n v="0.16"/>
    <n v="1.92"/>
    <n v="7.4999999999999997E-2"/>
    <n v="0.89999999999999991"/>
    <n v="7.0000000000000007E-2"/>
    <n v="0.84000000000000008"/>
    <n v="0.49"/>
    <n v="200"/>
    <m/>
    <m/>
    <m/>
    <m/>
    <m/>
    <m/>
    <n v="200"/>
    <n v="15600"/>
    <n v="0"/>
    <n v="15600"/>
    <n v="3229.9999999999995"/>
    <n v="0"/>
    <n v="3229.9999999999995"/>
    <n v="2400"/>
    <n v="0"/>
    <n v="2400"/>
  </r>
  <r>
    <s v="FALL 2025"/>
    <x v="1"/>
    <x v="21"/>
    <s v="SARA"/>
    <x v="1"/>
    <s v="STF25W51244"/>
    <s v="FF338"/>
    <s v="94% POLYESTER/6% ELASTANE JERSEY"/>
    <s v="KNIT"/>
    <s v="6212.10.9020"/>
    <n v="48"/>
    <n v="6.9947499999999998"/>
    <n v="5.25"/>
    <n v="0.16900000000000001"/>
    <n v="0.88725000000000009"/>
    <m/>
    <m/>
    <n v="7.0000000000000007E-2"/>
    <n v="0.36750000000000005"/>
    <n v="0.49"/>
    <n v="300"/>
    <m/>
    <m/>
    <m/>
    <m/>
    <m/>
    <m/>
    <n v="300"/>
    <n v="14400"/>
    <n v="0"/>
    <n v="14400"/>
    <n v="2098.4249999999997"/>
    <n v="0"/>
    <n v="2098.4249999999997"/>
    <n v="1575"/>
    <n v="0"/>
    <n v="1575"/>
  </r>
  <r>
    <s v="FALL 2025"/>
    <x v="1"/>
    <x v="21"/>
    <s v="SARA"/>
    <x v="1"/>
    <s v="STF25W51244"/>
    <s v="FF338"/>
    <s v="94% POLYESTER/6% ELASTANE JERSEY"/>
    <s v="KNIT"/>
    <s v="6212.10.9020"/>
    <n v="48"/>
    <n v="6.9947499999999998"/>
    <n v="5.25"/>
    <n v="0.16900000000000001"/>
    <n v="0.88725000000000009"/>
    <m/>
    <m/>
    <n v="7.0000000000000007E-2"/>
    <n v="0.36750000000000005"/>
    <n v="0.49"/>
    <n v="300"/>
    <m/>
    <m/>
    <m/>
    <m/>
    <m/>
    <m/>
    <n v="300"/>
    <n v="14400"/>
    <n v="0"/>
    <n v="14400"/>
    <n v="2098.4249999999997"/>
    <n v="0"/>
    <n v="2098.4249999999997"/>
    <n v="1575"/>
    <n v="0"/>
    <n v="1575"/>
  </r>
  <r>
    <s v="FALL 2025"/>
    <x v="1"/>
    <x v="0"/>
    <s v="SARA"/>
    <x v="1"/>
    <s v="STF25W51245"/>
    <s v="FF042-S"/>
    <s v="100% COTTON FRENCH TERRY 360 GM/M2"/>
    <s v="KNIT"/>
    <s v="6110.20.2079"/>
    <n v="98"/>
    <n v="17.779999999999998"/>
    <n v="14"/>
    <n v="0.16500000000000001"/>
    <n v="2.31"/>
    <m/>
    <m/>
    <n v="7.0000000000000007E-2"/>
    <n v="0.98000000000000009"/>
    <n v="0.49"/>
    <n v="250"/>
    <n v="64"/>
    <m/>
    <m/>
    <m/>
    <m/>
    <m/>
    <n v="314"/>
    <n v="24500"/>
    <n v="6272"/>
    <n v="30772"/>
    <n v="4444.9999999999991"/>
    <n v="1137.9199999999998"/>
    <n v="5582.9199999999992"/>
    <n v="3500"/>
    <n v="896"/>
    <n v="4396"/>
  </r>
  <r>
    <s v="FALL 2025"/>
    <x v="1"/>
    <x v="23"/>
    <s v="SARA"/>
    <x v="1"/>
    <s v="STF25W51246"/>
    <s v="FF042-S"/>
    <s v="100% COTTON FRENCH TERRY 360 GM/M2"/>
    <s v="KNIT"/>
    <s v="6104.62.2011"/>
    <n v="88"/>
    <n v="17.555999999999997"/>
    <n v="14"/>
    <n v="0.14899999999999999"/>
    <n v="2.0859999999999999"/>
    <m/>
    <m/>
    <n v="7.0000000000000007E-2"/>
    <n v="0.98000000000000009"/>
    <n v="0.49"/>
    <n v="250"/>
    <n v="64"/>
    <m/>
    <m/>
    <m/>
    <m/>
    <m/>
    <n v="314"/>
    <n v="22000"/>
    <n v="5632"/>
    <n v="27632"/>
    <n v="4388.9999999999991"/>
    <n v="1123.5839999999998"/>
    <n v="5512.5839999999989"/>
    <n v="3500"/>
    <n v="896"/>
    <n v="4396"/>
  </r>
  <r>
    <s v="FALL 2025"/>
    <x v="1"/>
    <x v="0"/>
    <s v="SARA"/>
    <x v="1"/>
    <s v="STF25W51245"/>
    <s v="FF042-S"/>
    <s v="100% COTTON FRENCH TERRY 360 GM/M2"/>
    <s v="KNIT"/>
    <s v="6110.20.2079"/>
    <n v="98"/>
    <n v="17.779999999999998"/>
    <n v="14"/>
    <n v="0.16500000000000001"/>
    <n v="2.31"/>
    <m/>
    <m/>
    <n v="7.0000000000000007E-2"/>
    <n v="0.98000000000000009"/>
    <n v="0.49"/>
    <n v="250"/>
    <n v="64"/>
    <m/>
    <m/>
    <m/>
    <m/>
    <m/>
    <n v="314"/>
    <n v="24500"/>
    <n v="6272"/>
    <n v="30772"/>
    <n v="4444.9999999999991"/>
    <n v="1137.9199999999998"/>
    <n v="5582.9199999999992"/>
    <n v="3500"/>
    <n v="896"/>
    <n v="4396"/>
  </r>
  <r>
    <s v="FALL 2025"/>
    <x v="1"/>
    <x v="23"/>
    <s v="SARA"/>
    <x v="1"/>
    <s v="STF25W51246"/>
    <s v="FF042-S"/>
    <s v="100% COTTON FRENCH TERRY 360 GM/M2"/>
    <s v="KNIT"/>
    <s v="6104.62.2011"/>
    <n v="88"/>
    <n v="17.555999999999997"/>
    <n v="14"/>
    <n v="0.14899999999999999"/>
    <n v="2.0859999999999999"/>
    <m/>
    <m/>
    <n v="7.0000000000000007E-2"/>
    <n v="0.98000000000000009"/>
    <n v="0.49"/>
    <n v="250"/>
    <n v="64"/>
    <m/>
    <m/>
    <m/>
    <m/>
    <m/>
    <n v="314"/>
    <n v="22000"/>
    <n v="5632"/>
    <n v="27632"/>
    <n v="4388.9999999999991"/>
    <n v="1123.5839999999998"/>
    <n v="5512.5839999999989"/>
    <n v="3500"/>
    <n v="896"/>
    <n v="4396"/>
  </r>
  <r>
    <s v="FALL 2025"/>
    <x v="1"/>
    <x v="2"/>
    <s v="SARA"/>
    <x v="1"/>
    <s v="STF25W51247"/>
    <s v="FF387"/>
    <s v="65% COTTON/30% POLYESTER/5% ELASTANE PIQUE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4"/>
    <m/>
    <m/>
    <m/>
    <m/>
    <m/>
    <n v="314"/>
    <n v="10500"/>
    <n v="2688"/>
    <n v="13188"/>
    <n v="1527.3125"/>
    <n v="390.99200000000002"/>
    <n v="1918.3045"/>
    <n v="1137.5"/>
    <n v="291.2"/>
    <n v="1428.7"/>
  </r>
  <r>
    <s v="FALL 2025"/>
    <x v="1"/>
    <x v="2"/>
    <s v="SARA"/>
    <x v="1"/>
    <s v="STF25W51247"/>
    <s v="FF387"/>
    <s v="65% COTTON/30% POLYESTER/5% ELASTANE PIQUE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4"/>
    <m/>
    <m/>
    <m/>
    <m/>
    <m/>
    <n v="314"/>
    <n v="10500"/>
    <n v="2688"/>
    <n v="13188"/>
    <n v="1527.3125"/>
    <n v="390.99200000000002"/>
    <n v="1918.3045"/>
    <n v="1137.5"/>
    <n v="291.2"/>
    <n v="1428.7"/>
  </r>
  <r>
    <s v="FALL 2025"/>
    <x v="1"/>
    <x v="5"/>
    <s v="SARA"/>
    <x v="1"/>
    <s v="STF25W51248"/>
    <s v="FF042-S"/>
    <s v="100% COTTON FRENCH TERRY 360 GM/M2"/>
    <s v="KNIT"/>
    <s v="6110.20.2079"/>
    <n v="68"/>
    <n v="12.28425"/>
    <n v="9.5500000000000007"/>
    <n v="0.16500000000000001"/>
    <n v="1.5757500000000002"/>
    <m/>
    <m/>
    <n v="7.0000000000000007E-2"/>
    <n v="0.66850000000000009"/>
    <n v="0.49"/>
    <n v="300"/>
    <n v="64"/>
    <m/>
    <n v="80"/>
    <m/>
    <m/>
    <m/>
    <n v="444"/>
    <n v="20400"/>
    <n v="9792"/>
    <n v="30192"/>
    <n v="3685.2750000000001"/>
    <n v="1550.192"/>
    <n v="5235.4670000000006"/>
    <n v="2865"/>
    <n v="1375.2"/>
    <n v="4240.2"/>
  </r>
  <r>
    <s v="FALL 2025"/>
    <x v="1"/>
    <x v="5"/>
    <s v="SARA"/>
    <x v="1"/>
    <s v="STF25W51248"/>
    <s v="FF042-S"/>
    <s v="100% COTTON FRENCH TERRY 360 GM/M2"/>
    <s v="KNIT"/>
    <s v="6110.20.2079"/>
    <n v="68"/>
    <n v="12.28425"/>
    <n v="9.5500000000000007"/>
    <n v="0.16500000000000001"/>
    <n v="1.5757500000000002"/>
    <m/>
    <m/>
    <n v="7.0000000000000007E-2"/>
    <n v="0.66850000000000009"/>
    <n v="0.49"/>
    <n v="300"/>
    <n v="55"/>
    <m/>
    <n v="80"/>
    <m/>
    <m/>
    <m/>
    <n v="435"/>
    <n v="20400"/>
    <n v="9180"/>
    <n v="29580"/>
    <n v="3685.2750000000001"/>
    <n v="1439.63375"/>
    <n v="5124.9087500000005"/>
    <n v="2865"/>
    <n v="1289.25"/>
    <n v="4154.25"/>
  </r>
  <r>
    <s v="FALL 2025"/>
    <x v="1"/>
    <x v="23"/>
    <s v="SARA"/>
    <x v="1"/>
    <s v="STF25W51249"/>
    <s v="FF042-S"/>
    <s v="100% COTTON FRENCH TERRY 360 GM/M2"/>
    <s v="KNIT"/>
    <s v="6104.62.2011"/>
    <n v="88"/>
    <n v="16.337"/>
    <n v="13"/>
    <n v="0.14899999999999999"/>
    <n v="1.9369999999999998"/>
    <m/>
    <m/>
    <n v="7.0000000000000007E-2"/>
    <n v="0.91000000000000014"/>
    <n v="0.49"/>
    <n v="300"/>
    <n v="64"/>
    <m/>
    <n v="70"/>
    <m/>
    <m/>
    <m/>
    <n v="434"/>
    <n v="26400"/>
    <n v="11792"/>
    <n v="38192"/>
    <n v="4901.1000000000004"/>
    <n v="1955.568"/>
    <n v="6856.6680000000006"/>
    <n v="3900"/>
    <n v="1742"/>
    <n v="5642"/>
  </r>
  <r>
    <s v="FALL 2025"/>
    <x v="1"/>
    <x v="23"/>
    <s v="SARA"/>
    <x v="1"/>
    <s v="STF25W51249"/>
    <s v="FF042-S"/>
    <s v="100% COTTON FRENCH TERRY 360 GM/M2"/>
    <s v="KNIT"/>
    <s v="6104.62.2011"/>
    <n v="88"/>
    <n v="16.337"/>
    <n v="13"/>
    <n v="0.14899999999999999"/>
    <n v="1.9369999999999998"/>
    <m/>
    <m/>
    <n v="7.0000000000000007E-2"/>
    <n v="0.91000000000000014"/>
    <n v="0.49"/>
    <n v="300"/>
    <n v="55"/>
    <m/>
    <n v="70"/>
    <m/>
    <m/>
    <m/>
    <n v="425"/>
    <n v="26400"/>
    <n v="11000"/>
    <n v="37400"/>
    <n v="4901.1000000000004"/>
    <n v="1808.5349999999999"/>
    <n v="6709.6350000000002"/>
    <n v="3900"/>
    <n v="1625"/>
    <n v="5525"/>
  </r>
  <r>
    <s v="FALL 2025"/>
    <x v="1"/>
    <x v="2"/>
    <s v="SARA"/>
    <x v="1"/>
    <s v="STF25W51250"/>
    <s v="FF325-S"/>
    <s v="100% COTTON FRENCH TERRY 360 GM/M2"/>
    <s v="KNIT"/>
    <s v="6109.10.0012"/>
    <n v="48"/>
    <n v="7.9"/>
    <n v="6"/>
    <n v="0.16500000000000001"/>
    <n v="0.99"/>
    <m/>
    <m/>
    <n v="7.0000000000000007E-2"/>
    <n v="0.42000000000000004"/>
    <n v="0.49"/>
    <n v="300"/>
    <n v="55"/>
    <m/>
    <m/>
    <m/>
    <m/>
    <m/>
    <n v="355"/>
    <n v="14400"/>
    <n v="2640"/>
    <n v="17040"/>
    <n v="2370"/>
    <n v="434.5"/>
    <n v="2804.5"/>
    <n v="1800"/>
    <n v="330"/>
    <n v="2130"/>
  </r>
  <r>
    <s v="FALL 2025"/>
    <x v="1"/>
    <x v="15"/>
    <s v="SARA"/>
    <x v="1"/>
    <s v="STF25W51251"/>
    <s v="FF042-S"/>
    <s v="100% COTTON FRENCH TERRY 360 GM/M2"/>
    <s v="KNIT"/>
    <s v="6104.52.0010"/>
    <n v="58"/>
    <n v="9.7140000000000004"/>
    <n v="8"/>
    <n v="8.3000000000000004E-2"/>
    <n v="0.66400000000000003"/>
    <m/>
    <m/>
    <n v="7.0000000000000007E-2"/>
    <n v="0.56000000000000005"/>
    <n v="0.49"/>
    <n v="300"/>
    <n v="48"/>
    <m/>
    <m/>
    <m/>
    <m/>
    <m/>
    <n v="348"/>
    <n v="17400"/>
    <n v="2784"/>
    <n v="20184"/>
    <n v="2914.2000000000003"/>
    <n v="466.27200000000005"/>
    <n v="3380.4720000000002"/>
    <n v="2400"/>
    <n v="384"/>
    <n v="2784"/>
  </r>
  <r>
    <s v="FALL 2025"/>
    <x v="1"/>
    <x v="2"/>
    <s v="SARA"/>
    <x v="1"/>
    <s v="STF25W51250"/>
    <s v="FF325-S"/>
    <s v="100% COTTON FRENCH TERRY 360 GM/M2"/>
    <s v="KNIT"/>
    <s v="6109.10.0012"/>
    <n v="48"/>
    <n v="7.9"/>
    <n v="6"/>
    <n v="0.16500000000000001"/>
    <n v="0.99"/>
    <m/>
    <m/>
    <n v="7.0000000000000007E-2"/>
    <n v="0.42000000000000004"/>
    <n v="0.49"/>
    <n v="250"/>
    <n v="48"/>
    <m/>
    <m/>
    <m/>
    <m/>
    <m/>
    <n v="298"/>
    <n v="12000"/>
    <n v="2304"/>
    <n v="14304"/>
    <n v="1975"/>
    <n v="379.20000000000005"/>
    <n v="2354.1999999999998"/>
    <n v="1500"/>
    <n v="288"/>
    <n v="1788"/>
  </r>
  <r>
    <s v="FALL 2025"/>
    <x v="1"/>
    <x v="15"/>
    <s v="SARA"/>
    <x v="1"/>
    <s v="STF25W51251"/>
    <s v="FF042-S"/>
    <s v="100% COTTON FRENCH TERRY 360 GM/M2"/>
    <s v="KNIT"/>
    <s v="6104.52.0010"/>
    <n v="58"/>
    <n v="9.6900000000000013"/>
    <n v="8"/>
    <n v="0.08"/>
    <n v="0.64"/>
    <m/>
    <m/>
    <n v="7.0000000000000007E-2"/>
    <n v="0.56000000000000005"/>
    <n v="0.49"/>
    <n v="250"/>
    <n v="48"/>
    <m/>
    <m/>
    <m/>
    <m/>
    <m/>
    <n v="298"/>
    <n v="14500"/>
    <n v="2784"/>
    <n v="17284"/>
    <n v="2422.5000000000005"/>
    <n v="465.12000000000006"/>
    <n v="2887.6200000000003"/>
    <n v="2000"/>
    <n v="384"/>
    <n v="2384"/>
  </r>
  <r>
    <s v="FALL 2025"/>
    <x v="1"/>
    <x v="2"/>
    <s v="SARA"/>
    <x v="1"/>
    <s v="STF25W51405"/>
    <s v="FF155"/>
    <s v="100% COTTON JERSEY 180 GM/M2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56"/>
    <m/>
    <m/>
    <m/>
    <m/>
    <m/>
    <n v="306"/>
    <n v="10500"/>
    <n v="2352"/>
    <n v="12852"/>
    <n v="1527.3125"/>
    <n v="342.11799999999999"/>
    <n v="1869.4304999999999"/>
    <n v="1137.5"/>
    <n v="254.79999999999998"/>
    <n v="1392.3"/>
  </r>
  <r>
    <s v="FALL 2025"/>
    <x v="1"/>
    <x v="2"/>
    <s v="SARA"/>
    <x v="1"/>
    <s v="STF25W51405"/>
    <s v="FF155"/>
    <s v="100% COTTON JERSEY 180 GM/M2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3"/>
    <m/>
    <m/>
    <m/>
    <m/>
    <m/>
    <n v="313"/>
    <n v="10500"/>
    <n v="2646"/>
    <n v="13146"/>
    <n v="1527.3125"/>
    <n v="384.88275000000004"/>
    <n v="1912.19525"/>
    <n v="1137.5"/>
    <n v="286.64999999999998"/>
    <n v="1424.15"/>
  </r>
  <r>
    <s v="FALL 2025"/>
    <x v="1"/>
    <x v="2"/>
    <s v="SARA"/>
    <x v="1"/>
    <s v="STF25W51257"/>
    <s v="FF155"/>
    <s v="100% COTTON JERSEY 180 GM/M2"/>
    <s v="KNIT"/>
    <s v="6109.10.0012"/>
    <n v="42"/>
    <n v="5.7387500000000005"/>
    <n v="4.25"/>
    <n v="0.16500000000000001"/>
    <n v="0.70125000000000004"/>
    <m/>
    <m/>
    <n v="7.0000000000000007E-2"/>
    <n v="0.29750000000000004"/>
    <n v="0.49"/>
    <n v="200"/>
    <m/>
    <n v="50"/>
    <m/>
    <m/>
    <m/>
    <m/>
    <n v="250"/>
    <n v="8400"/>
    <n v="2100"/>
    <n v="10500"/>
    <n v="1147.75"/>
    <n v="286.9375"/>
    <n v="1434.6875"/>
    <n v="850"/>
    <n v="212.5"/>
    <n v="1062.5"/>
  </r>
  <r>
    <s v="FALL 2025"/>
    <x v="1"/>
    <x v="2"/>
    <s v="SARA"/>
    <x v="1"/>
    <s v="STF25W51257"/>
    <s v="FF155"/>
    <s v="100% COTTON JERSEY 180 GM/M2"/>
    <s v="KNIT"/>
    <s v="6109.10.0012"/>
    <n v="42"/>
    <n v="5.7387500000000005"/>
    <n v="4.25"/>
    <n v="0.16500000000000001"/>
    <n v="0.70125000000000004"/>
    <m/>
    <m/>
    <n v="7.0000000000000007E-2"/>
    <n v="0.29750000000000004"/>
    <n v="0.49"/>
    <n v="200"/>
    <n v="40"/>
    <n v="10"/>
    <m/>
    <m/>
    <m/>
    <m/>
    <n v="250"/>
    <n v="8400"/>
    <n v="2100"/>
    <n v="10500"/>
    <n v="1147.75"/>
    <n v="286.9375"/>
    <n v="1434.6875"/>
    <n v="850"/>
    <n v="212.5"/>
    <n v="1062.5"/>
  </r>
  <r>
    <s v="FALL 2025"/>
    <x v="2"/>
    <x v="24"/>
    <s v="FIORIMA"/>
    <x v="3"/>
    <s v="STF25X51395"/>
    <s v="FF355"/>
    <s v="85% COTTON/13% POLYAMIDE/2% ELASTANE"/>
    <s v="KNIT"/>
    <s v="6115.95.9000"/>
    <n v="18"/>
    <n v="4.2014000000000005"/>
    <n v="3.08"/>
    <n v="0.13500000000000001"/>
    <n v="0.41580000000000006"/>
    <m/>
    <m/>
    <m/>
    <n v="0.21560000000000001"/>
    <n v="0.49"/>
    <n v="700"/>
    <n v="100"/>
    <m/>
    <m/>
    <m/>
    <m/>
    <m/>
    <n v="800"/>
    <n v="12600"/>
    <n v="1800"/>
    <n v="14400"/>
    <n v="2940.9800000000005"/>
    <n v="420.14000000000004"/>
    <n v="3361.1200000000003"/>
    <n v="2156"/>
    <n v="308"/>
    <n v="2464"/>
  </r>
  <r>
    <s v="FALL 2025"/>
    <x v="2"/>
    <x v="24"/>
    <s v="FIORIMA"/>
    <x v="3"/>
    <s v="STF25X51395"/>
    <s v="FF355"/>
    <s v="85% COTTON/13% POLYAMIDE/2% ELASTANE"/>
    <s v="KNIT"/>
    <s v="6115.95.9000"/>
    <n v="18"/>
    <n v="4.2014000000000005"/>
    <n v="3.08"/>
    <n v="0.13500000000000001"/>
    <n v="0.41580000000000006"/>
    <m/>
    <m/>
    <m/>
    <n v="0.21560000000000001"/>
    <n v="0.49"/>
    <n v="500"/>
    <n v="100"/>
    <m/>
    <m/>
    <m/>
    <m/>
    <m/>
    <n v="600"/>
    <n v="9000"/>
    <n v="1800"/>
    <n v="10800"/>
    <n v="2100.7000000000003"/>
    <n v="420.14000000000004"/>
    <n v="2520.84"/>
    <n v="1540"/>
    <n v="308"/>
    <n v="1848"/>
  </r>
  <r>
    <s v="FALL 2025"/>
    <x v="2"/>
    <x v="25"/>
    <s v="SHANGHAI YUXIU TEXTILE CO"/>
    <x v="0"/>
    <s v="STF25X51402"/>
    <s v="N/A"/>
    <s v="100% POLYESTER TWILL"/>
    <s v="WOVEN"/>
    <s v="6505.00.8090"/>
    <n v="42"/>
    <n v="8.218399999999999"/>
    <n v="5.56"/>
    <n v="7.0000000000000007E-2"/>
    <n v="0.38919999999999999"/>
    <n v="0.25"/>
    <n v="1.39"/>
    <m/>
    <n v="0.38919999999999999"/>
    <n v="0.49"/>
    <n v="250"/>
    <n v="76"/>
    <n v="174"/>
    <m/>
    <m/>
    <m/>
    <m/>
    <n v="500"/>
    <n v="10500"/>
    <n v="10500"/>
    <n v="21000"/>
    <n v="2054.6"/>
    <n v="2054.6"/>
    <n v="4109.2"/>
    <n v="1390"/>
    <n v="1390"/>
    <n v="27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s v="FALL 2024"/>
    <x v="0"/>
    <x v="0"/>
    <s v="MEGA"/>
    <x v="0"/>
    <s v="STF24M50931"/>
    <m/>
    <s v="85% POLYAMIDE/15% SPANDEX PIQUE 175 GM/M2"/>
    <s v="KNIT"/>
    <s v="6105.20.2010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50"/>
    <n v="98"/>
    <n v="156"/>
    <m/>
    <m/>
    <m/>
    <m/>
    <n v="504"/>
    <n v="24500"/>
    <n v="24892"/>
    <n v="49392"/>
    <n v="4865.4375000000009"/>
    <n v="4943.2845000000007"/>
    <n v="9808.7220000000016"/>
    <n v="3237.5"/>
    <n v="3289.2999999999997"/>
    <n v="6526.7999999999993"/>
  </r>
  <r>
    <s v="FALL 2024"/>
    <x v="0"/>
    <x v="0"/>
    <s v="MEGA"/>
    <x v="0"/>
    <s v="STF24M50931"/>
    <m/>
    <s v="85% POLYAMIDE/15% SPANDEX PIQUE 175 GM/M2"/>
    <s v="KNIT"/>
    <s v="6105.20.2010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50"/>
    <n v="70"/>
    <n v="185"/>
    <m/>
    <m/>
    <m/>
    <m/>
    <n v="505"/>
    <n v="24500"/>
    <n v="24990"/>
    <n v="49490"/>
    <n v="4865.4375000000009"/>
    <n v="4962.7462500000001"/>
    <n v="9828.1837500000001"/>
    <n v="3237.5"/>
    <n v="3302.25"/>
    <n v="6539.75"/>
  </r>
  <r>
    <s v="FALL 2024"/>
    <x v="0"/>
    <x v="1"/>
    <s v="MEGA"/>
    <x v="0"/>
    <s v="STF24M50936"/>
    <m/>
    <s v="100% COTTON FRENCH TERRY 360 GM/M2"/>
    <s v="KNIT"/>
    <s v="6112.12.0010"/>
    <n v="110"/>
    <n v="18.829999999999998"/>
    <n v="14"/>
    <n v="0.16500000000000001"/>
    <n v="2.31"/>
    <n v="7.4999999999999997E-2"/>
    <n v="1.05"/>
    <n v="7.0000000000000007E-2"/>
    <n v="0.98000000000000009"/>
    <n v="0.49"/>
    <n v="351"/>
    <n v="12"/>
    <n v="125"/>
    <m/>
    <m/>
    <m/>
    <n v="18"/>
    <n v="506"/>
    <n v="38610"/>
    <n v="17050"/>
    <n v="55660"/>
    <n v="6609.329999999999"/>
    <n v="2831.7099999999996"/>
    <n v="9441.0399999999991"/>
    <n v="4914"/>
    <n v="2170"/>
    <n v="7084"/>
  </r>
  <r>
    <s v="FALL 2024"/>
    <x v="0"/>
    <x v="1"/>
    <s v="MEGA"/>
    <x v="0"/>
    <s v="STF24M50936"/>
    <m/>
    <s v="100% COTTON FRENCH TERRY 360 GM/M2"/>
    <s v="KNIT"/>
    <s v="6112.12.0010"/>
    <n v="110"/>
    <n v="18.829999999999998"/>
    <n v="14"/>
    <n v="0.16500000000000001"/>
    <n v="2.31"/>
    <n v="7.4999999999999997E-2"/>
    <n v="1.05"/>
    <n v="7.0000000000000007E-2"/>
    <n v="0.98000000000000009"/>
    <n v="0.49"/>
    <n v="251"/>
    <n v="8"/>
    <n v="223"/>
    <m/>
    <m/>
    <m/>
    <n v="18"/>
    <n v="500"/>
    <n v="27610"/>
    <n v="27390"/>
    <n v="55000"/>
    <n v="4726.33"/>
    <n v="4601.7299999999996"/>
    <n v="9328.06"/>
    <n v="3514"/>
    <n v="3486"/>
    <n v="7000"/>
  </r>
  <r>
    <s v="FALL 2024"/>
    <x v="0"/>
    <x v="2"/>
    <s v="MEGA"/>
    <x v="0"/>
    <s v="STF24M50932"/>
    <m/>
    <s v="85% POLYAMIDE/15% SPANDEX PIQUE 175 GM/M2"/>
    <s v="KNIT"/>
    <s v="6103.43.1550"/>
    <n v="85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76"/>
    <n v="172"/>
    <m/>
    <m/>
    <m/>
    <n v="6"/>
    <n v="504"/>
    <n v="21250"/>
    <n v="21590"/>
    <n v="42840"/>
    <n v="4403.4999999999991"/>
    <n v="4440.271999999999"/>
    <n v="8843.7719999999972"/>
    <n v="3000"/>
    <n v="3048"/>
    <n v="6048"/>
  </r>
  <r>
    <s v="FALL 2024"/>
    <x v="0"/>
    <x v="2"/>
    <s v="MEGA"/>
    <x v="0"/>
    <s v="STF24M50932"/>
    <m/>
    <s v="85% POLYAMIDE/15% SPANDEX PIQUE 175 GM/M2"/>
    <s v="KNIT"/>
    <s v="6103.43.1550"/>
    <n v="85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212"/>
    <n v="29"/>
    <m/>
    <m/>
    <m/>
    <n v="6"/>
    <n v="497"/>
    <n v="21250"/>
    <n v="20995"/>
    <n v="42245"/>
    <n v="4403.4999999999991"/>
    <n v="4316.9739999999993"/>
    <n v="8720.4739999999983"/>
    <n v="3000"/>
    <n v="2964"/>
    <n v="5964"/>
  </r>
  <r>
    <s v="FALL 2024"/>
    <x v="0"/>
    <x v="3"/>
    <s v="MEGA"/>
    <x v="0"/>
    <s v="STF24M50935"/>
    <m/>
    <s v="85% POLYAMIDE/15% SPANDEX PIQUE 175 GM/M2"/>
    <s v="KNIT"/>
    <s v="6109.90.1007"/>
    <n v="78"/>
    <n v="17.044499999999999"/>
    <n v="11.3"/>
    <n v="0.32"/>
    <n v="3.6160000000000001"/>
    <n v="7.4999999999999997E-2"/>
    <n v="0.84750000000000003"/>
    <n v="7.0000000000000007E-2"/>
    <n v="0.79100000000000015"/>
    <n v="0.49"/>
    <n v="301"/>
    <n v="93"/>
    <m/>
    <m/>
    <m/>
    <m/>
    <m/>
    <n v="394"/>
    <n v="23478"/>
    <n v="7254"/>
    <n v="30732"/>
    <n v="5130.3944999999994"/>
    <n v="1585.1385"/>
    <n v="6715.5329999999994"/>
    <n v="3401.3"/>
    <n v="1050.9000000000001"/>
    <n v="4452.2000000000007"/>
  </r>
  <r>
    <s v="FALL 2024"/>
    <x v="0"/>
    <x v="3"/>
    <s v="MEGA"/>
    <x v="0"/>
    <s v="STF24M50935"/>
    <m/>
    <s v="85% POLYAMIDE/15% SPANDEX PIQUE 175 GM/M2"/>
    <s v="KNIT"/>
    <s v="6109.90.1007"/>
    <n v="78"/>
    <n v="17.044499999999999"/>
    <n v="11.3"/>
    <n v="0.32"/>
    <n v="3.6160000000000001"/>
    <n v="7.4999999999999997E-2"/>
    <n v="0.84750000000000003"/>
    <n v="7.0000000000000007E-2"/>
    <n v="0.79100000000000015"/>
    <n v="0.49"/>
    <n v="301"/>
    <n v="207"/>
    <m/>
    <m/>
    <m/>
    <m/>
    <m/>
    <n v="508"/>
    <n v="23478"/>
    <n v="16146"/>
    <n v="39624"/>
    <n v="5130.3944999999994"/>
    <n v="3528.2114999999999"/>
    <n v="8658.6059999999998"/>
    <n v="3401.3"/>
    <n v="2339.1000000000004"/>
    <n v="5740.4000000000005"/>
  </r>
  <r>
    <s v="FALL 2024"/>
    <x v="0"/>
    <x v="2"/>
    <s v="MEGA"/>
    <x v="0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208"/>
    <m/>
    <m/>
    <m/>
    <m/>
    <m/>
    <n v="507"/>
    <n v="23322"/>
    <n v="16224"/>
    <n v="39546"/>
    <n v="5042.9340000000002"/>
    <n v="3508.1279999999997"/>
    <n v="8551.0619999999999"/>
    <n v="3438.5"/>
    <n v="2392"/>
    <n v="5830.5"/>
  </r>
  <r>
    <s v="FALL 2024"/>
    <x v="0"/>
    <x v="2"/>
    <s v="MEGA"/>
    <x v="0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55"/>
    <n v="146"/>
    <m/>
    <m/>
    <m/>
    <m/>
    <n v="500"/>
    <n v="23322"/>
    <n v="15678"/>
    <n v="39000"/>
    <n v="5042.9340000000002"/>
    <n v="3390.0659999999998"/>
    <n v="8433"/>
    <n v="3438.5"/>
    <n v="2311.5"/>
    <n v="5750"/>
  </r>
  <r>
    <s v="FALL 2024"/>
    <x v="0"/>
    <x v="2"/>
    <s v="MEGA"/>
    <x v="0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51"/>
    <n v="150"/>
    <m/>
    <m/>
    <m/>
    <m/>
    <n v="500"/>
    <n v="23322"/>
    <n v="15678"/>
    <n v="39000"/>
    <n v="5042.9340000000002"/>
    <n v="3390.0659999999998"/>
    <n v="8433"/>
    <n v="3438.5"/>
    <n v="2311.5"/>
    <n v="5750"/>
  </r>
  <r>
    <s v="FALL 2024"/>
    <x v="0"/>
    <x v="1"/>
    <s v="MEGA"/>
    <x v="0"/>
    <s v="STF24M50941"/>
    <m/>
    <s v="97% POLYESTER/3% SPANDEX JACQUARD WAFFLE 310 GM/M2"/>
    <s v="KNIT"/>
    <s v="6110.30.3010"/>
    <n v="125"/>
    <n v="22.391749999999998"/>
    <n v="14.95"/>
    <n v="0.32"/>
    <n v="4.7839999999999998"/>
    <n v="7.4999999999999997E-2"/>
    <n v="1.1212499999999999"/>
    <n v="7.0000000000000007E-2"/>
    <n v="1.0465"/>
    <n v="0.49"/>
    <n v="301"/>
    <n v="26"/>
    <n v="166"/>
    <m/>
    <m/>
    <m/>
    <n v="12"/>
    <n v="505"/>
    <n v="37625"/>
    <n v="25500"/>
    <n v="63125"/>
    <n v="6739.9167499999994"/>
    <n v="4478.6159999999991"/>
    <n v="11218.532749999998"/>
    <n v="4499.95"/>
    <n v="3049.7999999999997"/>
    <n v="7549.75"/>
  </r>
  <r>
    <s v="FALL 2024"/>
    <x v="0"/>
    <x v="1"/>
    <s v="MEGA"/>
    <x v="0"/>
    <s v="STF24M50941"/>
    <m/>
    <s v="97% POLYESTER/3% SPANDEX JACQUARD WAFFLE 310 GM/M2"/>
    <s v="KNIT"/>
    <s v="6110.30.3010"/>
    <n v="125"/>
    <n v="22.391749999999998"/>
    <n v="14.95"/>
    <n v="0.32"/>
    <n v="4.7839999999999998"/>
    <n v="7.4999999999999997E-2"/>
    <n v="1.1212499999999999"/>
    <n v="7.0000000000000007E-2"/>
    <n v="1.0465"/>
    <n v="0.49"/>
    <n v="301"/>
    <m/>
    <n v="187"/>
    <m/>
    <m/>
    <m/>
    <n v="12"/>
    <n v="500"/>
    <n v="37625"/>
    <n v="24875"/>
    <n v="62500"/>
    <n v="6739.9167499999994"/>
    <n v="4366.6572499999993"/>
    <n v="11106.573999999999"/>
    <n v="4499.95"/>
    <n v="2975.0499999999997"/>
    <n v="7475"/>
  </r>
  <r>
    <s v="FALL 2024"/>
    <x v="0"/>
    <x v="2"/>
    <s v="MEGA"/>
    <x v="0"/>
    <s v="STF24M50942"/>
    <m/>
    <s v="97% POLYESTER/3% SPANDEX JACQUARD WAFFLE 310 GM/M2"/>
    <s v="KNIT"/>
    <s v="6103.43.1550"/>
    <n v="90"/>
    <n v="15.4735"/>
    <n v="10.5"/>
    <n v="0.28199999999999997"/>
    <n v="2.9609999999999999"/>
    <n v="7.4999999999999997E-2"/>
    <n v="0.78749999999999998"/>
    <n v="7.0000000000000007E-2"/>
    <n v="0.7350000000000001"/>
    <n v="0.49"/>
    <n v="299"/>
    <n v="228"/>
    <m/>
    <m/>
    <m/>
    <m/>
    <m/>
    <n v="527"/>
    <n v="26910"/>
    <n v="20520"/>
    <n v="47430"/>
    <n v="4626.5765000000001"/>
    <n v="3527.9580000000001"/>
    <n v="8154.5344999999998"/>
    <n v="3139.5"/>
    <n v="2394"/>
    <n v="5533.5"/>
  </r>
  <r>
    <s v="FALL 2024"/>
    <x v="0"/>
    <x v="2"/>
    <s v="MEGA"/>
    <x v="0"/>
    <s v="STF24M50942"/>
    <m/>
    <s v="97% POLYESTER/3% SPANDEX JACQUARD WAFFLE 310 GM/M2"/>
    <s v="KNIT"/>
    <s v="6103.43.1550"/>
    <n v="90"/>
    <n v="15.4735"/>
    <n v="10.5"/>
    <n v="0.28199999999999997"/>
    <n v="2.9609999999999999"/>
    <n v="7.4999999999999997E-2"/>
    <n v="0.78749999999999998"/>
    <n v="7.0000000000000007E-2"/>
    <n v="0.7350000000000001"/>
    <n v="0.49"/>
    <n v="299"/>
    <n v="47"/>
    <n v="160"/>
    <m/>
    <m/>
    <m/>
    <m/>
    <n v="506"/>
    <n v="26910"/>
    <n v="18630"/>
    <n v="45540"/>
    <n v="4626.5765000000001"/>
    <n v="3203.0144999999998"/>
    <n v="7829.5910000000003"/>
    <n v="3139.5"/>
    <n v="2173.5"/>
    <n v="5313"/>
  </r>
  <r>
    <s v="FALL 2024"/>
    <x v="0"/>
    <x v="1"/>
    <s v="MEGA"/>
    <x v="0"/>
    <s v="STF24M51048"/>
    <m/>
    <s v="97% POLYESTER/3% SPANDEX JACQUARD WAFFLE 310 GM/M2"/>
    <s v="KNIT"/>
    <s v="6105.20.2010"/>
    <n v="90"/>
    <n v="16.018999999999998"/>
    <n v="10.6"/>
    <n v="0.32"/>
    <n v="3.3919999999999999"/>
    <n v="7.4999999999999997E-2"/>
    <n v="0.79499999999999993"/>
    <n v="7.0000000000000007E-2"/>
    <n v="0.74199999999999999"/>
    <n v="0.49"/>
    <n v="250"/>
    <n v="126"/>
    <n v="123"/>
    <m/>
    <m/>
    <m/>
    <m/>
    <n v="499"/>
    <n v="22500"/>
    <n v="22410"/>
    <n v="44910"/>
    <n v="4004.7499999999995"/>
    <n v="3988.7309999999998"/>
    <n v="7993.4809999999998"/>
    <n v="2650"/>
    <n v="2639.4"/>
    <n v="5289.4"/>
  </r>
  <r>
    <s v="FALL 2024"/>
    <x v="0"/>
    <x v="1"/>
    <s v="MEGA"/>
    <x v="0"/>
    <s v="STF24M51048"/>
    <m/>
    <s v="97% POLYESTER/3% SPANDEX JACQUARD WAFFLE 310 GM/M2"/>
    <s v="KNIT"/>
    <s v="6105.20.2010"/>
    <n v="90"/>
    <n v="16.018999999999998"/>
    <n v="10.6"/>
    <n v="0.32"/>
    <n v="3.3919999999999999"/>
    <n v="7.4999999999999997E-2"/>
    <n v="0.79499999999999993"/>
    <n v="7.0000000000000007E-2"/>
    <n v="0.74199999999999999"/>
    <n v="0.49"/>
    <n v="301"/>
    <n v="47"/>
    <n v="158"/>
    <m/>
    <m/>
    <m/>
    <m/>
    <n v="506"/>
    <n v="27090"/>
    <n v="18450"/>
    <n v="45540"/>
    <n v="4821.7189999999991"/>
    <n v="3283.8949999999995"/>
    <n v="8105.6139999999987"/>
    <n v="3190.6"/>
    <n v="2173"/>
    <n v="5363.6"/>
  </r>
  <r>
    <s v="FALL 2024"/>
    <x v="0"/>
    <x v="4"/>
    <s v="MEGA"/>
    <x v="0"/>
    <s v="STF24M50891"/>
    <m/>
    <s v="100% POLYESTER FAUX SUEDE WITH FLEECE BACK 460 GM/M2"/>
    <s v="KNIT"/>
    <s v="6112.11.0010"/>
    <n v="150"/>
    <n v="27.817049999999995"/>
    <n v="19.149999999999999"/>
    <n v="0.28199999999999997"/>
    <n v="5.4002999999999988"/>
    <n v="7.4999999999999997E-2"/>
    <n v="1.4362499999999998"/>
    <n v="7.0000000000000007E-2"/>
    <n v="1.3405"/>
    <n v="0.49"/>
    <n v="501"/>
    <n v="132"/>
    <m/>
    <m/>
    <m/>
    <m/>
    <m/>
    <n v="633"/>
    <n v="75150"/>
    <n v="19800"/>
    <n v="94950"/>
    <n v="13936.342049999997"/>
    <n v="3671.8505999999993"/>
    <n v="17608.192649999997"/>
    <n v="9594.15"/>
    <n v="2527.7999999999997"/>
    <n v="12121.949999999999"/>
  </r>
  <r>
    <s v="FALL 2024"/>
    <x v="0"/>
    <x v="5"/>
    <s v="MEGA"/>
    <x v="0"/>
    <s v="STF24M50892"/>
    <m/>
    <s v="100% POLYESTER FAUX SUEDE WITH FLEECE BACK 460 GM/M2"/>
    <s v="KNIT"/>
    <s v="6101.30.2010"/>
    <n v="125"/>
    <n v="24.677649999999996"/>
    <n v="16.95"/>
    <n v="0.28199999999999997"/>
    <n v="4.7798999999999996"/>
    <n v="7.4999999999999997E-2"/>
    <n v="1.27125"/>
    <n v="7.0000000000000007E-2"/>
    <n v="1.1865000000000001"/>
    <n v="0.49"/>
    <n v="501"/>
    <n v="133"/>
    <m/>
    <m/>
    <m/>
    <m/>
    <m/>
    <n v="634"/>
    <n v="62625"/>
    <n v="16625"/>
    <n v="79250"/>
    <n v="12363.502649999999"/>
    <n v="3282.1274499999995"/>
    <n v="15645.630099999998"/>
    <n v="8491.9499999999989"/>
    <n v="2254.35"/>
    <n v="10746.3"/>
  </r>
  <r>
    <s v="FALL 2024"/>
    <x v="0"/>
    <x v="4"/>
    <s v="MEGA"/>
    <x v="0"/>
    <s v="STF24M50891"/>
    <m/>
    <s v="100% POLYESTER FAUX SUEDE WITH FLEECE BACK 460 GM/M2"/>
    <s v="KNIT"/>
    <s v="6112.11.0010"/>
    <n v="150"/>
    <n v="27.817049999999995"/>
    <n v="19.149999999999999"/>
    <n v="0.28199999999999997"/>
    <n v="5.4002999999999988"/>
    <n v="7.4999999999999997E-2"/>
    <n v="1.4362499999999998"/>
    <n v="7.0000000000000007E-2"/>
    <n v="1.3405"/>
    <n v="0.49"/>
    <n v="600"/>
    <n v="147"/>
    <m/>
    <m/>
    <m/>
    <m/>
    <m/>
    <n v="747"/>
    <n v="90000"/>
    <n v="22050"/>
    <n v="112050"/>
    <n v="16690.229999999996"/>
    <n v="4089.1063499999991"/>
    <n v="20779.336349999994"/>
    <n v="11490"/>
    <n v="2815.0499999999997"/>
    <n v="14305.05"/>
  </r>
  <r>
    <s v="FALL 2024"/>
    <x v="0"/>
    <x v="5"/>
    <s v="MEGA"/>
    <x v="0"/>
    <s v="STF24M50892"/>
    <m/>
    <s v="100% POLYESTER FAUX SUEDE WITH FLEECE BACK 460 GM/M2"/>
    <s v="KNIT"/>
    <s v="6101.30.2010"/>
    <n v="125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141"/>
    <m/>
    <m/>
    <m/>
    <m/>
    <m/>
    <n v="741"/>
    <n v="75000"/>
    <n v="17625"/>
    <n v="92625"/>
    <n v="14806.589999999998"/>
    <n v="3479.5486499999993"/>
    <n v="18286.138649999997"/>
    <n v="10170"/>
    <n v="2389.9499999999998"/>
    <n v="12559.95"/>
  </r>
  <r>
    <s v="FALL 2024"/>
    <x v="0"/>
    <x v="4"/>
    <s v="HESRRO"/>
    <x v="0"/>
    <s v="STF24M50928"/>
    <m/>
    <s v="100% CRINKLE NYLON 86 GM/M2"/>
    <s v="WOVEN"/>
    <s v="6201.40.7511"/>
    <n v="135"/>
    <n v="22.971819999999997"/>
    <n v="15.81"/>
    <n v="0.27700000000000002"/>
    <n v="4.3793700000000007"/>
    <n v="7.4999999999999997E-2"/>
    <n v="1.1857500000000001"/>
    <n v="7.0000000000000007E-2"/>
    <n v="1.1067000000000002"/>
    <n v="0.49"/>
    <n v="250"/>
    <n v="298"/>
    <m/>
    <m/>
    <m/>
    <m/>
    <n v="18"/>
    <n v="566"/>
    <n v="33750"/>
    <n v="42660"/>
    <n v="76410"/>
    <n v="5742.954999999999"/>
    <n v="7130.1823599999989"/>
    <n v="12873.137359999997"/>
    <n v="3952.5"/>
    <n v="4995.96"/>
    <n v="8948.4599999999991"/>
  </r>
  <r>
    <s v="FALL 2024"/>
    <x v="0"/>
    <x v="5"/>
    <s v="HESRRO"/>
    <x v="0"/>
    <s v="STF24M50926"/>
    <m/>
    <s v="100% CRINKLE NYLON 86 GM/M2"/>
    <s v="WOVEN"/>
    <s v="6203.43.9010"/>
    <n v="125"/>
    <n v="18.574799999999996"/>
    <n v="12.7"/>
    <n v="0.27900000000000003"/>
    <n v="3.5433000000000003"/>
    <n v="7.4999999999999997E-2"/>
    <n v="0.9524999999999999"/>
    <n v="7.0000000000000007E-2"/>
    <n v="0.88900000000000001"/>
    <n v="0.49"/>
    <n v="251"/>
    <n v="298"/>
    <m/>
    <m/>
    <m/>
    <m/>
    <n v="18"/>
    <n v="567"/>
    <n v="31375"/>
    <n v="39500"/>
    <n v="70875"/>
    <n v="4662.2747999999992"/>
    <n v="5763.8903999999993"/>
    <n v="10426.165199999999"/>
    <n v="3187.7"/>
    <n v="4013.2"/>
    <n v="7200.9"/>
  </r>
  <r>
    <s v="FALL 2024"/>
    <x v="0"/>
    <x v="4"/>
    <s v="HESRRO"/>
    <x v="0"/>
    <s v="STF24M50928"/>
    <m/>
    <s v="100% CRINKLE NYLON 86 GM/M2"/>
    <s v="WOVEN"/>
    <s v="6201.40.7511"/>
    <n v="135"/>
    <n v="22.971819999999997"/>
    <n v="15.81"/>
    <n v="0.27700000000000002"/>
    <n v="4.3793700000000007"/>
    <n v="7.4999999999999997E-2"/>
    <n v="1.1857500000000001"/>
    <n v="7.0000000000000007E-2"/>
    <n v="1.1067000000000002"/>
    <n v="0.49"/>
    <n v="250"/>
    <n v="268"/>
    <m/>
    <m/>
    <m/>
    <m/>
    <n v="18"/>
    <n v="536"/>
    <n v="33750"/>
    <n v="38610"/>
    <n v="72360"/>
    <n v="5742.954999999999"/>
    <n v="6441.027759999999"/>
    <n v="12183.982759999999"/>
    <n v="3952.5"/>
    <n v="4521.66"/>
    <n v="8474.16"/>
  </r>
  <r>
    <s v="FALL 2024"/>
    <x v="0"/>
    <x v="5"/>
    <s v="HESRRO"/>
    <x v="0"/>
    <s v="STF24M50926"/>
    <m/>
    <s v="100% CRINKLE NYLON 86 GM/M2"/>
    <s v="WOVEN"/>
    <s v="6203.43.9010"/>
    <n v="125"/>
    <n v="18.574799999999996"/>
    <n v="12.7"/>
    <n v="0.27900000000000003"/>
    <n v="3.5433000000000003"/>
    <n v="7.4999999999999997E-2"/>
    <n v="0.9524999999999999"/>
    <n v="7.0000000000000007E-2"/>
    <n v="0.88900000000000001"/>
    <n v="0.49"/>
    <n v="300"/>
    <n v="279"/>
    <m/>
    <m/>
    <m/>
    <m/>
    <n v="18"/>
    <n v="597"/>
    <n v="37500"/>
    <n v="37125"/>
    <n v="74625"/>
    <n v="5572.4399999999987"/>
    <n v="5410.9691999999995"/>
    <n v="10983.409199999998"/>
    <n v="3810"/>
    <n v="3771.8999999999996"/>
    <n v="7581.9"/>
  </r>
  <r>
    <s v="SPRING 23 REORDER"/>
    <x v="0"/>
    <x v="4"/>
    <s v="HESRRO"/>
    <x v="0"/>
    <s v="STF24M50737"/>
    <m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  <n v="0"/>
    <n v="7901.7999999999984"/>
    <n v="5400"/>
    <n v="0"/>
    <n v="5400"/>
  </r>
  <r>
    <s v="SPRING 23 REORDER"/>
    <x v="0"/>
    <x v="5"/>
    <s v="HESRRO"/>
    <x v="0"/>
    <s v="STF24M14552"/>
    <m/>
    <s v="100% POLYESTER TWILL 220 GM/M2"/>
    <s v="KNIT"/>
    <s v="6112.12.0010"/>
    <n v="110"/>
    <n v="16.900500000000001"/>
    <n v="11.5"/>
    <n v="0.28199999999999997"/>
    <n v="3.2429999999999999"/>
    <n v="7.4999999999999997E-2"/>
    <n v="0.86249999999999993"/>
    <n v="7.0000000000000007E-2"/>
    <n v="0.80500000000000005"/>
    <n v="0.49"/>
    <n v="400"/>
    <m/>
    <m/>
    <m/>
    <m/>
    <m/>
    <m/>
    <n v="400"/>
    <n v="44000"/>
    <n v="0"/>
    <n v="44000"/>
    <n v="6760.2000000000007"/>
    <n v="0"/>
    <n v="6760.2000000000007"/>
    <n v="4600"/>
    <n v="0"/>
    <n v="4600"/>
  </r>
  <r>
    <s v="SPRING 23 REORDER"/>
    <x v="0"/>
    <x v="4"/>
    <s v="HESRRO"/>
    <x v="0"/>
    <s v="STS24M50737"/>
    <m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  <n v="0"/>
    <n v="7901.7999999999984"/>
    <n v="5400"/>
    <n v="0"/>
    <n v="5400"/>
  </r>
  <r>
    <s v="SPRING 23 REORDER"/>
    <x v="0"/>
    <x v="5"/>
    <s v="HESRRO"/>
    <x v="0"/>
    <s v="STS24M14552"/>
    <m/>
    <s v="100% POLYESTER TWILL 220 GM/M2"/>
    <s v="KNIT"/>
    <s v="6112.12.0010"/>
    <n v="110"/>
    <n v="16.900500000000001"/>
    <n v="11.5"/>
    <n v="0.28199999999999997"/>
    <n v="3.2429999999999999"/>
    <n v="7.4999999999999997E-2"/>
    <n v="0.86249999999999993"/>
    <n v="7.0000000000000007E-2"/>
    <n v="0.80500000000000005"/>
    <n v="0.49"/>
    <n v="400"/>
    <m/>
    <m/>
    <m/>
    <m/>
    <m/>
    <m/>
    <n v="400"/>
    <n v="44000"/>
    <n v="0"/>
    <n v="44000"/>
    <n v="6760.2000000000007"/>
    <n v="0"/>
    <n v="6760.2000000000007"/>
    <n v="4600"/>
    <n v="0"/>
    <n v="4600"/>
  </r>
  <r>
    <s v="FALL 2024"/>
    <x v="0"/>
    <x v="4"/>
    <s v="HESRRO"/>
    <x v="0"/>
    <s v="STF24M50960"/>
    <m/>
    <s v="100% NYLON TAFFETA 48 GM/M2"/>
    <s v="WOVEN"/>
    <s v="6201.40.7511"/>
    <n v="135"/>
    <n v="24.194740000000003"/>
    <n v="16.670000000000002"/>
    <n v="0.27700000000000002"/>
    <n v="4.6175900000000007"/>
    <n v="7.4999999999999997E-2"/>
    <n v="1.2502500000000001"/>
    <n v="7.0000000000000007E-2"/>
    <n v="1.1669000000000003"/>
    <n v="0.49"/>
    <n v="301"/>
    <n v="104"/>
    <n v="65"/>
    <m/>
    <m/>
    <m/>
    <n v="18"/>
    <n v="488"/>
    <n v="40635"/>
    <n v="25245"/>
    <n v="65880"/>
    <n v="7282.6167400000013"/>
    <n v="4388.9710600000008"/>
    <n v="11671.587800000001"/>
    <n v="5017.67"/>
    <n v="3117.2900000000004"/>
    <n v="8134.9600000000009"/>
  </r>
  <r>
    <s v="FALL 2024"/>
    <x v="0"/>
    <x v="5"/>
    <s v="HESRRO"/>
    <x v="0"/>
    <s v="STF24M50961"/>
    <m/>
    <s v="100% NYLON TAFFETA 48 GM/M2"/>
    <s v="WOVEN"/>
    <s v="6203.43.9010"/>
    <n v="125"/>
    <n v="21.16648"/>
    <n v="14.52"/>
    <n v="0.27900000000000003"/>
    <n v="4.0510800000000007"/>
    <n v="7.4999999999999997E-2"/>
    <n v="1.089"/>
    <n v="7.0000000000000007E-2"/>
    <n v="1.0164"/>
    <n v="0.49"/>
    <n v="300"/>
    <n v="68"/>
    <n v="102"/>
    <m/>
    <m/>
    <m/>
    <n v="18"/>
    <n v="488"/>
    <n v="37500"/>
    <n v="23500"/>
    <n v="61000"/>
    <n v="6349.9440000000004"/>
    <n v="3859.6615999999999"/>
    <n v="10209.605600000001"/>
    <n v="4356"/>
    <n v="2729.7599999999998"/>
    <n v="7085.76"/>
  </r>
  <r>
    <s v="FALL 2024"/>
    <x v="0"/>
    <x v="2"/>
    <s v="HESRRO"/>
    <x v="0"/>
    <s v="STF24M50966"/>
    <m/>
    <s v="100% NYLON TAFFETA 48 GM/M2"/>
    <s v="WOVEN"/>
    <s v="6203.43.9030"/>
    <n v="78"/>
    <n v="15.273719999999999"/>
    <n v="10.36"/>
    <n v="0.28199999999999997"/>
    <n v="2.9215199999999997"/>
    <n v="7.4999999999999997E-2"/>
    <n v="0.77699999999999991"/>
    <n v="7.0000000000000007E-2"/>
    <n v="0.72520000000000007"/>
    <n v="0.49"/>
    <n v="250"/>
    <n v="80"/>
    <n v="170"/>
    <m/>
    <m/>
    <m/>
    <m/>
    <n v="500"/>
    <n v="19500"/>
    <n v="19500"/>
    <n v="39000"/>
    <n v="3818.43"/>
    <n v="3818.43"/>
    <n v="7636.86"/>
    <n v="2590"/>
    <n v="2590"/>
    <n v="5180"/>
  </r>
  <r>
    <s v="FALL 2024"/>
    <x v="0"/>
    <x v="4"/>
    <s v="HESRRO"/>
    <x v="0"/>
    <s v="STF24M50960"/>
    <m/>
    <s v="100% NYLON TAFFETA 48 GM/M2"/>
    <s v="WOVEN"/>
    <s v="6201.40.7511"/>
    <n v="135"/>
    <n v="24.194740000000003"/>
    <n v="16.670000000000002"/>
    <n v="0.27700000000000002"/>
    <n v="4.6175900000000007"/>
    <n v="7.4999999999999997E-2"/>
    <n v="1.2502500000000001"/>
    <n v="7.0000000000000007E-2"/>
    <n v="1.1669000000000003"/>
    <n v="0.49"/>
    <n v="301"/>
    <n v="208"/>
    <m/>
    <m/>
    <m/>
    <m/>
    <n v="18"/>
    <n v="527"/>
    <n v="40635"/>
    <n v="30510"/>
    <n v="71145"/>
    <n v="7282.6167400000013"/>
    <n v="5332.5659200000009"/>
    <n v="12615.182660000002"/>
    <n v="5017.67"/>
    <n v="3767.4200000000005"/>
    <n v="8785.09"/>
  </r>
  <r>
    <s v="FALL 2024"/>
    <x v="0"/>
    <x v="5"/>
    <s v="HESRRO"/>
    <x v="0"/>
    <s v="STF24M50961"/>
    <m/>
    <s v="100% NYLON TAFFETA 48 GM/M2"/>
    <s v="WOVEN"/>
    <s v="6203.43.9010"/>
    <n v="125"/>
    <n v="21.16648"/>
    <n v="14.52"/>
    <n v="0.27900000000000003"/>
    <n v="4.0510800000000007"/>
    <n v="7.4999999999999997E-2"/>
    <n v="1.089"/>
    <n v="7.0000000000000007E-2"/>
    <n v="1.0164"/>
    <n v="0.49"/>
    <n v="300"/>
    <n v="187"/>
    <m/>
    <m/>
    <m/>
    <m/>
    <n v="18"/>
    <n v="505"/>
    <n v="37500"/>
    <n v="25625"/>
    <n v="63125"/>
    <n v="6349.9440000000004"/>
    <n v="4219.4917599999999"/>
    <n v="10569.43576"/>
    <n v="4356"/>
    <n v="2976.6"/>
    <n v="7332.6"/>
  </r>
  <r>
    <s v="FALL 2024"/>
    <x v="0"/>
    <x v="2"/>
    <s v="HESRRO"/>
    <x v="0"/>
    <s v="STF24M50966"/>
    <m/>
    <s v="100% NYLON TAFFETA 48 GM/M2"/>
    <s v="WOVEN"/>
    <s v="6203.43.9030"/>
    <n v="78"/>
    <n v="15.273719999999999"/>
    <n v="10.36"/>
    <n v="0.28199999999999997"/>
    <n v="2.9215199999999997"/>
    <n v="7.4999999999999997E-2"/>
    <n v="0.77699999999999991"/>
    <n v="7.0000000000000007E-2"/>
    <n v="0.72520000000000007"/>
    <n v="0.49"/>
    <n v="250"/>
    <n v="55"/>
    <n v="195"/>
    <m/>
    <m/>
    <m/>
    <m/>
    <n v="500"/>
    <n v="19500"/>
    <n v="19500"/>
    <n v="39000"/>
    <n v="3818.43"/>
    <n v="3818.43"/>
    <n v="7636.86"/>
    <n v="2590"/>
    <n v="2590"/>
    <n v="5180"/>
  </r>
  <r>
    <s v="FALL 2024"/>
    <x v="0"/>
    <x v="6"/>
    <s v="HESRRO"/>
    <x v="0"/>
    <s v="STF24M51049"/>
    <m/>
    <s v=" 53% POLYESTER/45% RAYON/2% SPANDEX JERSEY QUILT 300 GM/M2"/>
    <s v="KNIT"/>
    <s v="6110.30.3053"/>
    <n v="150"/>
    <n v="30.229499999999998"/>
    <n v="20.3"/>
    <n v="0.32"/>
    <n v="6.4960000000000004"/>
    <n v="7.4999999999999997E-2"/>
    <n v="1.5225"/>
    <n v="7.0000000000000007E-2"/>
    <n v="1.4210000000000003"/>
    <n v="0.49"/>
    <n v="400"/>
    <n v="172"/>
    <m/>
    <m/>
    <m/>
    <m/>
    <n v="6"/>
    <n v="578"/>
    <n v="60000"/>
    <n v="26700"/>
    <n v="86700"/>
    <n v="12091.8"/>
    <n v="5321.2739999999994"/>
    <n v="17413.074000000001"/>
    <n v="8120"/>
    <n v="3613.4"/>
    <n v="11733.4"/>
  </r>
  <r>
    <s v="FALL 2024"/>
    <x v="0"/>
    <x v="7"/>
    <s v="HESRRO"/>
    <x v="0"/>
    <s v="STF24M51050"/>
    <m/>
    <s v=" 53% POLYESTER/45% RAYON/2% SPANDEX JERSEY QUILT 300 GM/M2"/>
    <s v="KNIT"/>
    <s v="6114.20.0055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400"/>
    <n v="173"/>
    <m/>
    <m/>
    <m/>
    <m/>
    <n v="6"/>
    <n v="579"/>
    <n v="50000"/>
    <n v="22375"/>
    <n v="72375"/>
    <n v="10470.400000000001"/>
    <n v="4636.4480000000003"/>
    <n v="15106.848000000002"/>
    <n v="7200"/>
    <n v="3222"/>
    <n v="10422"/>
  </r>
  <r>
    <s v="FALL 2024"/>
    <x v="0"/>
    <x v="6"/>
    <s v="HESRRO"/>
    <x v="0"/>
    <s v="STF24M51049"/>
    <m/>
    <s v=" 53% POLYESTER/45% RAYON/2% SPANDEX JERSEY QUILT 300 GM/M2"/>
    <s v="KNIT"/>
    <s v="6110.30.3053"/>
    <n v="150"/>
    <n v="30.229499999999998"/>
    <n v="20.3"/>
    <n v="0.32"/>
    <n v="6.4960000000000004"/>
    <n v="7.4999999999999997E-2"/>
    <n v="1.5225"/>
    <n v="7.0000000000000007E-2"/>
    <n v="1.4210000000000003"/>
    <n v="0.49"/>
    <n v="400"/>
    <n v="145"/>
    <m/>
    <m/>
    <m/>
    <m/>
    <n v="6"/>
    <n v="551"/>
    <n v="60000"/>
    <n v="22650"/>
    <n v="82650"/>
    <n v="12091.8"/>
    <n v="4505.0775000000003"/>
    <n v="16596.877499999999"/>
    <n v="8120"/>
    <n v="3065.3"/>
    <n v="11185.3"/>
  </r>
  <r>
    <s v="FALL 2024"/>
    <x v="0"/>
    <x v="7"/>
    <s v="HESRRO"/>
    <x v="0"/>
    <s v="STF24M51050"/>
    <m/>
    <s v=" 53% POLYESTER/45% RAYON/2% SPANDEX JERSEY QUILT 300 GM/M2"/>
    <s v="KNIT"/>
    <s v="6114.20.0055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400"/>
    <n v="165"/>
    <m/>
    <m/>
    <m/>
    <m/>
    <n v="6"/>
    <n v="571"/>
    <n v="50000"/>
    <n v="21375"/>
    <n v="71375"/>
    <n v="10470.400000000001"/>
    <n v="4427.04"/>
    <n v="14897.440000000002"/>
    <n v="7200"/>
    <n v="3078"/>
    <n v="10278"/>
  </r>
  <r>
    <s v="FALL 2024"/>
    <x v="0"/>
    <x v="8"/>
    <s v="HESRRO"/>
    <x v="0"/>
    <s v="STF24M50923"/>
    <m/>
    <s v="100% COTTON FLEECE 390 GM/M2"/>
    <s v="KNIT"/>
    <s v="6112.12.0010"/>
    <n v="110"/>
    <n v="25.196599999999997"/>
    <n v="18.86"/>
    <n v="0.16500000000000001"/>
    <n v="3.1118999999999999"/>
    <n v="7.4999999999999997E-2"/>
    <n v="1.4144999999999999"/>
    <n v="7.0000000000000007E-2"/>
    <n v="1.3202"/>
    <n v="0.49"/>
    <n v="301"/>
    <n v="105"/>
    <n v="68"/>
    <m/>
    <m/>
    <m/>
    <n v="32"/>
    <n v="506"/>
    <n v="33110"/>
    <n v="22550"/>
    <n v="55660"/>
    <n v="7584.1765999999989"/>
    <n v="4962.5317999999988"/>
    <n v="12546.708399999998"/>
    <n v="5676.86"/>
    <n v="3866.2999999999997"/>
    <n v="9543.16"/>
  </r>
  <r>
    <s v="FALL 2024"/>
    <x v="0"/>
    <x v="2"/>
    <s v="HESRRO"/>
    <x v="0"/>
    <s v="STF24M50924"/>
    <m/>
    <s v="100% COTTON FLEECE 390 GM/M2"/>
    <s v="KNIT"/>
    <s v="6103.42.1050"/>
    <n v="85"/>
    <n v="18.460559999999997"/>
    <n v="13.76"/>
    <n v="0.161"/>
    <n v="2.21536"/>
    <n v="7.4999999999999997E-2"/>
    <n v="1.032"/>
    <n v="7.0000000000000007E-2"/>
    <n v="0.96320000000000006"/>
    <n v="0.49"/>
    <n v="250"/>
    <n v="56"/>
    <n v="194"/>
    <m/>
    <m/>
    <m/>
    <n v="6"/>
    <n v="506"/>
    <n v="21250"/>
    <n v="21760"/>
    <n v="43010"/>
    <n v="4615.1399999999994"/>
    <n v="4697.7"/>
    <n v="9312.84"/>
    <n v="3440"/>
    <n v="3522.56"/>
    <n v="6962.5599999999995"/>
  </r>
  <r>
    <s v="FALL 2024"/>
    <x v="0"/>
    <x v="8"/>
    <s v="HESRRO"/>
    <x v="0"/>
    <s v="STF24M50923"/>
    <m/>
    <s v="100% COTTON FLEECE 390 GM/M2"/>
    <s v="KNIT"/>
    <s v="6112.12.0010"/>
    <n v="110"/>
    <n v="25.196599999999997"/>
    <n v="18.86"/>
    <n v="0.16500000000000001"/>
    <n v="3.1118999999999999"/>
    <n v="7.4999999999999997E-2"/>
    <n v="1.4144999999999999"/>
    <n v="7.0000000000000007E-2"/>
    <n v="1.3202"/>
    <n v="0.49"/>
    <n v="301"/>
    <n v="103"/>
    <n v="69"/>
    <m/>
    <m/>
    <m/>
    <n v="32"/>
    <n v="505"/>
    <n v="33110"/>
    <n v="22440"/>
    <n v="55550"/>
    <n v="7584.1765999999989"/>
    <n v="4937.3351999999995"/>
    <n v="12521.511799999998"/>
    <n v="5676.86"/>
    <n v="3847.44"/>
    <n v="9524.2999999999993"/>
  </r>
  <r>
    <s v="FALL 2024"/>
    <x v="0"/>
    <x v="2"/>
    <s v="HESRRO"/>
    <x v="0"/>
    <s v="STF24M50924"/>
    <m/>
    <s v="100% COTTON FLEECE 390 GM/M2"/>
    <s v="KNIT"/>
    <s v="6103.42.1050"/>
    <n v="85"/>
    <n v="18.460559999999997"/>
    <n v="13.76"/>
    <n v="0.161"/>
    <n v="2.21536"/>
    <n v="7.4999999999999997E-2"/>
    <n v="1.032"/>
    <n v="7.0000000000000007E-2"/>
    <n v="0.96320000000000006"/>
    <n v="0.49"/>
    <n v="250"/>
    <n v="80"/>
    <n v="169"/>
    <m/>
    <m/>
    <m/>
    <n v="6"/>
    <n v="505"/>
    <n v="21250"/>
    <n v="21675"/>
    <n v="42925"/>
    <n v="4615.1399999999994"/>
    <n v="4679.2394399999994"/>
    <n v="9294.3794399999988"/>
    <n v="3440"/>
    <n v="3508.7999999999997"/>
    <n v="6948.7999999999993"/>
  </r>
  <r>
    <s v="FALL 2024"/>
    <x v="0"/>
    <x v="6"/>
    <s v="HESRRO"/>
    <x v="0"/>
    <s v="STF24M51046"/>
    <m/>
    <s v="100% COTTON FLEECE 390 GM/M2"/>
    <s v="KNIT"/>
    <s v="6110.20.2041"/>
    <n v="125"/>
    <n v="32.991100000000003"/>
    <n v="24.81"/>
    <n v="0.16500000000000001"/>
    <n v="4.0936500000000002"/>
    <n v="7.4999999999999997E-2"/>
    <n v="1.8607499999999999"/>
    <n v="7.0000000000000007E-2"/>
    <n v="1.7367000000000001"/>
    <n v="0.49"/>
    <n v="301"/>
    <n v="100"/>
    <n v="81"/>
    <m/>
    <m/>
    <m/>
    <n v="18"/>
    <n v="500"/>
    <n v="37625"/>
    <n v="24875"/>
    <n v="62500"/>
    <n v="9930.321100000001"/>
    <n v="6417.9691000000003"/>
    <n v="16348.290200000001"/>
    <n v="7467.8099999999995"/>
    <n v="4937.1899999999996"/>
    <n v="12405"/>
  </r>
  <r>
    <s v="FALL 2024"/>
    <x v="0"/>
    <x v="7"/>
    <s v="HESRRO"/>
    <x v="0"/>
    <s v="STF24M51047"/>
    <m/>
    <s v="100% COTTON FLEECE 390 GM/M2"/>
    <s v="KNIT"/>
    <s v="6103.42.1020"/>
    <n v="110"/>
    <n v="24.07"/>
    <n v="18"/>
    <n v="0.16500000000000001"/>
    <n v="2.97"/>
    <n v="7.4999999999999997E-2"/>
    <n v="1.3499999999999999"/>
    <n v="7.0000000000000007E-2"/>
    <n v="1.2600000000000002"/>
    <n v="0.49"/>
    <n v="302"/>
    <n v="99"/>
    <n v="93"/>
    <m/>
    <m/>
    <m/>
    <n v="6"/>
    <n v="500"/>
    <n v="33220"/>
    <n v="21780"/>
    <n v="55000"/>
    <n v="7269.14"/>
    <n v="4729.4400000000005"/>
    <n v="11998.580000000002"/>
    <n v="5436"/>
    <n v="3564"/>
    <n v="9000"/>
  </r>
  <r>
    <s v="FALL 2024"/>
    <x v="0"/>
    <x v="6"/>
    <s v="HESRRO"/>
    <x v="0"/>
    <s v="STF24M51046"/>
    <m/>
    <s v="100% COTTON FLEECE 390 GM/M2"/>
    <s v="KNIT"/>
    <s v="6110.20.2041"/>
    <n v="125"/>
    <n v="32.991100000000003"/>
    <n v="24.81"/>
    <n v="0.16500000000000001"/>
    <n v="4.0936500000000002"/>
    <n v="7.4999999999999997E-2"/>
    <n v="1.8607499999999999"/>
    <n v="7.0000000000000007E-2"/>
    <n v="1.7367000000000001"/>
    <n v="0.49"/>
    <n v="301"/>
    <n v="72"/>
    <n v="121"/>
    <m/>
    <m/>
    <m/>
    <n v="6"/>
    <n v="500"/>
    <n v="37625"/>
    <n v="24875"/>
    <n v="62500"/>
    <n v="9930.321100000001"/>
    <n v="6516.1423000000004"/>
    <n v="16446.463400000001"/>
    <n v="7467.8099999999995"/>
    <n v="4937.1899999999996"/>
    <n v="12405"/>
  </r>
  <r>
    <s v="FALL 2024"/>
    <x v="0"/>
    <x v="7"/>
    <s v="HESRRO"/>
    <x v="0"/>
    <s v="STF24M51047"/>
    <m/>
    <s v="100% COTTON FLEECE 390 GM/M2"/>
    <s v="KNIT"/>
    <s v="6103.42.1020"/>
    <n v="110"/>
    <n v="24.07"/>
    <n v="18"/>
    <n v="0.16500000000000001"/>
    <n v="2.97"/>
    <n v="7.4999999999999997E-2"/>
    <n v="1.3499999999999999"/>
    <n v="7.0000000000000007E-2"/>
    <n v="1.2600000000000002"/>
    <n v="0.49"/>
    <n v="302"/>
    <n v="72"/>
    <n v="120"/>
    <m/>
    <m/>
    <m/>
    <n v="6"/>
    <n v="500"/>
    <n v="33220"/>
    <n v="21780"/>
    <n v="55000"/>
    <n v="7269.14"/>
    <n v="4729.4400000000005"/>
    <n v="11998.580000000002"/>
    <n v="5436"/>
    <n v="3564"/>
    <n v="9000"/>
  </r>
  <r>
    <s v="FALL 2024"/>
    <x v="0"/>
    <x v="4"/>
    <s v="HESRRO"/>
    <x v="0"/>
    <s v="STF24M50893"/>
    <m/>
    <s v="60% POLYESTER/40% COTTON DOUBLE KNIT 280 GM/M2"/>
    <s v="KNIT"/>
    <s v="6112.12.0010"/>
    <n v="140"/>
    <n v="23.892799999999998"/>
    <n v="16.399999999999999"/>
    <n v="0.28199999999999997"/>
    <n v="4.6247999999999996"/>
    <n v="7.4999999999999997E-2"/>
    <n v="1.2299999999999998"/>
    <n v="7.0000000000000007E-2"/>
    <n v="1.1479999999999999"/>
    <n v="0.49"/>
    <n v="501"/>
    <m/>
    <m/>
    <m/>
    <m/>
    <m/>
    <m/>
    <n v="501"/>
    <n v="70140"/>
    <n v="0"/>
    <n v="70140"/>
    <n v="11970.292799999999"/>
    <n v="0"/>
    <n v="11970.292799999999"/>
    <n v="8216.4"/>
    <n v="0"/>
    <n v="8216.4"/>
  </r>
  <r>
    <s v="FALL 2024"/>
    <x v="0"/>
    <x v="5"/>
    <s v="HESRRO"/>
    <x v="0"/>
    <s v="STF24M50894"/>
    <m/>
    <s v="60% POLYESTER/40% COTTON DOUBLE KNIT 280 GM/M2"/>
    <s v="KNIT"/>
    <s v="6112.12.0050"/>
    <n v="125"/>
    <n v="21.081609999999998"/>
    <n v="14.43"/>
    <n v="0.28199999999999997"/>
    <n v="4.0692599999999999"/>
    <n v="7.4999999999999997E-2"/>
    <n v="1.0822499999999999"/>
    <n v="7.0000000000000007E-2"/>
    <n v="1.0101"/>
    <n v="0.49"/>
    <n v="501"/>
    <m/>
    <m/>
    <m/>
    <m/>
    <m/>
    <m/>
    <n v="501"/>
    <n v="62625"/>
    <n v="0"/>
    <n v="62625"/>
    <n v="10561.88661"/>
    <n v="0"/>
    <n v="10561.88661"/>
    <n v="7229.43"/>
    <n v="0"/>
    <n v="7229.43"/>
  </r>
  <r>
    <s v="FALL 2024"/>
    <x v="0"/>
    <x v="4"/>
    <s v="HESRRO"/>
    <x v="0"/>
    <s v="STF24M50988"/>
    <m/>
    <s v="100% RECYCLED NYLON 66 GM/2"/>
    <s v="WOVEN"/>
    <s v="6201.40.7511"/>
    <n v="195"/>
    <n v="31.674459999999996"/>
    <n v="21.93"/>
    <n v="0.27700000000000002"/>
    <n v="6.0746100000000007"/>
    <n v="7.4999999999999997E-2"/>
    <n v="1.6447499999999999"/>
    <n v="7.0000000000000007E-2"/>
    <n v="1.5351000000000001"/>
    <n v="0.49"/>
    <n v="400"/>
    <n v="77"/>
    <n v="14"/>
    <m/>
    <m/>
    <m/>
    <n v="6"/>
    <n v="497"/>
    <n v="78000"/>
    <n v="18915"/>
    <n v="96915"/>
    <n v="12669.783999999998"/>
    <n v="3013.9558599999996"/>
    <n v="15683.739859999998"/>
    <n v="8772"/>
    <n v="2127.21"/>
    <n v="10899.21"/>
  </r>
  <r>
    <s v="FALL 2024"/>
    <x v="0"/>
    <x v="5"/>
    <s v="HESRRO"/>
    <x v="0"/>
    <s v="STF24M50989"/>
    <m/>
    <s v="100% RECYCLED NYLON 66 GM/2"/>
    <s v="WOVEN"/>
    <s v="6203.43.9010"/>
    <n v="150"/>
    <n v="27.930479999999999"/>
    <n v="19.27"/>
    <n v="0.27900000000000003"/>
    <n v="5.3763300000000003"/>
    <n v="7.4999999999999997E-2"/>
    <n v="1.4452499999999999"/>
    <n v="7.0000000000000007E-2"/>
    <n v="1.3489"/>
    <n v="0.49"/>
    <n v="300"/>
    <n v="60"/>
    <n v="131"/>
    <m/>
    <m/>
    <m/>
    <n v="6"/>
    <n v="497"/>
    <n v="45000"/>
    <n v="29550"/>
    <n v="74550"/>
    <n v="8379.1440000000002"/>
    <n v="5450.3416799999995"/>
    <n v="13829.48568"/>
    <n v="5781"/>
    <n v="3796.19"/>
    <n v="9577.19"/>
  </r>
  <r>
    <s v="FALL 2024"/>
    <x v="0"/>
    <x v="9"/>
    <s v="HESRRO"/>
    <x v="0"/>
    <s v="STF24M50922"/>
    <m/>
    <s v="100% SHINY NYLON 100 GM/M2 "/>
    <s v="WOVEN"/>
    <s v="6201.40.7511"/>
    <n v="250"/>
    <n v="44.003200000000007"/>
    <n v="30.6"/>
    <n v="0.27700000000000002"/>
    <n v="8.4762000000000004"/>
    <n v="7.4999999999999997E-2"/>
    <n v="2.2949999999999999"/>
    <n v="7.0000000000000007E-2"/>
    <n v="2.1420000000000003"/>
    <n v="0.49"/>
    <n v="200"/>
    <m/>
    <m/>
    <m/>
    <m/>
    <m/>
    <m/>
    <n v="200"/>
    <n v="50000"/>
    <n v="0"/>
    <n v="50000"/>
    <n v="8800.6400000000012"/>
    <n v="0"/>
    <n v="8800.6400000000012"/>
    <n v="6120"/>
    <n v="0"/>
    <n v="6120"/>
  </r>
  <r>
    <s v="FALL 2024"/>
    <x v="0"/>
    <x v="3"/>
    <s v="SARA"/>
    <x v="1"/>
    <s v="STF24M50927"/>
    <m/>
    <s v="100% COTTON JERSEY 180 GM/M2"/>
    <s v="KNIT"/>
    <s v="6109.10.0012"/>
    <n v="54"/>
    <n v="7.3442499999999997"/>
    <n v="5.55"/>
    <n v="0.16500000000000001"/>
    <n v="0.91575000000000006"/>
    <m/>
    <m/>
    <n v="7.0000000000000007E-2"/>
    <n v="0.38850000000000001"/>
    <n v="0.49"/>
    <n v="301"/>
    <n v="135"/>
    <m/>
    <m/>
    <m/>
    <m/>
    <m/>
    <n v="436"/>
    <n v="16254"/>
    <n v="7290"/>
    <n v="23544"/>
    <n v="2210.6192499999997"/>
    <n v="991.47375"/>
    <n v="3202.0929999999998"/>
    <n v="1670.55"/>
    <n v="749.25"/>
    <n v="2419.8000000000002"/>
  </r>
  <r>
    <s v="FALL 2024"/>
    <x v="0"/>
    <x v="3"/>
    <s v="SARA"/>
    <x v="1"/>
    <s v="STF24M50927"/>
    <m/>
    <s v="100% COTTON JERSEY 180 GM/M2"/>
    <s v="KNIT"/>
    <s v="6109.10.0012"/>
    <n v="54"/>
    <n v="7.3442499999999997"/>
    <n v="5.55"/>
    <n v="0.16500000000000001"/>
    <n v="0.91575000000000006"/>
    <m/>
    <m/>
    <n v="7.0000000000000007E-2"/>
    <n v="0.38850000000000001"/>
    <n v="0.49"/>
    <n v="301"/>
    <n v="109"/>
    <m/>
    <m/>
    <m/>
    <m/>
    <m/>
    <n v="410"/>
    <n v="16254"/>
    <n v="5886"/>
    <n v="22140"/>
    <n v="2210.6192499999997"/>
    <n v="800.52324999999996"/>
    <n v="3011.1424999999999"/>
    <n v="1670.55"/>
    <n v="604.94999999999993"/>
    <n v="2275.5"/>
  </r>
  <r>
    <s v="FALL 2024"/>
    <x v="0"/>
    <x v="3"/>
    <s v="SARA"/>
    <x v="1"/>
    <s v="STF24M50981"/>
    <m/>
    <s v="100% COTTON JERSEY 180 GM/M2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1"/>
    <n v="154"/>
    <m/>
    <m/>
    <m/>
    <m/>
    <m/>
    <n v="455"/>
    <n v="14448"/>
    <n v="7392"/>
    <n v="21840"/>
    <n v="2192.0324999999998"/>
    <n v="1121.5049999999999"/>
    <n v="3313.5374999999995"/>
    <n v="1655.5"/>
    <n v="847"/>
    <n v="2502.5"/>
  </r>
  <r>
    <s v="FALL 2024"/>
    <x v="0"/>
    <x v="3"/>
    <s v="SARA"/>
    <x v="1"/>
    <s v="STF24M50981"/>
    <m/>
    <s v="100% COTTON JERSEY 180 GM/M2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1"/>
    <n v="76"/>
    <m/>
    <m/>
    <m/>
    <m/>
    <m/>
    <n v="377"/>
    <n v="14448"/>
    <n v="3648"/>
    <n v="18096"/>
    <n v="2192.0324999999998"/>
    <n v="553.47"/>
    <n v="2745.5024999999996"/>
    <n v="1655.5"/>
    <n v="418"/>
    <n v="2073.5"/>
  </r>
  <r>
    <s v="FALL 2024"/>
    <x v="0"/>
    <x v="7"/>
    <s v="SARA"/>
    <x v="1"/>
    <s v="STF24M50982"/>
    <m/>
    <s v="100% COTTON FRENCH TERRY 360 GM/M2"/>
    <s v="KNIT"/>
    <s v="6103.42.1020"/>
    <n v="98"/>
    <n v="17.779999999999998"/>
    <n v="14"/>
    <n v="0.16500000000000001"/>
    <n v="2.31"/>
    <m/>
    <m/>
    <n v="7.0000000000000007E-2"/>
    <n v="0.98000000000000009"/>
    <n v="0.49"/>
    <n v="302"/>
    <n v="23"/>
    <m/>
    <m/>
    <m/>
    <m/>
    <n v="12"/>
    <n v="337"/>
    <n v="29596"/>
    <n v="3430"/>
    <n v="33026"/>
    <n v="5369.5599999999995"/>
    <n v="576.93999999999994"/>
    <n v="5946.4999999999991"/>
    <n v="4228"/>
    <n v="490"/>
    <n v="4718"/>
  </r>
  <r>
    <s v="FALL 2024"/>
    <x v="0"/>
    <x v="7"/>
    <s v="SARA"/>
    <x v="1"/>
    <s v="STF24M50982"/>
    <m/>
    <s v="100% COTTON FRENCH TERRY 360 GM/M2"/>
    <s v="KNIT"/>
    <s v="6103.42.1020"/>
    <n v="98"/>
    <n v="17.779999999999998"/>
    <n v="14"/>
    <n v="0.16500000000000001"/>
    <n v="2.31"/>
    <m/>
    <m/>
    <n v="7.0000000000000007E-2"/>
    <n v="0.98000000000000009"/>
    <n v="0.49"/>
    <n v="302"/>
    <n v="6"/>
    <m/>
    <m/>
    <m/>
    <m/>
    <n v="12"/>
    <n v="320"/>
    <n v="29596"/>
    <n v="1764"/>
    <n v="31360"/>
    <n v="5369.5599999999995"/>
    <n v="274.67999999999995"/>
    <n v="5644.24"/>
    <n v="4228"/>
    <n v="252"/>
    <n v="4480"/>
  </r>
  <r>
    <s v="FALL 2024"/>
    <x v="0"/>
    <x v="6"/>
    <s v="SARA"/>
    <x v="1"/>
    <s v="STF24M50962"/>
    <m/>
    <s v="100% COTTON FRENCH TERRY 360 GM/M2"/>
    <s v="KNIT"/>
    <s v="6110.20.2041"/>
    <n v="135"/>
    <n v="21.484999999999999"/>
    <n v="17"/>
    <n v="0.16500000000000001"/>
    <n v="2.8050000000000002"/>
    <m/>
    <m/>
    <n v="7.0000000000000007E-2"/>
    <n v="1.1900000000000002"/>
    <n v="0.49"/>
    <n v="301"/>
    <n v="15"/>
    <m/>
    <m/>
    <m/>
    <m/>
    <n v="26"/>
    <n v="342"/>
    <n v="40635"/>
    <n v="5535"/>
    <n v="46170"/>
    <n v="6466.9849999999997"/>
    <n v="764.27499999999998"/>
    <n v="7231.2599999999993"/>
    <n v="5117"/>
    <n v="697"/>
    <n v="5814"/>
  </r>
  <r>
    <s v="FALL 2024"/>
    <x v="0"/>
    <x v="6"/>
    <s v="SARA"/>
    <x v="1"/>
    <s v="STF24M50962"/>
    <m/>
    <s v="100% COTTON FRENCH TERRY 360 GM/M2"/>
    <s v="KNIT"/>
    <s v="6110.20.2041"/>
    <n v="135"/>
    <n v="21.484999999999999"/>
    <n v="17"/>
    <n v="0.16500000000000001"/>
    <n v="2.8050000000000002"/>
    <m/>
    <m/>
    <n v="7.0000000000000007E-2"/>
    <n v="1.1900000000000002"/>
    <n v="0.49"/>
    <n v="301"/>
    <n v="15"/>
    <m/>
    <m/>
    <m/>
    <m/>
    <n v="26"/>
    <n v="342"/>
    <n v="40635"/>
    <n v="5535"/>
    <n v="46170"/>
    <n v="6466.9849999999997"/>
    <n v="764.27499999999998"/>
    <n v="7231.2599999999993"/>
    <n v="5117"/>
    <n v="697"/>
    <n v="5814"/>
  </r>
  <r>
    <s v="FALL 2024"/>
    <x v="0"/>
    <x v="3"/>
    <s v="SARA"/>
    <x v="1"/>
    <s v="STF24M50972"/>
    <m/>
    <s v="100% COTTON JERSEY 250 GM/M2"/>
    <s v="KNIT"/>
    <s v="6109.10.0012"/>
    <n v="64"/>
    <n v="11.296250000000001"/>
    <n v="8.75"/>
    <n v="0.16500000000000001"/>
    <n v="1.4437500000000001"/>
    <m/>
    <m/>
    <n v="7.0000000000000007E-2"/>
    <n v="0.61250000000000004"/>
    <n v="0.49"/>
    <n v="250"/>
    <n v="59"/>
    <m/>
    <m/>
    <m/>
    <m/>
    <m/>
    <n v="309"/>
    <n v="16000"/>
    <n v="3776"/>
    <n v="19776"/>
    <n v="2824.0625"/>
    <n v="666.47874999999999"/>
    <n v="3490.5412500000002"/>
    <n v="2187.5"/>
    <n v="516.25"/>
    <n v="2703.75"/>
  </r>
  <r>
    <s v="FALL 2024"/>
    <x v="0"/>
    <x v="3"/>
    <s v="SARA"/>
    <x v="1"/>
    <s v="STF24M50972"/>
    <m/>
    <s v="100% COTTON JERSEY 250 GM/M2"/>
    <s v="KNIT"/>
    <s v="6109.10.0012"/>
    <n v="64"/>
    <n v="11.296250000000001"/>
    <n v="8.75"/>
    <n v="0.16500000000000001"/>
    <n v="1.4437500000000001"/>
    <m/>
    <m/>
    <n v="7.0000000000000007E-2"/>
    <n v="0.61250000000000004"/>
    <n v="0.49"/>
    <n v="250"/>
    <n v="61"/>
    <m/>
    <m/>
    <m/>
    <m/>
    <m/>
    <n v="311"/>
    <n v="16000"/>
    <n v="3904"/>
    <n v="19904"/>
    <n v="2824.0625"/>
    <n v="689.07125000000008"/>
    <n v="3513.13375"/>
    <n v="2187.5"/>
    <n v="533.75"/>
    <n v="2721.25"/>
  </r>
  <r>
    <s v="FALL 2024"/>
    <x v="0"/>
    <x v="3"/>
    <s v="SARA"/>
    <x v="1"/>
    <s v="STF24M50934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01"/>
    <n v="198"/>
    <m/>
    <m/>
    <m/>
    <m/>
    <m/>
    <n v="499"/>
    <n v="14448"/>
    <n v="9504"/>
    <n v="23952"/>
    <n v="2173.4457500000003"/>
    <n v="1429.7085000000002"/>
    <n v="3603.1542500000005"/>
    <n v="1640.45"/>
    <n v="1079.1000000000001"/>
    <n v="2719.55"/>
  </r>
  <r>
    <s v="FALL 2024"/>
    <x v="0"/>
    <x v="3"/>
    <s v="SARA"/>
    <x v="1"/>
    <s v="STF24M50934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400"/>
    <n v="85"/>
    <m/>
    <m/>
    <m/>
    <m/>
    <m/>
    <n v="485"/>
    <n v="19200"/>
    <n v="4080"/>
    <n v="23280"/>
    <n v="2888.3"/>
    <n v="613.76375000000007"/>
    <n v="3502.0637500000003"/>
    <n v="2180"/>
    <n v="463.25"/>
    <n v="2643.25"/>
  </r>
  <r>
    <s v="FALL 2024"/>
    <x v="0"/>
    <x v="3"/>
    <s v="SARA"/>
    <x v="1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01"/>
    <n v="66"/>
    <m/>
    <m/>
    <m/>
    <m/>
    <m/>
    <n v="367"/>
    <n v="16254"/>
    <n v="3564"/>
    <n v="19818"/>
    <n v="2247.7927500000001"/>
    <n v="492.87150000000003"/>
    <n v="2740.6642500000003"/>
    <n v="1700.65"/>
    <n v="372.90000000000003"/>
    <n v="2073.5500000000002"/>
  </r>
  <r>
    <s v="FALL 2024"/>
    <x v="0"/>
    <x v="3"/>
    <s v="SARA"/>
    <x v="1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51"/>
    <n v="22"/>
    <m/>
    <m/>
    <m/>
    <m/>
    <m/>
    <n v="373"/>
    <n v="18954"/>
    <n v="1188"/>
    <n v="20142"/>
    <n v="2621.1802500000003"/>
    <n v="164.29050000000001"/>
    <n v="2785.4707500000004"/>
    <n v="1983.15"/>
    <n v="124.30000000000001"/>
    <n v="2107.4500000000003"/>
  </r>
  <r>
    <s v="FALL 2024"/>
    <x v="0"/>
    <x v="3"/>
    <s v="SARA"/>
    <x v="1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01"/>
    <n v="71"/>
    <m/>
    <m/>
    <m/>
    <m/>
    <m/>
    <n v="372"/>
    <n v="16254"/>
    <n v="3834"/>
    <n v="20088"/>
    <n v="2247.7927500000001"/>
    <n v="530.21025000000009"/>
    <n v="2778.0030000000002"/>
    <n v="1700.65"/>
    <n v="401.15000000000003"/>
    <n v="2101.8000000000002"/>
  </r>
  <r>
    <s v="FALL 2024"/>
    <x v="0"/>
    <x v="3"/>
    <s v="SARA"/>
    <x v="1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97"/>
    <m/>
    <m/>
    <m/>
    <m/>
    <m/>
    <n v="448"/>
    <n v="16848"/>
    <n v="4656"/>
    <n v="21504"/>
    <n v="2534.4832500000002"/>
    <n v="700.41275000000007"/>
    <n v="3234.8960000000002"/>
    <n v="1912.95"/>
    <n v="528.65"/>
    <n v="2441.6"/>
  </r>
  <r>
    <s v="FALL 2024"/>
    <x v="0"/>
    <x v="3"/>
    <s v="SARA"/>
    <x v="1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2"/>
    <m/>
    <m/>
    <m/>
    <m/>
    <m/>
    <n v="423"/>
    <n v="16848"/>
    <n v="3456"/>
    <n v="20304"/>
    <n v="2534.4832500000002"/>
    <n v="519.89400000000001"/>
    <n v="3054.3772500000005"/>
    <n v="1912.95"/>
    <n v="392.40000000000003"/>
    <n v="2305.35"/>
  </r>
  <r>
    <s v="FALL 2024"/>
    <x v="0"/>
    <x v="3"/>
    <s v="SARA"/>
    <x v="1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5"/>
    <m/>
    <m/>
    <m/>
    <m/>
    <m/>
    <n v="426"/>
    <n v="16848"/>
    <n v="3600"/>
    <n v="20448"/>
    <n v="2534.4832500000002"/>
    <n v="541.55625000000009"/>
    <n v="3076.0395000000003"/>
    <n v="1912.95"/>
    <n v="408.75"/>
    <n v="2321.6999999999998"/>
  </r>
  <r>
    <s v="FALL 2024"/>
    <x v="0"/>
    <x v="3"/>
    <s v="SARA"/>
    <x v="1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4"/>
    <m/>
    <m/>
    <m/>
    <m/>
    <m/>
    <n v="425"/>
    <n v="16848"/>
    <n v="3552"/>
    <n v="20400"/>
    <n v="2534.4832500000002"/>
    <n v="534.33550000000002"/>
    <n v="3068.8187500000004"/>
    <n v="1912.95"/>
    <n v="403.3"/>
    <n v="2316.25"/>
  </r>
  <r>
    <s v="FALL 2024"/>
    <x v="0"/>
    <x v="0"/>
    <s v="SARA"/>
    <x v="1"/>
    <s v="STF24M50911"/>
    <m/>
    <s v="100% COTTON PIQUE 200 GM/M2"/>
    <s v="KNIT"/>
    <s v="6112.12.0010"/>
    <n v="78"/>
    <n v="13.09665"/>
    <n v="9.9499999999999993"/>
    <n v="0.19700000000000001"/>
    <n v="1.9601499999999998"/>
    <m/>
    <m/>
    <n v="7.0000000000000007E-2"/>
    <n v="0.69650000000000001"/>
    <n v="0.49"/>
    <n v="301"/>
    <m/>
    <m/>
    <m/>
    <m/>
    <m/>
    <m/>
    <n v="301"/>
    <n v="23478"/>
    <n v="0"/>
    <n v="23478"/>
    <n v="3942.0916500000003"/>
    <n v="0"/>
    <n v="3942.0916500000003"/>
    <n v="2994.95"/>
    <n v="0"/>
    <n v="2994.95"/>
  </r>
  <r>
    <s v="FALL 2024"/>
    <x v="0"/>
    <x v="0"/>
    <s v="SARA"/>
    <x v="1"/>
    <s v="STF24M50911"/>
    <m/>
    <s v="100% COTTON PIQUE 200 GM/M2"/>
    <s v="KNIT"/>
    <s v="6112.12.0010"/>
    <n v="78"/>
    <n v="13.09665"/>
    <n v="9.9499999999999993"/>
    <n v="0.19700000000000001"/>
    <n v="1.9601499999999998"/>
    <m/>
    <m/>
    <n v="7.0000000000000007E-2"/>
    <n v="0.69650000000000001"/>
    <n v="0.49"/>
    <n v="301"/>
    <m/>
    <m/>
    <m/>
    <m/>
    <m/>
    <m/>
    <n v="301"/>
    <n v="23478"/>
    <n v="0"/>
    <n v="23478"/>
    <n v="3942.0916500000003"/>
    <n v="0"/>
    <n v="3942.0916500000003"/>
    <n v="2994.95"/>
    <n v="0"/>
    <n v="2994.95"/>
  </r>
  <r>
    <s v="FALL 2024"/>
    <x v="0"/>
    <x v="3"/>
    <s v="SARA"/>
    <x v="1"/>
    <s v="STF24M50973"/>
    <m/>
    <s v="100% COTTON JERSEY 180 GM/M2"/>
    <s v="KNIT"/>
    <s v="6109.10.0012"/>
    <n v="64"/>
    <n v="8.8262499999999999"/>
    <n v="6.75"/>
    <n v="0.16500000000000001"/>
    <n v="1.11375"/>
    <m/>
    <m/>
    <n v="7.0000000000000007E-2"/>
    <n v="0.47250000000000003"/>
    <n v="0.49"/>
    <n v="400"/>
    <m/>
    <m/>
    <m/>
    <m/>
    <m/>
    <m/>
    <n v="400"/>
    <n v="25600"/>
    <n v="0"/>
    <n v="25600"/>
    <n v="3530.5"/>
    <n v="0"/>
    <n v="3530.5"/>
    <n v="2700"/>
    <n v="0"/>
    <n v="2700"/>
  </r>
  <r>
    <s v="FALL 2024"/>
    <x v="0"/>
    <x v="3"/>
    <s v="SARA"/>
    <x v="1"/>
    <s v="STF24M50973"/>
    <m/>
    <s v="100% COTTON JERSEY 180 GM/M2"/>
    <s v="KNIT"/>
    <s v="6109.10.0012"/>
    <n v="64"/>
    <n v="8.8262499999999999"/>
    <n v="6.75"/>
    <n v="0.16500000000000001"/>
    <n v="1.11375"/>
    <m/>
    <m/>
    <n v="7.0000000000000007E-2"/>
    <n v="0.47250000000000003"/>
    <n v="0.49"/>
    <n v="400"/>
    <m/>
    <m/>
    <m/>
    <m/>
    <m/>
    <m/>
    <n v="400"/>
    <n v="25600"/>
    <n v="0"/>
    <n v="25600"/>
    <n v="3530.5"/>
    <n v="0"/>
    <n v="3530.5"/>
    <n v="2700"/>
    <n v="0"/>
    <n v="2700"/>
  </r>
  <r>
    <s v="FALL 2024"/>
    <x v="0"/>
    <x v="4"/>
    <s v="PORTA WOVENS"/>
    <x v="0"/>
    <s v="STF24M50953"/>
    <m/>
    <s v="55% TENCEL/43% POLYESTER/2% SPANDEX BLEND 150 GM/M2"/>
    <s v="WOVEN"/>
    <s v="6201.40.7511"/>
    <n v="245"/>
    <n v="47.387560000000001"/>
    <n v="32.979999999999997"/>
    <n v="0.27700000000000002"/>
    <n v="9.1354600000000001"/>
    <n v="7.4999999999999997E-2"/>
    <n v="2.4734999999999996"/>
    <n v="7.0000000000000007E-2"/>
    <n v="2.3086000000000002"/>
    <n v="0.49"/>
    <n v="350"/>
    <n v="50"/>
    <m/>
    <m/>
    <m/>
    <m/>
    <m/>
    <n v="400"/>
    <n v="85750"/>
    <n v="12250"/>
    <n v="98000"/>
    <n v="16585.646000000001"/>
    <n v="2369.3780000000002"/>
    <n v="18955.024000000001"/>
    <n v="11542.999999999998"/>
    <n v="1648.9999999999998"/>
    <n v="13191.999999999998"/>
  </r>
  <r>
    <s v="FALL 2024"/>
    <x v="0"/>
    <x v="5"/>
    <s v="PORTA WOVENS"/>
    <x v="0"/>
    <s v="STF24M50954"/>
    <m/>
    <s v="55% TENCEL/43% POLYESTER/2% SPANDEX BLEND 150 GM/M2"/>
    <s v="WOVEN"/>
    <s v="6203.43.9010"/>
    <n v="195"/>
    <n v="38.866800000000005"/>
    <n v="26.95"/>
    <n v="0.27900000000000003"/>
    <n v="7.5190500000000009"/>
    <n v="7.4999999999999997E-2"/>
    <n v="2.0212499999999998"/>
    <n v="7.0000000000000007E-2"/>
    <n v="1.8865000000000001"/>
    <n v="0.49"/>
    <n v="300"/>
    <n v="50"/>
    <m/>
    <m/>
    <m/>
    <m/>
    <m/>
    <n v="350"/>
    <n v="58500"/>
    <n v="9750"/>
    <n v="68250"/>
    <n v="11660.04"/>
    <n v="1943.3400000000001"/>
    <n v="13603.380000000001"/>
    <n v="8085"/>
    <n v="1347.5"/>
    <n v="9432.5"/>
  </r>
  <r>
    <s v="FALL 2024"/>
    <x v="0"/>
    <x v="10"/>
    <s v="PORTA WOVENS"/>
    <x v="0"/>
    <s v="STF24M50992"/>
    <m/>
    <s v="55% TENCEL/43% POLYESTER/2% SPANDEX BLEND 150 GM/M2"/>
    <s v="WOVEN"/>
    <s v="6205.30.2050"/>
    <n v="150"/>
    <n v="32.372500000000002"/>
    <n v="22.5"/>
    <n v="0.27200000000000002"/>
    <n v="6.12"/>
    <n v="7.4999999999999997E-2"/>
    <n v="1.6875"/>
    <n v="7.0000000000000007E-2"/>
    <n v="1.5750000000000002"/>
    <n v="0.49"/>
    <n v="352"/>
    <n v="82"/>
    <n v="66"/>
    <m/>
    <m/>
    <m/>
    <m/>
    <n v="500"/>
    <n v="52800"/>
    <n v="22200"/>
    <n v="75000"/>
    <n v="11395.12"/>
    <n v="4791.13"/>
    <n v="16186.25"/>
    <n v="7920"/>
    <n v="3330"/>
    <n v="11250"/>
  </r>
  <r>
    <s v="FALL 2024"/>
    <x v="0"/>
    <x v="2"/>
    <s v="PORTA WOVENS"/>
    <x v="0"/>
    <s v="STF24M50993"/>
    <m/>
    <s v="55% TENCEL/43% POLYESTER/2% SPANDEX BLEND 150 GM/M2"/>
    <s v="WOVEN"/>
    <s v="6203.43.9030"/>
    <n v="140"/>
    <n v="30.456999999999997"/>
    <n v="21"/>
    <n v="0.28199999999999997"/>
    <n v="5.9219999999999997"/>
    <n v="7.4999999999999997E-2"/>
    <n v="1.575"/>
    <n v="7.0000000000000007E-2"/>
    <n v="1.4700000000000002"/>
    <n v="0.49"/>
    <n v="349"/>
    <n v="80"/>
    <n v="71"/>
    <m/>
    <m/>
    <m/>
    <m/>
    <n v="500"/>
    <n v="48860"/>
    <n v="21140"/>
    <n v="70000"/>
    <n v="10629.492999999999"/>
    <n v="4599.0069999999996"/>
    <n v="15228.499999999998"/>
    <n v="7329"/>
    <n v="3171"/>
    <n v="10500"/>
  </r>
  <r>
    <s v="FALL 2024"/>
    <x v="0"/>
    <x v="4"/>
    <s v="PORTA WOVENS"/>
    <x v="0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501"/>
    <n v="118"/>
    <m/>
    <m/>
    <m/>
    <n v="10"/>
    <m/>
    <n v="629"/>
    <n v="97695"/>
    <n v="24960"/>
    <n v="122655"/>
    <n v="19979.579400000002"/>
    <n v="4982.7692000000006"/>
    <n v="24962.348600000005"/>
    <n v="13877.699999999999"/>
    <n v="3545.6"/>
    <n v="17423.3"/>
  </r>
  <r>
    <s v="FALL 2024"/>
    <x v="0"/>
    <x v="5"/>
    <s v="PORTA WOVENS"/>
    <x v="0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501"/>
    <n v="119"/>
    <m/>
    <m/>
    <m/>
    <n v="10"/>
    <m/>
    <n v="630"/>
    <n v="75150"/>
    <n v="19350"/>
    <n v="94500"/>
    <n v="15477.0924"/>
    <n v="3889.6956"/>
    <n v="19366.788"/>
    <n v="10696.35"/>
    <n v="2754.15"/>
    <n v="13450.5"/>
  </r>
  <r>
    <s v="FALL 2024"/>
    <x v="0"/>
    <x v="4"/>
    <s v="PORTA WOVENS"/>
    <x v="0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400"/>
    <n v="35"/>
    <m/>
    <m/>
    <m/>
    <n v="28"/>
    <m/>
    <n v="463"/>
    <n v="78000"/>
    <n v="12285"/>
    <n v="90285"/>
    <n v="15951.760000000002"/>
    <n v="2171.3790000000004"/>
    <n v="18123.139000000003"/>
    <n v="11080"/>
    <n v="1745.1"/>
    <n v="12825.1"/>
  </r>
  <r>
    <s v="FALL 2024"/>
    <x v="0"/>
    <x v="5"/>
    <s v="PORTA WOVENS"/>
    <x v="0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400"/>
    <n v="35"/>
    <m/>
    <m/>
    <m/>
    <n v="28"/>
    <m/>
    <n v="463"/>
    <n v="60000"/>
    <n v="9450"/>
    <n v="69450"/>
    <n v="12356.96"/>
    <n v="1679.0340000000001"/>
    <n v="14035.993999999999"/>
    <n v="8540"/>
    <n v="1345.0500000000002"/>
    <n v="9885.0499999999993"/>
  </r>
  <r>
    <s v="FALL 2024"/>
    <x v="0"/>
    <x v="4"/>
    <s v="PORTA WOVENS"/>
    <x v="0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250"/>
    <m/>
    <m/>
    <m/>
    <m/>
    <m/>
    <m/>
    <n v="250"/>
    <n v="48750"/>
    <n v="0"/>
    <n v="48750"/>
    <n v="9969.85"/>
    <n v="0"/>
    <n v="9969.85"/>
    <n v="6925"/>
    <n v="0"/>
    <n v="6925"/>
  </r>
  <r>
    <s v="FALL 2024"/>
    <x v="0"/>
    <x v="5"/>
    <s v="PORTA WOVENS"/>
    <x v="0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251"/>
    <m/>
    <m/>
    <m/>
    <m/>
    <m/>
    <m/>
    <n v="251"/>
    <n v="37650"/>
    <n v="0"/>
    <n v="37650"/>
    <n v="7753.9923999999992"/>
    <n v="0"/>
    <n v="7753.9923999999992"/>
    <n v="5358.85"/>
    <n v="0"/>
    <n v="5358.85"/>
  </r>
  <r>
    <s v="FALL 2024"/>
    <x v="0"/>
    <x v="5"/>
    <s v="PORTA WOVENS"/>
    <x v="0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501"/>
    <m/>
    <m/>
    <m/>
    <m/>
    <m/>
    <m/>
    <n v="501"/>
    <n v="75150"/>
    <n v="0"/>
    <n v="75150"/>
    <n v="15726.790800000001"/>
    <n v="0"/>
    <n v="15726.790800000001"/>
    <n v="10871.699999999999"/>
    <n v="0"/>
    <n v="10871.699999999999"/>
  </r>
  <r>
    <s v="FALL 2024"/>
    <x v="0"/>
    <x v="5"/>
    <s v="PORTA WOVENS"/>
    <x v="0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400"/>
    <m/>
    <m/>
    <m/>
    <m/>
    <m/>
    <m/>
    <n v="400"/>
    <n v="60000"/>
    <n v="0"/>
    <n v="60000"/>
    <n v="12556.320000000002"/>
    <n v="0"/>
    <n v="12556.320000000002"/>
    <n v="8680"/>
    <n v="0"/>
    <n v="8680"/>
  </r>
  <r>
    <s v="FALL 2024"/>
    <x v="0"/>
    <x v="5"/>
    <s v="PORTA WOVENS"/>
    <x v="0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400"/>
    <n v="5"/>
    <m/>
    <m/>
    <m/>
    <m/>
    <m/>
    <n v="405"/>
    <n v="60000"/>
    <n v="750"/>
    <n v="60750"/>
    <n v="12556.320000000002"/>
    <n v="156.95400000000001"/>
    <n v="12713.274000000001"/>
    <n v="8680"/>
    <n v="108.5"/>
    <n v="8788.5"/>
  </r>
  <r>
    <s v="FALL 2024"/>
    <x v="0"/>
    <x v="0"/>
    <s v="PORTA"/>
    <x v="0"/>
    <s v="STF24M50963"/>
    <m/>
    <s v="86% POLYESTER/11% RAYON/3% SPANDEX 295 GM/M2"/>
    <s v="KNIT"/>
    <s v="6105.20.2010"/>
    <n v="98"/>
    <n v="19.535"/>
    <n v="13"/>
    <n v="0.32"/>
    <n v="4.16"/>
    <n v="7.4999999999999997E-2"/>
    <n v="0.97499999999999998"/>
    <n v="7.0000000000000007E-2"/>
    <n v="0.91000000000000014"/>
    <n v="0.49"/>
    <n v="301"/>
    <n v="107"/>
    <m/>
    <m/>
    <m/>
    <m/>
    <m/>
    <n v="408"/>
    <n v="29498"/>
    <n v="10486"/>
    <n v="39984"/>
    <n v="5880.0349999999999"/>
    <n v="2090.2449999999999"/>
    <n v="7970.28"/>
    <n v="3913"/>
    <n v="1391"/>
    <n v="5304"/>
  </r>
  <r>
    <s v="FALL 2024"/>
    <x v="0"/>
    <x v="2"/>
    <s v="PORTA"/>
    <x v="0"/>
    <s v="STF24M51045"/>
    <m/>
    <s v="86% POLYESTER/11% RAYON/3% SPANDEX 295 GM/M2"/>
    <s v="KNIT"/>
    <s v="6103.43.1550"/>
    <n v="88"/>
    <n v="18.684250000000002"/>
    <n v="12.75"/>
    <n v="0.28199999999999997"/>
    <n v="3.5954999999999995"/>
    <n v="7.4999999999999997E-2"/>
    <n v="0.95624999999999993"/>
    <n v="7.0000000000000007E-2"/>
    <n v="0.89250000000000007"/>
    <n v="0.49"/>
    <n v="299"/>
    <n v="123"/>
    <m/>
    <m/>
    <m/>
    <m/>
    <m/>
    <n v="422"/>
    <n v="26312"/>
    <n v="10824"/>
    <n v="37136"/>
    <n v="5586.5907500000003"/>
    <n v="2298.1627500000004"/>
    <n v="7884.7535000000007"/>
    <n v="3812.25"/>
    <n v="1568.25"/>
    <n v="5380.5"/>
  </r>
  <r>
    <s v="FALL 2024"/>
    <x v="0"/>
    <x v="0"/>
    <s v="PORTA"/>
    <x v="0"/>
    <s v="STF24M50963"/>
    <m/>
    <s v="86% POLYESTER/11% RAYON/3% SPANDEX 295 GM/M2"/>
    <s v="KNIT"/>
    <s v="6105.20.2010"/>
    <n v="98"/>
    <n v="19.535"/>
    <n v="13"/>
    <n v="0.32"/>
    <n v="4.16"/>
    <n v="7.4999999999999997E-2"/>
    <n v="0.97499999999999998"/>
    <n v="7.0000000000000007E-2"/>
    <n v="0.91000000000000014"/>
    <n v="0.49"/>
    <n v="301"/>
    <n v="107"/>
    <m/>
    <m/>
    <m/>
    <m/>
    <m/>
    <n v="408"/>
    <n v="29498"/>
    <n v="10486"/>
    <n v="39984"/>
    <n v="5880.0349999999999"/>
    <n v="2090.2449999999999"/>
    <n v="7970.28"/>
    <n v="3913"/>
    <n v="1391"/>
    <n v="5304"/>
  </r>
  <r>
    <s v="FALL 2024"/>
    <x v="0"/>
    <x v="2"/>
    <s v="PORTA"/>
    <x v="0"/>
    <s v="STF24M51045"/>
    <m/>
    <s v="86% POLYESTER/11% RAYON/3% SPANDEX 295 GM/M2"/>
    <s v="KNIT"/>
    <s v="6103.43.1550"/>
    <n v="88"/>
    <n v="18.684250000000002"/>
    <n v="12.75"/>
    <n v="0.28199999999999997"/>
    <n v="3.5954999999999995"/>
    <n v="7.4999999999999997E-2"/>
    <n v="0.95624999999999993"/>
    <n v="7.0000000000000007E-2"/>
    <n v="0.89250000000000007"/>
    <n v="0.49"/>
    <n v="299"/>
    <n v="115"/>
    <m/>
    <m/>
    <m/>
    <m/>
    <m/>
    <n v="414"/>
    <n v="26312"/>
    <n v="10120"/>
    <n v="36432"/>
    <n v="5586.5907500000003"/>
    <n v="2148.6887500000003"/>
    <n v="7735.2795000000006"/>
    <n v="3812.25"/>
    <n v="1466.25"/>
    <n v="5278.5"/>
  </r>
  <r>
    <s v="FALL 2024"/>
    <x v="0"/>
    <x v="10"/>
    <s v="PORTA"/>
    <x v="0"/>
    <s v="STF24M50976"/>
    <m/>
    <s v="78% COTTON/22 % POLYESTER TERRY 300 GM/M2"/>
    <s v="KNIT"/>
    <s v="6205.20.2066"/>
    <n v="150"/>
    <n v="30.483699999999999"/>
    <n v="22.35"/>
    <n v="0.19700000000000001"/>
    <n v="4.4029500000000006"/>
    <n v="7.4999999999999997E-2"/>
    <n v="1.67625"/>
    <n v="7.0000000000000007E-2"/>
    <n v="1.5645000000000002"/>
    <n v="0.49"/>
    <n v="501"/>
    <n v="103"/>
    <m/>
    <m/>
    <m/>
    <m/>
    <m/>
    <n v="604"/>
    <n v="75150"/>
    <n v="15450"/>
    <n v="90600"/>
    <n v="15272.333699999999"/>
    <n v="3139.8211000000001"/>
    <n v="18412.1548"/>
    <n v="11197.35"/>
    <n v="2302.0500000000002"/>
    <n v="13499.400000000001"/>
  </r>
  <r>
    <s v="FALL 2024"/>
    <x v="0"/>
    <x v="2"/>
    <s v="PORTA"/>
    <x v="0"/>
    <s v="STF24M50977"/>
    <m/>
    <s v="78% COTTON/22 % POLYESTER TERRY 300 GM/M2"/>
    <s v="KNIT"/>
    <s v="6103.42.1050"/>
    <n v="135"/>
    <n v="21.320699999999995"/>
    <n v="15.95"/>
    <n v="0.161"/>
    <n v="2.5679499999999997"/>
    <n v="7.4999999999999997E-2"/>
    <n v="1.1962499999999998"/>
    <n v="7.0000000000000007E-2"/>
    <n v="1.1165"/>
    <n v="0.49"/>
    <n v="499"/>
    <n v="140"/>
    <m/>
    <m/>
    <m/>
    <m/>
    <m/>
    <n v="639"/>
    <n v="67365"/>
    <n v="18900"/>
    <n v="86265"/>
    <n v="10639.029299999998"/>
    <n v="2984.8979999999992"/>
    <n v="13623.927299999998"/>
    <n v="7959.0499999999993"/>
    <n v="2233"/>
    <n v="10192.049999999999"/>
  </r>
  <r>
    <s v="FALL 2024"/>
    <x v="0"/>
    <x v="10"/>
    <s v="PORTA"/>
    <x v="0"/>
    <s v="STF24M50976"/>
    <m/>
    <s v="78% COTTON/22 % POLYESTER TERRY 300 GM/M2"/>
    <s v="KNIT"/>
    <s v="6205.20.2066"/>
    <n v="150"/>
    <n v="30.483699999999999"/>
    <n v="22.35"/>
    <n v="0.19700000000000001"/>
    <n v="4.4029500000000006"/>
    <n v="7.4999999999999997E-2"/>
    <n v="1.67625"/>
    <n v="7.0000000000000007E-2"/>
    <n v="1.5645000000000002"/>
    <n v="0.49"/>
    <n v="352"/>
    <n v="95"/>
    <m/>
    <m/>
    <m/>
    <m/>
    <m/>
    <n v="447"/>
    <n v="52800"/>
    <n v="14250"/>
    <n v="67050"/>
    <n v="10730.2624"/>
    <n v="2895.9515000000001"/>
    <n v="13626.213899999999"/>
    <n v="7867.2000000000007"/>
    <n v="2123.25"/>
    <n v="9990.4500000000007"/>
  </r>
  <r>
    <s v="FALL 2024"/>
    <x v="0"/>
    <x v="2"/>
    <s v="PORTA"/>
    <x v="0"/>
    <s v="STF24M50977"/>
    <m/>
    <s v="78% COTTON/22 % POLYESTER TERRY 300 GM/M2"/>
    <s v="KNIT"/>
    <s v="6103.42.1050"/>
    <n v="135"/>
    <n v="21.320699999999995"/>
    <n v="15.95"/>
    <n v="0.161"/>
    <n v="2.5679499999999997"/>
    <n v="7.4999999999999997E-2"/>
    <n v="1.1962499999999998"/>
    <n v="7.0000000000000007E-2"/>
    <n v="1.1165"/>
    <n v="0.49"/>
    <n v="349"/>
    <n v="119"/>
    <m/>
    <m/>
    <m/>
    <m/>
    <m/>
    <n v="468"/>
    <n v="47115"/>
    <n v="16065"/>
    <n v="63180"/>
    <n v="7440.9242999999979"/>
    <n v="2537.1632999999993"/>
    <n v="9978.0875999999971"/>
    <n v="5566.55"/>
    <n v="1898.05"/>
    <n v="7464.6"/>
  </r>
  <r>
    <s v="FALL 2024"/>
    <x v="0"/>
    <x v="4"/>
    <s v="PORTA"/>
    <x v="0"/>
    <s v="STF24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1000"/>
    <n v="167"/>
    <m/>
    <m/>
    <m/>
    <m/>
    <n v="6"/>
    <n v="1173"/>
    <n v="160000"/>
    <n v="27680"/>
    <n v="187680"/>
    <n v="31170.499999999996"/>
    <n v="5334.4734999999991"/>
    <n v="36504.973499999993"/>
    <n v="21500"/>
    <n v="3719.5"/>
    <n v="25219.5"/>
  </r>
  <r>
    <s v="FALL 2024"/>
    <x v="0"/>
    <x v="5"/>
    <s v="PORTA"/>
    <x v="0"/>
    <s v="STF24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160"/>
    <m/>
    <m/>
    <m/>
    <m/>
    <n v="6"/>
    <n v="1166"/>
    <n v="125000"/>
    <n v="20750"/>
    <n v="145750"/>
    <n v="24035.5"/>
    <n v="3944.68"/>
    <n v="27980.18"/>
    <n v="16500"/>
    <n v="2739"/>
    <n v="19239"/>
  </r>
  <r>
    <s v="FALL 2024"/>
    <x v="0"/>
    <x v="4"/>
    <s v="PORTA"/>
    <x v="0"/>
    <s v="STF24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800"/>
    <n v="283"/>
    <m/>
    <m/>
    <m/>
    <m/>
    <n v="6"/>
    <n v="1089"/>
    <n v="128000"/>
    <n v="46240"/>
    <n v="174240"/>
    <n v="24936.399999999998"/>
    <n v="8950.2514999999985"/>
    <n v="33886.651499999993"/>
    <n v="17200"/>
    <n v="6213.5"/>
    <n v="23413.5"/>
  </r>
  <r>
    <s v="FALL 2024"/>
    <x v="0"/>
    <x v="5"/>
    <s v="PORTA"/>
    <x v="0"/>
    <s v="STF24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799"/>
    <n v="280"/>
    <m/>
    <m/>
    <m/>
    <m/>
    <n v="6"/>
    <n v="1085"/>
    <n v="99875"/>
    <n v="35750"/>
    <n v="135625"/>
    <n v="19204.3645"/>
    <n v="6828.94"/>
    <n v="26033.304499999998"/>
    <n v="13183.5"/>
    <n v="4719"/>
    <n v="17902.5"/>
  </r>
  <r>
    <s v="FALL 2024"/>
    <x v="0"/>
    <x v="4"/>
    <s v="PORTA"/>
    <x v="0"/>
    <s v="STF23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500"/>
    <m/>
    <m/>
    <m/>
    <m/>
    <m/>
    <m/>
    <n v="500"/>
    <n v="80000"/>
    <n v="0"/>
    <n v="80000"/>
    <n v="15585.249999999998"/>
    <n v="0"/>
    <n v="15585.249999999998"/>
    <n v="10750"/>
    <n v="0"/>
    <n v="10750"/>
  </r>
  <r>
    <s v="FALL 2024"/>
    <x v="0"/>
    <x v="5"/>
    <s v="PORTA"/>
    <x v="0"/>
    <s v="STF23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500"/>
    <m/>
    <m/>
    <m/>
    <m/>
    <m/>
    <m/>
    <n v="500"/>
    <n v="62500"/>
    <n v="0"/>
    <n v="62500"/>
    <n v="12017.75"/>
    <n v="0"/>
    <n v="12017.75"/>
    <n v="8250"/>
    <n v="0"/>
    <n v="8250"/>
  </r>
  <r>
    <s v="FALL 2024"/>
    <x v="0"/>
    <x v="11"/>
    <s v="PORTA"/>
    <x v="0"/>
    <s v="STF24M50908"/>
    <m/>
    <s v="62% E COVERO VISCOSE/38% POLYESTER 2/68NM, 14GG*2ENDS &quot;ATHENA YARN&quot;"/>
    <s v="SWEATER"/>
    <s v="6110.30.3010"/>
    <n v="250"/>
    <n v="63.484999999999999"/>
    <n v="43"/>
    <n v="0.32"/>
    <n v="13.76"/>
    <n v="7.4999999999999997E-2"/>
    <n v="3.2250000000000001"/>
    <n v="7.0000000000000007E-2"/>
    <n v="3.0100000000000002"/>
    <n v="0.49"/>
    <n v="251"/>
    <n v="32"/>
    <m/>
    <m/>
    <m/>
    <n v="19"/>
    <m/>
    <n v="302"/>
    <n v="62750"/>
    <n v="12750"/>
    <n v="75500"/>
    <n v="15934.735000000001"/>
    <n v="2848.52"/>
    <n v="18783.255000000001"/>
    <n v="10793"/>
    <n v="2193"/>
    <n v="12986"/>
  </r>
  <r>
    <s v="FALL 2024"/>
    <x v="0"/>
    <x v="11"/>
    <s v="PORTA"/>
    <x v="0"/>
    <s v="STF24M50909"/>
    <m/>
    <s v="62% E COVERO VISCOSE/38% POLYESTER 2/68NM, 14GG*2ENDS &quot;ATHENA YARN&quot;"/>
    <s v="SWEATER"/>
    <s v="6103.49.1020"/>
    <n v="225"/>
    <n v="63.277999999999999"/>
    <n v="44"/>
    <n v="0.28199999999999997"/>
    <n v="12.407999999999999"/>
    <n v="7.4999999999999997E-2"/>
    <n v="3.3"/>
    <n v="7.0000000000000007E-2"/>
    <n v="3.08"/>
    <n v="0.49"/>
    <n v="249"/>
    <n v="32"/>
    <m/>
    <m/>
    <m/>
    <n v="16"/>
    <m/>
    <n v="297"/>
    <n v="56025"/>
    <n v="10800"/>
    <n v="66825"/>
    <n v="15756.222"/>
    <n v="2728.8959999999997"/>
    <n v="18485.117999999999"/>
    <n v="10956"/>
    <n v="2112"/>
    <n v="13068"/>
  </r>
  <r>
    <s v="FALL 2024"/>
    <x v="0"/>
    <x v="11"/>
    <s v="PORTA"/>
    <x v="0"/>
    <s v="STF24M50910"/>
    <m/>
    <s v="62% E COVERO VISCOSE/38% POLYESTER 2/68NM, 14GG*2ENDS &quot;ATHENA YARN&quot;"/>
    <s v="SWEATER"/>
    <s v="6105.20.2010"/>
    <n v="165"/>
    <n v="47.370000000000005"/>
    <n v="32"/>
    <n v="0.32"/>
    <n v="10.24"/>
    <n v="7.4999999999999997E-2"/>
    <n v="2.4"/>
    <n v="7.0000000000000007E-2"/>
    <n v="2.2400000000000002"/>
    <n v="0.49"/>
    <n v="251"/>
    <m/>
    <m/>
    <m/>
    <m/>
    <n v="5"/>
    <m/>
    <n v="256"/>
    <n v="41415"/>
    <n v="825"/>
    <n v="42240"/>
    <n v="11889.87"/>
    <n v="160"/>
    <n v="12049.87"/>
    <n v="8032"/>
    <n v="160"/>
    <n v="8192"/>
  </r>
  <r>
    <s v="FALL 2024"/>
    <x v="0"/>
    <x v="11"/>
    <s v="PORTA"/>
    <x v="0"/>
    <s v="STF24M50908"/>
    <m/>
    <s v="62% E COVERO VISCOSE/38% POLYESTER 2/68NM, 14GG*2ENDS &quot;ATHENA YARN&quot;"/>
    <s v="SWEATER"/>
    <s v="6110.30.3010"/>
    <n v="250"/>
    <n v="63.484999999999999"/>
    <n v="43"/>
    <n v="0.32"/>
    <n v="13.76"/>
    <n v="7.4999999999999997E-2"/>
    <n v="3.2250000000000001"/>
    <n v="7.0000000000000007E-2"/>
    <n v="3.0100000000000002"/>
    <n v="0.49"/>
    <n v="300"/>
    <n v="198"/>
    <m/>
    <m/>
    <m/>
    <n v="36"/>
    <m/>
    <n v="534"/>
    <n v="75000"/>
    <n v="58500"/>
    <n v="133500"/>
    <n v="19045.5"/>
    <n v="14118.03"/>
    <n v="33163.53"/>
    <n v="12900"/>
    <n v="10062"/>
    <n v="22962"/>
  </r>
  <r>
    <s v="FALL 2024"/>
    <x v="0"/>
    <x v="11"/>
    <s v="PORTA"/>
    <x v="0"/>
    <s v="STF24M50909"/>
    <m/>
    <s v="62% E COVERO VISCOSE/38% POLYESTER 2/68NM, 14GG*2ENDS &quot;ATHENA YARN&quot;"/>
    <s v="SWEATER"/>
    <s v="6103.49.1020"/>
    <n v="225"/>
    <n v="63.277999999999999"/>
    <n v="44"/>
    <n v="0.28199999999999997"/>
    <n v="12.407999999999999"/>
    <n v="7.4999999999999997E-2"/>
    <n v="3.3"/>
    <n v="7.0000000000000007E-2"/>
    <n v="3.08"/>
    <n v="0.49"/>
    <n v="300"/>
    <n v="197"/>
    <m/>
    <m/>
    <m/>
    <n v="23"/>
    <m/>
    <n v="520"/>
    <n v="67500"/>
    <n v="49500"/>
    <n v="117000"/>
    <n v="18983.399999999998"/>
    <n v="13477.766"/>
    <n v="32461.165999999997"/>
    <n v="13200"/>
    <n v="9680"/>
    <n v="22880"/>
  </r>
  <r>
    <s v="FALL 2024"/>
    <x v="0"/>
    <x v="11"/>
    <s v="PORTA"/>
    <x v="0"/>
    <s v="STF24M50910"/>
    <m/>
    <s v="62% E COVERO VISCOSE/38% POLYESTER 2/68NM, 14GG*2ENDS &quot;ATHENA YARN&quot;"/>
    <s v="SWEATER"/>
    <s v="6105.20.2010"/>
    <n v="165"/>
    <n v="47.370000000000005"/>
    <n v="32"/>
    <n v="0.32"/>
    <n v="10.24"/>
    <n v="7.4999999999999997E-2"/>
    <n v="2.4"/>
    <n v="7.0000000000000007E-2"/>
    <n v="2.2400000000000002"/>
    <n v="0.49"/>
    <n v="251"/>
    <n v="9"/>
    <m/>
    <m/>
    <m/>
    <n v="5"/>
    <m/>
    <n v="265"/>
    <n v="41415"/>
    <n v="2310"/>
    <n v="43725"/>
    <n v="11889.87"/>
    <n v="586.33000000000004"/>
    <n v="12476.2"/>
    <n v="8032"/>
    <n v="448"/>
    <n v="8480"/>
  </r>
  <r>
    <s v="FALL 2024"/>
    <x v="0"/>
    <x v="0"/>
    <s v="PORTA"/>
    <x v="0"/>
    <s v="STF24M50914"/>
    <m/>
    <s v="63% POLYESTER/33% RAYON/4% SPANDEX INTERLOCK JERSEY 40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250"/>
    <n v="112"/>
    <m/>
    <m/>
    <m/>
    <n v="19"/>
    <m/>
    <n v="381"/>
    <n v="31250"/>
    <n v="16375"/>
    <n v="47625"/>
    <n v="5982.5"/>
    <n v="2984.16"/>
    <n v="8966.66"/>
    <n v="4000"/>
    <n v="2096"/>
    <n v="6096"/>
  </r>
  <r>
    <s v="FALL 2024"/>
    <x v="0"/>
    <x v="2"/>
    <s v="PORTA"/>
    <x v="0"/>
    <s v="STF24M50915"/>
    <m/>
    <s v="63% POLYESTER/33% RAYON/4% SPANDEX INTERLOCK JERSEY 400 GM/M2"/>
    <s v="KNIT"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250"/>
    <n v="112"/>
    <m/>
    <m/>
    <m/>
    <n v="19"/>
    <m/>
    <n v="381"/>
    <n v="25000"/>
    <n v="13100"/>
    <n v="38100"/>
    <n v="4938.6249999999991"/>
    <n v="2469.0039999999995"/>
    <n v="7407.628999999999"/>
    <n v="3375"/>
    <n v="1768.5"/>
    <n v="5143.5"/>
  </r>
  <r>
    <s v="FALL 2024"/>
    <x v="0"/>
    <x v="0"/>
    <s v="PORTA"/>
    <x v="0"/>
    <s v="STF24M50914"/>
    <m/>
    <s v="63% POLYESTER/33% RAYON/4% SPANDEX INTERLOCK JERSEY 40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250"/>
    <n v="111"/>
    <m/>
    <m/>
    <m/>
    <n v="12"/>
    <m/>
    <n v="373"/>
    <n v="31250"/>
    <n v="15375"/>
    <n v="46625"/>
    <n v="5982.5"/>
    <n v="2848.23"/>
    <n v="8830.73"/>
    <n v="4000"/>
    <n v="1968"/>
    <n v="5968"/>
  </r>
  <r>
    <s v="FALL 2024"/>
    <x v="0"/>
    <x v="2"/>
    <s v="PORTA"/>
    <x v="0"/>
    <s v="STF24M50915"/>
    <m/>
    <s v="63% POLYESTER/33% RAYON/4% SPANDEX INTERLOCK JERSEY 400 GM/M2"/>
    <s v="KNIT"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250"/>
    <n v="111"/>
    <m/>
    <m/>
    <m/>
    <n v="12"/>
    <m/>
    <n v="373"/>
    <n v="25000"/>
    <n v="12300"/>
    <n v="37300"/>
    <n v="4938.6249999999991"/>
    <n v="2354.7494999999994"/>
    <n v="7293.3744999999981"/>
    <n v="3375"/>
    <n v="1660.5"/>
    <n v="5035.5"/>
  </r>
  <r>
    <s v="FALL 2024"/>
    <x v="0"/>
    <x v="4"/>
    <s v="PORTA"/>
    <x v="0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501"/>
    <n v="145"/>
    <m/>
    <m/>
    <m/>
    <m/>
    <n v="6"/>
    <n v="652"/>
    <n v="75150"/>
    <n v="22650"/>
    <n v="97800"/>
    <n v="15509.181449999998"/>
    <n v="4616.7852499999999"/>
    <n v="20125.966699999997"/>
    <n v="10696.35"/>
    <n v="3223.8500000000004"/>
    <n v="13920.2"/>
  </r>
  <r>
    <s v="FALL 2024"/>
    <x v="0"/>
    <x v="5"/>
    <s v="PORTA"/>
    <x v="0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501"/>
    <n v="136"/>
    <m/>
    <m/>
    <m/>
    <m/>
    <n v="6"/>
    <n v="643"/>
    <n v="62625"/>
    <n v="17750"/>
    <n v="80375"/>
    <n v="11684.322"/>
    <n v="3267.7919999999999"/>
    <n v="14952.114"/>
    <n v="8016"/>
    <n v="2272"/>
    <n v="10288"/>
  </r>
  <r>
    <s v="FALL 2024"/>
    <x v="0"/>
    <x v="4"/>
    <s v="PORTA"/>
    <x v="0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800"/>
    <n v="261"/>
    <m/>
    <m/>
    <m/>
    <m/>
    <n v="6"/>
    <n v="1067"/>
    <n v="120000"/>
    <n v="40050"/>
    <n v="160050"/>
    <n v="24765.159999999996"/>
    <n v="8207.7334499999997"/>
    <n v="32972.893449999996"/>
    <n v="17080"/>
    <n v="5700.4500000000007"/>
    <n v="22780.45"/>
  </r>
  <r>
    <s v="FALL 2024"/>
    <x v="0"/>
    <x v="5"/>
    <s v="PORTA"/>
    <x v="0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799"/>
    <n v="249"/>
    <m/>
    <m/>
    <m/>
    <m/>
    <n v="6"/>
    <n v="1054"/>
    <n v="99875"/>
    <n v="31875"/>
    <n v="131750"/>
    <n v="18634.277999999998"/>
    <n v="5903.1779999999999"/>
    <n v="24537.455999999998"/>
    <n v="12784"/>
    <n v="4080"/>
    <n v="16864"/>
  </r>
  <r>
    <s v="FALL 2024"/>
    <x v="0"/>
    <x v="4"/>
    <s v="PORTA"/>
    <x v="0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1000"/>
    <n v="208"/>
    <m/>
    <m/>
    <m/>
    <m/>
    <n v="6"/>
    <n v="1214"/>
    <n v="150000"/>
    <n v="32100"/>
    <n v="182100"/>
    <n v="30956.449999999997"/>
    <n v="6567.0415999999996"/>
    <n v="37523.491599999994"/>
    <n v="21350"/>
    <n v="4568.9000000000005"/>
    <n v="25918.9"/>
  </r>
  <r>
    <s v="FALL 2024"/>
    <x v="0"/>
    <x v="5"/>
    <s v="PORTA"/>
    <x v="0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1000"/>
    <n v="206"/>
    <m/>
    <m/>
    <m/>
    <m/>
    <n v="6"/>
    <n v="1212"/>
    <n v="125000"/>
    <n v="26500"/>
    <n v="151500"/>
    <n v="23322"/>
    <n v="4900.3319999999994"/>
    <n v="28222.331999999999"/>
    <n v="16000"/>
    <n v="3392"/>
    <n v="19392"/>
  </r>
  <r>
    <s v="FALL 2024"/>
    <x v="0"/>
    <x v="4"/>
    <s v="PORTA"/>
    <x v="0"/>
    <s v="STF24M50995"/>
    <m/>
    <s v="58% POLYESTER/37% COTTON/5% SPANDEX FLAT BACK DOUBLE PIQUE 346 GM/M2"/>
    <s v="KNIT"/>
    <s v="6112.12.0010"/>
    <n v="175"/>
    <n v="33.311000000000007"/>
    <n v="23"/>
    <n v="0.28199999999999997"/>
    <n v="6.4859999999999998"/>
    <n v="7.4999999999999997E-2"/>
    <n v="1.7249999999999999"/>
    <n v="7.0000000000000007E-2"/>
    <n v="1.61"/>
    <n v="0.49"/>
    <n v="350"/>
    <n v="85"/>
    <m/>
    <m/>
    <m/>
    <m/>
    <n v="6"/>
    <n v="441"/>
    <n v="61250"/>
    <n v="15925"/>
    <n v="77175"/>
    <n v="11658.850000000002"/>
    <n v="2969.4350000000004"/>
    <n v="14628.285000000003"/>
    <n v="8050"/>
    <n v="2093"/>
    <n v="10143"/>
  </r>
  <r>
    <s v="FALL 2024"/>
    <x v="0"/>
    <x v="5"/>
    <s v="PORTA"/>
    <x v="0"/>
    <s v="STF24M50996"/>
    <m/>
    <s v="58% POLYESTER/37% COTTON/5% SPANDEX FLAT BACK DOUBLE PIQUE 346 GM/M2"/>
    <s v="KNIT"/>
    <s v="6112.12.0050"/>
    <n v="150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50"/>
    <n v="82"/>
    <m/>
    <m/>
    <m/>
    <m/>
    <n v="6"/>
    <n v="438"/>
    <n v="52500"/>
    <n v="13200"/>
    <n v="65700"/>
    <n v="9161.6"/>
    <n v="2254.4320000000002"/>
    <n v="11416.032000000001"/>
    <n v="6300"/>
    <n v="1584"/>
    <n v="7884"/>
  </r>
  <r>
    <s v="FALL 2024"/>
    <x v="0"/>
    <x v="4"/>
    <s v="PORTA"/>
    <x v="0"/>
    <s v="STF24M50995"/>
    <m/>
    <s v="58% POLYESTER/37% COTTON/5% SPANDEX FLAT BACK DOUBLE PIQUE 346 GM/M2"/>
    <s v="KNIT"/>
    <s v="6112.12.0010"/>
    <n v="175"/>
    <n v="33.311000000000007"/>
    <n v="23"/>
    <n v="0.28199999999999997"/>
    <n v="6.4859999999999998"/>
    <n v="7.4999999999999997E-2"/>
    <n v="1.7249999999999999"/>
    <n v="7.0000000000000007E-2"/>
    <n v="1.61"/>
    <n v="0.49"/>
    <n v="350"/>
    <n v="119"/>
    <m/>
    <m/>
    <m/>
    <m/>
    <n v="6"/>
    <n v="475"/>
    <n v="61250"/>
    <n v="21875"/>
    <n v="83125"/>
    <n v="11658.850000000002"/>
    <n v="4102.0090000000009"/>
    <n v="15760.859000000004"/>
    <n v="8050"/>
    <n v="2875"/>
    <n v="10925"/>
  </r>
  <r>
    <s v="FALL 2024"/>
    <x v="0"/>
    <x v="5"/>
    <s v="PORTA"/>
    <x v="0"/>
    <s v="STF24M50996"/>
    <m/>
    <s v="58% POLYESTER/37% COTTON/5% SPANDEX FLAT BACK DOUBLE PIQUE 346 GM/M2"/>
    <s v="KNIT"/>
    <s v="6112.12.0050"/>
    <n v="150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50"/>
    <n v="114"/>
    <m/>
    <m/>
    <m/>
    <m/>
    <n v="6"/>
    <n v="470"/>
    <n v="52500"/>
    <n v="18000"/>
    <n v="70500"/>
    <n v="9161.6"/>
    <n v="3092.0640000000003"/>
    <n v="12253.664000000001"/>
    <n v="6300"/>
    <n v="2160"/>
    <n v="8460"/>
  </r>
  <r>
    <s v="FALL 2024"/>
    <x v="0"/>
    <x v="4"/>
    <s v="PORTA"/>
    <x v="0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400"/>
    <n v="69"/>
    <m/>
    <m/>
    <m/>
    <m/>
    <m/>
    <n v="469"/>
    <n v="70000"/>
    <n v="12075"/>
    <n v="82075"/>
    <n v="12725.059999999998"/>
    <n v="2195.0728499999996"/>
    <n v="14920.132849999998"/>
    <n v="8780"/>
    <n v="1514.55"/>
    <n v="10294.549999999999"/>
  </r>
  <r>
    <s v="FALL 2024"/>
    <x v="0"/>
    <x v="5"/>
    <s v="PORTA"/>
    <x v="0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400"/>
    <n v="69"/>
    <m/>
    <m/>
    <m/>
    <m/>
    <m/>
    <n v="469"/>
    <n v="60000"/>
    <n v="10350"/>
    <n v="70350"/>
    <n v="9871.0599999999977"/>
    <n v="1702.7578499999997"/>
    <n v="11573.817849999998"/>
    <n v="6780"/>
    <n v="1169.55"/>
    <n v="7949.55"/>
  </r>
  <r>
    <s v="FALL 2024"/>
    <x v="0"/>
    <x v="4"/>
    <s v="PORTA"/>
    <x v="0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501"/>
    <n v="160"/>
    <m/>
    <m/>
    <m/>
    <n v="17"/>
    <m/>
    <n v="678"/>
    <n v="87675"/>
    <n v="30975"/>
    <n v="118650"/>
    <n v="15938.137649999997"/>
    <n v="5463.1739999999991"/>
    <n v="21401.311649999996"/>
    <n v="10996.949999999999"/>
    <n v="3885.15"/>
    <n v="14882.099999999999"/>
  </r>
  <r>
    <s v="FALL 2024"/>
    <x v="0"/>
    <x v="5"/>
    <s v="PORTA"/>
    <x v="0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501"/>
    <n v="150"/>
    <m/>
    <m/>
    <m/>
    <n v="12"/>
    <m/>
    <n v="663"/>
    <n v="75150"/>
    <n v="24300"/>
    <n v="99450"/>
    <n v="12363.502649999999"/>
    <n v="3905.0474999999997"/>
    <n v="16268.550149999999"/>
    <n v="8491.9499999999989"/>
    <n v="2745.9"/>
    <n v="11237.849999999999"/>
  </r>
  <r>
    <s v="FALL 2024"/>
    <x v="0"/>
    <x v="4"/>
    <s v="PORTA"/>
    <x v="0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600"/>
    <n v="74"/>
    <m/>
    <m/>
    <m/>
    <n v="8"/>
    <n v="6"/>
    <n v="688"/>
    <n v="105000"/>
    <n v="15400"/>
    <n v="120400"/>
    <n v="19087.589999999997"/>
    <n v="2661.4360999999999"/>
    <n v="21749.026099999995"/>
    <n v="13170"/>
    <n v="1931.6"/>
    <n v="15101.6"/>
  </r>
  <r>
    <s v="FALL 2024"/>
    <x v="0"/>
    <x v="5"/>
    <s v="PORTA"/>
    <x v="0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74"/>
    <m/>
    <m/>
    <m/>
    <m/>
    <n v="6"/>
    <n v="680"/>
    <n v="90000"/>
    <n v="12000"/>
    <n v="102000"/>
    <n v="14806.589999999998"/>
    <n v="1927.8460999999998"/>
    <n v="16734.436099999999"/>
    <n v="10170"/>
    <n v="1356"/>
    <n v="11526"/>
  </r>
  <r>
    <s v="FALL 2024"/>
    <x v="0"/>
    <x v="4"/>
    <s v="PORTA"/>
    <x v="0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600"/>
    <n v="127"/>
    <m/>
    <m/>
    <m/>
    <m/>
    <n v="6"/>
    <n v="733"/>
    <n v="105000"/>
    <n v="23275"/>
    <n v="128275"/>
    <n v="19087.589999999997"/>
    <n v="4171.9065499999997"/>
    <n v="23259.496549999996"/>
    <n v="13170"/>
    <n v="2919.35"/>
    <n v="16089.35"/>
  </r>
  <r>
    <s v="FALL 2024"/>
    <x v="0"/>
    <x v="5"/>
    <s v="PORTA"/>
    <x v="0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127"/>
    <m/>
    <m/>
    <m/>
    <m/>
    <n v="6"/>
    <n v="733"/>
    <n v="90000"/>
    <n v="19950"/>
    <n v="109950"/>
    <n v="14806.589999999998"/>
    <n v="3235.7615499999993"/>
    <n v="18042.351549999999"/>
    <n v="10170"/>
    <n v="2254.35"/>
    <n v="12424.35"/>
  </r>
  <r>
    <s v="FALL 2024"/>
    <x v="0"/>
    <x v="4"/>
    <s v="PORTA"/>
    <x v="0"/>
    <s v="STF24M50881"/>
    <m/>
    <s v="93% POLYESTER/7% SPANDEX VELOUR 300 GM/M2"/>
    <s v="KNIT"/>
    <s v="6112.12.0010"/>
    <n v="180"/>
    <n v="34.024500000000003"/>
    <n v="23.5"/>
    <n v="0.28199999999999997"/>
    <n v="6.6269999999999998"/>
    <n v="7.4999999999999997E-2"/>
    <n v="1.7625"/>
    <n v="7.0000000000000007E-2"/>
    <n v="1.6450000000000002"/>
    <n v="0.49"/>
    <n v="400"/>
    <n v="24"/>
    <m/>
    <m/>
    <m/>
    <m/>
    <m/>
    <n v="424"/>
    <n v="72000"/>
    <n v="4320"/>
    <n v="76320"/>
    <n v="13609.800000000001"/>
    <n v="816.58800000000008"/>
    <n v="14426.388000000001"/>
    <n v="9400"/>
    <n v="564"/>
    <n v="9964"/>
  </r>
  <r>
    <s v="FALL 2024"/>
    <x v="0"/>
    <x v="5"/>
    <s v="PORTA"/>
    <x v="0"/>
    <s v="STF24M50882"/>
    <m/>
    <s v="93% POLYESTER/7% SPANDEX VELOUR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400"/>
    <n v="27"/>
    <m/>
    <m/>
    <m/>
    <m/>
    <m/>
    <n v="427"/>
    <n v="60000"/>
    <n v="4050"/>
    <n v="64050"/>
    <n v="10185"/>
    <n v="687.48749999999995"/>
    <n v="10872.487499999999"/>
    <n v="7000"/>
    <n v="472.5"/>
    <n v="7472.5"/>
  </r>
  <r>
    <s v="FALL 2024"/>
    <x v="0"/>
    <x v="4"/>
    <s v="PORTA"/>
    <x v="0"/>
    <s v="STF24M50881"/>
    <m/>
    <s v="93% POLYESTER/7% SPANDEX VELOUR 300 GM/M2"/>
    <s v="KNIT"/>
    <s v="6112.12.0010"/>
    <n v="180"/>
    <n v="34.024500000000003"/>
    <n v="23.5"/>
    <n v="0.28199999999999997"/>
    <n v="6.6269999999999998"/>
    <n v="7.4999999999999997E-2"/>
    <n v="1.7625"/>
    <n v="7.0000000000000007E-2"/>
    <n v="1.6450000000000002"/>
    <n v="0.49"/>
    <n v="501"/>
    <n v="160"/>
    <m/>
    <m/>
    <m/>
    <n v="16"/>
    <m/>
    <n v="677"/>
    <n v="90180"/>
    <n v="31680"/>
    <n v="121860"/>
    <n v="17046.274500000003"/>
    <n v="5819.92"/>
    <n v="22866.194500000005"/>
    <n v="11773.5"/>
    <n v="4136"/>
    <n v="15909.5"/>
  </r>
  <r>
    <s v="FALL 2024"/>
    <x v="0"/>
    <x v="5"/>
    <s v="PORTA"/>
    <x v="0"/>
    <s v="STF24M50882"/>
    <m/>
    <s v="93% POLYESTER/7% SPANDEX VELOUR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61"/>
    <m/>
    <m/>
    <m/>
    <n v="12"/>
    <m/>
    <n v="674"/>
    <n v="75150"/>
    <n v="25950"/>
    <n v="101100"/>
    <n v="12756.7125"/>
    <n v="4309.4624999999996"/>
    <n v="17066.174999999999"/>
    <n v="8767.5"/>
    <n v="3027.5"/>
    <n v="11795"/>
  </r>
  <r>
    <s v="FALL 2024"/>
    <x v="0"/>
    <x v="6"/>
    <s v="PORTA"/>
    <x v="0"/>
    <s v="STF24M50899"/>
    <m/>
    <s v="93% POLYESTER/7% SPANDEX VELOUR 300 GM/M2"/>
    <s v="KNIT"/>
    <s v="6110.30.3053"/>
    <n v="150"/>
    <n v="32.646750000000004"/>
    <n v="21.95"/>
    <n v="0.32"/>
    <n v="7.024"/>
    <n v="7.4999999999999997E-2"/>
    <n v="1.64625"/>
    <n v="7.0000000000000007E-2"/>
    <n v="1.5365000000000002"/>
    <n v="0.49"/>
    <n v="351"/>
    <n v="36"/>
    <m/>
    <m/>
    <m/>
    <m/>
    <n v="6"/>
    <n v="393"/>
    <n v="52650"/>
    <n v="6300"/>
    <n v="58950"/>
    <n v="11459.009250000001"/>
    <n v="1306.9830000000002"/>
    <n v="12765.992250000001"/>
    <n v="7704.45"/>
    <n v="921.9"/>
    <n v="8626.35"/>
  </r>
  <r>
    <s v="FALL 2024"/>
    <x v="0"/>
    <x v="6"/>
    <s v="PORTA"/>
    <x v="0"/>
    <s v="STF24M50899"/>
    <m/>
    <s v="93% POLYESTER/7% SPANDEX VELOUR 300 GM/M2"/>
    <s v="KNIT"/>
    <s v="6110.30.3053"/>
    <n v="150"/>
    <n v="32.646750000000004"/>
    <n v="21.95"/>
    <n v="0.32"/>
    <n v="7.024"/>
    <n v="7.4999999999999997E-2"/>
    <n v="1.64625"/>
    <n v="7.0000000000000007E-2"/>
    <n v="1.5365000000000002"/>
    <n v="0.49"/>
    <n v="351"/>
    <n v="79"/>
    <m/>
    <m/>
    <m/>
    <m/>
    <n v="6"/>
    <n v="436"/>
    <n v="52650"/>
    <n v="12750"/>
    <n v="65400"/>
    <n v="11459.009250000001"/>
    <n v="2710.7932500000002"/>
    <n v="14169.802500000002"/>
    <n v="7704.45"/>
    <n v="1865.75"/>
    <n v="9570.2000000000007"/>
  </r>
  <r>
    <s v="FALL 2024"/>
    <x v="0"/>
    <x v="3"/>
    <s v="PORTA"/>
    <x v="0"/>
    <s v="STF24M50896"/>
    <m/>
    <s v="93% POLYESTER/7% SPANDEX VELOUR 300 GM/M2 "/>
    <s v="KNIT"/>
    <s v="6109.90.1007"/>
    <n v="88"/>
    <n v="14.407500000000001"/>
    <n v="9.5"/>
    <n v="0.32"/>
    <n v="3.04"/>
    <n v="7.4999999999999997E-2"/>
    <n v="0.71250000000000002"/>
    <n v="7.0000000000000007E-2"/>
    <n v="0.66500000000000004"/>
    <n v="0.49"/>
    <n v="400"/>
    <m/>
    <m/>
    <m/>
    <m/>
    <m/>
    <m/>
    <n v="400"/>
    <n v="35200"/>
    <n v="0"/>
    <n v="35200"/>
    <n v="5763"/>
    <n v="0"/>
    <n v="5763"/>
    <n v="3800"/>
    <n v="0"/>
    <n v="3800"/>
  </r>
  <r>
    <s v="FALL 2024"/>
    <x v="0"/>
    <x v="3"/>
    <s v="PORTA"/>
    <x v="0"/>
    <s v="STF24M50896"/>
    <m/>
    <s v="93% POLYESTER/7% SPANDEX VELOUR 300 GM/M2"/>
    <s v="KNIT"/>
    <s v="6109.90.1007"/>
    <n v="88"/>
    <n v="14.407500000000001"/>
    <n v="9.5"/>
    <n v="0.32"/>
    <n v="3.04"/>
    <n v="7.4999999999999997E-2"/>
    <n v="0.71250000000000002"/>
    <n v="7.0000000000000007E-2"/>
    <n v="0.66500000000000004"/>
    <n v="0.49"/>
    <n v="400"/>
    <n v="18"/>
    <m/>
    <m/>
    <m/>
    <m/>
    <m/>
    <n v="418"/>
    <n v="35200"/>
    <n v="1584"/>
    <n v="36784"/>
    <n v="5763"/>
    <n v="259.33500000000004"/>
    <n v="6022.335"/>
    <n v="3800"/>
    <n v="171"/>
    <n v="3971"/>
  </r>
  <r>
    <s v="FALL 2024"/>
    <x v="0"/>
    <x v="1"/>
    <s v="PORTA"/>
    <x v="0"/>
    <s v="STF24M50895"/>
    <m/>
    <s v="93% POLYESTER/7% SPANDEX VELOUR 300 GM/M2"/>
    <s v="KNIT"/>
    <s v="6110.30.3010"/>
    <n v="110"/>
    <n v="19.535"/>
    <n v="13"/>
    <n v="0.32"/>
    <n v="4.16"/>
    <n v="7.4999999999999997E-2"/>
    <n v="0.97499999999999998"/>
    <n v="7.0000000000000007E-2"/>
    <n v="0.91000000000000014"/>
    <n v="0.49"/>
    <n v="400"/>
    <m/>
    <m/>
    <m/>
    <m/>
    <m/>
    <m/>
    <n v="400"/>
    <n v="44000"/>
    <n v="0"/>
    <n v="44000"/>
    <n v="7814"/>
    <n v="0"/>
    <n v="7814"/>
    <n v="5200"/>
    <n v="0"/>
    <n v="5200"/>
  </r>
  <r>
    <s v="FALL 2024"/>
    <x v="0"/>
    <x v="1"/>
    <s v="PORTA"/>
    <x v="0"/>
    <s v="STF24M50895"/>
    <m/>
    <s v="93% POLYESTER/7% SPANDEX VELOUR 300 GM/M2"/>
    <s v="KNIT"/>
    <s v="6110.30.3010"/>
    <n v="110"/>
    <n v="19.535"/>
    <n v="13"/>
    <n v="0.32"/>
    <n v="4.16"/>
    <n v="7.4999999999999997E-2"/>
    <n v="0.97499999999999998"/>
    <n v="7.0000000000000007E-2"/>
    <n v="0.91000000000000014"/>
    <n v="0.49"/>
    <n v="400"/>
    <m/>
    <m/>
    <m/>
    <m/>
    <m/>
    <m/>
    <n v="400"/>
    <n v="44000"/>
    <n v="0"/>
    <n v="44000"/>
    <n v="7814"/>
    <n v="0"/>
    <n v="7814"/>
    <n v="5200"/>
    <n v="0"/>
    <n v="5200"/>
  </r>
  <r>
    <s v="FALL 2024"/>
    <x v="0"/>
    <x v="1"/>
    <s v="PORTA"/>
    <x v="0"/>
    <s v="STF24M50897"/>
    <m/>
    <s v="93% POLYESTER/7% SPANDEX VELOUR 300 GM/M2"/>
    <s v="KNIT"/>
    <s v="6105.20.2010"/>
    <n v="135"/>
    <n v="26.86"/>
    <n v="18"/>
    <n v="0.32"/>
    <n v="5.76"/>
    <n v="7.4999999999999997E-2"/>
    <n v="1.3499999999999999"/>
    <n v="7.0000000000000007E-2"/>
    <n v="1.2600000000000002"/>
    <n v="0.49"/>
    <n v="351"/>
    <m/>
    <m/>
    <m/>
    <m/>
    <m/>
    <n v="12"/>
    <n v="363"/>
    <n v="47385"/>
    <n v="1620"/>
    <n v="49005"/>
    <n v="9427.86"/>
    <n v="216"/>
    <n v="9643.86"/>
    <n v="6318"/>
    <n v="216"/>
    <n v="6534"/>
  </r>
  <r>
    <s v="FALL 2024"/>
    <x v="0"/>
    <x v="2"/>
    <s v="PORTA"/>
    <x v="0"/>
    <s v="STF24M50898"/>
    <m/>
    <s v="93% POLYESTER/7% SPANDEX VELOUR 300 GM/M2"/>
    <s v="KNIT"/>
    <s v="6103.43.1550"/>
    <n v="100"/>
    <n v="20.468"/>
    <n v="14"/>
    <n v="0.28199999999999997"/>
    <n v="3.9479999999999995"/>
    <n v="7.4999999999999997E-2"/>
    <n v="1.05"/>
    <n v="7.0000000000000007E-2"/>
    <n v="0.98000000000000009"/>
    <n v="0.49"/>
    <n v="299"/>
    <n v="28"/>
    <m/>
    <m/>
    <m/>
    <m/>
    <m/>
    <n v="327"/>
    <n v="29900"/>
    <n v="2800"/>
    <n v="32700"/>
    <n v="6119.9319999999998"/>
    <n v="573.10400000000004"/>
    <n v="6693.0360000000001"/>
    <n v="4186"/>
    <n v="392"/>
    <n v="4578"/>
  </r>
  <r>
    <s v="FALL 2024"/>
    <x v="0"/>
    <x v="1"/>
    <s v="PORTA"/>
    <x v="0"/>
    <s v="STF24M50897"/>
    <m/>
    <s v="93% POLYESTER/7% SPANDEX VELOUR 300 GM/M2"/>
    <s v="KNIT"/>
    <s v="6105.20.2010"/>
    <n v="135"/>
    <n v="26.86"/>
    <n v="18"/>
    <n v="0.32"/>
    <n v="5.76"/>
    <n v="7.4999999999999997E-2"/>
    <n v="1.3499999999999999"/>
    <n v="7.0000000000000007E-2"/>
    <n v="1.2600000000000002"/>
    <n v="0.49"/>
    <n v="351"/>
    <m/>
    <m/>
    <m/>
    <m/>
    <m/>
    <n v="12"/>
    <n v="363"/>
    <n v="47385"/>
    <n v="1620"/>
    <n v="49005"/>
    <n v="9427.86"/>
    <n v="216"/>
    <n v="9643.86"/>
    <n v="6318"/>
    <n v="216"/>
    <n v="6534"/>
  </r>
  <r>
    <s v="FALL 2024"/>
    <x v="0"/>
    <x v="2"/>
    <s v="PORTA"/>
    <x v="0"/>
    <s v="STF24M50898"/>
    <m/>
    <s v="93% POLYESTER/7% SPANDEX VELOUR 300 GM/M2"/>
    <s v="KNIT"/>
    <s v="6103.43.1550"/>
    <n v="100"/>
    <n v="20.468"/>
    <n v="14"/>
    <n v="0.28199999999999997"/>
    <n v="3.9479999999999995"/>
    <n v="7.4999999999999997E-2"/>
    <n v="1.05"/>
    <n v="7.0000000000000007E-2"/>
    <n v="0.98000000000000009"/>
    <n v="0.49"/>
    <n v="299"/>
    <n v="3"/>
    <m/>
    <m/>
    <m/>
    <m/>
    <m/>
    <n v="302"/>
    <n v="29900"/>
    <n v="300"/>
    <n v="30200"/>
    <n v="6119.9319999999998"/>
    <n v="61.403999999999996"/>
    <n v="6181.3359999999993"/>
    <n v="4186"/>
    <n v="42"/>
    <n v="4228"/>
  </r>
  <r>
    <s v="FALL 2024"/>
    <x v="0"/>
    <x v="4"/>
    <s v="PORTA"/>
    <x v="0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400"/>
    <n v="98"/>
    <m/>
    <m/>
    <m/>
    <m/>
    <n v="12"/>
    <n v="510"/>
    <n v="78000"/>
    <n v="21450"/>
    <n v="99450"/>
    <n v="15579.060000000001"/>
    <n v="4140.2696999999998"/>
    <n v="19719.329700000002"/>
    <n v="10780"/>
    <n v="2964.5"/>
    <n v="13744.5"/>
  </r>
  <r>
    <s v="FALL 2024"/>
    <x v="0"/>
    <x v="5"/>
    <s v="PORTA"/>
    <x v="0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400"/>
    <n v="103"/>
    <m/>
    <m/>
    <m/>
    <m/>
    <n v="12"/>
    <n v="515"/>
    <n v="70000"/>
    <n v="20125"/>
    <n v="90125"/>
    <n v="14608.699999999999"/>
    <n v="4064.7402499999998"/>
    <n v="18673.44025"/>
    <n v="10100"/>
    <n v="2903.75"/>
    <n v="13003.75"/>
  </r>
  <r>
    <s v="FALL 2024"/>
    <x v="0"/>
    <x v="4"/>
    <s v="PORTA"/>
    <x v="0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501"/>
    <n v="150"/>
    <m/>
    <m/>
    <m/>
    <m/>
    <m/>
    <n v="651"/>
    <n v="97695"/>
    <n v="29250"/>
    <n v="126945"/>
    <n v="19512.772650000003"/>
    <n v="5842.1475"/>
    <n v="25354.920150000002"/>
    <n v="13501.949999999999"/>
    <n v="4042.5"/>
    <n v="17544.449999999997"/>
  </r>
  <r>
    <s v="FALL 2024"/>
    <x v="0"/>
    <x v="5"/>
    <s v="PORTA"/>
    <x v="0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501"/>
    <n v="162"/>
    <m/>
    <m/>
    <m/>
    <m/>
    <m/>
    <n v="663"/>
    <n v="87675"/>
    <n v="28350"/>
    <n v="116025"/>
    <n v="18297.39675"/>
    <n v="5916.5234999999993"/>
    <n v="24213.920249999999"/>
    <n v="12650.25"/>
    <n v="4090.5"/>
    <n v="16740.75"/>
  </r>
  <r>
    <s v="FALL 2024"/>
    <x v="0"/>
    <x v="1"/>
    <s v="PORTA"/>
    <x v="0"/>
    <s v="STF24M50883"/>
    <m/>
    <s v="FACE: 95% POLYESTER/5% SPANDEX BONDED VELOUR 400 GM/M2 BACK: 95% COTTON/5% SPANDEX"/>
    <s v="KNIT"/>
    <s v="6105.10.0010"/>
    <n v="175"/>
    <n v="41.510000000000005"/>
    <n v="28"/>
    <n v="0.32"/>
    <n v="8.9600000000000009"/>
    <n v="7.4999999999999997E-2"/>
    <n v="2.1"/>
    <n v="7.0000000000000007E-2"/>
    <n v="1.9600000000000002"/>
    <n v="0.49"/>
    <n v="301"/>
    <n v="10"/>
    <m/>
    <m/>
    <m/>
    <m/>
    <m/>
    <n v="311"/>
    <n v="52675"/>
    <n v="1750"/>
    <n v="54425"/>
    <n v="12494.510000000002"/>
    <n v="415.1"/>
    <n v="12909.610000000002"/>
    <n v="8428"/>
    <n v="280"/>
    <n v="8708"/>
  </r>
  <r>
    <s v="FALL 2024"/>
    <x v="0"/>
    <x v="2"/>
    <s v="PORTA"/>
    <x v="0"/>
    <s v="STF24M50878"/>
    <m/>
    <s v="FACE: 95% POLYESTER/5% SPANDEX BONDED VELOUR 400 GM/M2 BACK: 95% COTTON/5% SPANDEX"/>
    <s v="KNIT"/>
    <s v="6103.43.1550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m/>
    <m/>
    <m/>
    <m/>
    <m/>
    <m/>
    <n v="250"/>
    <n v="27500"/>
    <n v="0"/>
    <n v="27500"/>
    <n v="6008.875"/>
    <n v="0"/>
    <n v="6008.875"/>
    <n v="4125"/>
    <n v="0"/>
    <n v="4125"/>
  </r>
  <r>
    <s v="FALL 2024"/>
    <x v="0"/>
    <x v="4"/>
    <s v="PORTA"/>
    <x v="0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600"/>
    <n v="284"/>
    <m/>
    <m/>
    <m/>
    <m/>
    <n v="12"/>
    <n v="896"/>
    <n v="117000"/>
    <n v="57720"/>
    <n v="174720"/>
    <n v="23368.59"/>
    <n v="11384.5326"/>
    <n v="34753.122600000002"/>
    <n v="16170"/>
    <n v="7977.2"/>
    <n v="24147.200000000001"/>
  </r>
  <r>
    <s v="FALL 2024"/>
    <x v="0"/>
    <x v="5"/>
    <s v="PORTA"/>
    <x v="0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600"/>
    <n v="282"/>
    <m/>
    <m/>
    <m/>
    <m/>
    <n v="12"/>
    <n v="894"/>
    <n v="105000"/>
    <n v="51450"/>
    <n v="156450"/>
    <n v="21913.05"/>
    <n v="10602.1335"/>
    <n v="32515.183499999999"/>
    <n v="15150"/>
    <n v="7423.5"/>
    <n v="22573.5"/>
  </r>
  <r>
    <s v="FALL 2024"/>
    <x v="0"/>
    <x v="1"/>
    <s v="PORTA"/>
    <x v="0"/>
    <s v="STF24M50883"/>
    <m/>
    <s v="FACE: 95% POLYESTER/5% SPANDEX BONDED VELOUR 400 GM/M2 BACK: 95% COTTON/5% SPANDEX"/>
    <s v="KNIT"/>
    <s v="6105.10.0010"/>
    <n v="175"/>
    <n v="41.510000000000005"/>
    <n v="28"/>
    <n v="0.32"/>
    <n v="8.9600000000000009"/>
    <n v="7.4999999999999997E-2"/>
    <n v="2.1"/>
    <n v="7.0000000000000007E-2"/>
    <n v="1.9600000000000002"/>
    <n v="0.49"/>
    <n v="301"/>
    <n v="10"/>
    <m/>
    <m/>
    <m/>
    <m/>
    <m/>
    <n v="311"/>
    <n v="52675"/>
    <n v="1750"/>
    <n v="54425"/>
    <n v="12494.510000000002"/>
    <n v="415.1"/>
    <n v="12909.610000000002"/>
    <n v="8428"/>
    <n v="280"/>
    <n v="8708"/>
  </r>
  <r>
    <s v="FALL 2024"/>
    <x v="0"/>
    <x v="2"/>
    <s v="PORTA"/>
    <x v="0"/>
    <s v="STF24M50878"/>
    <m/>
    <s v="FACE: 95% POLYESTER/5% SPANDEX BONDED VELOUR 400 GM/M2 BACK: 95% COTTON/5% SPANDEX"/>
    <s v="KNIT"/>
    <s v="6103.43.1550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m/>
    <m/>
    <m/>
    <m/>
    <m/>
    <m/>
    <n v="250"/>
    <n v="27500"/>
    <n v="0"/>
    <n v="27500"/>
    <n v="6008.875"/>
    <n v="0"/>
    <n v="6008.875"/>
    <n v="4125"/>
    <n v="0"/>
    <n v="4125"/>
  </r>
  <r>
    <s v="FALL 2024"/>
    <x v="0"/>
    <x v="11"/>
    <s v="PORTA"/>
    <x v="0"/>
    <s v="STF24M50979"/>
    <m/>
    <s v="100% MERINO WOOL MEDIUM GAUGE 2/26S, 7 GG"/>
    <s v="SWEATER"/>
    <s v="6201.20.4011"/>
    <n v="295"/>
    <n v="67.562499999999986"/>
    <n v="49.5"/>
    <n v="0.21"/>
    <n v="10.395"/>
    <n v="7.4999999999999997E-2"/>
    <n v="3.7124999999999999"/>
    <n v="7.0000000000000007E-2"/>
    <n v="3.4650000000000003"/>
    <n v="0.49"/>
    <n v="251"/>
    <n v="25"/>
    <m/>
    <m/>
    <m/>
    <m/>
    <m/>
    <n v="276"/>
    <n v="74045"/>
    <n v="7375"/>
    <n v="81420"/>
    <n v="16958.187499999996"/>
    <n v="1689.0624999999995"/>
    <n v="18647.249999999996"/>
    <n v="12424.5"/>
    <n v="1237.5"/>
    <n v="13662"/>
  </r>
  <r>
    <s v="FALL 2024"/>
    <x v="0"/>
    <x v="11"/>
    <s v="PORTA"/>
    <x v="0"/>
    <s v="STF24M50979"/>
    <m/>
    <s v="100% MERINO WOOL MEDIUM GAUGE 2/26S, 7 GG"/>
    <s v="SWEATER"/>
    <s v="6201.20.4011"/>
    <n v="295"/>
    <n v="67.562499999999986"/>
    <n v="49.5"/>
    <n v="0.21"/>
    <n v="10.395"/>
    <n v="7.4999999999999997E-2"/>
    <n v="3.7124999999999999"/>
    <n v="7.0000000000000007E-2"/>
    <n v="3.4650000000000003"/>
    <n v="0.49"/>
    <n v="251"/>
    <n v="39"/>
    <m/>
    <m/>
    <m/>
    <m/>
    <m/>
    <n v="290"/>
    <n v="74045"/>
    <n v="11505"/>
    <n v="85550"/>
    <n v="16958.187499999996"/>
    <n v="2634.9374999999995"/>
    <n v="19593.124999999996"/>
    <n v="12424.5"/>
    <n v="1930.5"/>
    <n v="14355"/>
  </r>
  <r>
    <s v="FALL 2024"/>
    <x v="0"/>
    <x v="11"/>
    <s v="PORTA"/>
    <x v="0"/>
    <s v="STF24M50916"/>
    <m/>
    <s v="70% ACRYLIC/30% WOOL 2/48S, 12GG"/>
    <s v="SWEATER"/>
    <s v="6110.30.3010"/>
    <n v="225"/>
    <n v="43.927250000000001"/>
    <n v="29.65"/>
    <n v="0.32"/>
    <n v="9.4879999999999995"/>
    <n v="7.4999999999999997E-2"/>
    <n v="2.2237499999999999"/>
    <n v="7.0000000000000007E-2"/>
    <n v="2.0754999999999999"/>
    <n v="0.49"/>
    <n v="251"/>
    <n v="121"/>
    <m/>
    <m/>
    <m/>
    <m/>
    <m/>
    <n v="372"/>
    <n v="56475"/>
    <n v="27225"/>
    <n v="83700"/>
    <n v="11025.739750000001"/>
    <n v="5315.1972500000002"/>
    <n v="16340.937000000002"/>
    <n v="7442.15"/>
    <n v="3587.6499999999996"/>
    <n v="11029.8"/>
  </r>
  <r>
    <s v="FALL 2024"/>
    <x v="0"/>
    <x v="11"/>
    <s v="PORTA"/>
    <x v="0"/>
    <s v="STF24M50916"/>
    <m/>
    <s v="70% ACRYLIC/30% WOOL 2/48S, 12GG"/>
    <s v="SWEATER"/>
    <s v="6110.30.3010"/>
    <n v="225"/>
    <n v="43.927250000000001"/>
    <n v="29.65"/>
    <n v="0.32"/>
    <n v="9.4879999999999995"/>
    <n v="7.4999999999999997E-2"/>
    <n v="2.2237499999999999"/>
    <n v="7.0000000000000007E-2"/>
    <n v="2.0754999999999999"/>
    <n v="0.49"/>
    <n v="251"/>
    <n v="50"/>
    <m/>
    <m/>
    <m/>
    <n v="32"/>
    <m/>
    <n v="333"/>
    <n v="56475"/>
    <n v="18450"/>
    <n v="74925"/>
    <n v="11025.739750000001"/>
    <n v="3145.1625000000004"/>
    <n v="14170.902250000001"/>
    <n v="7442.15"/>
    <n v="2431.2999999999997"/>
    <n v="9873.4499999999989"/>
  </r>
  <r>
    <s v="FALL 2024"/>
    <x v="1"/>
    <x v="12"/>
    <s v="PORTA"/>
    <x v="0"/>
    <s v="STF24X50917"/>
    <m/>
    <s v="70% ACRYLIC/30% WOOL 2/48S, 12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n v="10"/>
    <m/>
    <m/>
    <m/>
    <m/>
    <m/>
    <n v="210"/>
    <n v="17600"/>
    <n v="880"/>
    <n v="18480"/>
    <n v="3680.5"/>
    <n v="184.02500000000001"/>
    <n v="3864.5250000000001"/>
    <n v="2500"/>
    <n v="125"/>
    <n v="2625"/>
  </r>
  <r>
    <s v="FALL 2024"/>
    <x v="1"/>
    <x v="12"/>
    <s v="PORTA"/>
    <x v="0"/>
    <s v="STF24X50918"/>
    <m/>
    <s v="55% NYLON/20% POLYESTER/16% ACRYLIC/9% MERINO WOOL BLEND 7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m/>
    <m/>
    <m/>
    <m/>
    <m/>
    <m/>
    <n v="200"/>
    <n v="17600"/>
    <n v="0"/>
    <n v="17600"/>
    <n v="3680.5"/>
    <n v="0"/>
    <n v="3680.5"/>
    <n v="2500"/>
    <n v="0"/>
    <n v="2500"/>
  </r>
  <r>
    <s v="FALL 2024"/>
    <x v="1"/>
    <x v="12"/>
    <s v="PORTA"/>
    <x v="0"/>
    <s v="STF24X50917"/>
    <m/>
    <s v="70% ACRYLIC/30% WOOL 2/48S, 12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m/>
    <m/>
    <m/>
    <m/>
    <m/>
    <m/>
    <n v="200"/>
    <n v="17600"/>
    <n v="0"/>
    <n v="17600"/>
    <n v="3680.5"/>
    <n v="0"/>
    <n v="3680.5"/>
    <n v="2500"/>
    <n v="0"/>
    <n v="2500"/>
  </r>
  <r>
    <s v="FALL 2024"/>
    <x v="0"/>
    <x v="11"/>
    <s v="PORTA"/>
    <x v="0"/>
    <s v="STF24M50956"/>
    <m/>
    <s v="100% COTTON 5 GG"/>
    <s v="SWEATER"/>
    <s v="6110.20.2010"/>
    <n v="150"/>
    <n v="29.309999999999995"/>
    <n v="22"/>
    <n v="0.16500000000000001"/>
    <n v="3.6300000000000003"/>
    <n v="7.4999999999999997E-2"/>
    <n v="1.65"/>
    <n v="7.0000000000000007E-2"/>
    <n v="1.54"/>
    <n v="0.49"/>
    <n v="200"/>
    <n v="24"/>
    <m/>
    <m/>
    <m/>
    <m/>
    <m/>
    <n v="224"/>
    <n v="30000"/>
    <n v="3600"/>
    <n v="33600"/>
    <n v="5861.9999999999991"/>
    <n v="703.43999999999983"/>
    <n v="6565.4399999999987"/>
    <n v="4400"/>
    <n v="528"/>
    <n v="4928"/>
  </r>
  <r>
    <s v="FALL 2024"/>
    <x v="0"/>
    <x v="11"/>
    <s v="PORTA"/>
    <x v="0"/>
    <s v="STF24M50956"/>
    <m/>
    <s v="100% COTTON 5 GG"/>
    <s v="SWEATER"/>
    <s v="6110.20.2010"/>
    <n v="150"/>
    <n v="29.309999999999995"/>
    <n v="22"/>
    <n v="0.16500000000000001"/>
    <n v="3.6300000000000003"/>
    <n v="7.4999999999999997E-2"/>
    <n v="1.65"/>
    <n v="7.0000000000000007E-2"/>
    <n v="1.54"/>
    <n v="0.49"/>
    <n v="200"/>
    <n v="15"/>
    <m/>
    <m/>
    <m/>
    <m/>
    <m/>
    <n v="215"/>
    <n v="30000"/>
    <n v="2250"/>
    <n v="32250"/>
    <n v="5861.9999999999991"/>
    <n v="439.64999999999992"/>
    <n v="6301.6499999999987"/>
    <n v="4400"/>
    <n v="330"/>
    <n v="4730"/>
  </r>
  <r>
    <s v="FALL 2024"/>
    <x v="0"/>
    <x v="11"/>
    <s v="PORTA"/>
    <x v="0"/>
    <s v="STF24M50978"/>
    <m/>
    <s v="60% ACRYLIC/30% NYLON/6% SPANDEX/4% WOOL"/>
    <s v="SWEATER"/>
    <s v="6110.30.3010"/>
    <n v="225"/>
    <n v="42.242500000000007"/>
    <n v="28.5"/>
    <n v="0.32"/>
    <n v="9.120000000000001"/>
    <n v="7.4999999999999997E-2"/>
    <n v="2.1374999999999997"/>
    <n v="7.0000000000000007E-2"/>
    <n v="1.9950000000000001"/>
    <n v="0.49"/>
    <n v="200"/>
    <n v="70"/>
    <m/>
    <m/>
    <m/>
    <m/>
    <m/>
    <n v="270"/>
    <n v="45000"/>
    <n v="15750"/>
    <n v="60750"/>
    <n v="8448.5000000000018"/>
    <n v="2956.9750000000004"/>
    <n v="11405.475000000002"/>
    <n v="5700"/>
    <n v="1995"/>
    <n v="7695"/>
  </r>
  <r>
    <s v="FALL 2024"/>
    <x v="0"/>
    <x v="4"/>
    <s v="PORTA"/>
    <x v="0"/>
    <s v="STF24M50946"/>
    <m/>
    <s v="92% POLYESTER/8% SPANDEX INTERLOCK 300 GM/M2"/>
    <s v="KNIT"/>
    <s v="6112.12.0010"/>
    <n v="175"/>
    <n v="31.883999999999997"/>
    <n v="22"/>
    <n v="0.28199999999999997"/>
    <n v="6.2039999999999997"/>
    <n v="7.4999999999999997E-2"/>
    <n v="1.65"/>
    <n v="7.0000000000000007E-2"/>
    <n v="1.54"/>
    <n v="0.49"/>
    <n v="501"/>
    <n v="147"/>
    <m/>
    <m/>
    <m/>
    <n v="14"/>
    <n v="6"/>
    <n v="668"/>
    <n v="87675"/>
    <n v="29225"/>
    <n v="116900"/>
    <n v="15973.883999999998"/>
    <n v="5126.9479999999994"/>
    <n v="21100.831999999999"/>
    <n v="11022"/>
    <n v="3674"/>
    <n v="14696"/>
  </r>
  <r>
    <s v="FALL 2024"/>
    <x v="0"/>
    <x v="5"/>
    <s v="PORTA"/>
    <x v="0"/>
    <s v="STF24M50947"/>
    <m/>
    <s v="92% POLYESTER/8% SPANDEX INTERLOCK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45"/>
    <m/>
    <m/>
    <m/>
    <n v="14"/>
    <n v="6"/>
    <n v="666"/>
    <n v="75150"/>
    <n v="24750"/>
    <n v="99900"/>
    <n v="12756.7125"/>
    <n v="4042.0625"/>
    <n v="16798.775000000001"/>
    <n v="8767.5"/>
    <n v="2887.5"/>
    <n v="11655"/>
  </r>
  <r>
    <s v="FALL 2024"/>
    <x v="0"/>
    <x v="4"/>
    <s v="PORTA"/>
    <x v="0"/>
    <s v="STF24M50946"/>
    <m/>
    <s v="92% POLYESTER/8% SPANDEX INTERLOCK 300 GM/M2"/>
    <s v="KNIT"/>
    <s v="6112.12.0010"/>
    <n v="175"/>
    <n v="31.883999999999997"/>
    <n v="22"/>
    <n v="0.28199999999999997"/>
    <n v="6.2039999999999997"/>
    <n v="7.4999999999999997E-2"/>
    <n v="1.65"/>
    <n v="7.0000000000000007E-2"/>
    <n v="1.54"/>
    <n v="0.49"/>
    <n v="501"/>
    <n v="197"/>
    <m/>
    <m/>
    <m/>
    <n v="36"/>
    <n v="6"/>
    <n v="740"/>
    <n v="87675"/>
    <n v="41825"/>
    <n v="129500"/>
    <n v="15973.883999999998"/>
    <n v="7205.1479999999992"/>
    <n v="23179.031999999999"/>
    <n v="11022"/>
    <n v="5258"/>
    <n v="16280"/>
  </r>
  <r>
    <s v="FALL 2024"/>
    <x v="0"/>
    <x v="5"/>
    <s v="PORTA"/>
    <x v="0"/>
    <s v="STF24M50947"/>
    <m/>
    <s v="92% POLYESTER/8% SPANDEX INTERLOCK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85"/>
    <m/>
    <m/>
    <m/>
    <n v="36"/>
    <n v="6"/>
    <n v="728"/>
    <n v="75150"/>
    <n v="34050"/>
    <n v="109200"/>
    <n v="12756.7125"/>
    <n v="5445.5625"/>
    <n v="18202.275000000001"/>
    <n v="8767.5"/>
    <n v="3972.5"/>
    <n v="12740"/>
  </r>
  <r>
    <s v="FALL 2024"/>
    <x v="0"/>
    <x v="4"/>
    <s v="PORTA"/>
    <x v="0"/>
    <s v="STF24M50939"/>
    <m/>
    <s v="BODY: 100% POLYESTER &quot;BONDED FAUX SHERPA&quot; 480 GM/M2 SLEEVES: 100% POLYURETHANE"/>
    <s v="KNIT"/>
    <s v="6112.12.0010"/>
    <n v="345"/>
    <n v="54.644650000000006"/>
    <n v="37.950000000000003"/>
    <n v="0.28199999999999997"/>
    <n v="10.7019"/>
    <n v="7.4999999999999997E-2"/>
    <n v="2.8462499999999999"/>
    <n v="7.0000000000000007E-2"/>
    <n v="2.6565000000000003"/>
    <n v="0.49"/>
    <n v="200"/>
    <n v="51"/>
    <m/>
    <m/>
    <m/>
    <m/>
    <m/>
    <n v="251"/>
    <n v="69000"/>
    <n v="17595"/>
    <n v="86595"/>
    <n v="10928.93"/>
    <n v="2786.8771500000003"/>
    <n v="13715.807150000001"/>
    <n v="7590.0000000000009"/>
    <n v="1935.45"/>
    <n v="9525.4500000000007"/>
  </r>
  <r>
    <s v="FALL 2024"/>
    <x v="0"/>
    <x v="4"/>
    <s v="PORTA"/>
    <x v="0"/>
    <s v="STF24M50939"/>
    <m/>
    <s v="BODY: 100% POLYESTER &quot;BONDED FAUX SHERPA&quot; 480 GM/M2 SLEEVES: 100% POLYURETHANE"/>
    <s v="KNIT"/>
    <s v="6112.12.0010"/>
    <n v="345"/>
    <n v="54.644650000000006"/>
    <n v="37.950000000000003"/>
    <n v="0.28199999999999997"/>
    <n v="10.7019"/>
    <n v="7.4999999999999997E-2"/>
    <n v="2.8462499999999999"/>
    <n v="7.0000000000000007E-2"/>
    <n v="2.6565000000000003"/>
    <n v="0.49"/>
    <n v="200"/>
    <n v="36"/>
    <m/>
    <m/>
    <m/>
    <m/>
    <m/>
    <n v="236"/>
    <n v="69000"/>
    <n v="12420"/>
    <n v="81420"/>
    <n v="10928.93"/>
    <n v="1967.2074000000002"/>
    <n v="12896.1374"/>
    <n v="7590.0000000000009"/>
    <n v="1366.2"/>
    <n v="8956.2000000000007"/>
  </r>
  <r>
    <s v="FALL 2024"/>
    <x v="0"/>
    <x v="4"/>
    <s v="PORTA"/>
    <x v="0"/>
    <s v="STF24M50964"/>
    <m/>
    <s v="93% POLYESTER/7% SPANDEX VELOUR 300 GM/M2"/>
    <s v="KNIT"/>
    <s v="6112.12.0010"/>
    <n v="225"/>
    <n v="39.732499999999995"/>
    <n v="27.5"/>
    <n v="0.28199999999999997"/>
    <n v="7.754999999999999"/>
    <n v="7.4999999999999997E-2"/>
    <n v="2.0625"/>
    <n v="7.0000000000000007E-2"/>
    <n v="1.9250000000000003"/>
    <n v="0.49"/>
    <n v="250"/>
    <n v="42"/>
    <m/>
    <m/>
    <m/>
    <m/>
    <m/>
    <n v="292"/>
    <n v="56250"/>
    <n v="9450"/>
    <n v="65700"/>
    <n v="9933.1249999999982"/>
    <n v="1668.7649999999999"/>
    <n v="11601.889999999998"/>
    <n v="6875"/>
    <n v="1155"/>
    <n v="8030"/>
  </r>
  <r>
    <s v="FALL 2024"/>
    <x v="0"/>
    <x v="4"/>
    <s v="PORTA"/>
    <x v="0"/>
    <s v="STF24M50964"/>
    <m/>
    <s v="93% POLYESTER/7% SPANDEX VELOUR 300 GM/M2"/>
    <s v="KNIT"/>
    <s v="6112.12.0010"/>
    <n v="225"/>
    <n v="39.732499999999995"/>
    <n v="27.5"/>
    <n v="0.28199999999999997"/>
    <n v="7.754999999999999"/>
    <n v="7.4999999999999997E-2"/>
    <n v="2.0625"/>
    <n v="7.0000000000000007E-2"/>
    <n v="1.9250000000000003"/>
    <n v="0.49"/>
    <n v="301"/>
    <n v="17"/>
    <m/>
    <m/>
    <m/>
    <m/>
    <m/>
    <n v="318"/>
    <n v="67725"/>
    <n v="3825"/>
    <n v="71550"/>
    <n v="11959.482499999998"/>
    <n v="675.45249999999987"/>
    <n v="12634.934999999998"/>
    <n v="8277.5"/>
    <n v="467.5"/>
    <n v="8745"/>
  </r>
  <r>
    <s v="FALL 2024"/>
    <x v="0"/>
    <x v="4"/>
    <s v="PORTA"/>
    <x v="0"/>
    <s v="STF24M50997"/>
    <m/>
    <s v="100% POLYESTER BONDED FAUX SHERPA 480 GM/M2 YOKE/ELBOW PANELS: FF149 55% POLYESTER/45% COTTON PEACHED POLY 180 GM/M2"/>
    <s v="KNIT"/>
    <s v="6112.12.0010"/>
    <n v="225"/>
    <n v="46.8675"/>
    <n v="32.5"/>
    <n v="0.28199999999999997"/>
    <n v="9.1649999999999991"/>
    <n v="7.4999999999999997E-2"/>
    <n v="2.4375"/>
    <n v="7.0000000000000007E-2"/>
    <n v="2.2750000000000004"/>
    <n v="0.49"/>
    <n v="250"/>
    <n v="8"/>
    <m/>
    <m/>
    <m/>
    <m/>
    <m/>
    <n v="258"/>
    <n v="56250"/>
    <n v="1800"/>
    <n v="58050"/>
    <n v="11716.875"/>
    <n v="374.94"/>
    <n v="12091.815000000001"/>
    <n v="8125"/>
    <n v="260"/>
    <n v="8385"/>
  </r>
  <r>
    <s v="FALL 2024"/>
    <x v="1"/>
    <x v="12"/>
    <s v="BBUK"/>
    <x v="0"/>
    <s v="UKF24X29584"/>
    <m/>
    <s v="50% WOOL/50% ACRYLIC"/>
    <s v="SWEATER"/>
    <s v="6505.00.9090"/>
    <n v="42"/>
    <n v="10.317299999999999"/>
    <n v="7.07"/>
    <n v="7.0000000000000007E-2"/>
    <n v="0.49490000000000006"/>
    <n v="0.25"/>
    <n v="1.7675000000000001"/>
    <n v="7.0000000000000007E-2"/>
    <n v="0.49490000000000006"/>
    <n v="0.49"/>
    <n v="200"/>
    <m/>
    <m/>
    <m/>
    <m/>
    <m/>
    <m/>
    <n v="200"/>
    <n v="8400"/>
    <n v="0"/>
    <n v="8400"/>
    <n v="2063.46"/>
    <n v="0"/>
    <n v="2063.46"/>
    <n v="1414"/>
    <n v="0"/>
    <n v="1414"/>
  </r>
  <r>
    <s v="FALL 2024"/>
    <x v="1"/>
    <x v="12"/>
    <s v="BBUK"/>
    <x v="0"/>
    <s v="UKF24X21171"/>
    <m/>
    <s v="100% ACRYLIC"/>
    <s v="SWEATER"/>
    <s v="6505.00.9090"/>
    <n v="38"/>
    <n v="6.9813000000000009"/>
    <n v="4.67"/>
    <n v="7.0000000000000007E-2"/>
    <n v="0.32690000000000002"/>
    <n v="0.25"/>
    <n v="1.1675"/>
    <n v="7.0000000000000007E-2"/>
    <n v="0.32690000000000002"/>
    <n v="0.49"/>
    <n v="200"/>
    <m/>
    <m/>
    <m/>
    <m/>
    <m/>
    <m/>
    <n v="200"/>
    <n v="7600"/>
    <n v="0"/>
    <n v="7600"/>
    <n v="1396.2600000000002"/>
    <n v="0"/>
    <n v="1396.2600000000002"/>
    <n v="934"/>
    <n v="0"/>
    <n v="934"/>
  </r>
  <r>
    <s v="FALL 2024"/>
    <x v="1"/>
    <x v="12"/>
    <s v="BBUK"/>
    <x v="0"/>
    <s v="UKF24X25028"/>
    <m/>
    <s v="100% ACRYLIC"/>
    <s v="SWEATER"/>
    <s v="6505.00.9090"/>
    <n v="38"/>
    <n v="6.8145000000000007"/>
    <n v="4.55"/>
    <n v="7.0000000000000007E-2"/>
    <n v="0.31850000000000001"/>
    <n v="0.25"/>
    <n v="1.1375"/>
    <n v="7.0000000000000007E-2"/>
    <n v="0.31850000000000001"/>
    <n v="0.49"/>
    <n v="200"/>
    <m/>
    <m/>
    <m/>
    <m/>
    <m/>
    <m/>
    <n v="200"/>
    <n v="7600"/>
    <n v="0"/>
    <n v="7600"/>
    <n v="1362.9"/>
    <n v="0"/>
    <n v="1362.9"/>
    <n v="910"/>
    <n v="0"/>
    <n v="910"/>
  </r>
  <r>
    <s v="FALL 2024"/>
    <x v="0"/>
    <x v="9"/>
    <s v="BBUK"/>
    <x v="0"/>
    <s v="UKF24M21106"/>
    <m/>
    <s v="80% POLYESTER/10% ARCYLIC/10% RAYON 340 GM/M2"/>
    <s v="WOVEN"/>
    <s v="6201.40.7511"/>
    <n v="225"/>
    <n v="48.838000000000001"/>
    <n v="34"/>
    <n v="0.27700000000000002"/>
    <n v="9.418000000000001"/>
    <n v="7.4999999999999997E-2"/>
    <n v="2.5499999999999998"/>
    <n v="7.0000000000000007E-2"/>
    <n v="2.3800000000000003"/>
    <n v="0.49"/>
    <n v="481"/>
    <n v="23"/>
    <m/>
    <m/>
    <m/>
    <m/>
    <m/>
    <n v="504"/>
    <n v="108225"/>
    <n v="5175"/>
    <n v="113400"/>
    <n v="23491.078000000001"/>
    <n v="1123.2740000000001"/>
    <n v="24614.352000000003"/>
    <n v="16354"/>
    <n v="782"/>
    <n v="17136"/>
  </r>
  <r>
    <s v="FALL 2024"/>
    <x v="0"/>
    <x v="4"/>
    <s v="BBUK"/>
    <x v="0"/>
    <s v="UKF24M21116"/>
    <m/>
    <s v="53% POLYESTER/47% COTTON PIQUE 292 GM/M2"/>
    <s v="KNIT"/>
    <s v="6112.12.0010"/>
    <n v="175"/>
    <n v="25.747899999999998"/>
    <n v="17.7"/>
    <n v="0.28199999999999997"/>
    <n v="4.9913999999999996"/>
    <n v="7.4999999999999997E-2"/>
    <n v="1.3274999999999999"/>
    <n v="7.0000000000000007E-2"/>
    <n v="1.2390000000000001"/>
    <n v="0.49"/>
    <n v="400"/>
    <n v="105"/>
    <m/>
    <m/>
    <m/>
    <m/>
    <m/>
    <n v="505"/>
    <n v="70000"/>
    <n v="18375"/>
    <n v="88375"/>
    <n v="10299.16"/>
    <n v="2703.5294999999996"/>
    <n v="13002.6895"/>
    <n v="7080"/>
    <n v="1858.5"/>
    <n v="8938.5"/>
  </r>
  <r>
    <s v="FALL 2024"/>
    <x v="0"/>
    <x v="5"/>
    <s v="BBUK"/>
    <x v="0"/>
    <s v="UKF24M21117"/>
    <m/>
    <s v="53% POLYESTER/47% COTTON PIQUE 292 GM/M2"/>
    <s v="KNIT"/>
    <s v="6112.12.0050"/>
    <n v="135"/>
    <n v="21.6096"/>
    <n v="14.8"/>
    <n v="0.28199999999999997"/>
    <n v="4.1735999999999995"/>
    <n v="7.4999999999999997E-2"/>
    <n v="1.1100000000000001"/>
    <n v="7.0000000000000007E-2"/>
    <n v="1.0360000000000003"/>
    <n v="0.49"/>
    <n v="400"/>
    <n v="103"/>
    <m/>
    <m/>
    <m/>
    <m/>
    <m/>
    <n v="503"/>
    <n v="54000"/>
    <n v="13905"/>
    <n v="67905"/>
    <n v="8643.84"/>
    <n v="2225.7888000000003"/>
    <n v="10869.6288"/>
    <n v="5920"/>
    <n v="1524.4"/>
    <n v="7444.4"/>
  </r>
  <r>
    <s v="FALL 2024"/>
    <x v="0"/>
    <x v="11"/>
    <s v="BBUK"/>
    <x v="2"/>
    <s v="UKF24M21148"/>
    <m/>
    <s v="100% COTTON 2/30'S 4 ENDS 7 GG"/>
    <s v="SWEATER"/>
    <s v="6110.20.2010"/>
    <n v="135"/>
    <n v="21.238000000000003"/>
    <n v="16.8"/>
    <n v="0.16500000000000001"/>
    <n v="2.7720000000000002"/>
    <m/>
    <m/>
    <n v="7.0000000000000007E-2"/>
    <n v="1.1760000000000002"/>
    <n v="0.49"/>
    <n v="420"/>
    <n v="80"/>
    <m/>
    <m/>
    <m/>
    <m/>
    <m/>
    <n v="500"/>
    <n v="56700"/>
    <n v="10800"/>
    <n v="67500"/>
    <n v="8919.9600000000009"/>
    <n v="1699.0400000000002"/>
    <n v="10619.000000000002"/>
    <n v="7056"/>
    <n v="1344"/>
    <n v="8400"/>
  </r>
  <r>
    <s v="FALL 2024"/>
    <x v="2"/>
    <x v="13"/>
    <s v="KUKDONG"/>
    <x v="3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70"/>
    <n v="32"/>
    <m/>
    <m/>
    <m/>
    <m/>
    <m/>
    <n v="502"/>
    <n v="31960"/>
    <n v="2176"/>
    <n v="34136"/>
    <n v="8965.25"/>
    <n v="610.4"/>
    <n v="9575.65"/>
    <n v="7050"/>
    <n v="480"/>
    <n v="7530"/>
  </r>
  <r>
    <s v="FALL 2024"/>
    <x v="2"/>
    <x v="14"/>
    <s v="KUKDONG"/>
    <x v="3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70"/>
    <n v="32"/>
    <m/>
    <m/>
    <m/>
    <m/>
    <m/>
    <n v="502"/>
    <n v="51700"/>
    <n v="3520"/>
    <n v="55220"/>
    <n v="10079.619999999999"/>
    <n v="686.27199999999993"/>
    <n v="10765.892"/>
    <n v="7285"/>
    <n v="496"/>
    <n v="7781"/>
  </r>
  <r>
    <s v="FALL 2024"/>
    <x v="2"/>
    <x v="13"/>
    <s v="KUKDONG"/>
    <x v="3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91"/>
    <n v="8"/>
    <m/>
    <m/>
    <m/>
    <m/>
    <m/>
    <n v="499"/>
    <n v="33388"/>
    <n v="544"/>
    <n v="33932"/>
    <n v="9365.8249999999989"/>
    <n v="152.6"/>
    <n v="9518.4249999999993"/>
    <n v="7365"/>
    <n v="120"/>
    <n v="7485"/>
  </r>
  <r>
    <s v="FALL 2024"/>
    <x v="2"/>
    <x v="14"/>
    <s v="KUKDONG"/>
    <x v="3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92"/>
    <n v="8"/>
    <m/>
    <m/>
    <m/>
    <m/>
    <m/>
    <n v="500"/>
    <n v="54120"/>
    <n v="880"/>
    <n v="55000"/>
    <n v="10551.431999999999"/>
    <n v="171.56799999999998"/>
    <n v="10722.999999999998"/>
    <n v="7626"/>
    <n v="124"/>
    <n v="7750"/>
  </r>
  <r>
    <s v="FALL 2024"/>
    <x v="2"/>
    <x v="13"/>
    <s v="KUKDONG"/>
    <x v="3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69"/>
    <n v="32"/>
    <m/>
    <m/>
    <m/>
    <m/>
    <m/>
    <n v="501"/>
    <n v="31892"/>
    <n v="2176"/>
    <n v="34068"/>
    <n v="8946.1749999999993"/>
    <n v="610.4"/>
    <n v="9556.5749999999989"/>
    <n v="7035"/>
    <n v="480"/>
    <n v="7515"/>
  </r>
  <r>
    <s v="FALL 2024"/>
    <x v="2"/>
    <x v="14"/>
    <s v="KUKDONG"/>
    <x v="3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67"/>
    <n v="32"/>
    <m/>
    <m/>
    <m/>
    <m/>
    <m/>
    <n v="499"/>
    <n v="51370"/>
    <n v="3520"/>
    <n v="54890"/>
    <n v="10015.281999999999"/>
    <n v="686.27199999999993"/>
    <n v="10701.554"/>
    <n v="7238.5"/>
    <n v="496"/>
    <n v="7734.5"/>
  </r>
  <r>
    <s v="FALL 2024"/>
    <x v="2"/>
    <x v="3"/>
    <s v="KUKDONG"/>
    <x v="3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  <n v="0"/>
    <n v="7681.5"/>
    <n v="5350"/>
    <n v="0"/>
    <n v="5350"/>
  </r>
  <r>
    <s v="FALL 2024"/>
    <x v="2"/>
    <x v="3"/>
    <s v="KUKDONG"/>
    <x v="3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  <n v="0"/>
    <n v="7681.5"/>
    <n v="5350"/>
    <n v="0"/>
    <n v="5350"/>
  </r>
  <r>
    <s v="FALL 2024"/>
    <x v="2"/>
    <x v="3"/>
    <s v="KUKDONG"/>
    <x v="3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  <n v="0"/>
    <n v="7681.5"/>
    <n v="5350"/>
    <n v="0"/>
    <n v="5350"/>
  </r>
  <r>
    <s v="FALL 2024"/>
    <x v="2"/>
    <x v="15"/>
    <s v="KUKDONG"/>
    <x v="3"/>
    <s v="STF24W50951"/>
    <m/>
    <s v="88% POLYAMIDE/12% ELASTANE &quot;COURT STRETCH&quot; 225 GM/M2"/>
    <s v="KNIT"/>
    <s v="6104.43.2010"/>
    <n v="110"/>
    <n v="26.319999999999997"/>
    <n v="21"/>
    <n v="0.16"/>
    <n v="3.36"/>
    <m/>
    <m/>
    <n v="7.0000000000000007E-2"/>
    <n v="1.4700000000000002"/>
    <n v="0.49"/>
    <n v="501"/>
    <n v="17"/>
    <m/>
    <m/>
    <m/>
    <m/>
    <m/>
    <n v="518"/>
    <n v="55110"/>
    <n v="1870"/>
    <n v="56980"/>
    <n v="13186.319999999998"/>
    <n v="447.43999999999994"/>
    <n v="13633.759999999998"/>
    <n v="10521"/>
    <n v="357"/>
    <n v="10878"/>
  </r>
  <r>
    <s v="FALL 2024"/>
    <x v="2"/>
    <x v="15"/>
    <s v="KUKDONG"/>
    <x v="3"/>
    <s v="STF24W50951"/>
    <m/>
    <s v="88% POLYAMIDE/12% ELASTANE &quot;COURT STRETCH&quot; 225 GM/M2"/>
    <s v="KNIT"/>
    <s v="6104.43.2010"/>
    <n v="110"/>
    <n v="26.319999999999997"/>
    <n v="21"/>
    <n v="0.16"/>
    <n v="3.36"/>
    <m/>
    <m/>
    <n v="7.0000000000000007E-2"/>
    <n v="1.4700000000000002"/>
    <n v="0.49"/>
    <n v="501"/>
    <n v="12"/>
    <m/>
    <m/>
    <m/>
    <m/>
    <m/>
    <n v="513"/>
    <n v="55110"/>
    <n v="1320"/>
    <n v="56430"/>
    <n v="13186.319999999998"/>
    <n v="315.83999999999997"/>
    <n v="13502.159999999998"/>
    <n v="10521"/>
    <n v="252"/>
    <n v="10773"/>
  </r>
  <r>
    <s v="FALL 2024"/>
    <x v="2"/>
    <x v="15"/>
    <s v="KUKDONG"/>
    <x v="3"/>
    <s v="STF24W50951"/>
    <m/>
    <s v="88% POLYAMIDE/12% ELASTANE &quot;COURT STRETCH&quot; 225 GM/M2"/>
    <s v="KNIT"/>
    <s v="6104.43.2010"/>
    <n v="110"/>
    <n v="26.443000000000001"/>
    <n v="21.1"/>
    <n v="0.16"/>
    <n v="3.3760000000000003"/>
    <m/>
    <m/>
    <n v="7.0000000000000007E-2"/>
    <n v="1.4770000000000003"/>
    <n v="0.49"/>
    <n v="501"/>
    <n v="21"/>
    <m/>
    <m/>
    <m/>
    <m/>
    <m/>
    <n v="522"/>
    <n v="55110"/>
    <n v="2310"/>
    <n v="57420"/>
    <n v="13247.943000000001"/>
    <n v="555.303"/>
    <n v="13803.246000000001"/>
    <n v="10571.1"/>
    <n v="443.1"/>
    <n v="11014.2"/>
  </r>
  <r>
    <s v="FALL 2024"/>
    <x v="2"/>
    <x v="15"/>
    <s v="KUKDONG"/>
    <x v="3"/>
    <s v="STF24W50987"/>
    <m/>
    <s v="88% POLYAMIDE/12% ELASTANE &quot;COURT STRETCH&quot; 225 GM/M2"/>
    <s v="KNIT"/>
    <s v="6104.43.2010"/>
    <n v="125"/>
    <n v="34.930000000000007"/>
    <n v="28"/>
    <n v="0.16"/>
    <n v="4.4800000000000004"/>
    <m/>
    <m/>
    <n v="7.0000000000000007E-2"/>
    <n v="1.9600000000000002"/>
    <n v="0.49"/>
    <n v="501"/>
    <n v="12"/>
    <m/>
    <m/>
    <m/>
    <m/>
    <m/>
    <n v="513"/>
    <n v="62625"/>
    <n v="1500"/>
    <n v="64125"/>
    <n v="17499.930000000004"/>
    <n v="419.16000000000008"/>
    <n v="17919.090000000004"/>
    <n v="14028"/>
    <n v="336"/>
    <n v="14364"/>
  </r>
  <r>
    <s v="FALL 2024"/>
    <x v="2"/>
    <x v="3"/>
    <s v="MEGA"/>
    <x v="0"/>
    <s v="STF24W50980"/>
    <m/>
    <s v="60% COTTON/40% POLYESTER JERSEY 230 GM/M2"/>
    <s v="KNIT"/>
    <s v="6109.10.0012"/>
    <n v="68"/>
    <n v="14.899999999999999"/>
    <n v="11"/>
    <n v="0.16500000000000001"/>
    <n v="1.8150000000000002"/>
    <n v="7.4999999999999997E-2"/>
    <n v="0.82499999999999996"/>
    <n v="7.0000000000000007E-2"/>
    <n v="0.77"/>
    <n v="0.49"/>
    <n v="152"/>
    <n v="94"/>
    <m/>
    <m/>
    <m/>
    <m/>
    <m/>
    <n v="246"/>
    <n v="10336"/>
    <n v="6392"/>
    <n v="16728"/>
    <n v="2264.7999999999997"/>
    <n v="1400.6"/>
    <n v="3665.3999999999996"/>
    <n v="1672"/>
    <n v="1034"/>
    <n v="2706"/>
  </r>
  <r>
    <s v="FALL 2024"/>
    <x v="2"/>
    <x v="3"/>
    <s v="MEGA"/>
    <x v="0"/>
    <s v="STF24W50980"/>
    <m/>
    <s v="60% COTTON/40% POLYESTER JERSEY 230 GM/M2"/>
    <s v="KNIT"/>
    <s v="6109.10.0012"/>
    <n v="68"/>
    <n v="14.899999999999999"/>
    <n v="11"/>
    <n v="0.16500000000000001"/>
    <n v="1.8150000000000002"/>
    <n v="7.4999999999999997E-2"/>
    <n v="0.82499999999999996"/>
    <n v="7.0000000000000007E-2"/>
    <n v="0.77"/>
    <n v="0.49"/>
    <n v="152"/>
    <n v="158"/>
    <m/>
    <m/>
    <m/>
    <m/>
    <m/>
    <n v="310"/>
    <n v="10336"/>
    <n v="10744"/>
    <n v="21080"/>
    <n v="2264.7999999999997"/>
    <n v="2354.1999999999998"/>
    <n v="4619"/>
    <n v="1672"/>
    <n v="1738"/>
    <n v="3410"/>
  </r>
  <r>
    <s v="FALL 2024"/>
    <x v="2"/>
    <x v="0"/>
    <s v="MEGA"/>
    <x v="0"/>
    <s v="STF24W51002"/>
    <m/>
    <s v="75% POLYESTER/20% RAYON/5% SPANDEX COURT RIB 300 GM/M2"/>
    <s v="KNIT"/>
    <s v="6106.20.2010"/>
    <n v="78"/>
    <n v="14.187749999999999"/>
    <n v="9.35"/>
    <n v="0.32"/>
    <n v="2.992"/>
    <n v="7.4999999999999997E-2"/>
    <n v="0.70124999999999993"/>
    <n v="7.0000000000000007E-2"/>
    <n v="0.65450000000000008"/>
    <n v="0.49"/>
    <n v="200"/>
    <n v="23"/>
    <m/>
    <m/>
    <m/>
    <m/>
    <m/>
    <n v="223"/>
    <n v="15600"/>
    <n v="1794"/>
    <n v="17394"/>
    <n v="2837.5499999999997"/>
    <n v="326.31824999999998"/>
    <n v="3163.8682499999995"/>
    <n v="1870"/>
    <n v="215.04999999999998"/>
    <n v="2085.0500000000002"/>
  </r>
  <r>
    <s v="FALL 2024"/>
    <x v="2"/>
    <x v="16"/>
    <s v="MEGA"/>
    <x v="0"/>
    <s v="STF24W51003"/>
    <m/>
    <s v="90% POLYESTER/10% SPANDEX POLY POPLIN 110 GM/M2_x000a_INNER SHORT: 88% POLYESTER/12% SPANDEX JERSEY"/>
    <s v="WOVEN"/>
    <s v="6204.63.9032"/>
    <n v="78"/>
    <n v="18.470199999999998"/>
    <n v="12.6"/>
    <n v="0.28199999999999997"/>
    <n v="3.5531999999999995"/>
    <n v="7.4999999999999997E-2"/>
    <n v="0.94499999999999995"/>
    <n v="7.0000000000000007E-2"/>
    <n v="0.88200000000000001"/>
    <n v="0.49"/>
    <n v="200"/>
    <n v="38"/>
    <m/>
    <m/>
    <m/>
    <m/>
    <m/>
    <n v="238"/>
    <n v="15600"/>
    <n v="2964"/>
    <n v="18564"/>
    <n v="3694.0399999999995"/>
    <n v="701.86759999999992"/>
    <n v="4395.9075999999995"/>
    <n v="2520"/>
    <n v="478.8"/>
    <n v="2998.8"/>
  </r>
  <r>
    <s v="FALL 2024"/>
    <x v="2"/>
    <x v="0"/>
    <s v="MEGA"/>
    <x v="0"/>
    <s v="STF24W51002"/>
    <m/>
    <s v="75% POLYESTER/20% RAYON/5% SPANDEX COURT RIB 300 GM/M2"/>
    <s v="KNIT"/>
    <s v="6106.20.2010"/>
    <n v="78"/>
    <n v="14.187749999999999"/>
    <n v="9.35"/>
    <n v="0.32"/>
    <n v="2.992"/>
    <n v="7.4999999999999997E-2"/>
    <n v="0.70124999999999993"/>
    <n v="7.0000000000000007E-2"/>
    <n v="0.65450000000000008"/>
    <n v="0.49"/>
    <n v="200"/>
    <n v="51"/>
    <m/>
    <m/>
    <m/>
    <m/>
    <m/>
    <n v="251"/>
    <n v="15600"/>
    <n v="3978"/>
    <n v="19578"/>
    <n v="2837.5499999999997"/>
    <n v="723.57524999999998"/>
    <n v="3561.1252499999996"/>
    <n v="1870"/>
    <n v="476.84999999999997"/>
    <n v="2346.85"/>
  </r>
  <r>
    <s v="FALL 2024"/>
    <x v="2"/>
    <x v="16"/>
    <s v="MEGA"/>
    <x v="0"/>
    <s v="STF24W51003"/>
    <m/>
    <s v="90% POLYESTER/10% SPANDEX POLY POPLIN 110 GM/M2_x000a_INNER SHORT: 88% POLYESTER/12% SPANDEX JERSEY"/>
    <s v="WOVEN"/>
    <s v="6204.63.9032"/>
    <n v="78"/>
    <n v="18.470199999999998"/>
    <n v="12.6"/>
    <n v="0.28199999999999997"/>
    <n v="3.5531999999999995"/>
    <n v="7.4999999999999997E-2"/>
    <n v="0.94499999999999995"/>
    <n v="7.0000000000000007E-2"/>
    <n v="0.88200000000000001"/>
    <n v="0.49"/>
    <n v="200"/>
    <n v="54"/>
    <m/>
    <m/>
    <m/>
    <m/>
    <m/>
    <n v="254"/>
    <n v="15600"/>
    <n v="4212"/>
    <n v="19812"/>
    <n v="3694.0399999999995"/>
    <n v="997.3907999999999"/>
    <n v="4691.4307999999992"/>
    <n v="2520"/>
    <n v="680.4"/>
    <n v="3200.4"/>
  </r>
  <r>
    <s v="FALL 2024"/>
    <x v="2"/>
    <x v="15"/>
    <s v="HESRRO"/>
    <x v="0"/>
    <s v="STF24W50986"/>
    <m/>
    <s v="100% POLYESTER TRACK TWILL 220 GM/M2"/>
    <s v="KNIT"/>
    <s v="6104.43.2010"/>
    <n v="135"/>
    <n v="21.761500000000002"/>
    <n v="16.3"/>
    <n v="0.16"/>
    <n v="2.6080000000000001"/>
    <n v="7.4999999999999997E-2"/>
    <n v="1.2224999999999999"/>
    <n v="7.0000000000000007E-2"/>
    <n v="1.1410000000000002"/>
    <n v="0.49"/>
    <n v="252"/>
    <m/>
    <m/>
    <m/>
    <m/>
    <m/>
    <m/>
    <n v="252"/>
    <n v="34020"/>
    <n v="0"/>
    <n v="34020"/>
    <n v="5483.8980000000001"/>
    <n v="0"/>
    <n v="5483.8980000000001"/>
    <n v="4107.6000000000004"/>
    <n v="0"/>
    <n v="4107.6000000000004"/>
  </r>
  <r>
    <s v="FALL 2024"/>
    <x v="2"/>
    <x v="15"/>
    <s v="HESRRO"/>
    <x v="0"/>
    <s v="STF24W50986"/>
    <m/>
    <s v="100% POLYESTER TRACK TWILL 220 GM/M2"/>
    <s v="KNIT"/>
    <s v="6104.43.2010"/>
    <n v="135"/>
    <n v="21.761500000000002"/>
    <n v="16.3"/>
    <n v="0.16"/>
    <n v="2.6080000000000001"/>
    <n v="7.4999999999999997E-2"/>
    <n v="1.2224999999999999"/>
    <n v="7.0000000000000007E-2"/>
    <n v="1.1410000000000002"/>
    <n v="0.49"/>
    <n v="252"/>
    <m/>
    <m/>
    <m/>
    <m/>
    <m/>
    <m/>
    <n v="252"/>
    <n v="34020"/>
    <n v="0"/>
    <n v="34020"/>
    <n v="5483.8980000000001"/>
    <n v="0"/>
    <n v="5483.8980000000001"/>
    <n v="4107.6000000000004"/>
    <n v="0"/>
    <n v="4107.6000000000004"/>
  </r>
  <r>
    <s v="FALL 2024"/>
    <x v="2"/>
    <x v="4"/>
    <s v="HESRRO"/>
    <x v="0"/>
    <s v="STF24W50990"/>
    <m/>
    <s v="100% POLYESTER TRACK TWILL 220 GM/M2"/>
    <s v="KNIT"/>
    <s v="6112.12.0020"/>
    <n v="125"/>
    <n v="25.890599999999999"/>
    <n v="17.8"/>
    <n v="0.28199999999999997"/>
    <n v="5.0195999999999996"/>
    <n v="7.4999999999999997E-2"/>
    <n v="1.335"/>
    <n v="7.0000000000000007E-2"/>
    <n v="1.2460000000000002"/>
    <n v="0.49"/>
    <n v="251"/>
    <n v="5"/>
    <m/>
    <m/>
    <m/>
    <m/>
    <n v="8"/>
    <n v="264"/>
    <n v="31375"/>
    <n v="1625"/>
    <n v="33000"/>
    <n v="6498.5405999999994"/>
    <n v="271.85300000000001"/>
    <n v="6770.3935999999994"/>
    <n v="4467.8"/>
    <n v="231.4"/>
    <n v="4699.2"/>
  </r>
  <r>
    <s v="FALL 2024"/>
    <x v="2"/>
    <x v="5"/>
    <s v="HESRRO"/>
    <x v="0"/>
    <s v="STF24W50991"/>
    <m/>
    <s v="100% POLYESTER TRACK TWILL 220 GM/M2"/>
    <s v="KNIT"/>
    <s v="6112.12.0060"/>
    <n v="110"/>
    <n v="21.6096"/>
    <n v="14.8"/>
    <n v="0.28199999999999997"/>
    <n v="4.1735999999999995"/>
    <n v="7.4999999999999997E-2"/>
    <n v="1.1100000000000001"/>
    <n v="7.0000000000000007E-2"/>
    <n v="1.0360000000000003"/>
    <n v="0.49"/>
    <n v="251"/>
    <m/>
    <m/>
    <m/>
    <m/>
    <m/>
    <n v="8"/>
    <n v="259"/>
    <n v="27610"/>
    <n v="880"/>
    <n v="28490"/>
    <n v="5424.0096000000003"/>
    <n v="118.4"/>
    <n v="5542.4096"/>
    <n v="3714.8"/>
    <n v="118.4"/>
    <n v="3833.2000000000003"/>
  </r>
  <r>
    <s v="FALL 2024"/>
    <x v="2"/>
    <x v="4"/>
    <s v="HESRRO"/>
    <x v="0"/>
    <s v="STF24W50990"/>
    <m/>
    <s v="100% POLYESTER TRACK TWILL 220 GM/M2"/>
    <s v="KNIT"/>
    <s v="6112.12.0020"/>
    <n v="125"/>
    <n v="25.890599999999999"/>
    <n v="17.8"/>
    <n v="0.28199999999999997"/>
    <n v="5.0195999999999996"/>
    <n v="7.4999999999999997E-2"/>
    <n v="1.335"/>
    <n v="7.0000000000000007E-2"/>
    <n v="1.2460000000000002"/>
    <n v="0.49"/>
    <n v="251"/>
    <m/>
    <m/>
    <m/>
    <m/>
    <m/>
    <n v="8"/>
    <n v="259"/>
    <n v="31375"/>
    <n v="1000"/>
    <n v="32375"/>
    <n v="6498.5405999999994"/>
    <n v="142.4"/>
    <n v="6640.940599999999"/>
    <n v="4467.8"/>
    <n v="142.4"/>
    <n v="4610.2"/>
  </r>
  <r>
    <s v="FALL 2024"/>
    <x v="2"/>
    <x v="5"/>
    <s v="HESRRO"/>
    <x v="0"/>
    <s v="STF24W50991"/>
    <m/>
    <s v="100% POLYESTER TRACK TWILL 220 GM/M2"/>
    <s v="KNIT"/>
    <s v="6112.12.0060"/>
    <n v="110"/>
    <n v="21.6096"/>
    <n v="14.8"/>
    <n v="0.28199999999999997"/>
    <n v="4.1735999999999995"/>
    <n v="7.4999999999999997E-2"/>
    <n v="1.1100000000000001"/>
    <n v="7.0000000000000007E-2"/>
    <n v="1.0360000000000003"/>
    <n v="0.49"/>
    <n v="251"/>
    <m/>
    <m/>
    <m/>
    <m/>
    <m/>
    <n v="8"/>
    <n v="259"/>
    <n v="27610"/>
    <n v="880"/>
    <n v="28490"/>
    <n v="5424.0096000000003"/>
    <n v="118.4"/>
    <n v="5542.4096"/>
    <n v="3714.8"/>
    <n v="118.4"/>
    <n v="3833.2000000000003"/>
  </r>
  <r>
    <s v="FALL 2024"/>
    <x v="2"/>
    <x v="4"/>
    <s v="HESRRO"/>
    <x v="0"/>
    <s v="STF24W50952"/>
    <m/>
    <s v="100% POLYESTER MESH 105 GM/M2"/>
    <s v="KNIT"/>
    <s v="6112.12.0020"/>
    <n v="14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251"/>
    <n v="13"/>
    <m/>
    <m/>
    <m/>
    <m/>
    <n v="4"/>
    <n v="268"/>
    <n v="36395"/>
    <n v="2465"/>
    <n v="38860"/>
    <n v="7770.0689499999989"/>
    <n v="487.83384999999998"/>
    <n v="8257.9027999999998"/>
    <n v="5358.85"/>
    <n v="362.95000000000005"/>
    <n v="5721.8"/>
  </r>
  <r>
    <s v="FALL 2024"/>
    <x v="2"/>
    <x v="4"/>
    <s v="HESRRO"/>
    <x v="0"/>
    <s v="STF24W50952"/>
    <m/>
    <s v="100% POLYESTER MESH 105 GM/M2"/>
    <s v="KNIT"/>
    <s v="6112.12.0020"/>
    <n v="14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251"/>
    <n v="10"/>
    <m/>
    <m/>
    <m/>
    <m/>
    <n v="4"/>
    <n v="265"/>
    <n v="36395"/>
    <n v="2030"/>
    <n v="38425"/>
    <n v="7770.0689499999989"/>
    <n v="394.96449999999993"/>
    <n v="8165.033449999999"/>
    <n v="5358.85"/>
    <n v="298.90000000000003"/>
    <n v="5657.75"/>
  </r>
  <r>
    <s v="FALL 2024"/>
    <x v="2"/>
    <x v="4"/>
    <s v="HESRRO"/>
    <x v="0"/>
    <s v="STF24W50887"/>
    <m/>
    <s v="60% POLYESTER/40% COTTON DOUBLE KNIT 280 GM/M2"/>
    <s v="KNIT"/>
    <s v="6112.12.0020"/>
    <n v="125"/>
    <n v="20.71059"/>
    <n v="14.17"/>
    <n v="0.28199999999999997"/>
    <n v="3.9959399999999996"/>
    <n v="7.4999999999999997E-2"/>
    <n v="1.0627499999999999"/>
    <n v="7.0000000000000007E-2"/>
    <n v="0.99190000000000011"/>
    <n v="0.49"/>
    <n v="200"/>
    <n v="8"/>
    <m/>
    <m/>
    <m/>
    <m/>
    <n v="8"/>
    <n v="216"/>
    <n v="25000"/>
    <n v="2000"/>
    <n v="27000"/>
    <n v="4142.1180000000004"/>
    <n v="279.04471999999998"/>
    <n v="4421.1627200000003"/>
    <n v="2834"/>
    <n v="226.72"/>
    <n v="3060.72"/>
  </r>
  <r>
    <s v="FALL 2024"/>
    <x v="2"/>
    <x v="5"/>
    <s v="HESRRO"/>
    <x v="0"/>
    <s v="STF24W50888"/>
    <m/>
    <s v="60% POLYESTER/40% COTTON DOUBLE KNIT 280 GM/M2"/>
    <s v="KNIT"/>
    <s v="6112.12.0060"/>
    <n v="110"/>
    <n v="23.321999999999999"/>
    <n v="16"/>
    <n v="0.28199999999999997"/>
    <n v="4.5119999999999996"/>
    <n v="7.4999999999999997E-2"/>
    <n v="1.2"/>
    <n v="7.0000000000000007E-2"/>
    <n v="1.1200000000000001"/>
    <n v="0.49"/>
    <n v="200"/>
    <n v="8"/>
    <m/>
    <m/>
    <m/>
    <m/>
    <n v="8"/>
    <n v="216"/>
    <n v="22000"/>
    <n v="1760"/>
    <n v="23760"/>
    <n v="4664.3999999999996"/>
    <n v="314.57600000000002"/>
    <n v="4978.9759999999997"/>
    <n v="3200"/>
    <n v="256"/>
    <n v="3456"/>
  </r>
  <r>
    <s v="FALL 2024"/>
    <x v="2"/>
    <x v="4"/>
    <s v="HESRRO"/>
    <x v="0"/>
    <s v="STF24W50887"/>
    <m/>
    <s v="60% POLYESTER/40% COTTON DOUBLE KNIT 280 GM/M2"/>
    <s v="KNIT"/>
    <s v="6112.12.0020"/>
    <n v="125"/>
    <n v="20.71059"/>
    <n v="14.17"/>
    <n v="0.28199999999999997"/>
    <n v="3.9959399999999996"/>
    <n v="7.4999999999999997E-2"/>
    <n v="1.0627499999999999"/>
    <n v="7.0000000000000007E-2"/>
    <n v="0.99190000000000011"/>
    <n v="0.49"/>
    <n v="251"/>
    <m/>
    <n v="25"/>
    <m/>
    <m/>
    <m/>
    <n v="8"/>
    <n v="284"/>
    <n v="31375"/>
    <n v="4125"/>
    <n v="35500"/>
    <n v="5198.3580899999997"/>
    <n v="631.12475000000006"/>
    <n v="5829.4828399999997"/>
    <n v="3556.67"/>
    <n v="467.61"/>
    <n v="4024.28"/>
  </r>
  <r>
    <s v="FALL 2024"/>
    <x v="2"/>
    <x v="5"/>
    <s v="HESRRO"/>
    <x v="0"/>
    <s v="STF24W50888"/>
    <m/>
    <s v="60% POLYESTER/40% COTTON DOUBLE KNIT 280 GM/M2"/>
    <s v="KNIT"/>
    <s v="6112.12.0060"/>
    <n v="110"/>
    <n v="23.321999999999999"/>
    <n v="16"/>
    <n v="0.28199999999999997"/>
    <n v="4.5119999999999996"/>
    <n v="7.4999999999999997E-2"/>
    <n v="1.2"/>
    <n v="7.0000000000000007E-2"/>
    <n v="1.1200000000000001"/>
    <n v="0.49"/>
    <n v="251"/>
    <m/>
    <n v="25"/>
    <m/>
    <m/>
    <m/>
    <n v="8"/>
    <n v="284"/>
    <n v="27610"/>
    <n v="3630"/>
    <n v="31240"/>
    <n v="5853.8220000000001"/>
    <n v="711.05"/>
    <n v="6564.8720000000003"/>
    <n v="4016"/>
    <n v="528"/>
    <n v="4544"/>
  </r>
  <r>
    <s v="FALL 2024"/>
    <x v="2"/>
    <x v="17"/>
    <s v="HESRRO"/>
    <x v="0"/>
    <s v="STF24W51022"/>
    <m/>
    <s v="_x000a_100% COTTON FRENCH TERRY 360 GM/M2"/>
    <s v="KNIT"/>
    <s v="6110.20.2079"/>
    <n v="125"/>
    <n v="25.510999999999999"/>
    <n v="19.100000000000001"/>
    <n v="0.16500000000000001"/>
    <n v="3.1515000000000004"/>
    <n v="7.4999999999999997E-2"/>
    <n v="1.4325000000000001"/>
    <n v="7.0000000000000007E-2"/>
    <n v="1.3370000000000002"/>
    <n v="0.49"/>
    <n v="200"/>
    <m/>
    <m/>
    <m/>
    <m/>
    <m/>
    <m/>
    <n v="200"/>
    <n v="25000"/>
    <n v="0"/>
    <n v="25000"/>
    <n v="5102.2"/>
    <n v="0"/>
    <n v="5102.2"/>
    <n v="3820.0000000000005"/>
    <n v="0"/>
    <n v="3820.0000000000005"/>
  </r>
  <r>
    <s v="FALL 2024"/>
    <x v="2"/>
    <x v="18"/>
    <s v="HESRRO"/>
    <x v="0"/>
    <s v="STF24W51023"/>
    <m/>
    <s v="_x000a_100% COTTON FRENCH TERRY 360 GM/M2"/>
    <s v="KNIT"/>
    <s v="6104.62.2011"/>
    <n v="125"/>
    <n v="25.248999999999999"/>
    <n v="18.899999999999999"/>
    <n v="0.16500000000000001"/>
    <n v="3.1185"/>
    <n v="7.4999999999999997E-2"/>
    <n v="1.4174999999999998"/>
    <n v="7.0000000000000007E-2"/>
    <n v="1.323"/>
    <n v="0.49"/>
    <n v="200"/>
    <m/>
    <m/>
    <m/>
    <m/>
    <m/>
    <m/>
    <n v="200"/>
    <n v="25000"/>
    <n v="0"/>
    <n v="25000"/>
    <n v="5049.8"/>
    <n v="0"/>
    <n v="5049.8"/>
    <n v="3779.9999999999995"/>
    <n v="0"/>
    <n v="3779.9999999999995"/>
  </r>
  <r>
    <s v="FALL 2024"/>
    <x v="2"/>
    <x v="17"/>
    <s v="HESRRO"/>
    <x v="0"/>
    <s v="STF24W51022"/>
    <m/>
    <s v="_x000a_100% COTTON FRENCH TERRY 360 GM/M2"/>
    <s v="KNIT"/>
    <s v="6110.20.2079"/>
    <n v="125"/>
    <n v="25.510999999999999"/>
    <n v="19.100000000000001"/>
    <n v="0.16500000000000001"/>
    <n v="3.1515000000000004"/>
    <n v="7.4999999999999997E-2"/>
    <n v="1.4325000000000001"/>
    <n v="7.0000000000000007E-2"/>
    <n v="1.3370000000000002"/>
    <n v="0.49"/>
    <n v="200"/>
    <m/>
    <n v="100"/>
    <m/>
    <m/>
    <m/>
    <m/>
    <n v="300"/>
    <n v="25000"/>
    <n v="12500"/>
    <n v="37500"/>
    <n v="5102.2"/>
    <n v="2551.1"/>
    <n v="7653.2999999999993"/>
    <n v="3820.0000000000005"/>
    <n v="1910.0000000000002"/>
    <n v="5730.0000000000009"/>
  </r>
  <r>
    <s v="FALL 2024"/>
    <x v="2"/>
    <x v="18"/>
    <s v="HESRRO"/>
    <x v="0"/>
    <s v="STF24W51023"/>
    <m/>
    <s v="_x000a_100% COTTON FRENCH TERRY 360 GM/M2"/>
    <s v="KNIT"/>
    <s v="6104.62.2011"/>
    <n v="125"/>
    <n v="25.248999999999999"/>
    <n v="18.899999999999999"/>
    <n v="0.16500000000000001"/>
    <n v="3.1185"/>
    <n v="7.4999999999999997E-2"/>
    <n v="1.4174999999999998"/>
    <n v="7.0000000000000007E-2"/>
    <n v="1.323"/>
    <n v="0.49"/>
    <n v="200"/>
    <m/>
    <n v="100"/>
    <m/>
    <m/>
    <m/>
    <m/>
    <n v="300"/>
    <n v="25000"/>
    <n v="12500"/>
    <n v="37500"/>
    <n v="5049.8"/>
    <n v="2524.9"/>
    <n v="7574.7000000000007"/>
    <n v="3779.9999999999995"/>
    <n v="1889.9999999999998"/>
    <n v="5669.9999999999991"/>
  </r>
  <r>
    <s v="FALL 2024"/>
    <x v="2"/>
    <x v="6"/>
    <s v="HESRRO"/>
    <x v="0"/>
    <s v="STF24W51024"/>
    <m/>
    <s v=" 53% POLYESTER/45% RAYON/2% SPANDEX JERSEY QUILT 300 GM/M2"/>
    <s v="KNIT"/>
    <s v="6112.12.0020"/>
    <n v="12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00"/>
    <n v="15"/>
    <m/>
    <m/>
    <m/>
    <m/>
    <m/>
    <n v="215"/>
    <n v="25000"/>
    <n v="1875"/>
    <n v="26875"/>
    <n v="5663.2999999999993"/>
    <n v="424.74749999999989"/>
    <n v="6088.0474999999988"/>
    <n v="3900"/>
    <n v="292.5"/>
    <n v="4192.5"/>
  </r>
  <r>
    <s v="FALL 2024"/>
    <x v="2"/>
    <x v="18"/>
    <s v="HESRRO"/>
    <x v="0"/>
    <s v="STF24W50985"/>
    <m/>
    <s v=" 53% POLYESTER/45% RAYON/2% SPANDEX JERSEY QUILT 300 GM/M2"/>
    <s v="KNIT"/>
    <s v="6112.12.0060"/>
    <n v="110"/>
    <n v="25.048669999999998"/>
    <n v="17.21"/>
    <n v="0.28199999999999997"/>
    <n v="4.8532199999999994"/>
    <n v="7.4999999999999997E-2"/>
    <n v="1.2907500000000001"/>
    <n v="7.0000000000000007E-2"/>
    <n v="1.2047000000000001"/>
    <n v="0.49"/>
    <n v="200"/>
    <n v="10"/>
    <m/>
    <m/>
    <m/>
    <m/>
    <m/>
    <n v="210"/>
    <n v="22000"/>
    <n v="1100"/>
    <n v="23100"/>
    <n v="5009.7339999999995"/>
    <n v="250.48669999999998"/>
    <n v="5260.2206999999999"/>
    <n v="3442"/>
    <n v="172.10000000000002"/>
    <n v="3614.1"/>
  </r>
  <r>
    <s v="FALL 2024"/>
    <x v="2"/>
    <x v="6"/>
    <s v="HESRRO"/>
    <x v="0"/>
    <s v="STF24W51024"/>
    <m/>
    <s v=" 53% POLYESTER/45% RAYON/2% SPANDEX JERSEY QUILT 300 GM/M2"/>
    <s v="KNIT"/>
    <s v="6112.12.0020"/>
    <n v="12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00"/>
    <n v="111"/>
    <m/>
    <m/>
    <m/>
    <m/>
    <m/>
    <n v="311"/>
    <n v="25000"/>
    <n v="13875"/>
    <n v="38875"/>
    <n v="5663.2999999999993"/>
    <n v="3143.1314999999995"/>
    <n v="8806.4314999999988"/>
    <n v="3900"/>
    <n v="2164.5"/>
    <n v="6064.5"/>
  </r>
  <r>
    <s v="FALL 2024"/>
    <x v="2"/>
    <x v="18"/>
    <s v="HESRRO"/>
    <x v="0"/>
    <s v="STF24W50985"/>
    <m/>
    <s v=" 53% POLYESTER/45% RAYON/2% SPANDEX JERSEY QUILT 300 GM/M2"/>
    <s v="KNIT"/>
    <s v="6112.12.0060"/>
    <n v="110"/>
    <n v="25.048669999999998"/>
    <n v="17.21"/>
    <n v="0.28199999999999997"/>
    <n v="4.8532199999999994"/>
    <n v="7.4999999999999997E-2"/>
    <n v="1.2907500000000001"/>
    <n v="7.0000000000000007E-2"/>
    <n v="1.2047000000000001"/>
    <n v="0.49"/>
    <n v="200"/>
    <n v="111"/>
    <m/>
    <m/>
    <m/>
    <m/>
    <m/>
    <n v="311"/>
    <n v="22000"/>
    <n v="12210"/>
    <n v="34210"/>
    <n v="5009.7339999999995"/>
    <n v="2780.4023699999998"/>
    <n v="7790.1363699999993"/>
    <n v="3442"/>
    <n v="1910.3100000000002"/>
    <n v="5352.31"/>
  </r>
  <r>
    <s v="FALL 2024"/>
    <x v="2"/>
    <x v="9"/>
    <s v="HESRRO"/>
    <x v="0"/>
    <s v="STF24W50970"/>
    <m/>
    <s v="100% SHINY NYLON 100 GM/M2              "/>
    <s v="WOVEN"/>
    <s v="6202.40.7511"/>
    <n v="225"/>
    <n v="38.172999999999995"/>
    <n v="26.5"/>
    <n v="0.27700000000000002"/>
    <n v="7.3405000000000005"/>
    <n v="7.4999999999999997E-2"/>
    <n v="1.9874999999999998"/>
    <n v="7.0000000000000007E-2"/>
    <n v="1.8550000000000002"/>
    <n v="0.49"/>
    <n v="200"/>
    <m/>
    <m/>
    <m/>
    <m/>
    <m/>
    <m/>
    <n v="200"/>
    <n v="45000"/>
    <n v="0"/>
    <n v="45000"/>
    <n v="7634.5999999999985"/>
    <n v="0"/>
    <n v="7634.5999999999985"/>
    <n v="5300"/>
    <n v="0"/>
    <n v="5300"/>
  </r>
  <r>
    <s v="FALL 2024"/>
    <x v="2"/>
    <x v="9"/>
    <s v="HESRRO"/>
    <x v="0"/>
    <s v="STF24W50969"/>
    <m/>
    <s v="100% POLYESTER PEACHED 190 GM/M2"/>
    <s v="WOVEN"/>
    <s v="6202.40.7511"/>
    <n v="295"/>
    <n v="48.198100000000004"/>
    <n v="33.549999999999997"/>
    <n v="0.27700000000000002"/>
    <n v="9.2933500000000002"/>
    <n v="7.4999999999999997E-2"/>
    <n v="2.5162499999999999"/>
    <n v="7.0000000000000007E-2"/>
    <n v="2.3485"/>
    <n v="0.49"/>
    <n v="151"/>
    <m/>
    <m/>
    <m/>
    <m/>
    <m/>
    <m/>
    <n v="151"/>
    <n v="44545"/>
    <n v="0"/>
    <n v="44545"/>
    <n v="7277.9131000000007"/>
    <n v="0"/>
    <n v="7277.9131000000007"/>
    <n v="5066.0499999999993"/>
    <n v="0"/>
    <n v="5066.0499999999993"/>
  </r>
  <r>
    <s v="FALL 2024"/>
    <x v="2"/>
    <x v="3"/>
    <s v="SARA"/>
    <x v="1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252"/>
    <n v="11"/>
    <m/>
    <m/>
    <m/>
    <m/>
    <m/>
    <n v="263"/>
    <n v="12096"/>
    <n v="528"/>
    <n v="12624"/>
    <n v="1912.9950000000001"/>
    <n v="83.503750000000011"/>
    <n v="1996.4987500000002"/>
    <n v="1449"/>
    <n v="63.25"/>
    <n v="1512.25"/>
  </r>
  <r>
    <s v="FALL 2024"/>
    <x v="2"/>
    <x v="3"/>
    <s v="SARA"/>
    <x v="1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152"/>
    <n v="150"/>
    <m/>
    <m/>
    <m/>
    <m/>
    <m/>
    <n v="302"/>
    <n v="7296"/>
    <n v="7200"/>
    <n v="14496"/>
    <n v="1153.8700000000001"/>
    <n v="1138.6875"/>
    <n v="2292.5574999999999"/>
    <n v="874"/>
    <n v="862.5"/>
    <n v="1736.5"/>
  </r>
  <r>
    <s v="FALL 2024"/>
    <x v="2"/>
    <x v="3"/>
    <s v="SARA"/>
    <x v="1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252"/>
    <n v="34"/>
    <m/>
    <m/>
    <m/>
    <m/>
    <m/>
    <n v="286"/>
    <n v="12096"/>
    <n v="1632"/>
    <n v="13728"/>
    <n v="1912.9950000000001"/>
    <n v="258.10250000000002"/>
    <n v="2171.0975000000003"/>
    <n v="1449"/>
    <n v="195.5"/>
    <n v="1644.5"/>
  </r>
  <r>
    <s v="FALL 2024"/>
    <x v="2"/>
    <x v="4"/>
    <s v="PORTA ASIATACA"/>
    <x v="0"/>
    <s v="STF24W50958"/>
    <m/>
    <s v="55% TENCEL/43% POLYESTER/2% SPANDEX BLEND 150 GM/M2_x000a_"/>
    <s v="WOVEN"/>
    <s v="6202.40.7511"/>
    <n v="225"/>
    <n v="47.344900000000003"/>
    <n v="32.950000000000003"/>
    <n v="0.27700000000000002"/>
    <n v="9.1271500000000021"/>
    <n v="7.4999999999999997E-2"/>
    <n v="2.4712499999999999"/>
    <n v="7.0000000000000007E-2"/>
    <n v="2.3065000000000002"/>
    <n v="0.49"/>
    <n v="200"/>
    <m/>
    <m/>
    <m/>
    <m/>
    <m/>
    <m/>
    <n v="200"/>
    <n v="45000"/>
    <n v="0"/>
    <n v="45000"/>
    <n v="9468.9800000000014"/>
    <n v="0"/>
    <n v="9468.9800000000014"/>
    <n v="6590.0000000000009"/>
    <n v="0"/>
    <n v="6590.0000000000009"/>
  </r>
  <r>
    <s v="FALL 2024"/>
    <x v="2"/>
    <x v="5"/>
    <s v="PORTA ASIATACA"/>
    <x v="0"/>
    <s v="STF24W50959"/>
    <m/>
    <s v="55% TENCEL/43% POLYESTER/2% SPANDEX BLEND 150 GM/M2_x000a_"/>
    <s v="WOVEN"/>
    <s v="6204.63.9010"/>
    <n v="175"/>
    <n v="34.594799999999999"/>
    <n v="23.95"/>
    <n v="0.27900000000000003"/>
    <n v="6.6820500000000003"/>
    <n v="7.4999999999999997E-2"/>
    <n v="1.7962499999999999"/>
    <n v="7.0000000000000007E-2"/>
    <n v="1.6765000000000001"/>
    <n v="0.49"/>
    <n v="200"/>
    <m/>
    <m/>
    <m/>
    <m/>
    <m/>
    <m/>
    <n v="200"/>
    <n v="35000"/>
    <n v="0"/>
    <n v="35000"/>
    <n v="6918.96"/>
    <n v="0"/>
    <n v="6918.96"/>
    <n v="4790"/>
    <n v="0"/>
    <n v="4790"/>
  </r>
  <r>
    <s v="FALL 2024"/>
    <x v="2"/>
    <x v="10"/>
    <s v="PORTA ASIATACA"/>
    <x v="0"/>
    <s v="STF24W50983"/>
    <m/>
    <s v="55% TENCEL/43% POLYESTER/2% SPANDEX BLEND  150 GM/M2_x000a_"/>
    <s v="WOVEN"/>
    <s v="6206.40.3035"/>
    <n v="135"/>
    <n v="31.456599999999998"/>
    <n v="21.9"/>
    <n v="0.26900000000000002"/>
    <n v="5.8910999999999998"/>
    <n v="7.4999999999999997E-2"/>
    <n v="1.6424999999999998"/>
    <n v="7.0000000000000007E-2"/>
    <n v="1.5330000000000001"/>
    <n v="0.49"/>
    <n v="200"/>
    <n v="8"/>
    <m/>
    <m/>
    <m/>
    <m/>
    <m/>
    <n v="208"/>
    <n v="27000"/>
    <n v="1080"/>
    <n v="28080"/>
    <n v="6291.32"/>
    <n v="251.65279999999998"/>
    <n v="6542.9727999999996"/>
    <n v="4380"/>
    <n v="175.2"/>
    <n v="4555.2"/>
  </r>
  <r>
    <s v="FALL 2024"/>
    <x v="2"/>
    <x v="2"/>
    <s v="PORTA ASIATACA"/>
    <x v="0"/>
    <s v="STF24W50984"/>
    <m/>
    <s v="55% TENCEL/43% POLYESTER/2% SPANDEX BLEND  150 GM/M2_x000a_"/>
    <s v="WOVEN"/>
    <s v="6204.69.2840"/>
    <n v="125"/>
    <n v="29.067069999999998"/>
    <n v="19.97"/>
    <n v="0.28599999999999998"/>
    <n v="5.7114199999999995"/>
    <n v="7.4999999999999997E-2"/>
    <n v="1.4977499999999999"/>
    <n v="7.0000000000000007E-2"/>
    <n v="1.3979000000000001"/>
    <n v="0.49"/>
    <n v="200"/>
    <n v="162"/>
    <m/>
    <m/>
    <m/>
    <m/>
    <m/>
    <n v="362"/>
    <n v="25000"/>
    <n v="20250"/>
    <n v="45250"/>
    <n v="5813.4139999999998"/>
    <n v="4708.8653399999994"/>
    <n v="10522.279339999999"/>
    <n v="3994"/>
    <n v="3235.14"/>
    <n v="7229.1399999999994"/>
  </r>
  <r>
    <s v="FALL 2024"/>
    <x v="2"/>
    <x v="4"/>
    <s v="PORTA ASIATACA"/>
    <x v="0"/>
    <s v="STF24W51015"/>
    <m/>
    <s v="95% POLYESTER/5% SPANDEX BRUSHED DIVER 280 GM/M2"/>
    <s v="KNIT"/>
    <s v="6112.12.0020"/>
    <n v="135"/>
    <n v="28.673249999999996"/>
    <n v="19.75"/>
    <n v="0.28199999999999997"/>
    <n v="5.5694999999999997"/>
    <n v="7.4999999999999997E-2"/>
    <n v="1.48125"/>
    <n v="7.0000000000000007E-2"/>
    <n v="1.3825000000000001"/>
    <n v="0.49"/>
    <n v="251"/>
    <n v="8"/>
    <m/>
    <m/>
    <m/>
    <m/>
    <m/>
    <n v="259"/>
    <n v="33885"/>
    <n v="1080"/>
    <n v="34965"/>
    <n v="7196.9857499999989"/>
    <n v="229.38599999999997"/>
    <n v="7426.3717499999984"/>
    <n v="4957.25"/>
    <n v="158"/>
    <n v="5115.25"/>
  </r>
  <r>
    <s v="FALL 2024"/>
    <x v="2"/>
    <x v="5"/>
    <s v="PORTA ASIATACA"/>
    <x v="0"/>
    <s v="STF24W51016"/>
    <m/>
    <s v="95% POLYESTER/5% SPANDEX BRUSHED DIVER 280 GM/M2"/>
    <s v="KNIT"/>
    <s v="6112.12.0060"/>
    <n v="125"/>
    <n v="27.602999999999998"/>
    <n v="19"/>
    <n v="0.28199999999999997"/>
    <n v="5.3579999999999997"/>
    <n v="7.4999999999999997E-2"/>
    <n v="1.425"/>
    <n v="7.0000000000000007E-2"/>
    <n v="1.33"/>
    <n v="0.49"/>
    <n v="251"/>
    <n v="8"/>
    <m/>
    <m/>
    <m/>
    <m/>
    <m/>
    <n v="259"/>
    <n v="31375"/>
    <n v="1000"/>
    <n v="32375"/>
    <n v="6928.3529999999992"/>
    <n v="220.82399999999998"/>
    <n v="7149.1769999999988"/>
    <n v="4769"/>
    <n v="152"/>
    <n v="4921"/>
  </r>
  <r>
    <s v="FALL 2024"/>
    <x v="2"/>
    <x v="4"/>
    <s v="PORTA ASIATACA"/>
    <x v="0"/>
    <s v="STF24W51015"/>
    <m/>
    <s v="95% POLYESTER/5% SPANDEX BRUSHED DIVER 280 GM/M2"/>
    <s v="KNIT"/>
    <s v="6112.12.0020"/>
    <n v="135"/>
    <n v="28.673249999999996"/>
    <n v="19.75"/>
    <n v="0.28199999999999997"/>
    <n v="5.5694999999999997"/>
    <n v="7.4999999999999997E-2"/>
    <n v="1.48125"/>
    <n v="7.0000000000000007E-2"/>
    <n v="1.3825000000000001"/>
    <n v="0.49"/>
    <n v="251"/>
    <m/>
    <m/>
    <m/>
    <m/>
    <m/>
    <m/>
    <n v="251"/>
    <n v="33885"/>
    <n v="0"/>
    <n v="33885"/>
    <n v="7196.9857499999989"/>
    <n v="0"/>
    <n v="7196.9857499999989"/>
    <n v="4957.25"/>
    <n v="0"/>
    <n v="4957.25"/>
  </r>
  <r>
    <s v="FALL 2024"/>
    <x v="2"/>
    <x v="5"/>
    <s v="PORTA ASIATACA"/>
    <x v="0"/>
    <s v="STF24W51016"/>
    <m/>
    <s v="95% POLYESTER/5% SPANDEX BRUSHED DIVER 280 GM/M2"/>
    <s v="KNIT"/>
    <s v="6112.12.0060"/>
    <n v="125"/>
    <n v="27.602999999999998"/>
    <n v="19"/>
    <n v="0.28199999999999997"/>
    <n v="5.3579999999999997"/>
    <n v="7.4999999999999997E-2"/>
    <n v="1.425"/>
    <n v="7.0000000000000007E-2"/>
    <n v="1.33"/>
    <n v="0.49"/>
    <n v="251"/>
    <m/>
    <m/>
    <m/>
    <m/>
    <m/>
    <m/>
    <n v="251"/>
    <n v="31375"/>
    <n v="0"/>
    <n v="31375"/>
    <n v="6928.3529999999992"/>
    <n v="0"/>
    <n v="6928.3529999999992"/>
    <n v="4769"/>
    <n v="0"/>
    <n v="4769"/>
  </r>
  <r>
    <s v="FALL 2024"/>
    <x v="2"/>
    <x v="11"/>
    <s v="PORTA ASIATACA"/>
    <x v="0"/>
    <s v="STF24W51017"/>
    <m/>
    <s v="83% DULL VISCOSE/17% ELITE POLYESTER"/>
    <s v="SWEATER                SIZE XS-XL"/>
    <s v="6110.30.3020"/>
    <n v="190"/>
    <n v="47.296750000000003"/>
    <n v="31.95"/>
    <n v="0.32"/>
    <n v="10.224"/>
    <n v="7.4999999999999997E-2"/>
    <n v="2.3962499999999998"/>
    <n v="7.0000000000000007E-2"/>
    <n v="2.2365000000000004"/>
    <n v="0.49"/>
    <n v="252"/>
    <n v="5"/>
    <m/>
    <m/>
    <m/>
    <m/>
    <m/>
    <n v="257"/>
    <n v="47880"/>
    <n v="950"/>
    <n v="48830"/>
    <n v="11918.781000000001"/>
    <n v="236.48375000000001"/>
    <n v="12155.26475"/>
    <n v="8051.4"/>
    <n v="159.75"/>
    <n v="8211.15"/>
  </r>
  <r>
    <s v="FALL 2024"/>
    <x v="2"/>
    <x v="11"/>
    <s v="PORTA ASIATACA"/>
    <x v="0"/>
    <s v="STF24W51018"/>
    <m/>
    <s v="83% DULL VISCOSE/17% ELITE POLYESTER"/>
    <s v="SWEATER                SIZE XS-XL"/>
    <s v="6104.69.2060"/>
    <n v="125"/>
    <n v="34.452599999999997"/>
    <n v="23.8"/>
    <n v="0.28199999999999997"/>
    <n v="6.7115999999999998"/>
    <n v="7.4999999999999997E-2"/>
    <n v="1.7849999999999999"/>
    <n v="7.0000000000000007E-2"/>
    <n v="1.6660000000000001"/>
    <n v="0.49"/>
    <n v="251"/>
    <n v="5"/>
    <m/>
    <m/>
    <m/>
    <m/>
    <m/>
    <n v="256"/>
    <n v="31375"/>
    <n v="625"/>
    <n v="32000"/>
    <n v="8647.6025999999983"/>
    <n v="172.26299999999998"/>
    <n v="8819.8655999999992"/>
    <n v="5973.8"/>
    <n v="119"/>
    <n v="6092.8"/>
  </r>
  <r>
    <s v="FALL 2024"/>
    <x v="2"/>
    <x v="11"/>
    <s v="PORTA ASIATACA"/>
    <x v="0"/>
    <s v="STF24W51017"/>
    <m/>
    <s v="83% DULL VISCOSE/17% ELITE POLYESTER"/>
    <s v="SWEATER                SIZE XS-XL"/>
    <s v="6110.30.3020"/>
    <n v="190"/>
    <n v="47.296750000000003"/>
    <n v="31.95"/>
    <n v="0.32"/>
    <n v="10.224"/>
    <n v="7.4999999999999997E-2"/>
    <n v="2.3962499999999998"/>
    <n v="7.0000000000000007E-2"/>
    <n v="2.2365000000000004"/>
    <n v="0.49"/>
    <n v="252"/>
    <n v="33"/>
    <m/>
    <m/>
    <m/>
    <m/>
    <m/>
    <n v="285"/>
    <n v="47880"/>
    <n v="6270"/>
    <n v="54150"/>
    <n v="11918.781000000001"/>
    <n v="1560.7927500000001"/>
    <n v="13479.573750000001"/>
    <n v="8051.4"/>
    <n v="1054.3499999999999"/>
    <n v="9105.75"/>
  </r>
  <r>
    <s v="FALL 2024"/>
    <x v="2"/>
    <x v="11"/>
    <s v="PORTA ASIATACA"/>
    <x v="0"/>
    <s v="STF24W51018"/>
    <m/>
    <s v="83% DULL VISCOSE/17% ELITE POLYESTER"/>
    <s v="SWEATER                SIZE XS-XL"/>
    <s v="6104.69.2060"/>
    <n v="125"/>
    <n v="34.452599999999997"/>
    <n v="23.8"/>
    <n v="0.28199999999999997"/>
    <n v="6.7115999999999998"/>
    <n v="7.4999999999999997E-2"/>
    <n v="1.7849999999999999"/>
    <n v="7.0000000000000007E-2"/>
    <n v="1.6660000000000001"/>
    <n v="0.49"/>
    <n v="251"/>
    <n v="9"/>
    <m/>
    <m/>
    <m/>
    <m/>
    <m/>
    <n v="260"/>
    <n v="31375"/>
    <n v="1125"/>
    <n v="32500"/>
    <n v="8647.6025999999983"/>
    <n v="310.07339999999999"/>
    <n v="8957.6759999999977"/>
    <n v="5973.8"/>
    <n v="214.20000000000002"/>
    <n v="6188"/>
  </r>
  <r>
    <s v="FALL 2024"/>
    <x v="2"/>
    <x v="4"/>
    <s v="PORTA ASIATACA"/>
    <x v="0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300"/>
    <n v="8"/>
    <m/>
    <m/>
    <m/>
    <m/>
    <n v="8"/>
    <n v="316"/>
    <n v="45000"/>
    <n v="2400"/>
    <n v="47400"/>
    <n v="8709"/>
    <n v="392.24"/>
    <n v="9101.24"/>
    <n v="6000"/>
    <n v="320"/>
    <n v="6320"/>
  </r>
  <r>
    <s v="FALL 2024"/>
    <x v="2"/>
    <x v="5"/>
    <s v="PORTA ASIATACA"/>
    <x v="0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8"/>
    <m/>
    <m/>
    <m/>
    <m/>
    <n v="8"/>
    <n v="316"/>
    <n v="37500"/>
    <n v="2000"/>
    <n v="39500"/>
    <n v="7424.7"/>
    <n v="333.99199999999996"/>
    <n v="7758.692"/>
    <n v="5100"/>
    <n v="272"/>
    <n v="5372"/>
  </r>
  <r>
    <s v="FALL 2024"/>
    <x v="2"/>
    <x v="4"/>
    <s v="PORTA ASIATACA"/>
    <x v="0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300"/>
    <n v="14"/>
    <m/>
    <m/>
    <m/>
    <m/>
    <n v="8"/>
    <n v="322"/>
    <n v="45000"/>
    <n v="3300"/>
    <n v="48300"/>
    <n v="8709"/>
    <n v="566.41999999999996"/>
    <n v="9275.42"/>
    <n v="6000"/>
    <n v="440"/>
    <n v="6440"/>
  </r>
  <r>
    <s v="FALL 2024"/>
    <x v="2"/>
    <x v="5"/>
    <s v="PORTA ASIATACA"/>
    <x v="0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14"/>
    <m/>
    <m/>
    <m/>
    <m/>
    <n v="8"/>
    <n v="322"/>
    <n v="37500"/>
    <n v="2750"/>
    <n v="40250"/>
    <n v="7424.7"/>
    <n v="482.48599999999999"/>
    <n v="7907.1859999999997"/>
    <n v="5100"/>
    <n v="374"/>
    <n v="5474"/>
  </r>
  <r>
    <s v="FALL 2024"/>
    <x v="2"/>
    <x v="4"/>
    <s v="PORTA ASIATACA"/>
    <x v="0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251"/>
    <n v="8"/>
    <m/>
    <m/>
    <m/>
    <m/>
    <n v="8"/>
    <n v="267"/>
    <n v="37650"/>
    <n v="2400"/>
    <n v="40050"/>
    <n v="7286.53"/>
    <n v="392.24"/>
    <n v="7678.7699999999995"/>
    <n v="5020"/>
    <n v="320"/>
    <n v="5340"/>
  </r>
  <r>
    <s v="FALL 2024"/>
    <x v="2"/>
    <x v="5"/>
    <s v="PORTA ASIATACA"/>
    <x v="0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251"/>
    <n v="8"/>
    <m/>
    <m/>
    <m/>
    <m/>
    <n v="8"/>
    <n v="267"/>
    <n v="31375"/>
    <n v="2000"/>
    <n v="33375"/>
    <n v="6211.9989999999998"/>
    <n v="333.99199999999996"/>
    <n v="6545.991"/>
    <n v="4267"/>
    <n v="272"/>
    <n v="4539"/>
  </r>
  <r>
    <s v="FALL 2024"/>
    <x v="2"/>
    <x v="1"/>
    <s v="PORTA ASIATACA"/>
    <x v="0"/>
    <s v="STF24W51008"/>
    <m/>
    <s v="93% POLYESTER/7% SPANDEX VELOUR 300 GM/M2"/>
    <s v="KNIT"/>
    <s v="6106.20.2010"/>
    <n v="118"/>
    <n v="23.93"/>
    <n v="16"/>
    <n v="0.32"/>
    <n v="5.12"/>
    <n v="7.4999999999999997E-2"/>
    <n v="1.2"/>
    <n v="7.0000000000000007E-2"/>
    <n v="1.1200000000000001"/>
    <n v="0.49"/>
    <n v="300"/>
    <m/>
    <m/>
    <m/>
    <m/>
    <m/>
    <n v="8"/>
    <n v="308"/>
    <n v="35400"/>
    <n v="944"/>
    <n v="36344"/>
    <n v="7179"/>
    <n v="128"/>
    <n v="7307"/>
    <n v="4800"/>
    <n v="128"/>
    <n v="4928"/>
  </r>
  <r>
    <s v="FALL 2024"/>
    <x v="2"/>
    <x v="19"/>
    <s v="PORTA ASIATACA"/>
    <x v="0"/>
    <s v="STF24W51009"/>
    <m/>
    <s v="92% POLYESTER/7% SPANDEX VELOUR 300 GM/M2_x000a_NYLON PLEATS: 92% NYLON/8% SPANDEX 125-130 GM/M2"/>
    <s v="KNIT"/>
    <s v="6104.53.2010"/>
    <n v="88"/>
    <n v="16.149999999999999"/>
    <n v="12"/>
    <n v="0.16"/>
    <n v="1.92"/>
    <n v="7.4999999999999997E-2"/>
    <n v="0.89999999999999991"/>
    <n v="7.0000000000000007E-2"/>
    <n v="0.84000000000000008"/>
    <n v="0.49"/>
    <n v="300"/>
    <m/>
    <m/>
    <m/>
    <m/>
    <m/>
    <n v="8"/>
    <n v="308"/>
    <n v="26400"/>
    <n v="704"/>
    <n v="27104"/>
    <n v="4845"/>
    <n v="96"/>
    <n v="4941"/>
    <n v="3600"/>
    <n v="96"/>
    <n v="3696"/>
  </r>
  <r>
    <s v="FALL 2024"/>
    <x v="2"/>
    <x v="1"/>
    <s v="PORTA ASIATACA"/>
    <x v="0"/>
    <s v="STF24W51008"/>
    <m/>
    <s v="93% POLYESTER/7% SPANDEX VELOUR 300 GM/M2"/>
    <s v="KNIT"/>
    <s v="6106.20.2010"/>
    <n v="118"/>
    <n v="23.93"/>
    <n v="16"/>
    <n v="0.32"/>
    <n v="5.12"/>
    <n v="7.4999999999999997E-2"/>
    <n v="1.2"/>
    <n v="7.0000000000000007E-2"/>
    <n v="1.1200000000000001"/>
    <n v="0.49"/>
    <n v="300"/>
    <m/>
    <m/>
    <m/>
    <m/>
    <m/>
    <n v="8"/>
    <n v="308"/>
    <n v="35400"/>
    <n v="944"/>
    <n v="36344"/>
    <n v="7179"/>
    <n v="128"/>
    <n v="7307"/>
    <n v="4800"/>
    <n v="128"/>
    <n v="4928"/>
  </r>
  <r>
    <s v="FALL 2024"/>
    <x v="2"/>
    <x v="19"/>
    <s v="PORTA ASIATACA"/>
    <x v="0"/>
    <s v="STF24W51009"/>
    <m/>
    <s v="92% POLYESTER/7% SPANDEX VELOUR 300 GM/M2_x000a_NYLON PLEATS: 92% NYLON/8% SPANDEX 125-130 GM/M2"/>
    <s v="KNIT"/>
    <s v="6104.53.2010"/>
    <n v="88"/>
    <n v="16.149999999999999"/>
    <n v="12"/>
    <n v="0.16"/>
    <n v="1.92"/>
    <n v="7.4999999999999997E-2"/>
    <n v="0.89999999999999991"/>
    <n v="7.0000000000000007E-2"/>
    <n v="0.84000000000000008"/>
    <n v="0.49"/>
    <n v="300"/>
    <n v="4"/>
    <m/>
    <m/>
    <m/>
    <m/>
    <n v="8"/>
    <n v="312"/>
    <n v="26400"/>
    <n v="1056"/>
    <n v="27456"/>
    <n v="4845"/>
    <n v="160.6"/>
    <n v="5005.6000000000004"/>
    <n v="3600"/>
    <n v="144"/>
    <n v="3744"/>
  </r>
  <r>
    <s v="FALL 2024"/>
    <x v="2"/>
    <x v="11"/>
    <s v="PORTA ASIATACA"/>
    <x v="0"/>
    <s v="STF24W51012"/>
    <m/>
    <s v="100% HIGH TWIST COTTON 7GG, 2/40S, 6 ENDS"/>
    <s v="SWEATER                SIZE XS-XL"/>
    <s v="6110.20.20.20"/>
    <n v="150"/>
    <n v="29.702999999999999"/>
    <n v="22.3"/>
    <n v="0.16500000000000001"/>
    <n v="3.6795000000000004"/>
    <n v="7.4999999999999997E-2"/>
    <n v="1.6725000000000001"/>
    <n v="7.0000000000000007E-2"/>
    <n v="1.5610000000000002"/>
    <n v="0.49"/>
    <n v="200"/>
    <n v="9"/>
    <m/>
    <m/>
    <m/>
    <m/>
    <n v="8"/>
    <n v="217"/>
    <n v="30000"/>
    <n v="2550"/>
    <n v="32550"/>
    <n v="5940.5999999999995"/>
    <n v="445.72699999999998"/>
    <n v="6386.3269999999993"/>
    <n v="4460"/>
    <n v="379.1"/>
    <n v="4839.1000000000004"/>
  </r>
  <r>
    <s v="FALL 2024"/>
    <x v="2"/>
    <x v="2"/>
    <s v="PORTA ASIATACA"/>
    <x v="0"/>
    <s v="STF24W51010"/>
    <m/>
    <s v="93% POLYESTER/7% SPANDEX VELOUR 300 GM/M2"/>
    <s v="KNIT"/>
    <s v="6104.63.2030"/>
    <n v="88"/>
    <n v="20.967449999999996"/>
    <n v="14.35"/>
    <n v="0.28199999999999997"/>
    <n v="4.0466999999999995"/>
    <n v="7.4999999999999997E-2"/>
    <n v="1.0762499999999999"/>
    <n v="7.0000000000000007E-2"/>
    <n v="1.0045000000000002"/>
    <n v="0.49"/>
    <n v="200"/>
    <n v="159"/>
    <m/>
    <m/>
    <m/>
    <m/>
    <m/>
    <n v="359"/>
    <n v="17600"/>
    <n v="13992"/>
    <n v="31592"/>
    <n v="4193.4899999999989"/>
    <n v="3333.8245499999994"/>
    <n v="7527.3145499999982"/>
    <n v="2870"/>
    <n v="2281.65"/>
    <n v="5151.6499999999996"/>
  </r>
  <r>
    <s v="FALL 2024"/>
    <x v="2"/>
    <x v="15"/>
    <s v="PORTA ASIATACA"/>
    <x v="0"/>
    <s v="STF24W51011"/>
    <m/>
    <s v="93% POLYESTER/7% SPANDEX VELOUR 300 GM/M2"/>
    <s v="KNIT"/>
    <s v="6104.43.2010"/>
    <n v="125"/>
    <n v="19.412499999999998"/>
    <n v="14.5"/>
    <n v="0.16"/>
    <n v="2.3199999999999998"/>
    <n v="7.4999999999999997E-2"/>
    <n v="1.0874999999999999"/>
    <n v="7.0000000000000007E-2"/>
    <n v="1.0150000000000001"/>
    <n v="0.49"/>
    <n v="200"/>
    <m/>
    <m/>
    <m/>
    <m/>
    <m/>
    <m/>
    <n v="200"/>
    <n v="25000"/>
    <n v="0"/>
    <n v="25000"/>
    <n v="3882.4999999999995"/>
    <n v="0"/>
    <n v="3882.4999999999995"/>
    <n v="2900"/>
    <n v="0"/>
    <n v="2900"/>
  </r>
  <r>
    <s v="FALL 2024"/>
    <x v="2"/>
    <x v="15"/>
    <s v="PORTA ASIATACA"/>
    <x v="0"/>
    <s v="STF24W51011"/>
    <m/>
    <s v="93% POLYESTER/7% SPANDEX VELOUR 300 GM/M2"/>
    <s v="KNIT"/>
    <s v="6104.43.2010"/>
    <n v="125"/>
    <n v="19.412499999999998"/>
    <n v="14.5"/>
    <n v="0.16"/>
    <n v="2.3199999999999998"/>
    <n v="7.4999999999999997E-2"/>
    <n v="1.0874999999999999"/>
    <n v="7.0000000000000007E-2"/>
    <n v="1.0150000000000001"/>
    <n v="0.49"/>
    <n v="200"/>
    <m/>
    <m/>
    <m/>
    <m/>
    <m/>
    <m/>
    <n v="200"/>
    <n v="25000"/>
    <n v="0"/>
    <n v="25000"/>
    <n v="3882.4999999999995"/>
    <n v="0"/>
    <n v="3882.4999999999995"/>
    <n v="2900"/>
    <n v="0"/>
    <n v="2900"/>
  </r>
  <r>
    <s v="FALL 2024"/>
    <x v="2"/>
    <x v="11"/>
    <s v="PORTA ASIATACA"/>
    <x v="0"/>
    <s v="STF24W51019"/>
    <m/>
    <s v="72% VISCOSE/28% POLYESTER_x000a_50S/2, 12GG*2ENDS BIRDSEYE JACQUARD"/>
    <s v="SWEATER                SIZE XS-XL"/>
    <s v="6110.30.3020"/>
    <n v="210"/>
    <n v="44.220250000000007"/>
    <n v="29.85"/>
    <n v="0.32"/>
    <n v="9.5520000000000014"/>
    <n v="7.4999999999999997E-2"/>
    <n v="2.23875"/>
    <n v="7.0000000000000007E-2"/>
    <n v="2.0895000000000001"/>
    <n v="0.49"/>
    <n v="200"/>
    <n v="105"/>
    <m/>
    <m/>
    <m/>
    <m/>
    <m/>
    <n v="305"/>
    <n v="42000"/>
    <n v="22050"/>
    <n v="64050"/>
    <n v="8844.0500000000011"/>
    <n v="4643.1262500000012"/>
    <n v="13487.176250000002"/>
    <n v="5970"/>
    <n v="3134.25"/>
    <n v="9104.25"/>
  </r>
  <r>
    <s v="FALL 2024"/>
    <x v="2"/>
    <x v="11"/>
    <s v="PORTA ASIATACA"/>
    <x v="0"/>
    <s v="STF24W51019"/>
    <m/>
    <s v="72% VISCOSE/28% POLYESTER_x000a_50S/2, 12GG*2ENDS BIRDSEYE JACQUARD"/>
    <s v="SWEATER                SIZE XS-XL"/>
    <s v="6110.30.3020"/>
    <n v="210"/>
    <n v="44.220250000000007"/>
    <n v="29.85"/>
    <n v="0.32"/>
    <n v="9.5520000000000014"/>
    <n v="7.4999999999999997E-2"/>
    <n v="2.23875"/>
    <n v="7.0000000000000007E-2"/>
    <n v="2.0895000000000001"/>
    <n v="0.49"/>
    <n v="200"/>
    <m/>
    <m/>
    <m/>
    <m/>
    <m/>
    <m/>
    <n v="200"/>
    <n v="42000"/>
    <n v="0"/>
    <n v="42000"/>
    <n v="8844.0500000000011"/>
    <n v="0"/>
    <n v="8844.0500000000011"/>
    <n v="5970"/>
    <n v="0"/>
    <n v="5970"/>
  </r>
  <r>
    <s v="FALL 2024"/>
    <x v="2"/>
    <x v="11"/>
    <s v="PORTA ASIATACA"/>
    <x v="0"/>
    <s v="STF24W51020"/>
    <m/>
    <s v="83% DULL VISCOSE/17% ELITE POLYESTER"/>
    <s v="SWEATER                SIZE XS-XL"/>
    <s v="6110.30.3020"/>
    <n v="250"/>
    <n v="63.411750000000005"/>
    <n v="42.95"/>
    <n v="0.32"/>
    <n v="13.744000000000002"/>
    <n v="7.4999999999999997E-2"/>
    <n v="3.2212499999999999"/>
    <n v="7.0000000000000007E-2"/>
    <n v="3.0065000000000004"/>
    <n v="0.49"/>
    <n v="200"/>
    <n v="15"/>
    <m/>
    <m/>
    <m/>
    <m/>
    <n v="4"/>
    <n v="219"/>
    <n v="50000"/>
    <n v="4750"/>
    <n v="54750"/>
    <n v="12682.35"/>
    <n v="1122.9762500000002"/>
    <n v="13805.32625"/>
    <n v="8590"/>
    <n v="816.05000000000007"/>
    <n v="9406.0499999999993"/>
  </r>
  <r>
    <s v="FALL 2024"/>
    <x v="2"/>
    <x v="11"/>
    <s v="PORTA ASIATACA"/>
    <x v="0"/>
    <s v="STF24W51021"/>
    <m/>
    <s v="83% DULL VISCOSE/17% ELITE POLYESTER"/>
    <s v="SWEATER                SIZE XS-XL"/>
    <s v="6104.69.2030"/>
    <n v="225"/>
    <n v="57.498650000000012"/>
    <n v="39.950000000000003"/>
    <n v="0.28199999999999997"/>
    <n v="11.2659"/>
    <n v="7.4999999999999997E-2"/>
    <n v="2.9962500000000003"/>
    <n v="7.0000000000000007E-2"/>
    <n v="2.7965000000000004"/>
    <n v="0.49"/>
    <n v="200"/>
    <n v="24"/>
    <m/>
    <m/>
    <m/>
    <m/>
    <n v="4"/>
    <n v="228"/>
    <n v="45000"/>
    <n v="6300"/>
    <n v="51300"/>
    <n v="11499.730000000003"/>
    <n v="1539.7676000000004"/>
    <n v="13039.497600000004"/>
    <n v="7990.0000000000009"/>
    <n v="1118.6000000000001"/>
    <n v="9108.6"/>
  </r>
  <r>
    <s v="FALL 2024"/>
    <x v="2"/>
    <x v="11"/>
    <s v="PORTA ASIATACA"/>
    <x v="0"/>
    <s v="STF24W51020"/>
    <m/>
    <s v="83% DULL VISCOSE/17% ELITE POLYESTER"/>
    <s v="SWEATER                SIZE XS-XL"/>
    <s v="6110.30.3020"/>
    <n v="250"/>
    <n v="63.411750000000005"/>
    <n v="42.95"/>
    <n v="0.32"/>
    <n v="13.744000000000002"/>
    <n v="7.4999999999999997E-2"/>
    <n v="3.2212499999999999"/>
    <n v="7.0000000000000007E-2"/>
    <n v="3.0065000000000004"/>
    <n v="0.49"/>
    <n v="200"/>
    <n v="15"/>
    <m/>
    <m/>
    <m/>
    <m/>
    <m/>
    <n v="215"/>
    <n v="50000"/>
    <n v="3750"/>
    <n v="53750"/>
    <n v="12682.35"/>
    <n v="951.1762500000001"/>
    <n v="13633.526250000001"/>
    <n v="8590"/>
    <n v="644.25"/>
    <n v="9234.25"/>
  </r>
  <r>
    <s v="FALL 2024"/>
    <x v="2"/>
    <x v="11"/>
    <s v="PORTA ASIATACA"/>
    <x v="0"/>
    <s v="STF24W51021"/>
    <m/>
    <s v="83% DULL VISCOSE/17% ELITE POLYESTER"/>
    <s v="SWEATER                SIZE XS-XL"/>
    <s v="6104.69.2030"/>
    <n v="225"/>
    <n v="57.498650000000012"/>
    <n v="39.950000000000003"/>
    <n v="0.28199999999999997"/>
    <n v="11.2659"/>
    <n v="7.4999999999999997E-2"/>
    <n v="2.9962500000000003"/>
    <n v="7.0000000000000007E-2"/>
    <n v="2.7965000000000004"/>
    <n v="0.49"/>
    <n v="200"/>
    <n v="15"/>
    <m/>
    <m/>
    <m/>
    <m/>
    <m/>
    <n v="215"/>
    <n v="45000"/>
    <n v="3375"/>
    <n v="48375"/>
    <n v="11499.730000000003"/>
    <n v="862.47975000000019"/>
    <n v="12362.209750000004"/>
    <n v="7990.0000000000009"/>
    <n v="599.25"/>
    <n v="8589.25"/>
  </r>
  <r>
    <s v="FALL 2024"/>
    <x v="2"/>
    <x v="4"/>
    <s v="PORTA ASIATACA"/>
    <x v="0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251"/>
    <n v="112"/>
    <m/>
    <m/>
    <m/>
    <m/>
    <m/>
    <n v="363"/>
    <n v="37650"/>
    <n v="16800"/>
    <n v="54450"/>
    <n v="7268.621149999999"/>
    <n v="3243.3687999999993"/>
    <n v="10511.989949999999"/>
    <n v="5007.45"/>
    <n v="2234.4"/>
    <n v="7241.85"/>
  </r>
  <r>
    <s v="FALL 2024"/>
    <x v="2"/>
    <x v="5"/>
    <s v="PORTA ASIATACA"/>
    <x v="0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1"/>
    <n v="112"/>
    <m/>
    <m/>
    <m/>
    <m/>
    <m/>
    <n v="363"/>
    <n v="33885"/>
    <n v="15120"/>
    <n v="49005"/>
    <n v="6391.0874999999996"/>
    <n v="2851.7999999999997"/>
    <n v="9242.8874999999989"/>
    <n v="4392.5"/>
    <n v="1960"/>
    <n v="6352.5"/>
  </r>
  <r>
    <s v="FALL 2024"/>
    <x v="2"/>
    <x v="4"/>
    <s v="PORTA ASIATACA"/>
    <x v="0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300"/>
    <n v="26"/>
    <m/>
    <m/>
    <m/>
    <m/>
    <m/>
    <n v="326"/>
    <n v="45000"/>
    <n v="3900"/>
    <n v="48900"/>
    <n v="8687.5949999999993"/>
    <n v="752.92489999999987"/>
    <n v="9440.5198999999993"/>
    <n v="5985"/>
    <n v="518.69999999999993"/>
    <n v="6503.7"/>
  </r>
  <r>
    <s v="FALL 2024"/>
    <x v="2"/>
    <x v="5"/>
    <s v="PORTA ASIATACA"/>
    <x v="0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300"/>
    <n v="26"/>
    <m/>
    <m/>
    <m/>
    <m/>
    <m/>
    <n v="326"/>
    <n v="40500"/>
    <n v="3510"/>
    <n v="44010"/>
    <n v="7638.75"/>
    <n v="662.02499999999998"/>
    <n v="8300.7749999999996"/>
    <n v="5250"/>
    <n v="455"/>
    <n v="5705"/>
  </r>
  <r>
    <s v="FALL 2024"/>
    <x v="2"/>
    <x v="4"/>
    <s v="PORTA ASIATACA"/>
    <x v="0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300"/>
    <n v="10"/>
    <m/>
    <m/>
    <m/>
    <m/>
    <m/>
    <n v="310"/>
    <n v="45000"/>
    <n v="1500"/>
    <n v="46500"/>
    <n v="8687.5949999999993"/>
    <n v="289.58649999999994"/>
    <n v="8977.1814999999988"/>
    <n v="5985"/>
    <n v="199.5"/>
    <n v="6184.5"/>
  </r>
  <r>
    <s v="FALL 2024"/>
    <x v="2"/>
    <x v="5"/>
    <s v="PORTA ASIATACA"/>
    <x v="0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300"/>
    <n v="10"/>
    <m/>
    <m/>
    <m/>
    <m/>
    <m/>
    <n v="310"/>
    <n v="40500"/>
    <n v="1350"/>
    <n v="41850"/>
    <n v="7638.75"/>
    <n v="254.625"/>
    <n v="7893.375"/>
    <n v="5250"/>
    <n v="175"/>
    <n v="5425"/>
  </r>
  <r>
    <s v="FALL 2024"/>
    <x v="2"/>
    <x v="4"/>
    <s v="PORTA ASIATACA"/>
    <x v="0"/>
    <s v="STF24W50957"/>
    <m/>
    <s v="BODY: 100% POLYESTER &quot;BONDED FAUX SHERPA&quot; 480 GM/M2                                                        SLEEVES: 100% POLYURETHANE"/>
    <s v="KNIT"/>
    <s v="6112.12.0020"/>
    <n v="325"/>
    <n v="55.429500000000004"/>
    <n v="38.5"/>
    <n v="0.28199999999999997"/>
    <n v="10.856999999999999"/>
    <n v="7.4999999999999997E-2"/>
    <n v="2.8874999999999997"/>
    <n v="7.0000000000000007E-2"/>
    <n v="2.6950000000000003"/>
    <n v="0.49"/>
    <n v="151"/>
    <m/>
    <m/>
    <m/>
    <m/>
    <m/>
    <m/>
    <n v="151"/>
    <n v="49075"/>
    <n v="0"/>
    <n v="49075"/>
    <n v="8369.8545000000013"/>
    <n v="0"/>
    <n v="8369.8545000000013"/>
    <n v="5813.5"/>
    <n v="0"/>
    <n v="5813.5"/>
  </r>
  <r>
    <s v="FALL 2024"/>
    <x v="2"/>
    <x v="9"/>
    <s v="PORTA ASIATACA"/>
    <x v="0"/>
    <s v="STF24W50968"/>
    <m/>
    <s v="92% POLYESTER/8% SPANDEX CHENILLE CHAIN KNIT 380-400 GM/M2"/>
    <s v="KNIT"/>
    <s v="6102.30.2010"/>
    <n v="225"/>
    <n v="49.721499999999999"/>
    <n v="34.5"/>
    <n v="0.28199999999999997"/>
    <n v="9.7289999999999992"/>
    <n v="7.4999999999999997E-2"/>
    <n v="2.5874999999999999"/>
    <n v="7.0000000000000007E-2"/>
    <n v="2.415"/>
    <n v="0.49"/>
    <n v="151"/>
    <n v="5"/>
    <m/>
    <m/>
    <m/>
    <m/>
    <m/>
    <n v="156"/>
    <n v="33975"/>
    <n v="1125"/>
    <n v="35100"/>
    <n v="7507.9465"/>
    <n v="248.60749999999999"/>
    <n v="7756.5540000000001"/>
    <n v="5209.5"/>
    <n v="172.5"/>
    <n v="53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FALL 2025"/>
    <s v="MEN"/>
    <x v="0"/>
    <s v="FYNEX"/>
    <s v="CHINA"/>
    <s v="STF25M51348"/>
    <s v="FF447-F"/>
    <s v="88% NYLON/12% SPANDEX 125 GM/M2 WATER REPELLENT"/>
    <s v="WOVEN"/>
    <s v="6201.40.7511"/>
    <n v="165"/>
    <n v="33.039580000000008"/>
    <n v="22.89"/>
    <n v="0.27700000000000002"/>
    <n v="6.3405300000000011"/>
    <n v="7.4999999999999997E-2"/>
    <n v="1.71675"/>
    <n v="7.0000000000000007E-2"/>
    <n v="1.6023000000000003"/>
    <n v="0.49"/>
    <n v="550"/>
    <n v="139"/>
    <m/>
    <m/>
    <m/>
    <m/>
    <m/>
    <n v="689"/>
    <n v="90750"/>
    <n v="22935"/>
    <n v="113685"/>
    <n v="18171.769000000004"/>
  </r>
  <r>
    <s v="FALL 2025"/>
    <s v="MEN"/>
    <x v="1"/>
    <s v="FYNEX"/>
    <s v="CHINA"/>
    <s v="STF25M51349"/>
    <s v="FF447-F"/>
    <s v="88% NYLON/12% SPANDEX 125 GM/M2 WATER REPELLENT"/>
    <s v="WOVEN"/>
    <s v="6203.43.9010"/>
    <n v="135"/>
    <n v="25.253360000000001"/>
    <n v="17.39"/>
    <n v="0.27900000000000003"/>
    <n v="4.8518100000000004"/>
    <n v="7.4999999999999997E-2"/>
    <n v="1.3042499999999999"/>
    <n v="7.0000000000000007E-2"/>
    <n v="1.2173"/>
    <n v="0.49"/>
    <n v="450"/>
    <n v="140"/>
    <m/>
    <m/>
    <m/>
    <m/>
    <m/>
    <n v="590"/>
    <n v="60750"/>
    <n v="18900"/>
    <n v="79650"/>
    <n v="11364.012000000001"/>
  </r>
  <r>
    <s v="FALL 2025"/>
    <s v="MEN"/>
    <x v="0"/>
    <s v="FYNEX"/>
    <s v="CHINA"/>
    <s v="STF25M51348"/>
    <s v="FF447-F"/>
    <s v="88% NYLON/12% SPANDEX 125 GM/M2 WATER REPELLENT"/>
    <s v="WOVEN"/>
    <s v="6201.40.7511"/>
    <n v="165"/>
    <n v="33.039580000000008"/>
    <n v="22.89"/>
    <n v="0.27700000000000002"/>
    <n v="6.3405300000000011"/>
    <n v="7.4999999999999997E-2"/>
    <n v="1.71675"/>
    <n v="7.0000000000000007E-2"/>
    <n v="1.6023000000000003"/>
    <n v="0.49"/>
    <n v="450"/>
    <n v="15"/>
    <n v="35"/>
    <m/>
    <m/>
    <m/>
    <m/>
    <n v="500"/>
    <n v="74250"/>
    <n v="8250"/>
    <n v="82500"/>
    <n v="14867.811000000003"/>
  </r>
  <r>
    <s v="FALL 2025"/>
    <s v="MEN"/>
    <x v="1"/>
    <s v="FYNEX"/>
    <s v="CHINA"/>
    <s v="STF25M51349"/>
    <s v="FF447-F"/>
    <s v="88% NYLON/12% SPANDEX 125 GM/M2 WATER REPELLENT"/>
    <s v="WOVEN"/>
    <s v="6203.43.9010"/>
    <n v="135"/>
    <n v="25.253360000000001"/>
    <n v="17.39"/>
    <n v="0.27900000000000003"/>
    <n v="4.8518100000000004"/>
    <n v="7.4999999999999997E-2"/>
    <n v="1.3042499999999999"/>
    <n v="7.0000000000000007E-2"/>
    <n v="1.2173"/>
    <n v="0.49"/>
    <n v="400"/>
    <n v="15"/>
    <n v="85"/>
    <m/>
    <m/>
    <m/>
    <m/>
    <n v="500"/>
    <n v="54000"/>
    <n v="13500"/>
    <n v="67500"/>
    <n v="10101.344000000001"/>
  </r>
  <r>
    <s v="FALL 2025"/>
    <s v="MEN"/>
    <x v="2"/>
    <s v="FYNEX"/>
    <s v="CHINA"/>
    <s v="STF25M51350"/>
    <s v="FF445-F"/>
    <s v="100% POLYESTER DRY TOUCH PIQUE 130 GM/M2 MOISTURE WICKING"/>
    <s v="KNIT"/>
    <s v="6109.90.1007"/>
    <n v="58"/>
    <n v="10.876850000000001"/>
    <n v="7.09"/>
    <n v="0.32"/>
    <n v="2.2688000000000001"/>
    <n v="7.4999999999999997E-2"/>
    <n v="0.53174999999999994"/>
    <n v="7.0000000000000007E-2"/>
    <n v="0.49630000000000002"/>
    <n v="0.49"/>
    <n v="500"/>
    <n v="13"/>
    <m/>
    <m/>
    <m/>
    <m/>
    <m/>
    <n v="513"/>
    <n v="29000"/>
    <n v="754"/>
    <n v="29754"/>
    <n v="5438.4250000000002"/>
  </r>
  <r>
    <s v="FALL 2025"/>
    <s v="MEN"/>
    <x v="2"/>
    <s v="FYNEX"/>
    <s v="CHINA"/>
    <s v="STF25M51350"/>
    <s v="FF445-F"/>
    <s v="100% POLYESTER DRY TOUCH PIQUE 130 GM/M2 MOISTURE WICKING"/>
    <s v="KNIT"/>
    <s v="6109.90.1007"/>
    <n v="58"/>
    <n v="10.876850000000001"/>
    <n v="7.09"/>
    <n v="0.32"/>
    <n v="2.2688000000000001"/>
    <n v="7.4999999999999997E-2"/>
    <n v="0.53174999999999994"/>
    <n v="7.0000000000000007E-2"/>
    <n v="0.49630000000000002"/>
    <n v="0.49"/>
    <n v="500"/>
    <n v="116"/>
    <m/>
    <m/>
    <m/>
    <m/>
    <m/>
    <n v="616"/>
    <n v="29000"/>
    <n v="6728"/>
    <n v="35728"/>
    <n v="5438.4250000000002"/>
  </r>
  <r>
    <s v="FALL 2025"/>
    <s v="MEN"/>
    <x v="3"/>
    <s v="FYNEX"/>
    <s v="CHINA"/>
    <s v="STF25M51351"/>
    <s v="FF447-F"/>
    <s v="88% NYLON/12% SPANDEX 125 GM/M2 WATER REPELLENT"/>
    <s v="WOVEN"/>
    <s v="6203.43.9030"/>
    <n v="78"/>
    <n v="16.282160000000001"/>
    <n v="11.09"/>
    <n v="0.27900000000000003"/>
    <n v="3.0941100000000001"/>
    <n v="7.4999999999999997E-2"/>
    <n v="0.83174999999999999"/>
    <n v="7.0000000000000007E-2"/>
    <n v="0.7763000000000001"/>
    <n v="0.49"/>
    <n v="500"/>
    <n v="13"/>
    <m/>
    <m/>
    <m/>
    <m/>
    <m/>
    <n v="513"/>
    <n v="39000"/>
    <n v="1014"/>
    <n v="40014"/>
    <n v="8141.0800000000008"/>
  </r>
  <r>
    <s v="FALL 2025"/>
    <s v="MEN"/>
    <x v="3"/>
    <s v="FYNEX"/>
    <s v="CHINA"/>
    <s v="STF25M51351"/>
    <s v="FF447-F"/>
    <s v="88% NYLON/12% SPANDEX 125 GM/M2 WATER REPELLENT"/>
    <s v="WOVEN"/>
    <s v="6203.43.9030"/>
    <n v="78"/>
    <n v="16.282160000000001"/>
    <n v="11.09"/>
    <n v="0.27900000000000003"/>
    <n v="3.0941100000000001"/>
    <n v="7.4999999999999997E-2"/>
    <n v="0.83174999999999999"/>
    <n v="7.0000000000000007E-2"/>
    <n v="0.7763000000000001"/>
    <n v="0.49"/>
    <n v="500"/>
    <n v="116"/>
    <m/>
    <m/>
    <m/>
    <m/>
    <m/>
    <n v="616"/>
    <n v="39000"/>
    <n v="9048"/>
    <n v="48048"/>
    <n v="8141.0800000000008"/>
  </r>
  <r>
    <s v="FALL 2025"/>
    <s v="MEN"/>
    <x v="2"/>
    <s v="FYNEX"/>
    <s v="CHINA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96"/>
    <m/>
    <m/>
    <m/>
    <m/>
    <m/>
    <n v="596"/>
    <n v="34000"/>
    <n v="6528"/>
    <n v="40528"/>
    <n v="6903.4249999999993"/>
  </r>
  <r>
    <s v="FALL 2025"/>
    <s v="MEN"/>
    <x v="2"/>
    <s v="FYNEX"/>
    <s v="CHINA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72"/>
    <m/>
    <m/>
    <m/>
    <m/>
    <m/>
    <n v="572"/>
    <n v="34000"/>
    <n v="4896"/>
    <n v="38896"/>
    <n v="6903.4249999999993"/>
  </r>
  <r>
    <s v="FALL 2025"/>
    <s v="MEN"/>
    <x v="2"/>
    <s v="FYNEX"/>
    <s v="CHINA"/>
    <s v="STF25M51352"/>
    <s v="FF446-F"/>
    <s v="60% NYLON/40% SPANDEX GRID KNIT MOISTURE WICKING                                                 "/>
    <s v="KNIT"/>
    <s v="6109.90.1007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500"/>
    <n v="72"/>
    <m/>
    <m/>
    <m/>
    <m/>
    <m/>
    <n v="572"/>
    <n v="34000"/>
    <n v="4896"/>
    <n v="38896"/>
    <n v="6903.4249999999993"/>
  </r>
  <r>
    <s v="FALL 2025"/>
    <s v="MEN"/>
    <x v="3"/>
    <s v="FYNEX"/>
    <s v="CHINA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72"/>
    <m/>
    <m/>
    <m/>
    <m/>
    <m/>
    <n v="572"/>
    <n v="39000"/>
    <n v="5616"/>
    <n v="44616"/>
    <n v="7800.9650000000001"/>
  </r>
  <r>
    <s v="FALL 2025"/>
    <s v="MEN"/>
    <x v="3"/>
    <s v="FYNEX"/>
    <s v="CHINA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96"/>
    <m/>
    <m/>
    <m/>
    <m/>
    <m/>
    <n v="596"/>
    <n v="39000"/>
    <n v="7488"/>
    <n v="46488"/>
    <n v="7800.9650000000001"/>
  </r>
  <r>
    <s v="FALL 2025"/>
    <s v="MEN"/>
    <x v="3"/>
    <s v="FYNEX"/>
    <s v="CHINA"/>
    <s v="STF25M51353"/>
    <s v="FF446-F"/>
    <s v="60% NYLON/40% SPANDEX GRID KNIT MOISTURE WICKING                                                 "/>
    <s v="KNIT"/>
    <s v="6103.43.1550"/>
    <n v="78"/>
    <n v="15.601930000000001"/>
    <n v="10.59"/>
    <n v="0.28199999999999997"/>
    <n v="2.9863799999999996"/>
    <n v="7.4999999999999997E-2"/>
    <n v="0.79425000000000001"/>
    <n v="7.0000000000000007E-2"/>
    <n v="0.74130000000000007"/>
    <n v="0.49"/>
    <n v="500"/>
    <n v="72"/>
    <m/>
    <m/>
    <m/>
    <m/>
    <m/>
    <n v="572"/>
    <n v="39000"/>
    <n v="5616"/>
    <n v="44616"/>
    <n v="7800.9650000000001"/>
  </r>
  <r>
    <s v="FALL 2025"/>
    <s v="MEN"/>
    <x v="2"/>
    <s v="FYNEX"/>
    <s v="CHINA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400"/>
    <n v="53"/>
    <n v="47"/>
    <m/>
    <m/>
    <m/>
    <m/>
    <n v="500"/>
    <n v="23200"/>
    <n v="5800"/>
    <n v="29000"/>
    <n v="5053.9399999999996"/>
  </r>
  <r>
    <s v="FALL 2025"/>
    <s v="MEN"/>
    <x v="2"/>
    <s v="FYNEX"/>
    <s v="CHINA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400"/>
    <n v="48"/>
    <n v="52"/>
    <m/>
    <m/>
    <m/>
    <m/>
    <n v="500"/>
    <n v="23200"/>
    <n v="5800"/>
    <n v="29000"/>
    <n v="5053.9399999999996"/>
  </r>
  <r>
    <s v="FALL 2025"/>
    <s v="MEN"/>
    <x v="2"/>
    <s v="FYNEX"/>
    <s v="CHINA"/>
    <s v="STF25M51357"/>
    <s v="FF450-F"/>
    <s v="64% POLYESTER/36% NYLON JERSEY 105 GM/M2 MOISTURE WICKING                                           "/>
    <s v="KNIT"/>
    <s v="6109.90.1007"/>
    <n v="58"/>
    <n v="12.634849999999998"/>
    <n v="8.2899999999999991"/>
    <n v="0.32"/>
    <n v="2.6527999999999996"/>
    <n v="7.4999999999999997E-2"/>
    <n v="0.62174999999999991"/>
    <n v="7.0000000000000007E-2"/>
    <n v="0.58030000000000004"/>
    <n v="0.49"/>
    <n v="500"/>
    <n v="48"/>
    <m/>
    <m/>
    <m/>
    <m/>
    <m/>
    <n v="548"/>
    <n v="29000"/>
    <n v="2784"/>
    <n v="31784"/>
    <n v="6317.4249999999993"/>
  </r>
  <r>
    <s v="FALL 2025"/>
    <s v="MEN"/>
    <x v="2"/>
    <s v="FYNEX"/>
    <s v="CHINA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450"/>
    <n v="101"/>
    <m/>
    <m/>
    <m/>
    <m/>
    <n v="12"/>
    <n v="563"/>
    <n v="35100"/>
    <n v="8814"/>
    <n v="43914"/>
    <n v="7201.9574999999995"/>
  </r>
  <r>
    <s v="FALL 2025"/>
    <s v="MEN"/>
    <x v="2"/>
    <s v="FYNEX"/>
    <s v="CHINA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400"/>
    <n v="103"/>
    <m/>
    <m/>
    <m/>
    <m/>
    <n v="12"/>
    <n v="515"/>
    <n v="31200"/>
    <n v="8970"/>
    <n v="40170"/>
    <n v="6401.74"/>
  </r>
  <r>
    <s v="FALL 2025"/>
    <s v="MEN"/>
    <x v="2"/>
    <s v="FYNEX"/>
    <s v="CHINA"/>
    <s v="STF25M51358"/>
    <s v="FF450-F"/>
    <s v="64% POLYESTER/36% NYLON JERSEY 105 GM/M2 MOISTURE WICKING                                           "/>
    <s v="KNIT"/>
    <s v="6109.90.1007"/>
    <n v="78"/>
    <n v="16.004349999999999"/>
    <n v="10.59"/>
    <n v="0.32"/>
    <n v="3.3887999999999998"/>
    <n v="7.4999999999999997E-2"/>
    <n v="0.79425000000000001"/>
    <n v="7.0000000000000007E-2"/>
    <n v="0.74130000000000007"/>
    <n v="0.49"/>
    <n v="500"/>
    <n v="96"/>
    <m/>
    <m/>
    <m/>
    <m/>
    <m/>
    <n v="596"/>
    <n v="39000"/>
    <n v="7488"/>
    <n v="46488"/>
    <n v="8002.1749999999993"/>
  </r>
  <r>
    <s v="FALL 2025"/>
    <s v="MEN"/>
    <x v="0"/>
    <s v="FYNEX"/>
    <s v="CHINA"/>
    <s v="STF25M51338"/>
    <s v="FF449-F"/>
    <s v="95% POLYESTER/5% SPANDEX PIQUE DOUBLE KNIT 300GM/M2 MOISTURE WICKING"/>
    <s v="KNIT"/>
    <s v="6112.12.0010"/>
    <n v="145"/>
    <n v="25.59093"/>
    <n v="17.59"/>
    <n v="0.28199999999999997"/>
    <n v="4.9603799999999998"/>
    <n v="7.4999999999999997E-2"/>
    <n v="1.31925"/>
    <n v="7.0000000000000007E-2"/>
    <n v="1.2313000000000001"/>
    <n v="0.49"/>
    <n v="550"/>
    <n v="159"/>
    <m/>
    <m/>
    <m/>
    <m/>
    <n v="6"/>
    <n v="715"/>
    <n v="79750"/>
    <n v="23925"/>
    <n v="103675"/>
    <n v="14075.011500000001"/>
  </r>
  <r>
    <s v="FALL 2025"/>
    <s v="MEN"/>
    <x v="1"/>
    <s v="FYNEX"/>
    <s v="CHINA"/>
    <s v="STF25M51339"/>
    <s v="FF449-F"/>
    <s v="95% POLYESTER/5% SPANDEX PIQUE DOUBLE KNIT 300GM/M2 MOISTURE WICKING"/>
    <s v="KNIT"/>
    <s v="6112.12.0050"/>
    <n v="125"/>
    <n v="22.451530000000002"/>
    <n v="15.39"/>
    <n v="0.28199999999999997"/>
    <n v="4.3399799999999997"/>
    <n v="7.4999999999999997E-2"/>
    <n v="1.15425"/>
    <n v="7.0000000000000007E-2"/>
    <n v="1.0773000000000001"/>
    <n v="0.49"/>
    <n v="450"/>
    <n v="160"/>
    <m/>
    <m/>
    <m/>
    <m/>
    <n v="6"/>
    <n v="616"/>
    <n v="56250"/>
    <n v="20750"/>
    <n v="77000"/>
    <n v="10103.1885"/>
  </r>
  <r>
    <s v="FALL 2025"/>
    <s v="MEN"/>
    <x v="0"/>
    <s v="FYNEX"/>
    <s v="CHINA"/>
    <s v="STF25M51338"/>
    <s v="FF449-F"/>
    <s v="95% POLYESTER/5% SPANDEX PIQUE DOUBLE KNIT 300GM/M2 MOISTURE WICKING"/>
    <s v="KNIT"/>
    <s v="6112.12.0010"/>
    <n v="145"/>
    <n v="25.59093"/>
    <n v="17.59"/>
    <n v="0.28199999999999997"/>
    <n v="4.9603799999999998"/>
    <n v="7.4999999999999997E-2"/>
    <n v="1.31925"/>
    <n v="7.0000000000000007E-2"/>
    <n v="1.2313000000000001"/>
    <n v="0.49"/>
    <n v="450"/>
    <n v="23"/>
    <n v="27"/>
    <m/>
    <m/>
    <m/>
    <m/>
    <n v="500"/>
    <n v="65250"/>
    <n v="7250"/>
    <n v="72500"/>
    <n v="11515.9185"/>
  </r>
  <r>
    <s v="FALL 2025"/>
    <s v="MEN"/>
    <x v="1"/>
    <s v="FYNEX"/>
    <s v="CHINA"/>
    <s v="STF25M51339"/>
    <s v="FF449-F"/>
    <s v="95% POLYESTER/5% SPANDEX PIQUE DOUBLE KNIT 300GM/M2 MOISTURE WICKING"/>
    <s v="KNIT"/>
    <s v="6112.12.0050"/>
    <n v="125"/>
    <n v="22.451530000000002"/>
    <n v="15.39"/>
    <n v="0.28199999999999997"/>
    <n v="4.3399799999999997"/>
    <n v="7.4999999999999997E-2"/>
    <n v="1.15425"/>
    <n v="7.0000000000000007E-2"/>
    <n v="1.0773000000000001"/>
    <n v="0.49"/>
    <n v="400"/>
    <n v="23"/>
    <n v="77"/>
    <m/>
    <m/>
    <m/>
    <m/>
    <n v="500"/>
    <n v="50000"/>
    <n v="12500"/>
    <n v="62500"/>
    <n v="8980.612000000001"/>
  </r>
  <r>
    <s v="FALL 2025"/>
    <s v="MEN"/>
    <x v="4"/>
    <s v="FYNEX"/>
    <s v="CHINA"/>
    <s v="STF25M51340"/>
    <s v="FF445-F"/>
    <s v="100% POLYESTER DRY TOUCH PIQUE 130 GM/M2 MOISTURE WICKING"/>
    <s v="KNIT"/>
    <s v="6105.20.2010"/>
    <n v="78"/>
    <n v="15.56485"/>
    <n v="10.29"/>
    <n v="0.32"/>
    <n v="3.2927999999999997"/>
    <n v="7.4999999999999997E-2"/>
    <n v="0.77174999999999994"/>
    <n v="7.0000000000000007E-2"/>
    <n v="0.72030000000000005"/>
    <n v="0.49"/>
    <n v="450"/>
    <n v="165"/>
    <m/>
    <m/>
    <m/>
    <m/>
    <m/>
    <n v="615"/>
    <n v="35100"/>
    <n v="12870"/>
    <n v="47970"/>
    <n v="7004.1824999999999"/>
  </r>
  <r>
    <s v="FALL 2025"/>
    <s v="MEN"/>
    <x v="4"/>
    <s v="FYNEX"/>
    <s v="CHINA"/>
    <s v="STF25M51340"/>
    <s v="FF445-F"/>
    <s v="100% POLYESTER DRY TOUCH PIQUE 130 GM/M2 MOISTURE WICKING"/>
    <s v="KNIT"/>
    <s v="6105.20.2010"/>
    <n v="78"/>
    <n v="15.56485"/>
    <n v="10.29"/>
    <n v="0.32"/>
    <n v="3.2927999999999997"/>
    <n v="7.4999999999999997E-2"/>
    <n v="0.77174999999999994"/>
    <n v="7.0000000000000007E-2"/>
    <n v="0.72030000000000005"/>
    <n v="0.49"/>
    <n v="350"/>
    <n v="39"/>
    <n v="111"/>
    <m/>
    <m/>
    <m/>
    <m/>
    <n v="500"/>
    <n v="27300"/>
    <n v="11700"/>
    <n v="39000"/>
    <n v="5447.6975000000002"/>
  </r>
  <r>
    <s v="FALL 2025"/>
    <s v="MEN"/>
    <x v="3"/>
    <s v="FYNEX"/>
    <s v="CHINA"/>
    <s v="STF25M51341"/>
    <s v="FF449-F"/>
    <s v="95% POLYESTER/5% SPANDEX PIQUE DOUBLE KNIT 300GM/M2 MOISTURE WICKING"/>
    <s v="KNIT"/>
    <s v="6103.43.1550"/>
    <n v="78"/>
    <n v="16.315429999999999"/>
    <n v="11.09"/>
    <n v="0.28199999999999997"/>
    <n v="3.1273799999999996"/>
    <n v="7.4999999999999997E-2"/>
    <n v="0.83174999999999999"/>
    <n v="7.0000000000000007E-2"/>
    <n v="0.7763000000000001"/>
    <n v="0.49"/>
    <n v="400"/>
    <n v="163"/>
    <m/>
    <m/>
    <m/>
    <m/>
    <m/>
    <n v="563"/>
    <n v="31200"/>
    <n v="12714"/>
    <n v="43914"/>
    <n v="6526.1719999999996"/>
  </r>
  <r>
    <s v="FALL 2025"/>
    <s v="MEN"/>
    <x v="3"/>
    <s v="FYNEX"/>
    <s v="CHINA"/>
    <s v="STF25M51341"/>
    <s v="FF449-F"/>
    <s v="95% POLYESTER/5% SPANDEX PIQUE DOUBLE KNIT 300GM/M2 MOISTURE WICKING"/>
    <s v="KNIT"/>
    <s v="6103.43.1550"/>
    <n v="78"/>
    <n v="16.315429999999999"/>
    <n v="11.09"/>
    <n v="0.28199999999999997"/>
    <n v="3.1273799999999996"/>
    <n v="7.4999999999999997E-2"/>
    <n v="0.83174999999999999"/>
    <n v="7.0000000000000007E-2"/>
    <n v="0.7763000000000001"/>
    <n v="0.49"/>
    <n v="300"/>
    <n v="33"/>
    <n v="167"/>
    <m/>
    <m/>
    <m/>
    <m/>
    <n v="500"/>
    <n v="23400"/>
    <n v="15600"/>
    <n v="39000"/>
    <n v="4894.6289999999999"/>
  </r>
  <r>
    <s v="FALL 2025"/>
    <s v="MEN"/>
    <x v="5"/>
    <s v="FYNEX"/>
    <s v="CHINA"/>
    <s v="STF25M51342"/>
    <s v="FF449-F"/>
    <s v="95% POLYESTER/5% SPANDEX PIQUE DOUBLE KNIT 300GM/M2 MOISTURE WICKING"/>
    <s v="KNIT"/>
    <s v="6109.90.1007"/>
    <n v="110"/>
    <n v="19.959849999999996"/>
    <n v="13.29"/>
    <n v="0.32"/>
    <n v="4.2527999999999997"/>
    <n v="7.4999999999999997E-2"/>
    <n v="0.99674999999999991"/>
    <n v="7.0000000000000007E-2"/>
    <n v="0.93030000000000002"/>
    <n v="0.49"/>
    <n v="600"/>
    <n v="122"/>
    <m/>
    <m/>
    <m/>
    <m/>
    <n v="18"/>
    <n v="740"/>
    <n v="66000"/>
    <n v="15400"/>
    <n v="81400"/>
    <n v="11975.909999999998"/>
  </r>
  <r>
    <s v="FALL 2025"/>
    <s v="MEN"/>
    <x v="6"/>
    <s v="FYNEX"/>
    <s v="CHINA"/>
    <s v="STF25M51373"/>
    <s v="FF451-F"/>
    <s v="85% POLYESTER/15% SPANDEX 240GM/M2  BRUSHED HEATHER DOUBLE KNIT MOISTURE WICKING                                   "/>
    <s v="KNIT"/>
    <s v="6112.11.0010"/>
    <n v="125"/>
    <n v="24.592030000000001"/>
    <n v="16.89"/>
    <n v="0.28199999999999997"/>
    <n v="4.7629799999999998"/>
    <n v="7.4999999999999997E-2"/>
    <n v="1.26675"/>
    <n v="7.0000000000000007E-2"/>
    <n v="1.1823000000000001"/>
    <n v="0.49"/>
    <n v="600"/>
    <n v="124"/>
    <m/>
    <m/>
    <m/>
    <m/>
    <n v="6"/>
    <n v="730"/>
    <n v="75000"/>
    <n v="16250"/>
    <n v="91250"/>
    <n v="14755.218000000001"/>
  </r>
  <r>
    <s v="FALL 2025"/>
    <s v="MEN"/>
    <x v="1"/>
    <s v="FYNEX"/>
    <s v="CHINA"/>
    <s v="STF25M51374"/>
    <s v="FF451-F"/>
    <s v="85% POLYESTER/15% SPANDEX 240GM/M2  BRUSHED HEATHER DOUBLE KNIT MOISTURE WICKING                                   "/>
    <s v="KNIT"/>
    <s v="6112.12.0050"/>
    <n v="110"/>
    <n v="22.023429999999998"/>
    <n v="15.09"/>
    <n v="0.28199999999999997"/>
    <n v="4.2553799999999997"/>
    <n v="7.4999999999999997E-2"/>
    <n v="1.13175"/>
    <n v="7.0000000000000007E-2"/>
    <n v="1.0563"/>
    <n v="0.49"/>
    <n v="500"/>
    <n v="124"/>
    <m/>
    <m/>
    <m/>
    <m/>
    <n v="6"/>
    <n v="630"/>
    <n v="55000"/>
    <n v="14300"/>
    <n v="69300"/>
    <n v="11011.714999999998"/>
  </r>
  <r>
    <s v="FALL 2025"/>
    <s v="MEN"/>
    <x v="6"/>
    <s v="FYNEX"/>
    <s v="CHINA"/>
    <s v="STF25M51373"/>
    <s v="FF451-F"/>
    <s v="85% POLYESTER/15% SPANDEX 240GM/M2  BRUSHED HEATHER DOUBLE KNIT MOISTURE WICKING                                   "/>
    <s v="KNIT"/>
    <s v="6112.11.0010"/>
    <n v="125"/>
    <n v="24.592030000000001"/>
    <n v="16.89"/>
    <n v="0.28199999999999997"/>
    <n v="4.7629799999999998"/>
    <n v="7.4999999999999997E-2"/>
    <n v="1.26675"/>
    <n v="7.0000000000000007E-2"/>
    <n v="1.1823000000000001"/>
    <n v="0.49"/>
    <n v="700"/>
    <n v="159"/>
    <m/>
    <m/>
    <m/>
    <m/>
    <m/>
    <n v="859"/>
    <n v="87500"/>
    <n v="19875"/>
    <n v="107375"/>
    <n v="17214.421000000002"/>
  </r>
  <r>
    <s v="FALL 2025"/>
    <s v="MEN"/>
    <x v="1"/>
    <s v="FYNEX"/>
    <s v="CHINA"/>
    <s v="STF25M51374"/>
    <s v="FF451-F"/>
    <s v="85% POLYESTER/15% SPANDEX 240GM/M2  BRUSHED HEATHER DOUBLE KNIT MOISTURE WICKING                                   "/>
    <s v="KNIT"/>
    <s v="6112.12.0050"/>
    <n v="110"/>
    <n v="22.023429999999998"/>
    <n v="15.09"/>
    <n v="0.28199999999999997"/>
    <n v="4.2553799999999997"/>
    <n v="7.4999999999999997E-2"/>
    <n v="1.13175"/>
    <n v="7.0000000000000007E-2"/>
    <n v="1.0563"/>
    <n v="0.49"/>
    <n v="600"/>
    <n v="160"/>
    <m/>
    <m/>
    <m/>
    <m/>
    <m/>
    <n v="760"/>
    <n v="66000"/>
    <n v="17600"/>
    <n v="83600"/>
    <n v="13214.057999999999"/>
  </r>
  <r>
    <s v="FALL 2025"/>
    <s v="MEN"/>
    <x v="7"/>
    <s v="HESRRO"/>
    <s v="CHINA"/>
    <s v="STF25M51354"/>
    <s v="FF093"/>
    <s v="100% TAFFETA NYLON "/>
    <s v="WOVEN"/>
    <s v="6211.33.9054"/>
    <n v="110"/>
    <n v="22.022500000000001"/>
    <n v="16.5"/>
    <n v="0.16"/>
    <n v="2.64"/>
    <n v="7.4999999999999997E-2"/>
    <n v="1.2375"/>
    <n v="7.0000000000000007E-2"/>
    <n v="1.155"/>
    <n v="0.49"/>
    <n v="400"/>
    <n v="85"/>
    <m/>
    <m/>
    <m/>
    <m/>
    <n v="6"/>
    <n v="491"/>
    <n v="44000"/>
    <n v="10010"/>
    <n v="54010"/>
    <n v="8809"/>
  </r>
  <r>
    <s v="FALL 2025"/>
    <s v="MEN"/>
    <x v="7"/>
    <s v="HESRRO"/>
    <s v="CHINA"/>
    <s v="STF25M51354"/>
    <s v="FF093"/>
    <s v="100% TAFFETA NYLON "/>
    <s v="WOVEN"/>
    <s v="6211.33.9054"/>
    <n v="110"/>
    <n v="22.022500000000001"/>
    <n v="16.5"/>
    <n v="0.16"/>
    <n v="2.64"/>
    <n v="7.4999999999999997E-2"/>
    <n v="1.2375"/>
    <n v="7.0000000000000007E-2"/>
    <n v="1.155"/>
    <n v="0.49"/>
    <n v="400"/>
    <n v="79"/>
    <m/>
    <m/>
    <m/>
    <m/>
    <n v="6"/>
    <n v="485"/>
    <n v="44000"/>
    <n v="9350"/>
    <n v="53350"/>
    <n v="8809"/>
  </r>
  <r>
    <s v="FALL 2025"/>
    <s v="MEN"/>
    <x v="3"/>
    <s v="HESRRO"/>
    <s v="CHINA"/>
    <s v="STF25M51355"/>
    <s v="FF093"/>
    <s v="100% TAFFETA NYLON "/>
    <s v="WOVEN"/>
    <s v="6203.43.9030"/>
    <n v="78"/>
    <n v="14.729999999999999"/>
    <n v="10"/>
    <n v="0.27900000000000003"/>
    <n v="2.79"/>
    <n v="7.4999999999999997E-2"/>
    <n v="0.75"/>
    <n v="7.0000000000000007E-2"/>
    <n v="0.70000000000000007"/>
    <n v="0.49"/>
    <n v="400"/>
    <n v="130"/>
    <m/>
    <m/>
    <m/>
    <m/>
    <n v="6"/>
    <n v="536"/>
    <n v="31200"/>
    <n v="10608"/>
    <n v="41808"/>
    <n v="5891.9999999999991"/>
  </r>
  <r>
    <s v="FALL 2025"/>
    <s v="MEN"/>
    <x v="3"/>
    <s v="HESRRO"/>
    <s v="CHINA"/>
    <s v="STF25M51355"/>
    <s v="FF093"/>
    <s v="100% TAFFETA NYLON "/>
    <s v="WOVEN"/>
    <s v="6203.43.9030"/>
    <n v="78"/>
    <n v="14.729999999999999"/>
    <n v="10"/>
    <n v="0.27900000000000003"/>
    <n v="2.79"/>
    <n v="7.4999999999999997E-2"/>
    <n v="0.75"/>
    <n v="7.0000000000000007E-2"/>
    <n v="0.70000000000000007"/>
    <n v="0.49"/>
    <n v="400"/>
    <n v="119"/>
    <m/>
    <m/>
    <m/>
    <m/>
    <n v="6"/>
    <n v="525"/>
    <n v="31200"/>
    <n v="9750"/>
    <n v="40950"/>
    <n v="5891.9999999999991"/>
  </r>
  <r>
    <s v="FALL 2025"/>
    <s v="MEN"/>
    <x v="5"/>
    <s v="HESRRO"/>
    <s v="CHINA"/>
    <s v="STF25M51356"/>
    <s v="FF093"/>
    <s v="100% TAFFETA NYLON "/>
    <s v="WOVEN"/>
    <s v="6211.33.9044"/>
    <n v="125"/>
    <n v="21.369999999999997"/>
    <n v="16"/>
    <n v="0.16"/>
    <n v="2.56"/>
    <n v="7.4999999999999997E-2"/>
    <n v="1.2"/>
    <n v="7.0000000000000007E-2"/>
    <n v="1.1200000000000001"/>
    <n v="0.49"/>
    <n v="500"/>
    <n v="69"/>
    <m/>
    <m/>
    <m/>
    <n v="16"/>
    <n v="6"/>
    <n v="591"/>
    <n v="62500"/>
    <n v="11375"/>
    <n v="73875"/>
    <n v="10684.999999999998"/>
  </r>
  <r>
    <s v="FALL 2025"/>
    <s v="MEN"/>
    <x v="5"/>
    <s v="HESRRO"/>
    <s v="CHINA"/>
    <s v="STF25M51356"/>
    <s v="FF093"/>
    <s v="100% TAFFETA NYLON "/>
    <s v="WOVEN"/>
    <s v="6211.33.9044"/>
    <n v="125"/>
    <n v="21.369999999999997"/>
    <n v="16"/>
    <n v="0.16"/>
    <n v="2.56"/>
    <n v="7.4999999999999997E-2"/>
    <n v="1.2"/>
    <n v="7.0000000000000007E-2"/>
    <n v="1.1200000000000001"/>
    <n v="0.49"/>
    <n v="500"/>
    <n v="55"/>
    <m/>
    <m/>
    <m/>
    <m/>
    <n v="6"/>
    <n v="561"/>
    <n v="62500"/>
    <n v="7625"/>
    <n v="70125"/>
    <n v="10684.999999999998"/>
  </r>
  <r>
    <s v="FALL 2025"/>
    <s v="MEN"/>
    <x v="0"/>
    <s v="HESRRO"/>
    <s v="CHINA"/>
    <s v="STF25M51343"/>
    <s v="FF093"/>
    <s v="100% TAFFETA NYLON 48GM/M2"/>
    <s v="WOVEN"/>
    <s v="6201.40.7511"/>
    <n v="150"/>
    <n v="28.3612"/>
    <n v="19.600000000000001"/>
    <n v="0.27700000000000002"/>
    <n v="5.4292000000000007"/>
    <n v="7.4999999999999997E-2"/>
    <n v="1.47"/>
    <n v="7.0000000000000007E-2"/>
    <n v="1.3720000000000003"/>
    <n v="0.49"/>
    <n v="600"/>
    <n v="244"/>
    <m/>
    <m/>
    <m/>
    <n v="16"/>
    <n v="12"/>
    <n v="872"/>
    <n v="90000"/>
    <n v="40800"/>
    <n v="130800"/>
    <n v="17016.72"/>
  </r>
  <r>
    <s v="FALL 2025"/>
    <s v="MEN"/>
    <x v="1"/>
    <s v="HESRRO"/>
    <s v="CHINA"/>
    <s v="STF25M51344"/>
    <s v="FF093"/>
    <s v="100% TAFFETA NYLON 48GM/M2"/>
    <s v="WOVEN"/>
    <s v="6203.43.9010"/>
    <n v="135"/>
    <n v="20.710799999999999"/>
    <n v="14.2"/>
    <n v="0.27900000000000003"/>
    <n v="3.9618000000000002"/>
    <n v="7.4999999999999997E-2"/>
    <n v="1.0649999999999999"/>
    <n v="7.0000000000000007E-2"/>
    <n v="0.99399999999999999"/>
    <n v="0.49"/>
    <n v="500"/>
    <n v="268"/>
    <m/>
    <m/>
    <m/>
    <n v="16"/>
    <n v="12"/>
    <n v="796"/>
    <n v="67500"/>
    <n v="39960"/>
    <n v="107460"/>
    <n v="10355.4"/>
  </r>
  <r>
    <s v="FALL 2025"/>
    <s v="MEN"/>
    <x v="0"/>
    <s v="HESRRO"/>
    <s v="CHINA"/>
    <s v="STF25M51343"/>
    <s v="FF093"/>
    <s v="100% TAFFETA NYLON 48GM/M2"/>
    <s v="WOVEN"/>
    <s v="6201.40.7511"/>
    <n v="150"/>
    <n v="28.3612"/>
    <n v="19.600000000000001"/>
    <n v="0.27700000000000002"/>
    <n v="5.4292000000000007"/>
    <n v="7.4999999999999997E-2"/>
    <n v="1.47"/>
    <n v="7.0000000000000007E-2"/>
    <n v="1.3720000000000003"/>
    <n v="0.49"/>
    <n v="600"/>
    <n v="238"/>
    <m/>
    <m/>
    <m/>
    <m/>
    <n v="12"/>
    <n v="850"/>
    <n v="90000"/>
    <n v="37500"/>
    <n v="127500"/>
    <n v="17016.72"/>
  </r>
  <r>
    <s v="FALL 2025"/>
    <s v="MEN"/>
    <x v="1"/>
    <s v="HESRRO"/>
    <s v="CHINA"/>
    <s v="STF25M51344"/>
    <s v="FF093"/>
    <s v="100% TAFFETA NYLON 48GM/M2"/>
    <s v="WOVEN"/>
    <s v="6203.43.9010"/>
    <n v="135"/>
    <n v="20.710799999999999"/>
    <n v="14.2"/>
    <n v="0.27900000000000003"/>
    <n v="3.9618000000000002"/>
    <n v="7.4999999999999997E-2"/>
    <n v="1.0649999999999999"/>
    <n v="7.0000000000000007E-2"/>
    <n v="0.99399999999999999"/>
    <n v="0.49"/>
    <n v="500"/>
    <n v="214"/>
    <m/>
    <m/>
    <m/>
    <m/>
    <n v="12"/>
    <n v="726"/>
    <n v="67500"/>
    <n v="30510"/>
    <n v="98010"/>
    <n v="10355.4"/>
  </r>
  <r>
    <s v="FALL 2025"/>
    <s v="MEN"/>
    <x v="4"/>
    <s v="HESRRO"/>
    <s v="CHINA"/>
    <s v="STF25M51345"/>
    <s v="FF444-H"/>
    <s v="100% NYLON MICRO PIQUE 195GM/M2"/>
    <s v="KNIT"/>
    <s v="6105.20.2010"/>
    <n v="78"/>
    <n v="16.604999999999997"/>
    <n v="11"/>
    <n v="0.32"/>
    <n v="3.52"/>
    <n v="7.4999999999999997E-2"/>
    <n v="0.82499999999999996"/>
    <n v="7.0000000000000007E-2"/>
    <n v="0.77"/>
    <n v="0.49"/>
    <n v="400"/>
    <n v="23"/>
    <m/>
    <m/>
    <m/>
    <m/>
    <m/>
    <n v="423"/>
    <n v="31200"/>
    <n v="1794"/>
    <n v="32994"/>
    <n v="6641.9999999999991"/>
  </r>
  <r>
    <s v="FALL 2025"/>
    <s v="MEN"/>
    <x v="4"/>
    <s v="HESRRO"/>
    <s v="CHINA"/>
    <s v="STF25M51345"/>
    <s v="FF444-H"/>
    <s v="100% NYLON MICRO PIQUE 195GM/M2"/>
    <s v="KNIT"/>
    <s v="6105.20.2010"/>
    <n v="78"/>
    <n v="16.604999999999997"/>
    <n v="11"/>
    <n v="0.32"/>
    <n v="3.52"/>
    <n v="7.4999999999999997E-2"/>
    <n v="0.82499999999999996"/>
    <n v="7.0000000000000007E-2"/>
    <n v="0.77"/>
    <n v="0.49"/>
    <n v="500"/>
    <m/>
    <m/>
    <m/>
    <m/>
    <m/>
    <m/>
    <n v="500"/>
    <n v="39000"/>
    <n v="0"/>
    <n v="39000"/>
    <n v="8302.4999999999982"/>
  </r>
  <r>
    <s v="FALL 2025"/>
    <s v="MEN"/>
    <x v="3"/>
    <s v="HESRRO"/>
    <s v="CHINA"/>
    <s v="STF25M51346"/>
    <s v="FF444-H"/>
    <s v="100% NYLON MICRO PIQUE 195GM/M2"/>
    <s v="KNIT"/>
    <s v="6103.43.1550"/>
    <n v="68"/>
    <n v="14.0465"/>
    <n v="9.5"/>
    <n v="0.28199999999999997"/>
    <n v="2.6789999999999998"/>
    <n v="7.4999999999999997E-2"/>
    <n v="0.71250000000000002"/>
    <n v="7.0000000000000007E-2"/>
    <n v="0.66500000000000004"/>
    <n v="0.49"/>
    <n v="400"/>
    <n v="97"/>
    <m/>
    <m/>
    <m/>
    <m/>
    <m/>
    <n v="497"/>
    <n v="27200"/>
    <n v="6596"/>
    <n v="33796"/>
    <n v="5618.6"/>
  </r>
  <r>
    <s v="FALL 2025"/>
    <s v="MEN"/>
    <x v="3"/>
    <s v="HESRRO"/>
    <s v="CHINA"/>
    <s v="STF25M51346"/>
    <s v="FF444-H"/>
    <s v="100% NYLON MICRO PIQUE 195GM/M2"/>
    <s v="KNIT"/>
    <s v="6103.43.1550"/>
    <n v="68"/>
    <n v="14.0465"/>
    <n v="9.5"/>
    <n v="0.28199999999999997"/>
    <n v="2.6789999999999998"/>
    <n v="7.4999999999999997E-2"/>
    <n v="0.71250000000000002"/>
    <n v="7.0000000000000007E-2"/>
    <n v="0.66500000000000004"/>
    <n v="0.49"/>
    <n v="500"/>
    <n v="93"/>
    <m/>
    <m/>
    <m/>
    <m/>
    <m/>
    <n v="593"/>
    <n v="34000"/>
    <n v="6324"/>
    <n v="40324"/>
    <n v="7023.25"/>
  </r>
  <r>
    <s v="FALL 2025"/>
    <s v="MEN"/>
    <x v="2"/>
    <s v="HESRRO"/>
    <s v="CHINA"/>
    <s v="STF25M51347"/>
    <s v="FF444-H"/>
    <s v="100% NYLON MICRO PIQUE 195GM/M2"/>
    <s v="KNIT"/>
    <s v="6109.90.1007"/>
    <n v="58"/>
    <n v="12.21"/>
    <n v="8"/>
    <n v="0.32"/>
    <n v="2.56"/>
    <n v="7.4999999999999997E-2"/>
    <n v="0.6"/>
    <n v="7.0000000000000007E-2"/>
    <n v="0.56000000000000005"/>
    <n v="0.49"/>
    <n v="500"/>
    <n v="140"/>
    <m/>
    <m/>
    <m/>
    <m/>
    <m/>
    <n v="640"/>
    <n v="29000"/>
    <n v="8120"/>
    <n v="37120"/>
    <n v="6105"/>
  </r>
  <r>
    <s v="FALL 2025"/>
    <s v="MEN"/>
    <x v="2"/>
    <s v="HESRRO"/>
    <s v="CHINA"/>
    <s v="STF25M51347"/>
    <s v="FF444-H"/>
    <s v="100% NYLON MICRO PIQUE 195GM/M2"/>
    <s v="KNIT"/>
    <s v="6109.90.1007"/>
    <n v="58"/>
    <n v="12.21"/>
    <n v="8"/>
    <n v="0.32"/>
    <n v="2.56"/>
    <n v="7.4999999999999997E-2"/>
    <n v="0.6"/>
    <n v="7.0000000000000007E-2"/>
    <n v="0.56000000000000005"/>
    <n v="0.49"/>
    <n v="500"/>
    <n v="140"/>
    <m/>
    <m/>
    <m/>
    <m/>
    <m/>
    <n v="640"/>
    <n v="29000"/>
    <n v="8120"/>
    <n v="37120"/>
    <n v="6105"/>
  </r>
  <r>
    <s v="FALL 2025"/>
    <s v="MEN"/>
    <x v="6"/>
    <s v="HESRRO"/>
    <s v="CHINA"/>
    <s v="STF25M51384"/>
    <s v="FF425-H"/>
    <s v="QUILTED GRID 86% POLYESTER/16% RAYON/2% SPANDEX 303 GM/M2"/>
    <s v="KNIT"/>
    <s v="6112.11.001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900"/>
    <n v="85"/>
    <m/>
    <m/>
    <m/>
    <m/>
    <n v="12"/>
    <n v="997"/>
    <n v="121500"/>
    <n v="13095"/>
    <n v="134595"/>
    <n v="23879.474999999999"/>
  </r>
  <r>
    <s v="FALL 2025"/>
    <s v="MEN"/>
    <x v="1"/>
    <s v="HESRRO"/>
    <s v="CHINA"/>
    <s v="STF25M51385"/>
    <s v="FF425-H"/>
    <s v="QUILTED GRID 86% POLYESTER/16% RAYON/2% SPANDEX 303 GM/M2"/>
    <s v="KNIT"/>
    <s v="6112.12.0050"/>
    <n v="118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800"/>
    <n v="85"/>
    <m/>
    <m/>
    <m/>
    <m/>
    <n v="12"/>
    <n v="897"/>
    <n v="94400"/>
    <n v="11446"/>
    <n v="105846"/>
    <n v="18086.8"/>
  </r>
  <r>
    <s v="FALL 2025"/>
    <s v="MEN"/>
    <x v="6"/>
    <s v="HESRRO"/>
    <s v="CHINA"/>
    <s v="STF25M51384"/>
    <s v="FF425-H"/>
    <s v="QUILTED GRID 86% POLYESTER/16% RAYON/2% SPANDEX 303 GM/M2"/>
    <s v="KNIT"/>
    <s v="6112.11.001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900"/>
    <n v="162"/>
    <m/>
    <m/>
    <m/>
    <m/>
    <n v="18"/>
    <n v="1080"/>
    <n v="121500"/>
    <n v="24300"/>
    <n v="145800"/>
    <n v="23879.474999999999"/>
  </r>
  <r>
    <s v="FALL 2025"/>
    <s v="MEN"/>
    <x v="1"/>
    <s v="HESRRO"/>
    <s v="CHINA"/>
    <s v="STF25M51385"/>
    <s v="FF425-H"/>
    <s v="QUILTED GRID 86% POLYESTER/16% RAYON/2% SPANDEX 303 GM/M2"/>
    <s v="KNIT"/>
    <s v="6112.12.0050"/>
    <n v="118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800"/>
    <n v="162"/>
    <m/>
    <m/>
    <m/>
    <m/>
    <n v="18"/>
    <n v="980"/>
    <n v="94400"/>
    <n v="21240"/>
    <n v="115640"/>
    <n v="18086.8"/>
  </r>
  <r>
    <s v="FALL 2025"/>
    <s v="MEN"/>
    <x v="4"/>
    <s v="HESRRO"/>
    <s v="CHINA"/>
    <s v="STF25M51388"/>
    <s v="FF444-H"/>
    <s v="85% NYLON/15% SPANDEX 195 GM/M2"/>
    <s v="KNIT"/>
    <s v="6105.20.2010"/>
    <n v="68"/>
    <n v="13.675000000000001"/>
    <n v="9"/>
    <n v="0.32"/>
    <n v="2.88"/>
    <n v="7.4999999999999997E-2"/>
    <n v="0.67499999999999993"/>
    <n v="7.0000000000000007E-2"/>
    <n v="0.63000000000000012"/>
    <n v="0.49"/>
    <n v="600"/>
    <m/>
    <m/>
    <m/>
    <m/>
    <m/>
    <m/>
    <n v="600"/>
    <n v="40800"/>
    <n v="0"/>
    <n v="40800"/>
    <n v="8205"/>
  </r>
  <r>
    <s v="FALL 2025"/>
    <s v="MEN"/>
    <x v="4"/>
    <s v="HESRRO"/>
    <s v="CHINA"/>
    <s v="STF25M51388"/>
    <s v="FF444-H"/>
    <s v="85% NYLON/15% SPANDEX 195 GM/M2"/>
    <s v="KNIT"/>
    <s v="6105.20.2010"/>
    <n v="68"/>
    <n v="13.675000000000001"/>
    <n v="9"/>
    <n v="0.32"/>
    <n v="2.88"/>
    <n v="7.4999999999999997E-2"/>
    <n v="0.67499999999999993"/>
    <n v="7.0000000000000007E-2"/>
    <n v="0.63000000000000012"/>
    <n v="0.49"/>
    <n v="500"/>
    <m/>
    <m/>
    <m/>
    <m/>
    <m/>
    <m/>
    <n v="500"/>
    <n v="34000"/>
    <n v="0"/>
    <n v="34000"/>
    <n v="6837.5"/>
  </r>
  <r>
    <s v="FALL 2025"/>
    <s v="MEN"/>
    <x v="8"/>
    <s v="HESRRO"/>
    <s v="CHINA"/>
    <s v="STF25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600"/>
    <n v="228"/>
    <m/>
    <m/>
    <m/>
    <m/>
    <m/>
    <n v="828"/>
    <n v="90000"/>
    <n v="34200"/>
    <n v="124200"/>
    <n v="17434.5"/>
  </r>
  <r>
    <s v="FALL 2025"/>
    <s v="MEN"/>
    <x v="9"/>
    <s v="HESRRO"/>
    <s v="CHINA"/>
    <s v="STF25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600"/>
    <n v="228"/>
    <m/>
    <m/>
    <m/>
    <m/>
    <m/>
    <n v="828"/>
    <n v="75000"/>
    <n v="28500"/>
    <n v="103500"/>
    <n v="15277.5"/>
  </r>
  <r>
    <s v="FALL 2025"/>
    <s v="MEN"/>
    <x v="8"/>
    <s v="HESRRO"/>
    <s v="CHINA"/>
    <s v="STF25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600"/>
    <n v="228"/>
    <m/>
    <m/>
    <m/>
    <m/>
    <m/>
    <n v="828"/>
    <n v="90000"/>
    <n v="34200"/>
    <n v="124200"/>
    <n v="17434.5"/>
  </r>
  <r>
    <s v="FALL 2025"/>
    <s v="MEN"/>
    <x v="9"/>
    <s v="HESRRO"/>
    <s v="CHINA"/>
    <s v="STF25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600"/>
    <n v="228"/>
    <m/>
    <m/>
    <m/>
    <m/>
    <m/>
    <n v="828"/>
    <n v="75000"/>
    <n v="28500"/>
    <n v="103500"/>
    <n v="15277.5"/>
  </r>
  <r>
    <s v="FALL 2024 REORDER"/>
    <s v="MEN"/>
    <x v="8"/>
    <s v="HESRRO"/>
    <s v="CHINA"/>
    <s v="STF24M51049"/>
    <s v="FF337-H"/>
    <s v=" 53% POLYESTER/45% RAYON/2% SPANDEX JERSEY QUILT 300 GM/M2"/>
    <s v="KNIT"/>
    <s v="6110.30.3053"/>
    <n v="150"/>
    <n v="29.057500000000001"/>
    <n v="19.5"/>
    <n v="0.32"/>
    <n v="6.24"/>
    <n v="7.4999999999999997E-2"/>
    <n v="1.4624999999999999"/>
    <n v="7.0000000000000007E-2"/>
    <n v="1.3650000000000002"/>
    <n v="0.49"/>
    <n v="700"/>
    <n v="96"/>
    <m/>
    <m/>
    <m/>
    <m/>
    <m/>
    <n v="796"/>
    <n v="105000"/>
    <n v="14400"/>
    <n v="119400"/>
    <n v="20340.25"/>
  </r>
  <r>
    <s v="FALL 2024 REORDER"/>
    <s v="MEN"/>
    <x v="9"/>
    <s v="HESRRO"/>
    <s v="CHINA"/>
    <s v="STF24M51050"/>
    <s v="FF337-H"/>
    <s v=" 53% POLYESTER/45% RAYON/2% SPANDEX JERSEY QUILT 300 GM/M2"/>
    <s v="KNIT"/>
    <s v="6114.20.0055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700"/>
    <n v="96"/>
    <m/>
    <m/>
    <m/>
    <m/>
    <m/>
    <n v="796"/>
    <n v="87500"/>
    <n v="12000"/>
    <n v="99500"/>
    <n v="17823.75"/>
  </r>
  <r>
    <s v="FALL 2025"/>
    <s v="MEN"/>
    <x v="0"/>
    <s v="HESRRO"/>
    <s v="CHINA"/>
    <s v="STF25M51332"/>
    <s v="FF331-H"/>
    <s v="60% POLYESTER/40% COTTON DOUBLE KNIT 280 GM/M2"/>
    <s v="KNIT"/>
    <s v="6112.12.0010"/>
    <n v="140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1100"/>
    <n v="190"/>
    <m/>
    <m/>
    <m/>
    <m/>
    <m/>
    <n v="1290"/>
    <n v="154000"/>
    <n v="26600"/>
    <n v="180600"/>
    <n v="24869.35"/>
  </r>
  <r>
    <s v="FALL 2025"/>
    <s v="MEN"/>
    <x v="1"/>
    <s v="HESRRO"/>
    <s v="CHINA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000"/>
    <n v="190"/>
    <m/>
    <m/>
    <m/>
    <m/>
    <m/>
    <n v="1190"/>
    <n v="125000"/>
    <n v="23750"/>
    <n v="148750"/>
    <n v="20896.100000000002"/>
  </r>
  <r>
    <s v="FALL 2025"/>
    <s v="MEN"/>
    <x v="0"/>
    <s v="HESRRO"/>
    <s v="CHINA"/>
    <s v="STF25M51332"/>
    <s v="FF331-H"/>
    <s v="60% POLYESTER/40% COTTON DOUBLE KNIT 280 GM/M2"/>
    <s v="KNIT"/>
    <s v="6112.12.0010"/>
    <n v="140"/>
    <n v="23.321999999999999"/>
    <n v="16"/>
    <n v="0.28199999999999997"/>
    <n v="4.5119999999999996"/>
    <n v="7.4999999999999997E-2"/>
    <n v="1.2"/>
    <n v="7.0000000000000007E-2"/>
    <n v="1.1200000000000001"/>
    <n v="0.49"/>
    <n v="1200"/>
    <n v="287"/>
    <m/>
    <m/>
    <m/>
    <m/>
    <m/>
    <n v="1487"/>
    <n v="168000"/>
    <n v="40180"/>
    <n v="208180"/>
    <n v="27986.399999999998"/>
  </r>
  <r>
    <s v="FALL 2025"/>
    <s v="MEN"/>
    <x v="1"/>
    <s v="HESRRO"/>
    <s v="CHINA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100"/>
    <n v="287"/>
    <m/>
    <m/>
    <m/>
    <m/>
    <m/>
    <n v="1387"/>
    <n v="137500"/>
    <n v="35875"/>
    <n v="173375"/>
    <n v="22985.71"/>
  </r>
  <r>
    <s v="FALL 2025"/>
    <s v="MEN"/>
    <x v="0"/>
    <s v="HESRRO"/>
    <s v="CHINA"/>
    <s v="STF25M51332"/>
    <s v="FF331-H"/>
    <s v="60% POLYESTER/40% COTTON DOUBLE KNIT 280 GM/M2"/>
    <s v="KNIT"/>
    <s v="6112.12.0010"/>
    <n v="140"/>
    <n v="23.321999999999999"/>
    <n v="16"/>
    <n v="0.28199999999999997"/>
    <n v="4.5119999999999996"/>
    <n v="7.4999999999999997E-2"/>
    <n v="1.2"/>
    <n v="7.0000000000000007E-2"/>
    <n v="1.1200000000000001"/>
    <n v="0.49"/>
    <n v="1200"/>
    <n v="272"/>
    <m/>
    <m/>
    <m/>
    <m/>
    <n v="6"/>
    <n v="1478"/>
    <n v="168000"/>
    <n v="38920"/>
    <n v="206920"/>
    <n v="27986.399999999998"/>
  </r>
  <r>
    <s v="FALL 2025"/>
    <s v="MEN"/>
    <x v="1"/>
    <s v="HESRRO"/>
    <s v="CHINA"/>
    <s v="STF25M51333"/>
    <s v="FF331-H"/>
    <s v="60% POLYESTER/40% COTTON DOUBLE KNIT 280 GM/M2"/>
    <s v="KNIT"/>
    <s v="6112.12.0050"/>
    <n v="125"/>
    <n v="20.896100000000001"/>
    <n v="14.3"/>
    <n v="0.28199999999999997"/>
    <n v="4.0325999999999995"/>
    <n v="7.4999999999999997E-2"/>
    <n v="1.0725"/>
    <n v="7.0000000000000007E-2"/>
    <n v="1.0010000000000001"/>
    <n v="0.49"/>
    <n v="1100"/>
    <n v="272"/>
    <m/>
    <m/>
    <m/>
    <m/>
    <n v="6"/>
    <n v="1378"/>
    <n v="137500"/>
    <n v="34750"/>
    <n v="172250"/>
    <n v="22985.71"/>
  </r>
  <r>
    <s v="FALL 2025"/>
    <s v="MEN"/>
    <x v="0"/>
    <s v="HESRRO"/>
    <s v="CHINA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900"/>
    <n v="215"/>
    <m/>
    <m/>
    <m/>
    <m/>
    <n v="6"/>
    <n v="1121"/>
    <n v="130500"/>
    <n v="32045"/>
    <n v="162545"/>
    <n v="24315.3"/>
  </r>
  <r>
    <s v="FALL 2025"/>
    <s v="MEN"/>
    <x v="1"/>
    <s v="HESRRO"/>
    <s v="CHINA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800"/>
    <n v="215"/>
    <m/>
    <m/>
    <m/>
    <m/>
    <n v="6"/>
    <n v="1021"/>
    <n v="100000"/>
    <n v="27625"/>
    <n v="127625"/>
    <n v="20060.8"/>
  </r>
  <r>
    <s v="FALL 2025"/>
    <s v="MEN"/>
    <x v="0"/>
    <s v="HESRRO"/>
    <s v="CHINA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800"/>
    <n v="212"/>
    <m/>
    <m/>
    <m/>
    <m/>
    <m/>
    <n v="1012"/>
    <n v="116000"/>
    <n v="30740"/>
    <n v="146740"/>
    <n v="21613.599999999999"/>
  </r>
  <r>
    <s v="FALL 2025"/>
    <s v="MEN"/>
    <x v="1"/>
    <s v="HESRRO"/>
    <s v="CHINA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700"/>
    <n v="212"/>
    <m/>
    <m/>
    <m/>
    <m/>
    <m/>
    <n v="912"/>
    <n v="87500"/>
    <n v="26500"/>
    <n v="114000"/>
    <n v="17553.199999999997"/>
  </r>
  <r>
    <s v="FALL 2025"/>
    <s v="MEN"/>
    <x v="0"/>
    <s v="HESRRO"/>
    <s v="CHINA"/>
    <s v="STF25M51334"/>
    <s v="FF042-H"/>
    <s v="100% COTTON FRENCH TERRY 360GM/M2"/>
    <s v="KNIT"/>
    <s v="6112.11.0010"/>
    <n v="145"/>
    <n v="27.016999999999999"/>
    <n v="20.5"/>
    <n v="0.14899999999999999"/>
    <n v="3.0545"/>
    <n v="7.4999999999999997E-2"/>
    <n v="1.5374999999999999"/>
    <n v="7.0000000000000007E-2"/>
    <n v="1.4350000000000001"/>
    <n v="0.49"/>
    <n v="700"/>
    <n v="96"/>
    <m/>
    <m/>
    <m/>
    <m/>
    <m/>
    <n v="796"/>
    <n v="101500"/>
    <n v="13920"/>
    <n v="115420"/>
    <n v="18911.899999999998"/>
  </r>
  <r>
    <s v="FALL 2025"/>
    <s v="MEN"/>
    <x v="1"/>
    <s v="HESRRO"/>
    <s v="CHINA"/>
    <s v="STF25M51335"/>
    <s v="FF042-H"/>
    <s v="100% COTTON FRENCH TERRY 360 GM/M2"/>
    <s v="KNIT"/>
    <s v="6112.11.0050"/>
    <n v="125"/>
    <n v="25.075999999999997"/>
    <n v="19"/>
    <n v="0.14899999999999999"/>
    <n v="2.831"/>
    <n v="7.4999999999999997E-2"/>
    <n v="1.425"/>
    <n v="7.0000000000000007E-2"/>
    <n v="1.33"/>
    <n v="0.49"/>
    <n v="600"/>
    <n v="96"/>
    <m/>
    <m/>
    <m/>
    <m/>
    <m/>
    <n v="696"/>
    <n v="75000"/>
    <n v="12000"/>
    <n v="87000"/>
    <n v="15045.599999999999"/>
  </r>
  <r>
    <s v="FALL 2025"/>
    <s v="MEN"/>
    <x v="0"/>
    <s v="HESRRO"/>
    <s v="CHINA"/>
    <s v="STF25M51304"/>
    <s v="FF080-H"/>
    <s v="100% POLYESTER TRACK TWILL 220GM/M2"/>
    <s v="KNIT"/>
    <s v="6112.12.0010"/>
    <n v="165"/>
    <n v="31.170499999999997"/>
    <n v="21.5"/>
    <n v="0.28199999999999997"/>
    <n v="6.0629999999999997"/>
    <n v="7.4999999999999997E-2"/>
    <n v="1.6125"/>
    <n v="7.0000000000000007E-2"/>
    <n v="1.5050000000000001"/>
    <n v="0.49"/>
    <n v="500"/>
    <n v="260"/>
    <m/>
    <m/>
    <m/>
    <n v="25"/>
    <m/>
    <n v="785"/>
    <n v="82500"/>
    <n v="47025"/>
    <n v="129525"/>
    <n v="15585.249999999998"/>
  </r>
  <r>
    <s v="FALL 2025"/>
    <s v="MEN"/>
    <x v="1"/>
    <s v="HESRRO"/>
    <s v="CHINA"/>
    <s v="STF25M51305"/>
    <s v="FF080-H"/>
    <s v="100% POLYESTER TRACK TWILL 220GM/M2"/>
    <s v="KNIT"/>
    <s v="6112.12.0050"/>
    <n v="125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n v="251"/>
    <m/>
    <m/>
    <m/>
    <n v="21"/>
    <m/>
    <n v="672"/>
    <n v="50000"/>
    <n v="34000"/>
    <n v="84000"/>
    <n v="7901.7999999999984"/>
  </r>
  <r>
    <s v="FALL 2025"/>
    <s v="MEN"/>
    <x v="4"/>
    <s v="HESRRO"/>
    <s v="CHINA"/>
    <s v="STF25M51308"/>
    <s v="FF444-H"/>
    <s v="85% NYLON/15% SPANDEX 195 GM/M2"/>
    <s v="KNIT"/>
    <s v="6105.20.2010"/>
    <n v="98"/>
    <n v="18.802499999999998"/>
    <n v="12.5"/>
    <n v="0.32"/>
    <n v="4"/>
    <n v="7.4999999999999997E-2"/>
    <n v="0.9375"/>
    <n v="7.0000000000000007E-2"/>
    <n v="0.87500000000000011"/>
    <n v="0.49"/>
    <n v="400"/>
    <n v="175"/>
    <m/>
    <m/>
    <m/>
    <n v="4"/>
    <m/>
    <n v="579"/>
    <n v="39200"/>
    <n v="17542"/>
    <n v="56742"/>
    <n v="7520.9999999999991"/>
  </r>
  <r>
    <s v="FALL 2025"/>
    <s v="MEN"/>
    <x v="3"/>
    <s v="HESRRO"/>
    <s v="CHINA"/>
    <s v="STF25M51309"/>
    <s v="FF093"/>
    <s v="100% NYLON TAFFETA "/>
    <s v="WOVEN"/>
    <s v="6203.43.9030"/>
    <n v="88"/>
    <n v="18.29"/>
    <n v="12.5"/>
    <n v="0.27900000000000003"/>
    <n v="3.4875000000000003"/>
    <n v="7.4999999999999997E-2"/>
    <n v="0.9375"/>
    <n v="7.0000000000000007E-2"/>
    <n v="0.87500000000000011"/>
    <n v="0.49"/>
    <n v="400"/>
    <n v="141"/>
    <m/>
    <m/>
    <m/>
    <m/>
    <m/>
    <n v="541"/>
    <n v="35200"/>
    <n v="12408"/>
    <n v="47608"/>
    <n v="7316"/>
  </r>
  <r>
    <s v="FALL 2025"/>
    <s v="MEN"/>
    <x v="0"/>
    <s v="HESRRO"/>
    <s v="CHINA"/>
    <s v="STF25M51311"/>
    <s v="FF331-H"/>
    <s v="60% POLYESTER/40% COTTON DOUBLE KNIT 28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500"/>
    <m/>
    <m/>
    <m/>
    <m/>
    <m/>
    <m/>
    <n v="500"/>
    <n v="82500"/>
    <n v="0"/>
    <n v="82500"/>
    <n v="15228.499999999998"/>
  </r>
  <r>
    <s v="FALL 2025"/>
    <s v="MEN"/>
    <x v="1"/>
    <s v="HESRRO"/>
    <s v="CHINA"/>
    <s v="STF25M51312"/>
    <s v="FF331-H"/>
    <s v="60% POLYESTER/40% COTTON DOUBLE KNIT 280 GM/M2"/>
    <s v="KNIT"/>
    <s v="6112.12.005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400"/>
    <m/>
    <m/>
    <m/>
    <m/>
    <m/>
    <m/>
    <n v="400"/>
    <n v="50000"/>
    <n v="0"/>
    <n v="50000"/>
    <n v="9043.4"/>
  </r>
  <r>
    <s v="FALL 2025"/>
    <s v="MEN"/>
    <x v="0"/>
    <s v="HESRRO"/>
    <s v="CHINA"/>
    <s v="STF25M51311"/>
    <s v="FF331-H"/>
    <s v="60% POLYESTER/40% COTTON DOUBLE KNIT 28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500"/>
    <m/>
    <m/>
    <m/>
    <m/>
    <m/>
    <m/>
    <n v="500"/>
    <n v="82500"/>
    <n v="0"/>
    <n v="82500"/>
    <n v="15228.499999999998"/>
  </r>
  <r>
    <s v="FALL 2025"/>
    <s v="MEN"/>
    <x v="1"/>
    <s v="HESRRO"/>
    <s v="CHINA"/>
    <s v="STF25M51312"/>
    <s v="FF331-H"/>
    <s v="60% POLYESTER/40% COTTON DOUBLE KNIT 280 GM/M2"/>
    <s v="KNIT"/>
    <s v="6112.12.005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400"/>
    <m/>
    <m/>
    <m/>
    <m/>
    <m/>
    <m/>
    <n v="400"/>
    <n v="50000"/>
    <n v="0"/>
    <n v="50000"/>
    <n v="9043.4"/>
  </r>
  <r>
    <s v="FALL 2025"/>
    <s v="MEN"/>
    <x v="0"/>
    <s v="HESRRO"/>
    <s v="CHINA"/>
    <s v="STF25M51293"/>
    <s v="FF302-H"/>
    <s v="72% COTTON/25% POLYESTER/3% SPANDEX RIPSTOP"/>
    <s v="WOVEN"/>
    <s v="6201.30.8051"/>
    <n v="150"/>
    <n v="24.090499999999999"/>
    <n v="19.25"/>
    <n v="8.1000000000000003E-2"/>
    <n v="1.55925"/>
    <n v="7.4999999999999997E-2"/>
    <n v="1.4437499999999999"/>
    <n v="7.0000000000000007E-2"/>
    <n v="1.3475000000000001"/>
    <n v="0.49"/>
    <n v="700"/>
    <n v="192"/>
    <m/>
    <m/>
    <m/>
    <n v="12"/>
    <n v="18"/>
    <n v="922"/>
    <n v="105000"/>
    <n v="33300"/>
    <n v="138300"/>
    <n v="16863.349999999999"/>
  </r>
  <r>
    <s v="FALL 2025"/>
    <s v="MEN"/>
    <x v="1"/>
    <s v="HESRRO"/>
    <s v="CHINA"/>
    <s v="STF25M51294"/>
    <s v="FF302-H"/>
    <s v="72% COTTON/25% POLYESTER/3% SPANDEX RIPSTOP"/>
    <s v="WOVEN"/>
    <s v="6203.42.4518"/>
    <n v="135"/>
    <n v="23.563600000000001"/>
    <n v="17.600000000000001"/>
    <n v="0.16600000000000001"/>
    <n v="2.9216000000000002"/>
    <n v="7.4999999999999997E-2"/>
    <n v="1.32"/>
    <n v="7.0000000000000007E-2"/>
    <n v="1.2320000000000002"/>
    <n v="0.49"/>
    <n v="600"/>
    <n v="192"/>
    <m/>
    <m/>
    <m/>
    <n v="12"/>
    <n v="18"/>
    <n v="822"/>
    <n v="81000"/>
    <n v="29970"/>
    <n v="110970"/>
    <n v="14138.16"/>
  </r>
  <r>
    <s v="FALL 2025"/>
    <s v="MEN"/>
    <x v="0"/>
    <s v="HESRRO"/>
    <s v="CHINA"/>
    <s v="STF25M51293"/>
    <s v="FF302-H"/>
    <s v="72% COTTON/25% POLYESTER/3% SPANDEX RIPSTOP"/>
    <s v="WOVEN"/>
    <s v="6201.30.8051"/>
    <n v="150"/>
    <n v="24.090499999999999"/>
    <n v="19.25"/>
    <n v="8.1000000000000003E-2"/>
    <n v="1.55925"/>
    <n v="7.4999999999999997E-2"/>
    <n v="1.4437499999999999"/>
    <n v="7.0000000000000007E-2"/>
    <n v="1.3475000000000001"/>
    <n v="0.49"/>
    <n v="500"/>
    <n v="188"/>
    <m/>
    <m/>
    <m/>
    <m/>
    <n v="18"/>
    <n v="706"/>
    <n v="75000"/>
    <n v="30900"/>
    <n v="105900"/>
    <n v="12045.25"/>
  </r>
  <r>
    <s v="FALL 2025"/>
    <s v="MEN"/>
    <x v="1"/>
    <s v="HESRRO"/>
    <s v="CHINA"/>
    <s v="STF25M51294"/>
    <s v="FF302-H"/>
    <s v="72% COTTON/25% POLYESTER/3% SPANDEX RIPSTOP"/>
    <s v="WOVEN"/>
    <s v="6203.42.4518"/>
    <n v="135"/>
    <n v="23.563600000000001"/>
    <n v="17.600000000000001"/>
    <n v="0.16600000000000001"/>
    <n v="2.9216000000000002"/>
    <n v="7.4999999999999997E-2"/>
    <n v="1.32"/>
    <n v="7.0000000000000007E-2"/>
    <n v="1.2320000000000002"/>
    <n v="0.49"/>
    <n v="400"/>
    <n v="188"/>
    <m/>
    <m/>
    <m/>
    <m/>
    <n v="18"/>
    <n v="606"/>
    <n v="54000"/>
    <n v="27810"/>
    <n v="81810"/>
    <n v="9425.44"/>
  </r>
  <r>
    <s v="FALL 2025"/>
    <s v="MEN"/>
    <x v="0"/>
    <s v="HESRRO"/>
    <s v="CHINA"/>
    <s v="STF25M51297"/>
    <s v="FF359"/>
    <s v="85% POLYESTER/15% NYLON PEACHED"/>
    <s v="WOVEN"/>
    <s v="6201.40.7511"/>
    <n v="165"/>
    <n v="29.640999999999998"/>
    <n v="20.5"/>
    <n v="0.27700000000000002"/>
    <n v="5.6785000000000005"/>
    <n v="7.4999999999999997E-2"/>
    <n v="1.5374999999999999"/>
    <n v="7.0000000000000007E-2"/>
    <n v="1.4350000000000001"/>
    <n v="0.49"/>
    <n v="500"/>
    <n v="292"/>
    <m/>
    <m/>
    <m/>
    <m/>
    <m/>
    <n v="792"/>
    <n v="82500"/>
    <n v="48180"/>
    <n v="130680"/>
    <n v="14820.5"/>
  </r>
  <r>
    <s v="FALL 2025"/>
    <s v="MEN"/>
    <x v="1"/>
    <s v="HESRRO"/>
    <s v="CHINA"/>
    <s v="STF25M51298"/>
    <s v="FF359"/>
    <s v="85% POLYESTER/15% NYLON PEACHED"/>
    <s v="WOVEN"/>
    <s v="6203.43.9010"/>
    <n v="135"/>
    <n v="24.698"/>
    <n v="17"/>
    <n v="0.27900000000000003"/>
    <n v="4.7430000000000003"/>
    <n v="7.4999999999999997E-2"/>
    <n v="1.2749999999999999"/>
    <n v="7.0000000000000007E-2"/>
    <n v="1.1900000000000002"/>
    <n v="0.49"/>
    <n v="400"/>
    <n v="285"/>
    <m/>
    <m/>
    <m/>
    <m/>
    <m/>
    <n v="685"/>
    <n v="54000"/>
    <n v="38475"/>
    <n v="92475"/>
    <n v="9879.2000000000007"/>
  </r>
  <r>
    <s v="FALL 2025"/>
    <s v="MEN"/>
    <x v="0"/>
    <s v="HESRRO"/>
    <s v="CHINA"/>
    <s v="STF25M51297"/>
    <s v="FF359"/>
    <s v="85% POLYESTER/15% NYLON PEACHED"/>
    <s v="WOVEN"/>
    <s v="6201.40.7511"/>
    <n v="165"/>
    <n v="29.640999999999998"/>
    <n v="20.5"/>
    <n v="0.27700000000000002"/>
    <n v="5.6785000000000005"/>
    <n v="7.4999999999999997E-2"/>
    <n v="1.5374999999999999"/>
    <n v="7.0000000000000007E-2"/>
    <n v="1.4350000000000001"/>
    <n v="0.49"/>
    <n v="500"/>
    <n v="232"/>
    <m/>
    <m/>
    <m/>
    <m/>
    <m/>
    <n v="732"/>
    <n v="82500"/>
    <n v="38280"/>
    <n v="120780"/>
    <n v="14820.5"/>
  </r>
  <r>
    <s v="FALL 2025"/>
    <s v="MEN"/>
    <x v="1"/>
    <s v="HESRRO"/>
    <s v="CHINA"/>
    <s v="STF25M51298"/>
    <s v="FF359"/>
    <s v="85% POLYESTER/15% NYLON PEACHED"/>
    <s v="WOVEN"/>
    <s v="6203.43.9010"/>
    <n v="135"/>
    <n v="24.698"/>
    <n v="17"/>
    <n v="0.27900000000000003"/>
    <n v="4.7430000000000003"/>
    <n v="7.4999999999999997E-2"/>
    <n v="1.2749999999999999"/>
    <n v="7.0000000000000007E-2"/>
    <n v="1.1900000000000002"/>
    <n v="0.49"/>
    <n v="400"/>
    <n v="239"/>
    <m/>
    <m/>
    <m/>
    <m/>
    <m/>
    <n v="639"/>
    <n v="54000"/>
    <n v="32265"/>
    <n v="86265"/>
    <n v="9879.2000000000007"/>
  </r>
  <r>
    <s v="FALL 2025"/>
    <s v="MEN"/>
    <x v="0"/>
    <s v="HESRRO"/>
    <s v="CHINA"/>
    <s v="STF25M51326"/>
    <s v="FF093"/>
    <s v="100% TAFFETA NYLON 48GM/M2"/>
    <s v="WOVEN"/>
    <s v="6201.40.7511"/>
    <n v="165"/>
    <n v="30.351999999999997"/>
    <n v="21"/>
    <n v="0.27700000000000002"/>
    <n v="5.8170000000000002"/>
    <n v="7.4999999999999997E-2"/>
    <n v="1.575"/>
    <n v="7.0000000000000007E-2"/>
    <n v="1.4700000000000002"/>
    <n v="0.49"/>
    <n v="350"/>
    <n v="59"/>
    <m/>
    <m/>
    <m/>
    <n v="5"/>
    <m/>
    <n v="414"/>
    <n v="57750"/>
    <n v="10560"/>
    <n v="68310"/>
    <n v="10623.199999999999"/>
  </r>
  <r>
    <s v="FALL 2025"/>
    <s v="MEN"/>
    <x v="1"/>
    <s v="HESRRO"/>
    <s v="CHINA"/>
    <s v="STF25M51327"/>
    <s v="FF093"/>
    <s v="100% TAFFETA NYLON 48GM/M2"/>
    <s v="WOVEN"/>
    <s v="6203.43.9010"/>
    <n v="145"/>
    <n v="27.546000000000003"/>
    <n v="19"/>
    <n v="0.27900000000000003"/>
    <n v="5.3010000000000002"/>
    <n v="7.4999999999999997E-2"/>
    <n v="1.425"/>
    <n v="7.0000000000000007E-2"/>
    <n v="1.33"/>
    <n v="0.49"/>
    <n v="300"/>
    <n v="54"/>
    <m/>
    <m/>
    <m/>
    <m/>
    <m/>
    <n v="354"/>
    <n v="43500"/>
    <n v="7830"/>
    <n v="51330"/>
    <n v="8263.8000000000011"/>
  </r>
  <r>
    <s v="FALL 2025"/>
    <s v="MEN"/>
    <x v="0"/>
    <s v="HESRRO"/>
    <s v="CHINA"/>
    <s v="STF25M51326"/>
    <s v="FF093"/>
    <s v="100% TAFFETA NYLON 48GM/M2"/>
    <s v="WOVEN"/>
    <s v="6201.40.7511"/>
    <n v="165"/>
    <n v="30.351999999999997"/>
    <n v="21"/>
    <n v="0.27700000000000002"/>
    <n v="5.8170000000000002"/>
    <n v="7.4999999999999997E-2"/>
    <n v="1.575"/>
    <n v="7.0000000000000007E-2"/>
    <n v="1.4700000000000002"/>
    <n v="0.49"/>
    <n v="350"/>
    <n v="238"/>
    <m/>
    <m/>
    <m/>
    <m/>
    <m/>
    <n v="588"/>
    <n v="57750"/>
    <n v="39270"/>
    <n v="97020"/>
    <n v="10623.199999999999"/>
  </r>
  <r>
    <s v="FALL 2025"/>
    <s v="MEN"/>
    <x v="1"/>
    <s v="HESRRO"/>
    <s v="CHINA"/>
    <s v="STF25M51327"/>
    <s v="FF093"/>
    <s v="100% TAFFETA NYLON 48GM/M2"/>
    <s v="WOVEN"/>
    <s v="6203.43.9010"/>
    <n v="145"/>
    <n v="27.546000000000003"/>
    <n v="19"/>
    <n v="0.27900000000000003"/>
    <n v="5.3010000000000002"/>
    <n v="7.4999999999999997E-2"/>
    <n v="1.425"/>
    <n v="7.0000000000000007E-2"/>
    <n v="1.33"/>
    <n v="0.49"/>
    <n v="300"/>
    <n v="235"/>
    <m/>
    <m/>
    <m/>
    <m/>
    <m/>
    <n v="535"/>
    <n v="43500"/>
    <n v="34075"/>
    <n v="77575"/>
    <n v="8263.8000000000011"/>
  </r>
  <r>
    <s v="FALL 2024 REORDER"/>
    <s v="MEN"/>
    <x v="0"/>
    <s v="HESRRO"/>
    <s v="CHINA"/>
    <s v="STF24M50737"/>
    <s v="FF080"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</r>
  <r>
    <s v="FALL 2024 REORDER"/>
    <s v="MEN"/>
    <x v="1"/>
    <s v="HESRRO"/>
    <s v="CHINA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400"/>
    <m/>
    <m/>
    <m/>
    <m/>
    <m/>
    <m/>
    <n v="400"/>
    <n v="44000"/>
    <n v="0"/>
    <n v="44000"/>
    <n v="6035.2840000000006"/>
  </r>
  <r>
    <s v="FALL 2024 REORDER"/>
    <s v="MEN"/>
    <x v="0"/>
    <s v="HESRRO"/>
    <s v="CHINA"/>
    <s v="STS24M50737"/>
    <s v="FF080"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500"/>
    <m/>
    <m/>
    <m/>
    <m/>
    <m/>
    <m/>
    <n v="500"/>
    <n v="70000"/>
    <n v="0"/>
    <n v="70000"/>
    <n v="9877.2499999999982"/>
  </r>
  <r>
    <s v="FALL 2024 REORDER"/>
    <s v="MEN"/>
    <x v="1"/>
    <s v="HESRRO"/>
    <s v="CHINA"/>
    <s v="STS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500"/>
    <m/>
    <m/>
    <m/>
    <m/>
    <m/>
    <m/>
    <n v="500"/>
    <n v="55000"/>
    <n v="0"/>
    <n v="55000"/>
    <n v="7544.1050000000014"/>
  </r>
  <r>
    <s v="FALL 2025"/>
    <s v="MEN"/>
    <x v="10"/>
    <s v="HESRRO"/>
    <s v="CHINA"/>
    <s v="STF25M51380"/>
    <s v="FF443-H"/>
    <s v="70% WOOL/15% NYLON/15% POLYESTER"/>
    <s v="WOVEN"/>
    <s v="6201.20.4011"/>
    <n v="325"/>
    <n v="63.28"/>
    <n v="46"/>
    <n v="0.22"/>
    <n v="10.119999999999999"/>
    <n v="7.4999999999999997E-2"/>
    <n v="3.4499999999999997"/>
    <n v="7.0000000000000007E-2"/>
    <n v="3.22"/>
    <n v="0.49"/>
    <n v="250"/>
    <n v="80"/>
    <m/>
    <m/>
    <m/>
    <m/>
    <m/>
    <n v="330"/>
    <n v="81250"/>
    <n v="26000"/>
    <n v="107250"/>
    <n v="15820"/>
  </r>
  <r>
    <s v="FALL 2025"/>
    <s v="MEN"/>
    <x v="10"/>
    <s v="HESRRO"/>
    <s v="CHINA"/>
    <s v="STF25M51381"/>
    <s v="FF442-H"/>
    <s v="FACE: 95% NYLON/5% SPANDEX BACK: 99% POLYESTER/1% SPANDEX"/>
    <s v="WOVEN"/>
    <s v="6201.40.7511"/>
    <n v="198"/>
    <n v="37.462000000000003"/>
    <n v="26"/>
    <n v="0.27700000000000002"/>
    <n v="7.2020000000000008"/>
    <n v="7.4999999999999997E-2"/>
    <n v="1.95"/>
    <n v="7.0000000000000007E-2"/>
    <n v="1.8200000000000003"/>
    <n v="0.49"/>
    <n v="250"/>
    <m/>
    <m/>
    <m/>
    <m/>
    <m/>
    <m/>
    <n v="250"/>
    <n v="49500"/>
    <n v="0"/>
    <n v="49500"/>
    <n v="9365.5"/>
  </r>
  <r>
    <s v="FALL 2025"/>
    <s v="MEN"/>
    <x v="10"/>
    <s v="HESRRO"/>
    <s v="CHINA"/>
    <s v="STF25M51382"/>
    <s v="FF345"/>
    <s v="100% NYLON "/>
    <s v="WOVEN"/>
    <s v="6201.40.7511"/>
    <n v="225"/>
    <n v="42.439"/>
    <n v="29.5"/>
    <n v="0.27700000000000002"/>
    <n v="8.1715"/>
    <n v="7.4999999999999997E-2"/>
    <n v="2.2124999999999999"/>
    <n v="7.0000000000000007E-2"/>
    <n v="2.0650000000000004"/>
    <n v="0.49"/>
    <n v="250"/>
    <m/>
    <m/>
    <m/>
    <m/>
    <m/>
    <m/>
    <n v="250"/>
    <n v="56250"/>
    <n v="0"/>
    <n v="56250"/>
    <n v="10609.75"/>
  </r>
  <r>
    <s v="FALL 2025"/>
    <s v="MEN"/>
    <x v="11"/>
    <s v="PORTA ASIATACA"/>
    <s v="CHINA"/>
    <s v="STF25M51378"/>
    <s v="FF420-P"/>
    <s v="65% POLYESTER/35% COTTON WAFFLE"/>
    <s v="WOVEN"/>
    <s v="6205.30.2073"/>
    <n v="135"/>
    <n v="26.9879"/>
    <n v="18.7"/>
    <n v="0.27200000000000002"/>
    <n v="5.0864000000000003"/>
    <n v="7.4999999999999997E-2"/>
    <n v="1.4024999999999999"/>
    <n v="7.0000000000000007E-2"/>
    <n v="1.3090000000000002"/>
    <n v="0.49"/>
    <n v="500"/>
    <n v="163"/>
    <m/>
    <m/>
    <m/>
    <n v="4"/>
    <m/>
    <n v="667"/>
    <n v="67500"/>
    <n v="22545"/>
    <n v="90045"/>
    <n v="13493.95"/>
  </r>
  <r>
    <s v="FALL 2025"/>
    <s v="MEN"/>
    <x v="3"/>
    <s v="PORTA ASIATACA"/>
    <s v="CHINA"/>
    <s v="STF25M51379"/>
    <s v="FF420-P"/>
    <s v="65% POLYESTER/35% COTTON WAFFLE"/>
    <s v="WOVEN"/>
    <s v="6203.43.9030"/>
    <n v="110"/>
    <n v="21.365839999999999"/>
    <n v="14.66"/>
    <n v="0.27900000000000003"/>
    <n v="4.0901400000000008"/>
    <n v="7.4999999999999997E-2"/>
    <n v="1.0994999999999999"/>
    <n v="7.0000000000000007E-2"/>
    <n v="1.0262"/>
    <n v="0.49"/>
    <n v="500"/>
    <n v="159"/>
    <m/>
    <m/>
    <m/>
    <m/>
    <m/>
    <n v="659"/>
    <n v="55000"/>
    <n v="17490"/>
    <n v="72490"/>
    <n v="10682.92"/>
  </r>
  <r>
    <s v="FALL 2025"/>
    <s v="MEN"/>
    <x v="11"/>
    <s v="PORTA ASIATACA"/>
    <s v="CHINA"/>
    <s v="STF25M51378"/>
    <s v="FF420-P"/>
    <s v="65% POLYESTER/35% COTTON WAFFLE"/>
    <s v="WOVEN"/>
    <s v="6205.30.2073"/>
    <n v="135"/>
    <n v="26.9879"/>
    <n v="18.7"/>
    <n v="0.27200000000000002"/>
    <n v="5.0864000000000003"/>
    <n v="7.4999999999999997E-2"/>
    <n v="1.4024999999999999"/>
    <n v="7.0000000000000007E-2"/>
    <n v="1.3090000000000002"/>
    <n v="0.49"/>
    <n v="650"/>
    <n v="310"/>
    <m/>
    <m/>
    <m/>
    <n v="4"/>
    <m/>
    <n v="964"/>
    <n v="87750"/>
    <n v="42390"/>
    <n v="130140"/>
    <n v="17542.134999999998"/>
  </r>
  <r>
    <s v="FALL 2025"/>
    <s v="MEN"/>
    <x v="3"/>
    <s v="PORTA ASIATACA"/>
    <s v="CHINA"/>
    <s v="STF25M51379"/>
    <s v="FF420-P"/>
    <s v="65% POLYESTER/35% COTTON WAFFLE"/>
    <s v="WOVEN"/>
    <s v="6203.43.9030"/>
    <n v="110"/>
    <n v="21.365839999999999"/>
    <n v="14.66"/>
    <n v="0.27900000000000003"/>
    <n v="4.0901400000000008"/>
    <n v="7.4999999999999997E-2"/>
    <n v="1.0994999999999999"/>
    <n v="7.0000000000000007E-2"/>
    <n v="1.0262"/>
    <n v="0.49"/>
    <n v="650"/>
    <n v="281"/>
    <m/>
    <m/>
    <m/>
    <m/>
    <m/>
    <n v="931"/>
    <n v="71500"/>
    <n v="30910"/>
    <n v="102410"/>
    <n v="13887.795999999998"/>
  </r>
  <r>
    <s v="FALL 2025"/>
    <s v="MEN"/>
    <x v="11"/>
    <s v="PORTA ASIATACA"/>
    <s v="CHINA"/>
    <s v="STF25M51328"/>
    <s v="FF399"/>
    <s v="98% COTTON/2% SPANDEX 120 GM/M2"/>
    <s v="WOVEN"/>
    <s v="6205.20.2066"/>
    <n v="135"/>
    <n v="25.048599999999997"/>
    <n v="18.3"/>
    <n v="0.19700000000000001"/>
    <n v="3.6051000000000002"/>
    <n v="7.4999999999999997E-2"/>
    <n v="1.3725000000000001"/>
    <n v="7.0000000000000007E-2"/>
    <n v="1.2810000000000001"/>
    <n v="0.49"/>
    <n v="500"/>
    <n v="4"/>
    <m/>
    <m/>
    <m/>
    <m/>
    <m/>
    <n v="504"/>
    <n v="67500"/>
    <n v="540"/>
    <n v="68040"/>
    <n v="12524.3"/>
  </r>
  <r>
    <s v="FALL 2025"/>
    <s v="MEN"/>
    <x v="3"/>
    <s v="PORTA ASIATACA"/>
    <s v="CHINA"/>
    <s v="STF25M51329"/>
    <s v="FF399"/>
    <s v="98% COTTON/2% SPANDEX 120 GM/M2"/>
    <s v="WOVEN"/>
    <s v="6203.42.4551"/>
    <n v="110"/>
    <n v="21.334899999999998"/>
    <n v="15.9"/>
    <n v="0.16600000000000001"/>
    <n v="2.6394000000000002"/>
    <n v="7.4999999999999997E-2"/>
    <n v="1.1924999999999999"/>
    <n v="7.0000000000000007E-2"/>
    <n v="1.1130000000000002"/>
    <n v="0.49"/>
    <n v="500"/>
    <n v="4"/>
    <m/>
    <m/>
    <m/>
    <m/>
    <m/>
    <n v="504"/>
    <n v="55000"/>
    <n v="440"/>
    <n v="55440"/>
    <n v="10667.449999999999"/>
  </r>
  <r>
    <s v="FALL 2025"/>
    <s v="MEN"/>
    <x v="11"/>
    <s v="PORTA ASIATACA"/>
    <s v="CHINA"/>
    <s v="STF25M51328"/>
    <s v="FF399"/>
    <s v="98% COTTON/2% SPANDEX 120 GM/M2"/>
    <s v="WOVEN"/>
    <s v="6205.20.2066"/>
    <n v="135"/>
    <n v="25.048599999999997"/>
    <n v="18.3"/>
    <n v="0.19700000000000001"/>
    <n v="3.6051000000000002"/>
    <n v="7.4999999999999997E-2"/>
    <n v="1.3725000000000001"/>
    <n v="7.0000000000000007E-2"/>
    <n v="1.2810000000000001"/>
    <n v="0.49"/>
    <n v="400"/>
    <n v="209"/>
    <m/>
    <m/>
    <m/>
    <m/>
    <m/>
    <n v="609"/>
    <n v="54000"/>
    <n v="28215"/>
    <n v="82215"/>
    <n v="10019.439999999999"/>
  </r>
  <r>
    <s v="FALL 2025"/>
    <s v="MEN"/>
    <x v="3"/>
    <s v="PORTA ASIATACA"/>
    <s v="CHINA"/>
    <s v="STF25M51329"/>
    <s v="FF399"/>
    <s v="98% COTTON/2% SPANDEX 120 GM/M2"/>
    <s v="WOVEN"/>
    <s v="6203.42.4551"/>
    <n v="110"/>
    <n v="21.334899999999998"/>
    <n v="15.9"/>
    <n v="0.16600000000000001"/>
    <n v="2.6394000000000002"/>
    <n v="7.4999999999999997E-2"/>
    <n v="1.1924999999999999"/>
    <n v="7.0000000000000007E-2"/>
    <n v="1.1130000000000002"/>
    <n v="0.49"/>
    <n v="400"/>
    <n v="209"/>
    <m/>
    <m/>
    <m/>
    <m/>
    <m/>
    <n v="609"/>
    <n v="44000"/>
    <n v="22990"/>
    <n v="66990"/>
    <n v="8533.9599999999991"/>
  </r>
  <r>
    <s v="FALL 2025"/>
    <s v="MEN"/>
    <x v="0"/>
    <s v="PORTA ASIATACA"/>
    <s v="CHINA"/>
    <s v="STF25M51330"/>
    <s v="FF418"/>
    <s v="58% COTTON/40% VISCOSE/2% SPANDEX 370 GM/M2"/>
    <s v="WOVEN"/>
    <s v="6201.30.8051"/>
    <n v="185"/>
    <n v="36.779600000000009"/>
    <n v="29.6"/>
    <n v="8.1000000000000003E-2"/>
    <n v="2.3976000000000002"/>
    <n v="7.4999999999999997E-2"/>
    <n v="2.2200000000000002"/>
    <n v="7.0000000000000007E-2"/>
    <n v="2.0720000000000005"/>
    <n v="0.49"/>
    <n v="450"/>
    <n v="107"/>
    <m/>
    <m/>
    <m/>
    <n v="4"/>
    <m/>
    <n v="561"/>
    <n v="83250"/>
    <n v="20535"/>
    <n v="103785"/>
    <n v="16550.820000000003"/>
  </r>
  <r>
    <s v="FALL 2025"/>
    <s v="MEN"/>
    <x v="1"/>
    <s v="PORTA ASIATACA"/>
    <s v="CHINA"/>
    <s v="STF25M51331"/>
    <s v="FF418"/>
    <s v="58% COTTON/40% VISCOSE/2% SPANDEX 370 GM/M2"/>
    <s v="WOVEN"/>
    <s v="6203.42.4518"/>
    <n v="165"/>
    <n v="31.429600000000001"/>
    <n v="23.6"/>
    <n v="0.16600000000000001"/>
    <n v="3.9176000000000006"/>
    <n v="7.4999999999999997E-2"/>
    <n v="1.77"/>
    <n v="7.0000000000000007E-2"/>
    <n v="1.6520000000000004"/>
    <n v="0.49"/>
    <n v="400"/>
    <n v="107"/>
    <m/>
    <m/>
    <m/>
    <n v="4"/>
    <m/>
    <n v="511"/>
    <n v="66000"/>
    <n v="18315"/>
    <n v="84315"/>
    <n v="12571.84"/>
  </r>
  <r>
    <s v="FALL 2025"/>
    <s v="MEN"/>
    <x v="0"/>
    <s v="PORTA ASIATACA"/>
    <s v="CHINA"/>
    <s v="STF25M51330"/>
    <s v="FF418"/>
    <s v="58% COTTON/40% VISCOSE/2% SPANDEX 370 GM/M2"/>
    <s v="WOVEN"/>
    <s v="6201.30.8051"/>
    <n v="185"/>
    <n v="36.779600000000009"/>
    <n v="29.6"/>
    <n v="8.1000000000000003E-2"/>
    <n v="2.3976000000000002"/>
    <n v="7.4999999999999997E-2"/>
    <n v="2.2200000000000002"/>
    <n v="7.0000000000000007E-2"/>
    <n v="2.0720000000000005"/>
    <n v="0.49"/>
    <n v="500"/>
    <n v="115"/>
    <m/>
    <m/>
    <m/>
    <n v="4"/>
    <n v="6"/>
    <n v="625"/>
    <n v="92500"/>
    <n v="23125"/>
    <n v="115625"/>
    <n v="18389.800000000003"/>
  </r>
  <r>
    <s v="FALL 2025"/>
    <s v="MEN"/>
    <x v="1"/>
    <s v="PORTA ASIATACA"/>
    <s v="CHINA"/>
    <s v="STF25M51331"/>
    <s v="FF418"/>
    <s v="58% COTTON/40% VISCOSE/2% SPANDEX 370 GM/M2"/>
    <s v="WOVEN"/>
    <s v="6203.42.4518"/>
    <n v="165"/>
    <n v="31.429600000000001"/>
    <n v="23.6"/>
    <n v="0.16600000000000001"/>
    <n v="3.9176000000000006"/>
    <n v="7.4999999999999997E-2"/>
    <n v="1.77"/>
    <n v="7.0000000000000007E-2"/>
    <n v="1.6520000000000004"/>
    <n v="0.49"/>
    <n v="450"/>
    <n v="115"/>
    <m/>
    <m/>
    <m/>
    <n v="4"/>
    <n v="6"/>
    <n v="575"/>
    <n v="74250"/>
    <n v="20625"/>
    <n v="94875"/>
    <n v="14143.32"/>
  </r>
  <r>
    <s v="FALL 2025"/>
    <s v="MEN"/>
    <x v="0"/>
    <s v="PORTA ASIATACA"/>
    <s v="CHINA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100"/>
    <n v="220"/>
    <m/>
    <m/>
    <m/>
    <m/>
    <m/>
    <n v="1320"/>
    <n v="181500"/>
    <n v="36300"/>
    <n v="217800"/>
    <n v="34993.914999999994"/>
  </r>
  <r>
    <s v="FALL 2025"/>
    <s v="MEN"/>
    <x v="1"/>
    <s v="PORTA ASIATACA"/>
    <s v="CHINA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000"/>
    <n v="220"/>
    <m/>
    <m/>
    <m/>
    <m/>
    <m/>
    <n v="1220"/>
    <n v="145000"/>
    <n v="31900"/>
    <n v="176900"/>
    <n v="28673.249999999996"/>
  </r>
  <r>
    <s v="FALL 2025"/>
    <s v="MEN"/>
    <x v="0"/>
    <s v="PORTA ASIATACA"/>
    <s v="CHINA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100"/>
    <n v="199"/>
    <m/>
    <m/>
    <m/>
    <m/>
    <m/>
    <n v="1299"/>
    <n v="181500"/>
    <n v="32835"/>
    <n v="214335"/>
    <n v="34993.914999999994"/>
  </r>
  <r>
    <s v="FALL 2025"/>
    <s v="MEN"/>
    <x v="1"/>
    <s v="PORTA ASIATACA"/>
    <s v="CHINA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000"/>
    <n v="199"/>
    <m/>
    <m/>
    <m/>
    <m/>
    <m/>
    <n v="1199"/>
    <n v="145000"/>
    <n v="28855"/>
    <n v="173855"/>
    <n v="28673.249999999996"/>
  </r>
  <r>
    <s v="FALL 2025"/>
    <s v="MEN"/>
    <x v="0"/>
    <s v="PORTA ASIATACA"/>
    <s v="CHINA"/>
    <s v="STF25M51299"/>
    <s v="FF031"/>
    <s v="92% POLYESTER/8% SPANDEX DIVER 300GM/M2"/>
    <s v="KNIT"/>
    <s v="6112.12.0010"/>
    <n v="165"/>
    <n v="31.812649999999994"/>
    <n v="21.95"/>
    <n v="0.28199999999999997"/>
    <n v="6.1898999999999988"/>
    <n v="7.4999999999999997E-2"/>
    <n v="1.64625"/>
    <n v="7.0000000000000007E-2"/>
    <n v="1.5365000000000002"/>
    <n v="0.49"/>
    <n v="1200"/>
    <n v="174"/>
    <m/>
    <m/>
    <m/>
    <m/>
    <m/>
    <n v="1374"/>
    <n v="198000"/>
    <n v="28710"/>
    <n v="226710"/>
    <n v="38175.179999999993"/>
  </r>
  <r>
    <s v="FALL 2025"/>
    <s v="MEN"/>
    <x v="1"/>
    <s v="PORTA ASIATACA"/>
    <s v="CHINA"/>
    <s v="STF25M51300"/>
    <s v="FF031"/>
    <s v="92% POLYESTER/8% SPANDEX DIVER 300GM/M2"/>
    <s v="KNIT"/>
    <s v="6112.12.005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1100"/>
    <n v="174"/>
    <m/>
    <m/>
    <m/>
    <m/>
    <m/>
    <n v="1274"/>
    <n v="159500"/>
    <n v="25230"/>
    <n v="184730"/>
    <n v="31540.574999999997"/>
  </r>
  <r>
    <s v="FALL 2025"/>
    <s v="MEN"/>
    <x v="0"/>
    <s v="PORTA ASIATACA"/>
    <s v="CHINA"/>
    <s v="STF25M51301"/>
    <s v="FF417"/>
    <s v="95% POLYESTER/5% SPANDEX FAUX SUEDE 300GM/M2"/>
    <s v="KNIT"/>
    <s v="6112.12.0010"/>
    <n v="175"/>
    <n v="32.954250000000002"/>
    <n v="22.75"/>
    <n v="0.28199999999999997"/>
    <n v="6.4154999999999998"/>
    <n v="7.4999999999999997E-2"/>
    <n v="1.70625"/>
    <n v="7.0000000000000007E-2"/>
    <n v="1.5925000000000002"/>
    <n v="0.49"/>
    <n v="500"/>
    <n v="155"/>
    <m/>
    <m/>
    <m/>
    <m/>
    <m/>
    <n v="655"/>
    <n v="87500"/>
    <n v="27125"/>
    <n v="114625"/>
    <n v="16477.125"/>
  </r>
  <r>
    <s v="FALL 2025"/>
    <s v="MEN"/>
    <x v="1"/>
    <s v="PORTA ASIATACA"/>
    <s v="CHINA"/>
    <s v="STF25M51302"/>
    <s v="FF417"/>
    <s v="95% POLYESTER/5% SPANDEX FAUX SUEDE 300GM/M2"/>
    <s v="KNIT"/>
    <s v="6112.12.0050"/>
    <n v="145"/>
    <n v="26.889499999999998"/>
    <n v="18.5"/>
    <n v="0.28199999999999997"/>
    <n v="5.2169999999999996"/>
    <n v="7.4999999999999997E-2"/>
    <n v="1.3875"/>
    <n v="7.0000000000000007E-2"/>
    <n v="1.2950000000000002"/>
    <n v="0.49"/>
    <n v="400"/>
    <n v="233"/>
    <m/>
    <m/>
    <m/>
    <m/>
    <m/>
    <n v="633"/>
    <n v="58000"/>
    <n v="33785"/>
    <n v="91785"/>
    <n v="10755.8"/>
  </r>
  <r>
    <s v="FALL 2025"/>
    <s v="MEN"/>
    <x v="0"/>
    <s v="PORTA ASIATACA"/>
    <s v="CHINA"/>
    <s v="STF25M51301"/>
    <s v="FF417"/>
    <s v="95% POLYESTER/5% SPANDEX FAUX SUEDE 300GM/M2"/>
    <s v="KNIT"/>
    <s v="6112.12.0010"/>
    <n v="175"/>
    <n v="32.954250000000002"/>
    <n v="22.75"/>
    <n v="0.28199999999999997"/>
    <n v="6.4154999999999998"/>
    <n v="7.4999999999999997E-2"/>
    <n v="1.70625"/>
    <n v="7.0000000000000007E-2"/>
    <n v="1.5925000000000002"/>
    <n v="0.49"/>
    <n v="400"/>
    <n v="192"/>
    <m/>
    <m/>
    <m/>
    <m/>
    <m/>
    <n v="592"/>
    <n v="70000"/>
    <n v="33600"/>
    <n v="103600"/>
    <n v="13181.7"/>
  </r>
  <r>
    <s v="FALL 2025"/>
    <s v="MEN"/>
    <x v="1"/>
    <s v="PORTA ASIATACA"/>
    <s v="CHINA"/>
    <s v="STF25M51302"/>
    <s v="FF417"/>
    <s v="95% POLYESTER/5% SPANDEX FAUX SUEDE 300GM/M2"/>
    <s v="KNIT"/>
    <s v="6112.12.0050"/>
    <n v="145"/>
    <n v="26.889499999999998"/>
    <n v="18.5"/>
    <n v="0.28199999999999997"/>
    <n v="5.2169999999999996"/>
    <n v="7.4999999999999997E-2"/>
    <n v="1.3875"/>
    <n v="7.0000000000000007E-2"/>
    <n v="1.2950000000000002"/>
    <n v="0.49"/>
    <n v="300"/>
    <n v="267"/>
    <m/>
    <m/>
    <m/>
    <m/>
    <m/>
    <n v="567"/>
    <n v="43500"/>
    <n v="38715"/>
    <n v="82215"/>
    <n v="8066.8499999999995"/>
  </r>
  <r>
    <s v="FALL 2025"/>
    <s v="MEN"/>
    <x v="0"/>
    <s v="PORTA ASIATACA"/>
    <s v="CHINA"/>
    <s v="STF25M51303"/>
    <s v="FF417"/>
    <s v="95% POLYESTER/5% SPANDEX FAUX SUEDE 300GM/M2"/>
    <s v="KNIT"/>
    <s v="6112.12.0010"/>
    <n v="175"/>
    <n v="34.381250000000001"/>
    <n v="23.75"/>
    <n v="0.28199999999999997"/>
    <n v="6.6974999999999998"/>
    <n v="7.4999999999999997E-2"/>
    <n v="1.78125"/>
    <n v="7.0000000000000007E-2"/>
    <n v="1.6625000000000001"/>
    <n v="0.49"/>
    <n v="350"/>
    <n v="81"/>
    <m/>
    <m/>
    <m/>
    <m/>
    <m/>
    <n v="431"/>
    <n v="61250"/>
    <n v="14175"/>
    <n v="75425"/>
    <n v="12033.4375"/>
  </r>
  <r>
    <s v="FALL 2025"/>
    <s v="MEN"/>
    <x v="0"/>
    <s v="PORTA ASIATACA"/>
    <s v="CHINA"/>
    <s v="STF25M51303"/>
    <s v="FF417"/>
    <s v="95% POLYESTER/5% SPANDEX FAUX SUEDE 300GM/M2"/>
    <s v="KNIT"/>
    <s v="6112.12.0010"/>
    <n v="175"/>
    <n v="34.381250000000001"/>
    <n v="23.75"/>
    <n v="0.28199999999999997"/>
    <n v="6.6974999999999998"/>
    <n v="7.4999999999999997E-2"/>
    <n v="1.78125"/>
    <n v="7.0000000000000007E-2"/>
    <n v="1.6625000000000001"/>
    <n v="0.49"/>
    <n v="400"/>
    <n v="84"/>
    <m/>
    <m/>
    <m/>
    <m/>
    <m/>
    <n v="484"/>
    <n v="70000"/>
    <n v="14700"/>
    <n v="84700"/>
    <n v="13752.5"/>
  </r>
  <r>
    <s v="FALL 2025"/>
    <s v="MEN"/>
    <x v="0"/>
    <s v="PORTA ASIATACA"/>
    <s v="CHINA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200"/>
    <n v="219"/>
    <m/>
    <m/>
    <m/>
    <m/>
    <n v="6"/>
    <n v="1425"/>
    <n v="180000"/>
    <n v="33750"/>
    <n v="213750"/>
    <n v="35264.1"/>
  </r>
  <r>
    <s v="FALL 2025"/>
    <s v="MEN"/>
    <x v="1"/>
    <s v="PORTA ASIATACA"/>
    <s v="CHINA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1100"/>
    <n v="219"/>
    <m/>
    <m/>
    <m/>
    <m/>
    <n v="6"/>
    <n v="1325"/>
    <n v="148500"/>
    <n v="30375"/>
    <n v="178875"/>
    <n v="28008.75"/>
  </r>
  <r>
    <s v="FALL 2025"/>
    <s v="MEN"/>
    <x v="0"/>
    <s v="PORTA ASIATACA"/>
    <s v="CHINA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300"/>
    <n v="155"/>
    <m/>
    <m/>
    <m/>
    <m/>
    <m/>
    <n v="1455"/>
    <n v="195000"/>
    <n v="23250"/>
    <n v="218250"/>
    <n v="38202.775000000001"/>
  </r>
  <r>
    <s v="FALL 2025"/>
    <s v="MEN"/>
    <x v="1"/>
    <s v="PORTA ASIATACA"/>
    <s v="CHINA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1200"/>
    <n v="155"/>
    <m/>
    <m/>
    <m/>
    <m/>
    <m/>
    <n v="1355"/>
    <n v="162000"/>
    <n v="20925"/>
    <n v="182925"/>
    <n v="30555"/>
  </r>
  <r>
    <s v="FALL 2025"/>
    <s v="MEN"/>
    <x v="0"/>
    <s v="PORTA ASIATACA"/>
    <s v="CHINA"/>
    <s v="STF25M51336"/>
    <s v="FF031"/>
    <s v="92% POLYESTER/8% SPANDEX DIVER 300GM/M2"/>
    <s v="KNIT"/>
    <s v="6112.12.0010"/>
    <n v="150"/>
    <n v="29.386749999999999"/>
    <n v="20.25"/>
    <n v="0.28199999999999997"/>
    <n v="5.7104999999999997"/>
    <n v="7.4999999999999997E-2"/>
    <n v="1.51875"/>
    <n v="7.0000000000000007E-2"/>
    <n v="1.4175000000000002"/>
    <n v="0.49"/>
    <n v="1000"/>
    <n v="12"/>
    <m/>
    <m/>
    <m/>
    <m/>
    <m/>
    <n v="1012"/>
    <n v="150000"/>
    <n v="1800"/>
    <n v="151800"/>
    <n v="29386.75"/>
  </r>
  <r>
    <s v="FALL 2025"/>
    <s v="MEN"/>
    <x v="1"/>
    <s v="PORTA ASIATACA"/>
    <s v="CHINA"/>
    <s v="STF25M51337"/>
    <s v="FF031"/>
    <s v="92% POLYESTER/8% SPANDEX DIVER 300GM/M2"/>
    <s v="KNIT"/>
    <s v="6112.12.005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900"/>
    <n v="12"/>
    <m/>
    <m/>
    <m/>
    <m/>
    <m/>
    <n v="912"/>
    <n v="121500"/>
    <n v="1620"/>
    <n v="123120"/>
    <n v="22916.25"/>
  </r>
  <r>
    <s v="FALL 2025"/>
    <s v="MEN"/>
    <x v="0"/>
    <s v="PORTA ASIATACA"/>
    <s v="CHINA"/>
    <s v="STF25M51295"/>
    <s v="FF151"/>
    <s v="95% POLYESTER/5% SPANDEX BRUSHED DIVER 280 GM/M2"/>
    <s v="KNIT"/>
    <s v="6112.12.0010"/>
    <n v="150"/>
    <n v="31.812649999999994"/>
    <n v="21.95"/>
    <n v="0.28199999999999997"/>
    <n v="6.1898999999999988"/>
    <n v="7.4999999999999997E-2"/>
    <n v="1.64625"/>
    <n v="7.0000000000000007E-2"/>
    <n v="1.5365000000000002"/>
    <n v="0.49"/>
    <n v="500"/>
    <n v="72"/>
    <m/>
    <m/>
    <m/>
    <m/>
    <m/>
    <n v="572"/>
    <n v="75000"/>
    <n v="10800"/>
    <n v="85800"/>
    <n v="15906.324999999997"/>
  </r>
  <r>
    <s v="FALL 2025"/>
    <s v="MEN"/>
    <x v="1"/>
    <s v="PORTA ASIATACA"/>
    <s v="CHINA"/>
    <s v="STF25M51296"/>
    <s v="FF151"/>
    <s v="95% POLYESTER/5% SPANDEX BRUSHED DIVER 280 GM/M2"/>
    <s v="KNIT"/>
    <s v="6112.12.0050"/>
    <n v="135"/>
    <n v="28.102450000000001"/>
    <n v="19.350000000000001"/>
    <n v="0.28199999999999997"/>
    <n v="5.4566999999999997"/>
    <n v="7.4999999999999997E-2"/>
    <n v="1.4512500000000002"/>
    <n v="7.0000000000000007E-2"/>
    <n v="1.3545000000000003"/>
    <n v="0.49"/>
    <n v="400"/>
    <n v="73"/>
    <m/>
    <m/>
    <m/>
    <m/>
    <m/>
    <n v="473"/>
    <n v="54000"/>
    <n v="9855"/>
    <n v="63855"/>
    <n v="11240.98"/>
  </r>
  <r>
    <s v="FALL 2025"/>
    <s v="MEN"/>
    <x v="12"/>
    <s v="PORTA ASIATACA"/>
    <s v="CHINA"/>
    <s v="STF25M51314"/>
    <s v="FF288"/>
    <s v="62% VISCOSE/38% POLYESTER 2/68 NM 14GG 2 ENDS"/>
    <s v="SWEATER"/>
    <s v="6110.30.3010"/>
    <n v="225"/>
    <n v="49.567500000000003"/>
    <n v="33.5"/>
    <n v="0.32"/>
    <n v="10.72"/>
    <n v="7.4999999999999997E-2"/>
    <n v="2.5124999999999997"/>
    <n v="7.0000000000000007E-2"/>
    <n v="2.3450000000000002"/>
    <n v="0.49"/>
    <n v="250"/>
    <n v="59"/>
    <m/>
    <m/>
    <m/>
    <m/>
    <m/>
    <n v="309"/>
    <n v="56250"/>
    <n v="13275"/>
    <n v="69525"/>
    <n v="12391.875"/>
  </r>
  <r>
    <s v="FALL 2025"/>
    <s v="MEN"/>
    <x v="12"/>
    <s v="PORTA ASIATACA"/>
    <s v="CHINA"/>
    <s v="STF25M51314"/>
    <s v="FF288"/>
    <s v="62% VISCOSE/38% POLYESTER 2/68 NM 14GG 2 ENDS"/>
    <s v="SWEATER"/>
    <s v="6110.30.3010"/>
    <n v="225"/>
    <n v="49.567500000000003"/>
    <n v="33.5"/>
    <n v="0.32"/>
    <n v="10.72"/>
    <n v="7.4999999999999997E-2"/>
    <n v="2.5124999999999997"/>
    <n v="7.0000000000000007E-2"/>
    <n v="2.3450000000000002"/>
    <n v="0.49"/>
    <n v="250"/>
    <n v="58"/>
    <m/>
    <m/>
    <m/>
    <m/>
    <m/>
    <n v="308"/>
    <n v="56250"/>
    <n v="13050"/>
    <n v="69300"/>
    <n v="12391.875"/>
  </r>
  <r>
    <s v="FALL 2025"/>
    <s v="MEN"/>
    <x v="12"/>
    <s v="PORTA ASIATACA"/>
    <s v="CHINA"/>
    <s v="STF25M51316"/>
    <s v="FF288"/>
    <s v="62% VISCOSE/38% POLYESTER 2/68 NM 14GG 2 ENDS"/>
    <s v="SWEATER"/>
    <s v="6110.30.3010"/>
    <n v="225"/>
    <n v="64.876750000000001"/>
    <n v="43.95"/>
    <n v="0.32"/>
    <n v="14.064000000000002"/>
    <n v="7.4999999999999997E-2"/>
    <n v="3.2962500000000001"/>
    <n v="7.0000000000000007E-2"/>
    <n v="3.0765000000000007"/>
    <n v="0.49"/>
    <n v="250"/>
    <n v="58"/>
    <m/>
    <m/>
    <m/>
    <m/>
    <m/>
    <n v="308"/>
    <n v="56250"/>
    <n v="13050"/>
    <n v="69300"/>
    <n v="16219.1875"/>
  </r>
  <r>
    <s v="FALL 2025"/>
    <s v="MEN"/>
    <x v="12"/>
    <s v="PORTA ASIATACA"/>
    <s v="CHINA"/>
    <s v="STF25M51318"/>
    <s v="FF459"/>
    <s v="50% COTTON/50% COOLMAX POLYESTER 12 GG 16GG"/>
    <s v="SWEATER"/>
    <s v="6110.20.2010"/>
    <n v="135"/>
    <n v="29.244499999999995"/>
    <n v="21.95"/>
    <n v="0.16500000000000001"/>
    <n v="3.62175"/>
    <n v="7.4999999999999997E-2"/>
    <n v="1.64625"/>
    <n v="7.0000000000000007E-2"/>
    <n v="1.5365000000000002"/>
    <n v="0.49"/>
    <n v="400"/>
    <m/>
    <m/>
    <m/>
    <m/>
    <m/>
    <m/>
    <n v="400"/>
    <n v="54000"/>
    <n v="0"/>
    <n v="54000"/>
    <n v="11697.799999999997"/>
  </r>
  <r>
    <s v="FALL 2025"/>
    <s v="MEN"/>
    <x v="12"/>
    <s v="PORTA ASIATACA"/>
    <s v="CHINA"/>
    <s v="STF25M51318"/>
    <s v="FF459"/>
    <s v="50% COTTON/50% COOLMAX POLYESTER 12 GG 16GG"/>
    <s v="SWEATER"/>
    <s v="6110.20.2010"/>
    <n v="135"/>
    <n v="29.244499999999995"/>
    <n v="21.95"/>
    <n v="0.16500000000000001"/>
    <n v="3.62175"/>
    <n v="7.4999999999999997E-2"/>
    <n v="1.64625"/>
    <n v="7.0000000000000007E-2"/>
    <n v="1.5365000000000002"/>
    <n v="0.49"/>
    <n v="400"/>
    <m/>
    <m/>
    <m/>
    <m/>
    <m/>
    <m/>
    <n v="400"/>
    <n v="54000"/>
    <n v="0"/>
    <n v="54000"/>
    <n v="11697.799999999997"/>
  </r>
  <r>
    <s v="FALL 2025"/>
    <s v="MEN"/>
    <x v="12"/>
    <s v="PORTA ASIATACA"/>
    <s v="CHINA"/>
    <s v="STF25M51319"/>
    <s v="FF459"/>
    <s v="50% COTTON/50% COOLMAX POLYESTER 14 GG 16GG"/>
    <s v="SWEATER"/>
    <s v="6103.42.1050"/>
    <n v="125"/>
    <n v="29.156699999999997"/>
    <n v="21.95"/>
    <n v="0.161"/>
    <n v="3.5339499999999999"/>
    <n v="7.4999999999999997E-2"/>
    <n v="1.64625"/>
    <n v="7.0000000000000007E-2"/>
    <n v="1.5365000000000002"/>
    <n v="0.49"/>
    <n v="400"/>
    <m/>
    <m/>
    <m/>
    <m/>
    <m/>
    <m/>
    <n v="400"/>
    <n v="50000"/>
    <n v="0"/>
    <n v="50000"/>
    <n v="11662.679999999998"/>
  </r>
  <r>
    <s v="FALL 2025"/>
    <s v="MEN"/>
    <x v="12"/>
    <s v="PORTA ASIATACA"/>
    <s v="CHINA"/>
    <s v="STF25M51319"/>
    <s v="FF459"/>
    <s v="50% COTTON/50% COOLMAX POLYESTER 14 GG 16GG"/>
    <s v="SWEATER"/>
    <s v="6103.42.1050"/>
    <n v="125"/>
    <n v="29.156699999999997"/>
    <n v="21.95"/>
    <n v="0.161"/>
    <n v="3.5339499999999999"/>
    <n v="7.4999999999999997E-2"/>
    <n v="1.64625"/>
    <n v="7.0000000000000007E-2"/>
    <n v="1.5365000000000002"/>
    <n v="0.49"/>
    <n v="400"/>
    <m/>
    <m/>
    <m/>
    <m/>
    <m/>
    <m/>
    <n v="400"/>
    <n v="50000"/>
    <n v="0"/>
    <n v="50000"/>
    <n v="11662.679999999998"/>
  </r>
  <r>
    <s v="FALL 2025"/>
    <s v="MEN"/>
    <x v="12"/>
    <s v="PORTA ASIATACA"/>
    <s v="CHINA"/>
    <s v="STF25M51320"/>
    <s v="FF459"/>
    <s v="50% COTTON/50% COOLMAX POLYESTER 12 GG 16GG"/>
    <s v="SWEATER"/>
    <s v="6110.20.2010"/>
    <n v="175"/>
    <n v="39.763799999999996"/>
    <n v="29.98"/>
    <n v="0.16500000000000001"/>
    <n v="4.9466999999999999"/>
    <n v="7.4999999999999997E-2"/>
    <n v="2.2484999999999999"/>
    <n v="7.0000000000000007E-2"/>
    <n v="2.0986000000000002"/>
    <n v="0.49"/>
    <n v="500"/>
    <n v="74"/>
    <m/>
    <m/>
    <m/>
    <m/>
    <m/>
    <n v="574"/>
    <n v="87500"/>
    <n v="12950"/>
    <n v="100450"/>
    <n v="19881.899999999998"/>
  </r>
  <r>
    <s v="FALL 2025"/>
    <s v="MEN"/>
    <x v="12"/>
    <s v="PORTA ASIATACA"/>
    <s v="CHINA"/>
    <s v="STF25M51320"/>
    <s v="FF459"/>
    <s v="50% COTTON/50% COOLMAX POLYESTER 12 GG 16GG"/>
    <s v="SWEATER"/>
    <s v="6110.20.2010"/>
    <n v="175"/>
    <n v="39.763799999999996"/>
    <n v="29.98"/>
    <n v="0.16500000000000001"/>
    <n v="4.9466999999999999"/>
    <n v="7.4999999999999997E-2"/>
    <n v="2.2484999999999999"/>
    <n v="7.0000000000000007E-2"/>
    <n v="2.0986000000000002"/>
    <n v="0.49"/>
    <n v="500"/>
    <n v="69"/>
    <m/>
    <m/>
    <m/>
    <m/>
    <m/>
    <n v="569"/>
    <n v="87500"/>
    <n v="12075"/>
    <n v="99575"/>
    <n v="19881.899999999998"/>
  </r>
  <r>
    <s v="FALL 2025"/>
    <s v="MEN"/>
    <x v="12"/>
    <s v="PORTA ASIATACA"/>
    <s v="CHINA"/>
    <s v="STF25M51321"/>
    <s v="FF288"/>
    <s v="62% VISCOSE/38% POLYESTER 2/68 NM 14GG 2 ENDS"/>
    <s v="SWEATER"/>
    <s v="6110.30.3010"/>
    <n v="225"/>
    <n v="45.83175"/>
    <n v="30.95"/>
    <n v="0.32"/>
    <n v="9.9039999999999999"/>
    <n v="7.4999999999999997E-2"/>
    <n v="2.32125"/>
    <n v="7.0000000000000007E-2"/>
    <n v="2.1665000000000001"/>
    <n v="0.49"/>
    <n v="350"/>
    <n v="112"/>
    <m/>
    <m/>
    <m/>
    <m/>
    <m/>
    <n v="462"/>
    <n v="78750"/>
    <n v="25200"/>
    <n v="103950"/>
    <n v="16041.112499999999"/>
  </r>
  <r>
    <s v="FALL 2025"/>
    <s v="MEN"/>
    <x v="0"/>
    <s v="PORTA ASIATACA"/>
    <s v="CHINA"/>
    <s v="STF25M51322"/>
    <s v="FF460"/>
    <s v="64% POLYESTER/35% RAYON/1% SPANDEX 330GM/M2"/>
    <s v="KNIT"/>
    <s v="6112.12.0010"/>
    <n v="175"/>
    <n v="35.1661"/>
    <n v="24.3"/>
    <n v="0.28199999999999997"/>
    <n v="6.8525999999999998"/>
    <n v="7.4999999999999997E-2"/>
    <n v="1.8225"/>
    <n v="7.0000000000000007E-2"/>
    <n v="1.7010000000000003"/>
    <n v="0.49"/>
    <n v="350"/>
    <n v="83"/>
    <m/>
    <m/>
    <m/>
    <m/>
    <m/>
    <n v="433"/>
    <n v="61250"/>
    <n v="14525"/>
    <n v="75775"/>
    <n v="12308.135"/>
  </r>
  <r>
    <s v="FALL 2025"/>
    <s v="MEN"/>
    <x v="1"/>
    <s v="PORTA ASIATACA"/>
    <s v="CHINA"/>
    <s v="STF25M51323"/>
    <s v="FF460"/>
    <s v="64% POLYESTER/35% RAYON/1% SPANDEX 330GM/M2"/>
    <s v="KNIT"/>
    <s v="6112.12.0050"/>
    <n v="150"/>
    <n v="32.597500000000004"/>
    <n v="22.5"/>
    <n v="0.28199999999999997"/>
    <n v="6.3449999999999998"/>
    <n v="7.4999999999999997E-2"/>
    <n v="1.6875"/>
    <n v="7.0000000000000007E-2"/>
    <n v="1.5750000000000002"/>
    <n v="0.49"/>
    <n v="300"/>
    <n v="83"/>
    <m/>
    <m/>
    <m/>
    <m/>
    <m/>
    <n v="383"/>
    <n v="45000"/>
    <n v="12450"/>
    <n v="57450"/>
    <n v="9779.2500000000018"/>
  </r>
  <r>
    <s v="FALL 2025"/>
    <s v="MEN"/>
    <x v="4"/>
    <s v="PORTA ASIATACA"/>
    <s v="CHINA"/>
    <s v="STF25M51324"/>
    <s v="FF460"/>
    <s v="64% POLYESTER/35% RAYON/1% SPANDEX 330GM/M2"/>
    <s v="KNIT"/>
    <s v="6105.20.2010"/>
    <n v="110"/>
    <n v="21.51275"/>
    <n v="14.35"/>
    <n v="0.32"/>
    <n v="4.5919999999999996"/>
    <n v="7.4999999999999997E-2"/>
    <n v="1.0762499999999999"/>
    <n v="7.0000000000000007E-2"/>
    <n v="1.0045000000000002"/>
    <n v="0.49"/>
    <n v="300"/>
    <n v="69"/>
    <m/>
    <m/>
    <m/>
    <m/>
    <m/>
    <n v="369"/>
    <n v="33000"/>
    <n v="7590"/>
    <n v="40590"/>
    <n v="6453.8249999999998"/>
  </r>
  <r>
    <s v="FALL 2025"/>
    <s v="MEN"/>
    <x v="3"/>
    <s v="PORTA ASIATACA"/>
    <s v="CHINA"/>
    <s v="STF25M51325"/>
    <s v="FF460"/>
    <s v="64% POLYESTER/35% RAYON/1% SPANDEX 330GM/M2"/>
    <s v="KNIT"/>
    <s v="6103.43.1550"/>
    <n v="98"/>
    <n v="20.396649999999998"/>
    <n v="13.95"/>
    <n v="0.28199999999999997"/>
    <n v="3.9338999999999995"/>
    <n v="7.4999999999999997E-2"/>
    <n v="1.0462499999999999"/>
    <n v="7.0000000000000007E-2"/>
    <n v="0.97650000000000003"/>
    <n v="0.49"/>
    <n v="300"/>
    <n v="69"/>
    <m/>
    <m/>
    <m/>
    <m/>
    <m/>
    <n v="369"/>
    <n v="29400"/>
    <n v="6762"/>
    <n v="36162"/>
    <n v="6118.994999999999"/>
  </r>
  <r>
    <s v="FALL 2025"/>
    <s v="MEN"/>
    <x v="4"/>
    <s v="PORTA ASIATACA"/>
    <s v="CHINA"/>
    <s v="STF25M51324"/>
    <s v="FF460"/>
    <s v="64% POLYESTER/35% RAYON/1% SPANDEX 330GM/M2"/>
    <s v="KNIT"/>
    <s v="6105.20.2010"/>
    <n v="110"/>
    <n v="21.51275"/>
    <n v="14.35"/>
    <n v="0.32"/>
    <n v="4.5919999999999996"/>
    <n v="7.4999999999999997E-2"/>
    <n v="1.0762499999999999"/>
    <n v="7.0000000000000007E-2"/>
    <n v="1.0045000000000002"/>
    <n v="0.49"/>
    <n v="300"/>
    <n v="107"/>
    <m/>
    <m/>
    <m/>
    <m/>
    <m/>
    <n v="407"/>
    <n v="33000"/>
    <n v="11770"/>
    <n v="44770"/>
    <n v="6453.8249999999998"/>
  </r>
  <r>
    <s v="FALL 2025"/>
    <s v="MEN"/>
    <x v="3"/>
    <s v="PORTA ASIATACA"/>
    <s v="CHINA"/>
    <s v="STF25M51325"/>
    <s v="FF460"/>
    <s v="64% POLYESTER/35% RAYON/1% SPANDEX 330GM/M2"/>
    <s v="KNIT"/>
    <s v="6103.43.1550"/>
    <n v="98"/>
    <n v="20.396649999999998"/>
    <n v="13.95"/>
    <n v="0.28199999999999997"/>
    <n v="3.9338999999999995"/>
    <n v="7.4999999999999997E-2"/>
    <n v="1.0462499999999999"/>
    <n v="7.0000000000000007E-2"/>
    <n v="0.97650000000000003"/>
    <n v="0.49"/>
    <n v="300"/>
    <n v="107"/>
    <m/>
    <m/>
    <m/>
    <m/>
    <m/>
    <n v="407"/>
    <n v="29400"/>
    <n v="10486"/>
    <n v="39886"/>
    <n v="6118.994999999999"/>
  </r>
  <r>
    <s v="FALL 2025"/>
    <s v="MEN"/>
    <x v="0"/>
    <s v="PORTA ASIATACA"/>
    <s v="CHINA"/>
    <s v="STF25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395"/>
    <m/>
    <m/>
    <m/>
    <m/>
    <m/>
    <n v="1595"/>
    <n v="198000"/>
    <n v="65175"/>
    <n v="263175"/>
    <n v="36548.399999999994"/>
  </r>
  <r>
    <s v="FALL 2025"/>
    <s v="MEN"/>
    <x v="1"/>
    <s v="PORTA ASIATACA"/>
    <s v="CHINA"/>
    <s v="STF25M50645"/>
    <s v="FF141-P"/>
    <s v="93% POLYESTER/7% SPANDEX VELOUR 300 GM/M2"/>
    <s v="KNIT"/>
    <s v="6112.12.0050"/>
    <n v="125"/>
    <n v="24.662500000000001"/>
    <n v="16.5"/>
    <n v="0.32"/>
    <n v="5.28"/>
    <n v="7.4999999999999997E-2"/>
    <n v="1.2375"/>
    <n v="7.0000000000000007E-2"/>
    <n v="1.155"/>
    <n v="0.49"/>
    <n v="1100"/>
    <n v="395"/>
    <m/>
    <m/>
    <m/>
    <m/>
    <m/>
    <n v="1495"/>
    <n v="137500"/>
    <n v="49375"/>
    <n v="186875"/>
    <n v="27128.75"/>
  </r>
  <r>
    <s v="FALL 2025"/>
    <s v="MEN"/>
    <x v="0"/>
    <s v="PORTA ASIATACA"/>
    <s v="CHINA"/>
    <s v="STF25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192"/>
    <m/>
    <m/>
    <m/>
    <m/>
    <m/>
    <n v="1392"/>
    <n v="198000"/>
    <n v="31680"/>
    <n v="229680"/>
    <n v="36548.399999999994"/>
  </r>
  <r>
    <s v="FALL 2025"/>
    <s v="MEN"/>
    <x v="1"/>
    <s v="PORTA ASIATACA"/>
    <s v="CHINA"/>
    <s v="STF25M50645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100"/>
    <n v="192"/>
    <m/>
    <m/>
    <m/>
    <m/>
    <m/>
    <n v="1292"/>
    <n v="137500"/>
    <n v="24000"/>
    <n v="161500"/>
    <n v="26439.05"/>
  </r>
  <r>
    <s v="FALL 2023 REORDER"/>
    <s v="MEN"/>
    <x v="0"/>
    <s v="PORTA ASIATACA"/>
    <s v="CHINA"/>
    <s v="STF23M50644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300"/>
    <n v="324"/>
    <m/>
    <m/>
    <m/>
    <m/>
    <m/>
    <n v="1624"/>
    <n v="214500"/>
    <n v="53460"/>
    <n v="267960"/>
    <n v="39594.1"/>
  </r>
  <r>
    <s v="FALL 2023 REORDER"/>
    <s v="MEN"/>
    <x v="1"/>
    <s v="PORTA ASIATACA"/>
    <s v="CHINA"/>
    <s v="STF23M50645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200"/>
    <n v="342"/>
    <m/>
    <m/>
    <m/>
    <m/>
    <m/>
    <n v="1542"/>
    <n v="150000"/>
    <n v="42750"/>
    <n v="192750"/>
    <n v="28842.6"/>
  </r>
  <r>
    <s v="FALL 2023 REORDER"/>
    <s v="MEN"/>
    <x v="0"/>
    <s v="PORTA ASIATACA"/>
    <s v="CHINA"/>
    <s v="STF23M50736"/>
    <s v="FF141-P"/>
    <s v="93% POLYESTER/7% SPANDEX VELOUR 300 GM/M2"/>
    <s v="KNIT"/>
    <s v="6112.12.0010"/>
    <n v="160"/>
    <n v="30.456999999999997"/>
    <n v="21"/>
    <n v="0.28199999999999997"/>
    <n v="5.9219999999999997"/>
    <n v="7.4999999999999997E-2"/>
    <n v="1.575"/>
    <n v="7.0000000000000007E-2"/>
    <n v="1.4700000000000002"/>
    <n v="0.49"/>
    <n v="1100"/>
    <n v="336"/>
    <m/>
    <m/>
    <m/>
    <m/>
    <m/>
    <n v="1436"/>
    <n v="176000"/>
    <n v="53760"/>
    <n v="229760"/>
    <n v="33502.699999999997"/>
  </r>
  <r>
    <s v="FALL 2023 REORDER"/>
    <s v="MEN"/>
    <x v="1"/>
    <s v="PORTA ASIATACA"/>
    <s v="CHINA"/>
    <s v="STF23M50550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336"/>
    <m/>
    <m/>
    <m/>
    <m/>
    <m/>
    <n v="1336"/>
    <n v="125000"/>
    <n v="42000"/>
    <n v="167000"/>
    <n v="24035.5"/>
  </r>
  <r>
    <s v="FALL 2023 REORDER"/>
    <s v="MEN"/>
    <x v="0"/>
    <s v="PORTA ASIATACA"/>
    <s v="CHINA"/>
    <s v="STF23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100"/>
    <n v="349"/>
    <m/>
    <m/>
    <m/>
    <m/>
    <m/>
    <n v="1449"/>
    <n v="181500"/>
    <n v="57585"/>
    <n v="239085"/>
    <n v="33502.699999999997"/>
  </r>
  <r>
    <s v="FALL 2023 REORDER"/>
    <s v="MEN"/>
    <x v="1"/>
    <s v="PORTA ASIATACA"/>
    <s v="CHINA"/>
    <s v="STF23M50550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349"/>
    <m/>
    <m/>
    <m/>
    <m/>
    <m/>
    <n v="1349"/>
    <n v="125000"/>
    <n v="43625"/>
    <n v="168625"/>
    <n v="24035.5"/>
  </r>
  <r>
    <s v="FALL 2025"/>
    <s v="MEN"/>
    <x v="0"/>
    <s v="PORTA ASIATACA"/>
    <s v="CHINA"/>
    <s v="STF25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000"/>
    <n v="259"/>
    <m/>
    <m/>
    <m/>
    <m/>
    <m/>
    <n v="1259"/>
    <n v="165000"/>
    <n v="42735"/>
    <n v="207735"/>
    <n v="30456.999999999996"/>
  </r>
  <r>
    <s v="FALL 2025"/>
    <s v="MEN"/>
    <x v="1"/>
    <s v="PORTA ASIATACA"/>
    <s v="CHINA"/>
    <s v="STF25M51362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900"/>
    <n v="259"/>
    <m/>
    <m/>
    <m/>
    <m/>
    <m/>
    <n v="1159"/>
    <n v="112500"/>
    <n v="32375"/>
    <n v="144875"/>
    <n v="21631.95"/>
  </r>
  <r>
    <s v="FALL 2025"/>
    <s v="MEN"/>
    <x v="0"/>
    <s v="PORTA ASIATACA"/>
    <s v="CHINA"/>
    <s v="STF25M50736"/>
    <s v="FF141-P"/>
    <s v="93% POLYESTER/7% SPANDEX VELOUR 300 GM/M2"/>
    <s v="KNIT"/>
    <s v="6112.12.0010"/>
    <n v="165"/>
    <n v="30.456999999999997"/>
    <n v="21"/>
    <n v="0.28199999999999997"/>
    <n v="5.9219999999999997"/>
    <n v="7.4999999999999997E-2"/>
    <n v="1.575"/>
    <n v="7.0000000000000007E-2"/>
    <n v="1.4700000000000002"/>
    <n v="0.49"/>
    <n v="1200"/>
    <n v="164"/>
    <m/>
    <m/>
    <m/>
    <m/>
    <m/>
    <n v="1364"/>
    <n v="198000"/>
    <n v="27060"/>
    <n v="225060"/>
    <n v="36548.399999999994"/>
  </r>
  <r>
    <s v="FALL 2025"/>
    <s v="MEN"/>
    <x v="1"/>
    <s v="PORTA ASIATACA"/>
    <s v="CHINA"/>
    <s v="STF25M51362"/>
    <s v="FF141-P"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100"/>
    <n v="164"/>
    <m/>
    <m/>
    <m/>
    <m/>
    <m/>
    <n v="1264"/>
    <n v="137500"/>
    <n v="20500"/>
    <n v="158000"/>
    <n v="26439.05"/>
  </r>
  <r>
    <s v="FALL 2024 REORDER"/>
    <s v="MEN"/>
    <x v="0"/>
    <s v="PORTA ASIATACA"/>
    <s v="CHINA"/>
    <s v="STF24M50617"/>
    <s v="FF224"/>
    <s v="64% POLYESTER/35% RAYON/1% SPANDEX 340 GM/M2"/>
    <m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700"/>
    <m/>
    <m/>
    <m/>
    <m/>
    <m/>
    <m/>
    <n v="700"/>
    <n v="115500"/>
    <n v="0"/>
    <n v="115500"/>
    <n v="24766.105"/>
  </r>
  <r>
    <s v="FALL 2024 REORDER"/>
    <s v="MEN"/>
    <x v="1"/>
    <s v="PORTA ASIATACA"/>
    <s v="CHINA"/>
    <s v="STF24M50618"/>
    <s v="FF224"/>
    <s v="64% POLYESTER/35% RAYON/1% SPANDEX 340 GM/M2"/>
    <m/>
    <s v="6112.12.005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600"/>
    <m/>
    <m/>
    <m/>
    <m/>
    <m/>
    <m/>
    <n v="600"/>
    <n v="81000"/>
    <n v="0"/>
    <n v="81000"/>
    <n v="15919.649999999998"/>
  </r>
  <r>
    <s v="SPRING 2024 REORDER"/>
    <s v="MEN"/>
    <x v="0"/>
    <s v="PORTA ASIATACA"/>
    <s v="CHINA"/>
    <s v="STS24M50617"/>
    <s v="FF224"/>
    <s v="64% POLYESTER/35% RAYON/1% SPANDEX 340 GM/M2"/>
    <m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500"/>
    <m/>
    <m/>
    <m/>
    <m/>
    <m/>
    <m/>
    <n v="500"/>
    <n v="82500"/>
    <n v="0"/>
    <n v="82500"/>
    <n v="17690.075000000001"/>
  </r>
  <r>
    <s v="SPRING 2024 REORDER"/>
    <s v="MEN"/>
    <x v="1"/>
    <s v="PORTA ASIATACA"/>
    <s v="CHINA"/>
    <s v="STS24M50618"/>
    <s v="FF224"/>
    <s v="64% POLYESTER/35% RAYON/1% SPANDEX 340 GM/M2"/>
    <m/>
    <s v="6112.12.005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500"/>
    <m/>
    <m/>
    <m/>
    <m/>
    <m/>
    <m/>
    <n v="500"/>
    <n v="67500"/>
    <n v="0"/>
    <n v="67500"/>
    <n v="13266.374999999998"/>
  </r>
  <r>
    <s v="FALL 2025"/>
    <s v="MEN"/>
    <x v="0"/>
    <s v="PORTA ASIATACA"/>
    <s v="CHINA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300"/>
    <n v="306"/>
    <m/>
    <m/>
    <m/>
    <m/>
    <m/>
    <n v="1606"/>
    <n v="195000"/>
    <n v="45900"/>
    <n v="240900"/>
    <n v="37646.244999999995"/>
  </r>
  <r>
    <s v="FALL 2025"/>
    <s v="MEN"/>
    <x v="1"/>
    <s v="PORTA ASIATACA"/>
    <s v="CHINA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200"/>
    <n v="312"/>
    <m/>
    <m/>
    <m/>
    <m/>
    <m/>
    <n v="1512"/>
    <n v="150000"/>
    <n v="39000"/>
    <n v="189000"/>
    <n v="29698.799999999999"/>
  </r>
  <r>
    <s v="FALL 2025"/>
    <s v="MEN"/>
    <x v="0"/>
    <s v="PORTA ASIATACA"/>
    <s v="CHINA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000"/>
    <n v="127"/>
    <m/>
    <m/>
    <m/>
    <m/>
    <m/>
    <n v="1127"/>
    <n v="150000"/>
    <n v="19050"/>
    <n v="169050"/>
    <n v="28958.649999999994"/>
  </r>
  <r>
    <s v="FALL 2025"/>
    <s v="MEN"/>
    <x v="1"/>
    <s v="PORTA ASIATACA"/>
    <s v="CHINA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900"/>
    <n v="127"/>
    <m/>
    <m/>
    <m/>
    <m/>
    <m/>
    <n v="1027"/>
    <n v="112500"/>
    <n v="15875"/>
    <n v="128375"/>
    <n v="22274.1"/>
  </r>
  <r>
    <s v="FALL 2025"/>
    <s v="MEN"/>
    <x v="0"/>
    <s v="PORTA ASIATACA"/>
    <s v="CHINA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200"/>
    <n v="277"/>
    <m/>
    <m/>
    <m/>
    <m/>
    <m/>
    <n v="1477"/>
    <n v="180000"/>
    <n v="41550"/>
    <n v="221550"/>
    <n v="34750.379999999997"/>
  </r>
  <r>
    <s v="FALL 2025"/>
    <s v="MEN"/>
    <x v="1"/>
    <s v="PORTA ASIATACA"/>
    <s v="CHINA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100"/>
    <n v="278"/>
    <m/>
    <m/>
    <m/>
    <m/>
    <m/>
    <n v="1378"/>
    <n v="137500"/>
    <n v="34750"/>
    <n v="172250"/>
    <n v="27223.899999999998"/>
  </r>
  <r>
    <s v="FALL 2025"/>
    <s v="MEN"/>
    <x v="0"/>
    <s v="PORTA ASIATACA"/>
    <s v="CHINA"/>
    <s v="STF25M51363"/>
    <s v="FF141-P"/>
    <s v="93% POLYESTER/7% SPANDEX VELOUR 300 GM/M2"/>
    <s v="KNIT"/>
    <s v="6112.12.001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1100"/>
    <n v="148"/>
    <m/>
    <m/>
    <m/>
    <m/>
    <m/>
    <n v="1248"/>
    <n v="165000"/>
    <n v="22200"/>
    <n v="187200"/>
    <n v="31854.514999999996"/>
  </r>
  <r>
    <s v="FALL 2025"/>
    <s v="MEN"/>
    <x v="1"/>
    <s v="PORTA ASIATACA"/>
    <s v="CHINA"/>
    <s v="STF25M51364"/>
    <s v="FF141-P"/>
    <s v="93% POLYESTER/7% SPANDEX VELOUR 300 GM/M2"/>
    <s v="KNIT"/>
    <s v="6112.12.005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1000"/>
    <n v="148"/>
    <m/>
    <m/>
    <m/>
    <m/>
    <m/>
    <n v="1148"/>
    <n v="125000"/>
    <n v="18500"/>
    <n v="143500"/>
    <n v="24749"/>
  </r>
  <r>
    <s v="FALL 2025"/>
    <s v="MEN"/>
    <x v="0"/>
    <s v="PORTA ASIATACA"/>
    <s v="CHINA"/>
    <s v="STF25M51365"/>
    <s v="FF141-P"/>
    <s v="93% POLYESTER/7% SPANDEX VELOUR 300 GM/M2"/>
    <s v="KNIT"/>
    <s v="6112.12.0010"/>
    <n v="225"/>
    <n v="46.8675"/>
    <n v="32.5"/>
    <n v="0.28199999999999997"/>
    <n v="9.1649999999999991"/>
    <n v="7.4999999999999997E-2"/>
    <n v="2.4375"/>
    <n v="7.0000000000000007E-2"/>
    <n v="2.2750000000000004"/>
    <n v="0.49"/>
    <n v="300"/>
    <n v="6"/>
    <m/>
    <m/>
    <m/>
    <m/>
    <m/>
    <n v="306"/>
    <n v="67500"/>
    <n v="1350"/>
    <n v="68850"/>
    <n v="14060.25"/>
  </r>
  <r>
    <s v="FALL 2025"/>
    <s v="MEN"/>
    <x v="0"/>
    <s v="PORTA ASIATACA"/>
    <s v="CHINA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86"/>
    <m/>
    <m/>
    <m/>
    <n v="13"/>
    <m/>
    <n v="899"/>
    <n v="122500"/>
    <n v="34825"/>
    <n v="157325"/>
    <n v="22268.854999999996"/>
  </r>
  <r>
    <s v="FALL 2025"/>
    <s v="MEN"/>
    <x v="1"/>
    <s v="PORTA ASIATACA"/>
    <s v="CHINA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76"/>
    <m/>
    <m/>
    <m/>
    <n v="3"/>
    <m/>
    <n v="779"/>
    <n v="81000"/>
    <n v="24165"/>
    <n v="105165"/>
    <n v="15705.6"/>
  </r>
  <r>
    <s v="FALL 2025"/>
    <s v="MEN"/>
    <x v="0"/>
    <s v="PORTA ASIATACA"/>
    <s v="CHINA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64"/>
    <m/>
    <m/>
    <m/>
    <m/>
    <m/>
    <n v="864"/>
    <n v="122500"/>
    <n v="28700"/>
    <n v="151200"/>
    <n v="22268.854999999996"/>
  </r>
  <r>
    <s v="FALL 2025"/>
    <s v="MEN"/>
    <x v="1"/>
    <s v="PORTA ASIATACA"/>
    <s v="CHINA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88"/>
    <m/>
    <m/>
    <m/>
    <m/>
    <m/>
    <n v="788"/>
    <n v="81000"/>
    <n v="25380"/>
    <n v="106380"/>
    <n v="15705.6"/>
  </r>
  <r>
    <s v="FALL 2025"/>
    <s v="MEN"/>
    <x v="0"/>
    <s v="PORTA ASIATACA"/>
    <s v="CHINA"/>
    <s v="STF25M51366"/>
    <s v="FF141-P"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700"/>
    <n v="143"/>
    <m/>
    <m/>
    <m/>
    <n v="12"/>
    <m/>
    <n v="855"/>
    <n v="122500"/>
    <n v="27125"/>
    <n v="149625"/>
    <n v="22268.854999999996"/>
  </r>
  <r>
    <s v="FALL 2025"/>
    <s v="MEN"/>
    <x v="1"/>
    <s v="PORTA ASIATACA"/>
    <s v="CHINA"/>
    <s v="STF25M51367"/>
    <s v="FF141-P"/>
    <s v="93% POLYESTER/7% SPANDEX VELOUR 300 GM/M2"/>
    <s v="KNIT"/>
    <s v="6112.12.005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600"/>
    <n v="135"/>
    <m/>
    <m/>
    <m/>
    <n v="6"/>
    <m/>
    <n v="741"/>
    <n v="81000"/>
    <n v="19035"/>
    <n v="100035"/>
    <n v="15705.6"/>
  </r>
  <r>
    <s v="FALL 2025"/>
    <s v="MEN"/>
    <x v="4"/>
    <s v="PORTA ASIATACA"/>
    <s v="CHINA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500"/>
    <n v="86"/>
    <m/>
    <m/>
    <m/>
    <m/>
    <n v="6"/>
    <n v="592"/>
    <n v="55000"/>
    <n v="10120"/>
    <n v="65120"/>
    <n v="11232.5"/>
  </r>
  <r>
    <s v="FALL 2025"/>
    <s v="MEN"/>
    <x v="4"/>
    <s v="PORTA ASIATACA"/>
    <s v="CHINA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400"/>
    <n v="53"/>
    <m/>
    <m/>
    <m/>
    <m/>
    <n v="6"/>
    <n v="459"/>
    <n v="44000"/>
    <n v="6490"/>
    <n v="50490"/>
    <n v="8986"/>
  </r>
  <r>
    <s v="FALL 2025"/>
    <s v="MEN"/>
    <x v="4"/>
    <s v="PORTA ASIATACA"/>
    <s v="CHINA"/>
    <s v="STF25M51368"/>
    <s v="FF141-P"/>
    <s v="93% POLYESTER/7% SPANDEX VELOUR 300 GM/M2"/>
    <s v="KNIT"/>
    <s v="6105.20.2010"/>
    <n v="110"/>
    <n v="22.465"/>
    <n v="15"/>
    <n v="0.32"/>
    <n v="4.8"/>
    <n v="7.4999999999999997E-2"/>
    <n v="1.125"/>
    <n v="7.0000000000000007E-2"/>
    <n v="1.05"/>
    <n v="0.49"/>
    <n v="500"/>
    <n v="93"/>
    <m/>
    <m/>
    <m/>
    <m/>
    <n v="6"/>
    <n v="599"/>
    <n v="55000"/>
    <n v="10890"/>
    <n v="65890"/>
    <n v="11232.5"/>
  </r>
  <r>
    <s v="FALL 2025"/>
    <s v="MEN"/>
    <x v="0"/>
    <s v="PORTA ASIATACA"/>
    <s v="CHINA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200"/>
    <n v="124"/>
    <m/>
    <m/>
    <m/>
    <m/>
    <m/>
    <n v="1324"/>
    <n v="222000"/>
    <n v="22940"/>
    <n v="244940"/>
    <n v="40829.4"/>
  </r>
  <r>
    <s v="FALL 2025"/>
    <s v="MEN"/>
    <x v="1"/>
    <s v="PORTA ASIATACA"/>
    <s v="CHINA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100"/>
    <n v="124"/>
    <m/>
    <m/>
    <m/>
    <m/>
    <m/>
    <n v="1224"/>
    <n v="165000"/>
    <n v="18600"/>
    <n v="183600"/>
    <n v="30363.3"/>
  </r>
  <r>
    <s v="FALL 2025"/>
    <s v="MEN"/>
    <x v="0"/>
    <s v="PORTA ASIATACA"/>
    <s v="CHINA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300"/>
    <n v="178"/>
    <m/>
    <m/>
    <m/>
    <m/>
    <m/>
    <n v="1478"/>
    <n v="240500"/>
    <n v="32930"/>
    <n v="273430"/>
    <n v="44231.850000000006"/>
  </r>
  <r>
    <s v="FALL 2025"/>
    <s v="MEN"/>
    <x v="1"/>
    <s v="PORTA ASIATACA"/>
    <s v="CHINA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200"/>
    <n v="178"/>
    <m/>
    <m/>
    <m/>
    <m/>
    <m/>
    <n v="1378"/>
    <n v="180000"/>
    <n v="26700"/>
    <n v="206700"/>
    <n v="33123.599999999999"/>
  </r>
  <r>
    <s v="FALL 2025"/>
    <s v="MEN"/>
    <x v="0"/>
    <s v="PORTA ASIATACA"/>
    <s v="CHINA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300"/>
    <n v="199"/>
    <m/>
    <m/>
    <m/>
    <m/>
    <m/>
    <n v="1499"/>
    <n v="240500"/>
    <n v="36815"/>
    <n v="277315"/>
    <n v="44231.850000000006"/>
  </r>
  <r>
    <s v="FALL 2025"/>
    <s v="MEN"/>
    <x v="1"/>
    <s v="PORTA ASIATACA"/>
    <s v="CHINA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200"/>
    <n v="199"/>
    <m/>
    <m/>
    <m/>
    <m/>
    <m/>
    <n v="1399"/>
    <n v="180000"/>
    <n v="29850"/>
    <n v="209850"/>
    <n v="33123.599999999999"/>
  </r>
  <r>
    <s v="FALL 2025"/>
    <s v="MEN"/>
    <x v="0"/>
    <s v="PORTA ASIATACA"/>
    <s v="CHINA"/>
    <s v="STF25M51369"/>
    <s v="FF141-P"/>
    <s v="93% POLYESTER/7% SPANDEX VELOUR 300 GM/M2"/>
    <s v="KNIT"/>
    <s v="6112.12.0010"/>
    <n v="185"/>
    <n v="34.024500000000003"/>
    <n v="23.5"/>
    <n v="0.28199999999999997"/>
    <n v="6.6269999999999998"/>
    <n v="7.4999999999999997E-2"/>
    <n v="1.7625"/>
    <n v="7.0000000000000007E-2"/>
    <n v="1.6450000000000002"/>
    <n v="0.49"/>
    <n v="1200"/>
    <n v="274"/>
    <m/>
    <n v="70"/>
    <m/>
    <m/>
    <m/>
    <n v="1544"/>
    <n v="222000"/>
    <n v="63640"/>
    <n v="285640"/>
    <n v="40829.4"/>
  </r>
  <r>
    <s v="FALL 2025"/>
    <s v="MEN"/>
    <x v="1"/>
    <s v="PORTA ASIATACA"/>
    <s v="CHINA"/>
    <s v="STF25M51370"/>
    <s v="FF141-P"/>
    <s v="93% POLYESTER/7% SPANDEX VELOUR 300 GM/M2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100"/>
    <n v="266"/>
    <m/>
    <n v="50"/>
    <m/>
    <m/>
    <m/>
    <n v="1416"/>
    <n v="165000"/>
    <n v="47400"/>
    <n v="212400"/>
    <n v="30363.3"/>
  </r>
  <r>
    <s v="FALL 2025"/>
    <s v="MEN"/>
    <x v="5"/>
    <s v="PORTA ASIATACA"/>
    <s v="CHINA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900"/>
    <n v="5"/>
    <m/>
    <m/>
    <m/>
    <m/>
    <m/>
    <n v="905"/>
    <n v="126000"/>
    <n v="700"/>
    <n v="126700"/>
    <n v="24174"/>
  </r>
  <r>
    <s v="FALL 2025"/>
    <s v="MEN"/>
    <x v="5"/>
    <s v="PORTA ASIATACA"/>
    <s v="CHINA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800"/>
    <m/>
    <m/>
    <m/>
    <m/>
    <m/>
    <m/>
    <n v="800"/>
    <n v="112000"/>
    <n v="0"/>
    <n v="112000"/>
    <n v="21488"/>
  </r>
  <r>
    <s v="FALL 2025"/>
    <s v="MEN"/>
    <x v="5"/>
    <s v="PORTA ASIATACA"/>
    <s v="CHINA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700"/>
    <m/>
    <m/>
    <m/>
    <m/>
    <m/>
    <m/>
    <n v="700"/>
    <n v="98000"/>
    <n v="0"/>
    <n v="98000"/>
    <n v="18802"/>
  </r>
  <r>
    <s v="FALL 2025"/>
    <s v="MEN"/>
    <x v="5"/>
    <s v="PORTA ASIATACA"/>
    <s v="CHINA"/>
    <s v="STF25M51371"/>
    <s v="FF141-P"/>
    <s v="93% POLYESTER/7% SPANDEX VELOUR 300 GM/M2"/>
    <s v="KNIT"/>
    <s v="6109.90.1007"/>
    <n v="140"/>
    <n v="26.86"/>
    <n v="18"/>
    <n v="0.32"/>
    <n v="5.76"/>
    <n v="7.4999999999999997E-2"/>
    <n v="1.3499999999999999"/>
    <n v="7.0000000000000007E-2"/>
    <n v="1.2600000000000002"/>
    <n v="0.49"/>
    <n v="800"/>
    <m/>
    <m/>
    <m/>
    <m/>
    <m/>
    <m/>
    <n v="800"/>
    <n v="112000"/>
    <n v="0"/>
    <n v="112000"/>
    <n v="21488"/>
  </r>
  <r>
    <s v="FALL 2025"/>
    <s v="MEN"/>
    <x v="3"/>
    <s v="PORTA ASIATACA"/>
    <s v="CHINA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500"/>
    <m/>
    <m/>
    <m/>
    <m/>
    <m/>
    <m/>
    <n v="500"/>
    <n v="44000"/>
    <n v="0"/>
    <n v="44000"/>
    <n v="9520.5"/>
  </r>
  <r>
    <s v="FALL 2025"/>
    <s v="MEN"/>
    <x v="3"/>
    <s v="PORTA ASIATACA"/>
    <s v="CHINA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600"/>
    <n v="5"/>
    <m/>
    <m/>
    <m/>
    <m/>
    <m/>
    <n v="605"/>
    <n v="52800"/>
    <n v="440"/>
    <n v="53240"/>
    <n v="11424.6"/>
  </r>
  <r>
    <s v="FALL 2025"/>
    <s v="MEN"/>
    <x v="3"/>
    <s v="PORTA ASIATACA"/>
    <s v="CHINA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600"/>
    <m/>
    <m/>
    <m/>
    <m/>
    <m/>
    <m/>
    <n v="600"/>
    <n v="52800"/>
    <n v="0"/>
    <n v="52800"/>
    <n v="11424.6"/>
  </r>
  <r>
    <s v="FALL 2025"/>
    <s v="MEN"/>
    <x v="3"/>
    <s v="PORTA ASIATACA"/>
    <s v="CHINA"/>
    <s v="STF25M51372"/>
    <s v="FF141-P"/>
    <s v="93% POLYESTER/7% SPANDEX VELOUR 300 GM/M2"/>
    <s v="KNIT"/>
    <s v="6103.43.1550"/>
    <n v="88"/>
    <n v="19.041"/>
    <n v="13"/>
    <n v="0.28199999999999997"/>
    <n v="3.6659999999999995"/>
    <n v="7.4999999999999997E-2"/>
    <n v="0.97499999999999998"/>
    <n v="7.0000000000000007E-2"/>
    <n v="0.91000000000000014"/>
    <n v="0.49"/>
    <n v="500"/>
    <n v="8"/>
    <m/>
    <n v="60"/>
    <m/>
    <m/>
    <m/>
    <n v="568"/>
    <n v="44000"/>
    <n v="5984"/>
    <n v="49984"/>
    <n v="9520.5"/>
  </r>
  <r>
    <s v="FALL 2025"/>
    <s v="MEN"/>
    <x v="10"/>
    <s v="PORTA ASIATACA"/>
    <s v="CHINA"/>
    <s v="STF25M51383"/>
    <s v="FF141-P"/>
    <s v="100% POLYESTER VELOUR 275 GM/M2"/>
    <s v="KNIT"/>
    <s v="6112.12.0010"/>
    <n v="225"/>
    <n v="43.014600000000002"/>
    <n v="29.8"/>
    <n v="0.28199999999999997"/>
    <n v="8.4035999999999991"/>
    <n v="7.4999999999999997E-2"/>
    <n v="2.2349999999999999"/>
    <n v="7.0000000000000007E-2"/>
    <n v="2.0860000000000003"/>
    <n v="0.49"/>
    <n v="250"/>
    <n v="24"/>
    <m/>
    <m/>
    <m/>
    <m/>
    <m/>
    <n v="274"/>
    <n v="56250"/>
    <n v="5400"/>
    <n v="61650"/>
    <n v="10753.65"/>
  </r>
  <r>
    <s v="FALL 2025"/>
    <s v="MEN"/>
    <x v="10"/>
    <s v="PORTA ASIATACA"/>
    <s v="CHINA"/>
    <s v="STF25M51383"/>
    <s v="FF141-P"/>
    <s v="100% POLYESTER VELOUR 275 GM/M2"/>
    <s v="KNIT"/>
    <s v="6112.12.0010"/>
    <n v="225"/>
    <n v="43.014600000000002"/>
    <n v="29.8"/>
    <n v="0.28199999999999997"/>
    <n v="8.4035999999999991"/>
    <n v="7.4999999999999997E-2"/>
    <n v="2.2349999999999999"/>
    <n v="7.0000000000000007E-2"/>
    <n v="2.0860000000000003"/>
    <n v="0.49"/>
    <n v="250"/>
    <n v="24"/>
    <m/>
    <m/>
    <m/>
    <m/>
    <m/>
    <n v="274"/>
    <n v="56250"/>
    <n v="5400"/>
    <n v="61650"/>
    <n v="10753.65"/>
  </r>
  <r>
    <s v="FALL 2025"/>
    <s v="MEN"/>
    <x v="5"/>
    <s v="SARA"/>
    <s v="BANGLADESH"/>
    <s v="STF25M51375"/>
    <s v="FF042"/>
    <s v="FRENCH TERRY 100% COTTON 360GM/M2"/>
    <s v="KNIT"/>
    <s v="6112.12.0010"/>
    <n v="98"/>
    <n v="17.779999999999998"/>
    <n v="14"/>
    <n v="0.16500000000000001"/>
    <n v="2.31"/>
    <m/>
    <m/>
    <n v="7.0000000000000007E-2"/>
    <n v="0.98000000000000009"/>
    <n v="0.49"/>
    <n v="600"/>
    <n v="163"/>
    <m/>
    <m/>
    <m/>
    <m/>
    <m/>
    <n v="763"/>
    <n v="58800"/>
    <n v="15974"/>
    <n v="74774"/>
    <n v="10667.999999999998"/>
  </r>
  <r>
    <s v="FALL 2025"/>
    <s v="MEN"/>
    <x v="5"/>
    <s v="SARA"/>
    <s v="BANGLADESH"/>
    <s v="STF25M51375"/>
    <s v="FF042"/>
    <s v="FRENCH TERRY 100% COTTON 360GM/M2"/>
    <s v="KNIT"/>
    <s v="6112.12.0010"/>
    <n v="98"/>
    <n v="17.779999999999998"/>
    <n v="14"/>
    <n v="0.16500000000000001"/>
    <n v="2.31"/>
    <m/>
    <m/>
    <n v="7.0000000000000007E-2"/>
    <n v="0.98000000000000009"/>
    <n v="0.49"/>
    <n v="600"/>
    <n v="161"/>
    <m/>
    <m/>
    <m/>
    <m/>
    <m/>
    <n v="761"/>
    <n v="58800"/>
    <n v="15778"/>
    <n v="74578"/>
    <n v="10667.999999999998"/>
  </r>
  <r>
    <s v="FALL 2025"/>
    <s v="MEN"/>
    <x v="9"/>
    <s v="SARA"/>
    <s v="BANGLADESH"/>
    <s v="STF25M51376"/>
    <s v="FF043"/>
    <s v="100% COTTON FRENCH TERRY 360 GM/M2"/>
    <s v="KNIT"/>
    <s v="6114.20.0055"/>
    <n v="88"/>
    <n v="17.555999999999997"/>
    <n v="14"/>
    <n v="0.14899999999999999"/>
    <n v="2.0859999999999999"/>
    <m/>
    <m/>
    <n v="7.0000000000000007E-2"/>
    <n v="0.98000000000000009"/>
    <n v="0.49"/>
    <n v="500"/>
    <n v="163"/>
    <m/>
    <m/>
    <m/>
    <m/>
    <m/>
    <n v="663"/>
    <n v="44000"/>
    <n v="14344"/>
    <n v="58344"/>
    <n v="8777.9999999999982"/>
  </r>
  <r>
    <s v="FALL 2025"/>
    <s v="MEN"/>
    <x v="9"/>
    <s v="SARA"/>
    <s v="BANGLADESH"/>
    <s v="STF25M51376"/>
    <s v="FF043"/>
    <s v="100% COTTON FRENCH TERRY 360 GM/M2"/>
    <s v="KNIT"/>
    <s v="6114.20.0055"/>
    <n v="88"/>
    <n v="17.555999999999997"/>
    <n v="14"/>
    <n v="0.14899999999999999"/>
    <n v="2.0859999999999999"/>
    <m/>
    <m/>
    <n v="7.0000000000000007E-2"/>
    <n v="0.98000000000000009"/>
    <n v="0.49"/>
    <n v="500"/>
    <n v="166"/>
    <m/>
    <m/>
    <m/>
    <m/>
    <m/>
    <n v="666"/>
    <n v="44000"/>
    <n v="14608"/>
    <n v="58608"/>
    <n v="8777.9999999999982"/>
  </r>
  <r>
    <s v="FALL 2025"/>
    <s v="MEN"/>
    <x v="8"/>
    <s v="SARA"/>
    <s v="BANGLADESH"/>
    <s v="STF25M51377"/>
    <s v="FF453"/>
    <s v="95% COTTON/5% ELASTANE 240 GM/M2"/>
    <s v="KNIT"/>
    <s v="6110.20.2041"/>
    <n v="88"/>
    <n v="15.31"/>
    <n v="12"/>
    <n v="0.16500000000000001"/>
    <n v="1.98"/>
    <m/>
    <m/>
    <n v="7.0000000000000007E-2"/>
    <n v="0.84000000000000008"/>
    <n v="0.49"/>
    <n v="600"/>
    <n v="128"/>
    <m/>
    <m/>
    <m/>
    <m/>
    <n v="12"/>
    <n v="740"/>
    <n v="52800"/>
    <n v="12320"/>
    <n v="65120"/>
    <n v="9186"/>
  </r>
  <r>
    <s v="FALL 2025"/>
    <s v="MEN"/>
    <x v="8"/>
    <s v="SARA"/>
    <s v="BANGLADESH"/>
    <s v="STF25M51377"/>
    <s v="FF453"/>
    <s v="95% COTTON/5% ELASTANE 240 GM/M2"/>
    <s v="KNIT"/>
    <s v="6110.20.2041"/>
    <n v="88"/>
    <n v="15.31"/>
    <n v="12"/>
    <n v="0.16500000000000001"/>
    <n v="1.98"/>
    <m/>
    <m/>
    <n v="7.0000000000000007E-2"/>
    <n v="0.84000000000000008"/>
    <n v="0.49"/>
    <n v="600"/>
    <n v="123"/>
    <m/>
    <m/>
    <m/>
    <m/>
    <n v="6"/>
    <n v="729"/>
    <n v="52800"/>
    <n v="11352"/>
    <n v="64152"/>
    <n v="9186"/>
  </r>
  <r>
    <s v="FALL 2025"/>
    <s v="MEN"/>
    <x v="8"/>
    <s v="SARA"/>
    <s v="BANGLADESH"/>
    <s v="STF25M51386"/>
    <s v="FF042"/>
    <s v="FRENCH TERRY 100% COTTON 360GM/M2"/>
    <s v="KNIT"/>
    <s v="6110.20.2041"/>
    <n v="118"/>
    <n v="22.72"/>
    <n v="18"/>
    <n v="0.16500000000000001"/>
    <n v="2.97"/>
    <m/>
    <m/>
    <n v="7.0000000000000007E-2"/>
    <n v="1.2600000000000002"/>
    <n v="0.49"/>
    <n v="500"/>
    <n v="132"/>
    <m/>
    <m/>
    <m/>
    <m/>
    <n v="6"/>
    <n v="638"/>
    <n v="59000"/>
    <n v="16284"/>
    <n v="75284"/>
    <n v="11360"/>
  </r>
  <r>
    <s v="FALL 2025"/>
    <s v="MEN"/>
    <x v="8"/>
    <s v="SARA"/>
    <s v="BANGLADESH"/>
    <s v="STF25M51386"/>
    <s v="FF042"/>
    <s v="FRENCH TERRY 100% COTTON 360GM/M2"/>
    <s v="KNIT"/>
    <s v="6110.20.2041"/>
    <n v="118"/>
    <n v="22.72"/>
    <n v="18"/>
    <n v="0.16500000000000001"/>
    <n v="2.97"/>
    <m/>
    <m/>
    <n v="7.0000000000000007E-2"/>
    <n v="1.2600000000000002"/>
    <n v="0.49"/>
    <n v="500"/>
    <n v="124"/>
    <m/>
    <m/>
    <m/>
    <m/>
    <n v="6"/>
    <n v="630"/>
    <n v="59000"/>
    <n v="15340"/>
    <n v="74340"/>
    <n v="11360"/>
  </r>
  <r>
    <s v="FALL 2025"/>
    <s v="MEN"/>
    <x v="2"/>
    <s v="SARA"/>
    <s v="BANGLADESH"/>
    <s v="STF25M51387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150"/>
    <m/>
    <m/>
    <m/>
    <m/>
    <m/>
    <n v="650"/>
    <n v="21000"/>
    <n v="6300"/>
    <n v="27300"/>
    <n v="3641.25"/>
  </r>
  <r>
    <s v="FALL 2025"/>
    <s v="MEN"/>
    <x v="2"/>
    <s v="SARA"/>
    <s v="BANGLADESH"/>
    <s v="STF25M51387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200"/>
    <m/>
    <m/>
    <m/>
    <m/>
    <m/>
    <n v="700"/>
    <n v="21000"/>
    <n v="8400"/>
    <n v="29400"/>
    <n v="3641.25"/>
  </r>
  <r>
    <s v="FALL 2025"/>
    <s v="MEN"/>
    <x v="3"/>
    <s v="SARA"/>
    <s v="BANGLADESH"/>
    <s v="STF25M51410"/>
    <s v="FF042"/>
    <s v="FRENCH TERRY 100% COTTON 360GM/M2"/>
    <s v="KNIT"/>
    <s v="6103.42.1050"/>
    <n v="68"/>
    <n v="12.799999999999999"/>
    <n v="10"/>
    <n v="0.161"/>
    <n v="1.61"/>
    <m/>
    <m/>
    <n v="7.0000000000000007E-2"/>
    <n v="0.70000000000000007"/>
    <n v="0.49"/>
    <n v="400"/>
    <n v="158"/>
    <m/>
    <m/>
    <m/>
    <m/>
    <m/>
    <n v="558"/>
    <n v="27200"/>
    <n v="10744"/>
    <n v="37944"/>
    <n v="5120"/>
  </r>
  <r>
    <s v="FALL 2025"/>
    <s v="MEN"/>
    <x v="3"/>
    <s v="SARA"/>
    <s v="BANGLADESH"/>
    <s v="STF25M51410"/>
    <s v="FF042"/>
    <s v="FRENCH TERRY 100% COTTON 360GM/M2"/>
    <s v="KNIT"/>
    <s v="6103.42.1050"/>
    <n v="68"/>
    <n v="12.799999999999999"/>
    <n v="10"/>
    <n v="0.161"/>
    <n v="1.61"/>
    <m/>
    <m/>
    <n v="7.0000000000000007E-2"/>
    <n v="0.70000000000000007"/>
    <n v="0.49"/>
    <n v="400"/>
    <n v="150"/>
    <m/>
    <m/>
    <m/>
    <m/>
    <m/>
    <n v="550"/>
    <n v="27200"/>
    <n v="10200"/>
    <n v="37400"/>
    <n v="5120"/>
  </r>
  <r>
    <s v="FALL 2025"/>
    <s v="MEN"/>
    <x v="2"/>
    <s v="SARA "/>
    <s v="BANGLADESH"/>
    <s v="STF25M51389"/>
    <s v="FF155"/>
    <s v="100% COTTON JERSEY 180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500"/>
    <n v="5"/>
    <m/>
    <m/>
    <m/>
    <m/>
    <m/>
    <n v="505"/>
    <n v="21000"/>
    <n v="210"/>
    <n v="21210"/>
    <n v="3641.25"/>
  </r>
  <r>
    <s v="FALL 2025"/>
    <s v="MEN"/>
    <x v="8"/>
    <s v="SARA"/>
    <s v="BANGLADESH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m/>
    <m/>
    <m/>
    <m/>
    <m/>
    <m/>
    <n v="400"/>
    <n v="47200"/>
    <n v="0"/>
    <n v="47200"/>
    <n v="8939.7999999999993"/>
  </r>
  <r>
    <s v="FALL 2025"/>
    <s v="MEN"/>
    <x v="8"/>
    <s v="SARA"/>
    <s v="BANGLADESH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n v="48"/>
    <m/>
    <m/>
    <m/>
    <m/>
    <m/>
    <n v="448"/>
    <n v="47200"/>
    <n v="5664"/>
    <n v="52864"/>
    <n v="8939.7999999999993"/>
  </r>
  <r>
    <s v="FALL 2025"/>
    <s v="MEN"/>
    <x v="8"/>
    <s v="SARA"/>
    <s v="BANGLADESH"/>
    <s v="STF25M51390"/>
    <s v="FF042"/>
    <s v="FRENCH TERRY 100% COTTON 360GM/M2"/>
    <s v="KNIT"/>
    <s v="6110.20.2041"/>
    <n v="118"/>
    <n v="22.349499999999999"/>
    <n v="17.7"/>
    <n v="0.16500000000000001"/>
    <n v="2.9205000000000001"/>
    <m/>
    <m/>
    <n v="7.0000000000000007E-2"/>
    <n v="1.2390000000000001"/>
    <n v="0.49"/>
    <n v="400"/>
    <n v="48"/>
    <m/>
    <m/>
    <m/>
    <m/>
    <m/>
    <n v="448"/>
    <n v="47200"/>
    <n v="5664"/>
    <n v="52864"/>
    <n v="8939.7999999999993"/>
  </r>
  <r>
    <s v="FALL 2025"/>
    <s v="MEN"/>
    <x v="9"/>
    <s v="SARA"/>
    <s v="BANGLADESH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m/>
    <m/>
    <m/>
    <m/>
    <m/>
    <m/>
    <n v="400"/>
    <n v="39200"/>
    <n v="0"/>
    <n v="39200"/>
    <n v="7144.2999999999984"/>
  </r>
  <r>
    <s v="FALL 2025"/>
    <s v="MEN"/>
    <x v="9"/>
    <s v="SARA"/>
    <s v="BANGLADESH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n v="48"/>
    <m/>
    <m/>
    <m/>
    <m/>
    <m/>
    <n v="448"/>
    <n v="39200"/>
    <n v="4704"/>
    <n v="43904"/>
    <n v="7144.2999999999984"/>
  </r>
  <r>
    <s v="FALL 2025"/>
    <s v="MEN"/>
    <x v="9"/>
    <s v="SARA"/>
    <s v="BANGLADESH"/>
    <s v="STF25M51391"/>
    <s v="FF042"/>
    <s v="100% COTTON FRENCH TERRY 360 GM/M2"/>
    <s v="KNIT"/>
    <s v="6114.20.0055"/>
    <n v="98"/>
    <n v="17.860749999999996"/>
    <n v="14.25"/>
    <n v="0.14899999999999999"/>
    <n v="2.1232500000000001"/>
    <m/>
    <m/>
    <n v="7.0000000000000007E-2"/>
    <n v="0.99750000000000005"/>
    <n v="0.49"/>
    <n v="400"/>
    <n v="48"/>
    <m/>
    <m/>
    <m/>
    <m/>
    <m/>
    <n v="448"/>
    <n v="39200"/>
    <n v="4704"/>
    <n v="43904"/>
    <n v="7144.2999999999984"/>
  </r>
  <r>
    <s v="FALL 2025"/>
    <s v="MEN"/>
    <x v="2"/>
    <s v="SARA"/>
    <s v="BANGLADESH"/>
    <s v="STF25M51392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19"/>
    <m/>
    <m/>
    <m/>
    <m/>
    <m/>
    <n v="519"/>
    <n v="21000"/>
    <n v="798"/>
    <n v="21798"/>
    <n v="3486.875"/>
  </r>
  <r>
    <s v="FALL 2025"/>
    <s v="MEN"/>
    <x v="2"/>
    <s v="SARA"/>
    <s v="BANGLADESH"/>
    <s v="STF25M51392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133"/>
    <m/>
    <m/>
    <m/>
    <m/>
    <m/>
    <n v="633"/>
    <n v="21000"/>
    <n v="5586"/>
    <n v="26586"/>
    <n v="3486.875"/>
  </r>
  <r>
    <s v="FALL 2025"/>
    <s v="MEN"/>
    <x v="2"/>
    <s v="SARA"/>
    <s v="BANGLADESH"/>
    <s v="STF25M51392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n v="82"/>
    <m/>
    <m/>
    <m/>
    <m/>
    <m/>
    <n v="582"/>
    <n v="21000"/>
    <n v="3444"/>
    <n v="24444"/>
    <n v="3486.875"/>
  </r>
  <r>
    <s v="FALL 2025"/>
    <s v="MEN"/>
    <x v="13"/>
    <s v="SARA"/>
    <s v="BANGLADESH"/>
    <s v="STF25M51306"/>
    <s v="FF441"/>
    <s v="100% COTTON FRENCH TERRY 260 GM/M2"/>
    <s v="KNIT"/>
    <s v="6109.10.0012"/>
    <n v="78"/>
    <n v="11.913750000000002"/>
    <n v="9.25"/>
    <n v="0.16500000000000001"/>
    <n v="1.5262500000000001"/>
    <m/>
    <m/>
    <n v="7.0000000000000007E-2"/>
    <n v="0.64750000000000008"/>
    <n v="0.49"/>
    <n v="400"/>
    <n v="64"/>
    <m/>
    <m/>
    <m/>
    <m/>
    <m/>
    <n v="464"/>
    <n v="31200"/>
    <n v="4992"/>
    <n v="36192"/>
    <n v="4765.5000000000009"/>
  </r>
  <r>
    <s v="FALL 2025"/>
    <s v="MEN"/>
    <x v="9"/>
    <s v="SARA"/>
    <s v="BANGLADESH"/>
    <s v="STF25M51307"/>
    <s v="FF042-S"/>
    <s v="100% COTTON FRENCH TERRY 360 GM/M2"/>
    <s v="KNIT"/>
    <s v="6114.20.0055"/>
    <n v="98"/>
    <n v="18.774999999999999"/>
    <n v="15"/>
    <n v="0.14899999999999999"/>
    <n v="2.2349999999999999"/>
    <m/>
    <m/>
    <n v="7.0000000000000007E-2"/>
    <n v="1.05"/>
    <n v="0.49"/>
    <n v="300"/>
    <n v="64"/>
    <m/>
    <m/>
    <m/>
    <m/>
    <m/>
    <n v="364"/>
    <n v="29400"/>
    <n v="6272"/>
    <n v="35672"/>
    <n v="5632.5"/>
  </r>
  <r>
    <s v="FALL 2025"/>
    <s v="MEN"/>
    <x v="2"/>
    <s v="SARA"/>
    <s v="BANGLADESH"/>
    <s v="STF25M51310"/>
    <s v="FF437"/>
    <s v="94% POLYESTER/6% SPANDEX PIQUE 230 GM/M2"/>
    <s v="KNIT"/>
    <s v="6109.90.1007"/>
    <n v="48"/>
    <n v="8.4824999999999999"/>
    <n v="5.75"/>
    <n v="0.32"/>
    <n v="1.84"/>
    <m/>
    <m/>
    <n v="7.0000000000000007E-2"/>
    <n v="0.40250000000000002"/>
    <n v="0.49"/>
    <n v="500"/>
    <n v="136"/>
    <m/>
    <m/>
    <m/>
    <m/>
    <m/>
    <n v="636"/>
    <n v="24000"/>
    <n v="6528"/>
    <n v="30528"/>
    <n v="4241.25"/>
  </r>
  <r>
    <s v="FALL 2025"/>
    <s v="MEN"/>
    <x v="2"/>
    <s v="SARA"/>
    <s v="BANGLADESH"/>
    <s v="STF25M51310"/>
    <s v="FF437"/>
    <s v="94% POLYESTER/6% SPANDEX PIQUE 230 GM/M2"/>
    <s v="KNIT"/>
    <s v="6109.90.1007"/>
    <n v="48"/>
    <n v="8.4824999999999999"/>
    <n v="5.75"/>
    <n v="0.32"/>
    <n v="1.84"/>
    <m/>
    <m/>
    <n v="7.0000000000000007E-2"/>
    <n v="0.40250000000000002"/>
    <n v="0.49"/>
    <n v="500"/>
    <n v="151"/>
    <m/>
    <m/>
    <m/>
    <m/>
    <m/>
    <n v="651"/>
    <n v="24000"/>
    <n v="7248"/>
    <n v="31248"/>
    <n v="4241.25"/>
  </r>
  <r>
    <s v="FALL 2025"/>
    <s v="MEN"/>
    <x v="2"/>
    <s v="SARA"/>
    <s v="BANGLADESH"/>
    <s v="STF25M51313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m/>
    <m/>
    <m/>
    <m/>
    <m/>
    <n v="500"/>
    <n v="21000"/>
    <n v="0"/>
    <n v="21000"/>
    <n v="3486.875"/>
  </r>
  <r>
    <s v="FALL 2025"/>
    <s v="MEN"/>
    <x v="2"/>
    <s v="SARA"/>
    <s v="BANGLADESH"/>
    <s v="STF25M51313"/>
    <s v="FF155"/>
    <s v="100% COTTON JERSEY 180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m/>
    <m/>
    <m/>
    <m/>
    <m/>
    <n v="500"/>
    <n v="21000"/>
    <n v="0"/>
    <n v="21000"/>
    <n v="3486.875"/>
  </r>
  <r>
    <s v="FALL 2025"/>
    <s v="MEN"/>
    <x v="12"/>
    <s v="BBUK"/>
    <s v="INDIA"/>
    <s v="UKF25M21204"/>
    <m/>
    <s v="100% COTTON 4 END 7 GG FULLY KNITTED 2/30S "/>
    <s v="SWEATER"/>
    <s v="6110.20.2010"/>
    <n v="125"/>
    <n v="24.881249999999998"/>
    <n v="19.75"/>
    <n v="0.16500000000000001"/>
    <n v="3.25875"/>
    <m/>
    <m/>
    <n v="7.0000000000000007E-2"/>
    <n v="1.3825000000000001"/>
    <n v="0.49"/>
    <n v="500"/>
    <n v="218"/>
    <m/>
    <m/>
    <m/>
    <m/>
    <m/>
    <n v="718"/>
    <n v="62500"/>
    <n v="27250"/>
    <n v="89750"/>
    <n v="12440.624999999998"/>
  </r>
  <r>
    <s v="FALL 2025"/>
    <s v="MEN"/>
    <x v="12"/>
    <s v="BBUK"/>
    <s v="INDIA"/>
    <s v="UKF25M21204"/>
    <m/>
    <s v="100% COTTON 4 END 7 GG FULLY KNITTED 2/30S "/>
    <s v="SWEATER"/>
    <s v="6110.20.2010"/>
    <n v="125"/>
    <n v="24.881249999999998"/>
    <n v="19.75"/>
    <n v="0.16500000000000001"/>
    <n v="3.25875"/>
    <m/>
    <m/>
    <n v="7.0000000000000007E-2"/>
    <n v="1.3825000000000001"/>
    <n v="0.49"/>
    <n v="600"/>
    <n v="194"/>
    <m/>
    <m/>
    <m/>
    <m/>
    <m/>
    <n v="794"/>
    <n v="75000"/>
    <n v="24250"/>
    <n v="99250"/>
    <n v="14928.749999999998"/>
  </r>
  <r>
    <s v="FALL 2025"/>
    <s v="MEN"/>
    <x v="12"/>
    <s v="BBUK"/>
    <s v="INDIA"/>
    <s v="UKF25M21242"/>
    <m/>
    <s v="100% COTTON 4END 7GAUGE, FULLY KNITTED"/>
    <s v="SWEATER"/>
    <s v="6110.20.2010"/>
    <n v="125"/>
    <n v="25.375249999999998"/>
    <n v="20.149999999999999"/>
    <n v="0.16500000000000001"/>
    <n v="3.3247499999999999"/>
    <m/>
    <m/>
    <n v="7.0000000000000007E-2"/>
    <n v="1.4105000000000001"/>
    <n v="0.49"/>
    <n v="600"/>
    <n v="164"/>
    <m/>
    <m/>
    <m/>
    <m/>
    <m/>
    <n v="764"/>
    <n v="75000"/>
    <n v="20500"/>
    <n v="95500"/>
    <n v="15225.149999999998"/>
  </r>
  <r>
    <s v="FALL 2025"/>
    <s v="MEN"/>
    <x v="12"/>
    <s v="BBUK"/>
    <s v="INDIA"/>
    <s v="UKF25M21244"/>
    <m/>
    <s v="100% COTTON 4 END 7 GG"/>
    <s v="SWEATER"/>
    <s v="6110.20.2010"/>
    <n v="98"/>
    <n v="20.25"/>
    <n v="16"/>
    <n v="0.16500000000000001"/>
    <n v="2.64"/>
    <m/>
    <m/>
    <n v="7.0000000000000007E-2"/>
    <n v="1.1200000000000001"/>
    <n v="0.49"/>
    <n v="500"/>
    <n v="139"/>
    <m/>
    <m/>
    <m/>
    <m/>
    <m/>
    <n v="639"/>
    <n v="49000"/>
    <n v="13622"/>
    <n v="62622"/>
    <n v="10125"/>
  </r>
  <r>
    <s v="FALL 2025"/>
    <s v="MEN"/>
    <x v="12"/>
    <s v="BBUK"/>
    <s v="INDIA"/>
    <s v="UKF25M21145"/>
    <m/>
    <s v="100% COTTON 4 END 7 GG"/>
    <s v="SWEATER"/>
    <s v="6110.20.2010"/>
    <n v="110"/>
    <n v="18.397499999999997"/>
    <n v="14.5"/>
    <n v="0.16500000000000001"/>
    <n v="2.3925000000000001"/>
    <m/>
    <m/>
    <n v="7.0000000000000007E-2"/>
    <n v="1.0150000000000001"/>
    <n v="0.49"/>
    <n v="500"/>
    <n v="53"/>
    <m/>
    <m/>
    <m/>
    <m/>
    <m/>
    <n v="553"/>
    <n v="55000"/>
    <n v="5830"/>
    <n v="60830"/>
    <n v="9198.7499999999982"/>
  </r>
  <r>
    <s v="FALL 2025"/>
    <s v="WOMENS"/>
    <x v="14"/>
    <s v="FYNEX"/>
    <s v="CHINA"/>
    <s v="STF25W51233"/>
    <s v="FF448-F"/>
    <s v="77% POLYESTER/23% SPANDEX COURT STRETCH MOISTURE WICKING                                   "/>
    <s v="KNIT"/>
    <s v="6109.90.1050"/>
    <n v="78"/>
    <n v="15.56485"/>
    <n v="10.29"/>
    <n v="0.32"/>
    <n v="3.2927999999999997"/>
    <n v="7.4999999999999997E-2"/>
    <n v="0.77174999999999994"/>
    <n v="7.0000000000000007E-2"/>
    <n v="0.72030000000000005"/>
    <n v="0.49"/>
    <n v="200"/>
    <n v="40"/>
    <n v="10"/>
    <m/>
    <m/>
    <m/>
    <m/>
    <n v="250"/>
    <n v="15600"/>
    <n v="3900"/>
    <n v="19500"/>
    <n v="3112.97"/>
  </r>
  <r>
    <s v="FALL 2025"/>
    <s v="WOMENS"/>
    <x v="14"/>
    <s v="FYNEX"/>
    <s v="CHINA"/>
    <s v="STF25W51233"/>
    <s v="FF448-F"/>
    <s v="77% POLYESTER/23% SPANDEX COURT STRETCH MOISTURE WICKING                                   "/>
    <s v="KNIT"/>
    <s v="6109.90.1050"/>
    <n v="78"/>
    <n v="15.56485"/>
    <n v="10.29"/>
    <n v="0.32"/>
    <n v="3.2927999999999997"/>
    <n v="7.4999999999999997E-2"/>
    <n v="0.77174999999999994"/>
    <n v="7.0000000000000007E-2"/>
    <n v="0.72030000000000005"/>
    <n v="0.49"/>
    <n v="250"/>
    <n v="56"/>
    <m/>
    <m/>
    <m/>
    <m/>
    <m/>
    <n v="306"/>
    <n v="19500"/>
    <n v="4368"/>
    <n v="23868"/>
    <n v="3891.2125000000001"/>
  </r>
  <r>
    <s v="FALL 2025"/>
    <s v="WOMENS"/>
    <x v="15"/>
    <s v="FYNEX"/>
    <s v="CHINA"/>
    <s v="STF25W51234"/>
    <s v="FF448-F"/>
    <s v="77% POLYESTER/23% SPANDEX COURT STRETCH MOISTURE WICKING                                   "/>
    <s v="KNIT"/>
    <s v="6104.53.2010"/>
    <n v="88"/>
    <n v="18.61645"/>
    <n v="13.89"/>
    <n v="0.16"/>
    <n v="2.2223999999999999"/>
    <n v="7.4999999999999997E-2"/>
    <n v="1.04175"/>
    <n v="7.0000000000000007E-2"/>
    <n v="0.97230000000000016"/>
    <n v="0.49"/>
    <n v="200"/>
    <n v="40"/>
    <n v="10"/>
    <m/>
    <m/>
    <m/>
    <m/>
    <n v="250"/>
    <n v="17600"/>
    <n v="4400"/>
    <n v="22000"/>
    <n v="3723.29"/>
  </r>
  <r>
    <s v="FALL 2025"/>
    <s v="WOMENS"/>
    <x v="15"/>
    <s v="FYNEX"/>
    <s v="CHINA"/>
    <s v="STF25W51234"/>
    <s v="FF448-F"/>
    <s v="77% POLYESTER/23% SPANDEX COURT STRETCH MOISTURE WICKING                                   "/>
    <s v="KNIT"/>
    <s v="6104.53.2010"/>
    <n v="88"/>
    <n v="18.61645"/>
    <n v="13.89"/>
    <n v="0.16"/>
    <n v="2.2223999999999999"/>
    <n v="7.4999999999999997E-2"/>
    <n v="1.04175"/>
    <n v="7.0000000000000007E-2"/>
    <n v="0.97230000000000016"/>
    <n v="0.49"/>
    <n v="250"/>
    <n v="56"/>
    <m/>
    <m/>
    <m/>
    <m/>
    <m/>
    <n v="306"/>
    <n v="22000"/>
    <n v="4928"/>
    <n v="26928"/>
    <n v="4654.1125000000002"/>
  </r>
  <r>
    <s v="FALL 2025"/>
    <s v="WOMENS"/>
    <x v="0"/>
    <s v="FYNEX"/>
    <s v="CHINA"/>
    <s v="STF25W51235"/>
    <s v="FF448-F"/>
    <s v="77% POLYESTER/23% SPANDEX COURT STRETCH MOISTURE WICKING                                   "/>
    <s v="KNIT"/>
    <s v="6112.12.0020"/>
    <n v="135"/>
    <n v="24.877429999999997"/>
    <n v="17.09"/>
    <n v="0.28199999999999997"/>
    <n v="4.8193799999999998"/>
    <n v="7.4999999999999997E-2"/>
    <n v="1.2817499999999999"/>
    <n v="7.0000000000000007E-2"/>
    <n v="1.1963000000000001"/>
    <n v="0.49"/>
    <n v="200"/>
    <n v="24"/>
    <n v="26"/>
    <m/>
    <m/>
    <m/>
    <m/>
    <n v="250"/>
    <n v="27000"/>
    <n v="6750"/>
    <n v="33750"/>
    <n v="4975.485999999999"/>
  </r>
  <r>
    <s v="FALL 2025"/>
    <s v="WOMENS"/>
    <x v="0"/>
    <s v="FYNEX"/>
    <s v="CHINA"/>
    <s v="STF25W51235"/>
    <s v="FF448-F"/>
    <s v="77% POLYESTER/23% SPANDEX COURT STRETCH MOISTURE WICKING                                   "/>
    <s v="KNIT"/>
    <s v="6112.12.0020"/>
    <n v="135"/>
    <n v="24.877429999999997"/>
    <n v="17.09"/>
    <n v="0.28199999999999997"/>
    <n v="4.8193799999999998"/>
    <n v="7.4999999999999997E-2"/>
    <n v="1.2817499999999999"/>
    <n v="7.0000000000000007E-2"/>
    <n v="1.1963000000000001"/>
    <n v="0.49"/>
    <n v="250"/>
    <n v="32"/>
    <m/>
    <m/>
    <m/>
    <m/>
    <m/>
    <n v="282"/>
    <n v="33750"/>
    <n v="4320"/>
    <n v="38070"/>
    <n v="6219.3574999999992"/>
  </r>
  <r>
    <s v="FALL 2025"/>
    <s v="WOMENS"/>
    <x v="16"/>
    <s v="FYNEX"/>
    <s v="CHINA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n v="31"/>
    <m/>
    <m/>
    <m/>
    <m/>
    <m/>
    <n v="281"/>
    <n v="19500"/>
    <n v="2418"/>
    <n v="21918"/>
    <n v="4184.2124999999996"/>
  </r>
  <r>
    <s v="FALL 2025"/>
    <s v="WOMENS"/>
    <x v="16"/>
    <s v="FYNEX"/>
    <s v="CHINA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m/>
    <m/>
    <m/>
    <m/>
    <m/>
    <m/>
    <n v="250"/>
    <n v="19500"/>
    <n v="0"/>
    <n v="19500"/>
    <n v="4184.2124999999996"/>
  </r>
  <r>
    <s v="FALL 2025"/>
    <s v="WOMENS"/>
    <x v="16"/>
    <s v="FYNEX"/>
    <s v="CHINA"/>
    <s v="STF25W51240"/>
    <s v="FF445-F"/>
    <s v="100% POLYESTER DRY TOUCH PIQUE 130 GM/M2 MOISTURE WICKING"/>
    <s v="KNIT"/>
    <s v="6109.90.1050"/>
    <n v="78"/>
    <n v="16.736849999999997"/>
    <n v="11.09"/>
    <n v="0.32"/>
    <n v="3.5488"/>
    <n v="7.4999999999999997E-2"/>
    <n v="0.83174999999999999"/>
    <n v="7.0000000000000007E-2"/>
    <n v="0.7763000000000001"/>
    <n v="0.49"/>
    <n v="250"/>
    <n v="32"/>
    <m/>
    <m/>
    <m/>
    <m/>
    <m/>
    <n v="282"/>
    <n v="19500"/>
    <n v="2496"/>
    <n v="21996"/>
    <n v="4184.2124999999996"/>
  </r>
  <r>
    <s v="FALL 2025"/>
    <s v="WOMENS"/>
    <x v="1"/>
    <s v="FYNEX"/>
    <s v="CHINA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n v="31"/>
    <m/>
    <m/>
    <m/>
    <m/>
    <m/>
    <n v="281"/>
    <n v="31250"/>
    <n v="3875"/>
    <n v="35125"/>
    <n v="6683.1324999999997"/>
  </r>
  <r>
    <s v="FALL 2025"/>
    <s v="WOMENS"/>
    <x v="1"/>
    <s v="FYNEX"/>
    <s v="CHINA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m/>
    <m/>
    <m/>
    <m/>
    <m/>
    <m/>
    <n v="250"/>
    <n v="31250"/>
    <n v="0"/>
    <n v="31250"/>
    <n v="6683.1324999999997"/>
  </r>
  <r>
    <s v="FALL 2025"/>
    <s v="WOMENS"/>
    <x v="1"/>
    <s v="FYNEX"/>
    <s v="CHINA"/>
    <s v="STF25W51241"/>
    <s v="FF448-F"/>
    <s v="77% POLYESTER/23% SPANDEX COURT STRETCH MOISTURE WICKING                                    "/>
    <s v="KNIT"/>
    <s v="6112.12.0060"/>
    <n v="125"/>
    <n v="26.732530000000001"/>
    <n v="18.39"/>
    <n v="0.28199999999999997"/>
    <n v="5.1859799999999998"/>
    <n v="7.4999999999999997E-2"/>
    <n v="1.3792500000000001"/>
    <n v="7.0000000000000007E-2"/>
    <n v="1.2873000000000001"/>
    <n v="0.49"/>
    <n v="250"/>
    <n v="32"/>
    <m/>
    <m/>
    <m/>
    <m/>
    <m/>
    <n v="282"/>
    <n v="31250"/>
    <n v="4000"/>
    <n v="35250"/>
    <n v="6683.1324999999997"/>
  </r>
  <r>
    <s v="FALL 2025"/>
    <s v="WOMENS"/>
    <x v="14"/>
    <s v="FYNEX"/>
    <s v="CHINA"/>
    <s v="STF25W51242"/>
    <s v="FF446-F"/>
    <s v="60% NYLON/40% SPANDEX GRID KNIT MOISTURE WICKING                                                  "/>
    <s v="KNIT"/>
    <s v="6109.90.1050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200"/>
    <n v="50"/>
    <m/>
    <m/>
    <m/>
    <m/>
    <m/>
    <n v="250"/>
    <n v="13600"/>
    <n v="3400"/>
    <n v="17000"/>
    <n v="2761.37"/>
  </r>
  <r>
    <s v="FALL 2025"/>
    <s v="WOMENS"/>
    <x v="14"/>
    <s v="FYNEX"/>
    <s v="CHINA"/>
    <s v="STF25W51242"/>
    <s v="FF446-F"/>
    <s v="60% NYLON/40% SPANDEX GRID KNIT MOISTURE WICKING                                                  "/>
    <s v="KNIT"/>
    <s v="6109.90.1050"/>
    <n v="68"/>
    <n v="13.806849999999999"/>
    <n v="9.09"/>
    <n v="0.32"/>
    <n v="2.9087999999999998"/>
    <n v="7.4999999999999997E-2"/>
    <n v="0.68174999999999997"/>
    <n v="7.0000000000000007E-2"/>
    <n v="0.63630000000000009"/>
    <n v="0.49"/>
    <n v="200"/>
    <n v="50"/>
    <m/>
    <m/>
    <m/>
    <m/>
    <m/>
    <n v="250"/>
    <n v="13600"/>
    <n v="3400"/>
    <n v="17000"/>
    <n v="2761.37"/>
  </r>
  <r>
    <s v="FALL 2025"/>
    <s v="WOMENS"/>
    <x v="17"/>
    <s v="FYNEX"/>
    <s v="CHINA"/>
    <s v="STF25W51243"/>
    <s v="FF446-F"/>
    <s v="60% NYLON/40% SPANDEX GRID KNIT MOISTURE WICKING                                                  "/>
    <s v="KNIT"/>
    <s v="6204.63.9032"/>
    <n v="88"/>
    <n v="19.937289999999997"/>
    <n v="13.59"/>
    <n v="0.28599999999999998"/>
    <n v="3.8867399999999996"/>
    <n v="7.4999999999999997E-2"/>
    <n v="1.01925"/>
    <n v="7.0000000000000007E-2"/>
    <n v="0.95130000000000003"/>
    <n v="0.49"/>
    <n v="200"/>
    <n v="50"/>
    <m/>
    <m/>
    <m/>
    <m/>
    <m/>
    <n v="250"/>
    <n v="17600"/>
    <n v="4400"/>
    <n v="22000"/>
    <n v="3987.4579999999996"/>
  </r>
  <r>
    <s v="FALL 2025"/>
    <s v="WOMENS"/>
    <x v="17"/>
    <s v="FYNEX"/>
    <s v="CHINA"/>
    <s v="STF25W51243"/>
    <s v="FF446-F"/>
    <s v="60% NYLON/40% SPANDEX GRID KNIT MOISTURE WICKING                                                  "/>
    <s v="KNIT"/>
    <s v="6204.63.9032"/>
    <n v="88"/>
    <n v="19.937289999999997"/>
    <n v="13.59"/>
    <n v="0.28599999999999998"/>
    <n v="3.8867399999999996"/>
    <n v="7.4999999999999997E-2"/>
    <n v="1.01925"/>
    <n v="7.0000000000000007E-2"/>
    <n v="0.95130000000000003"/>
    <n v="0.49"/>
    <n v="200"/>
    <n v="50"/>
    <m/>
    <m/>
    <m/>
    <m/>
    <m/>
    <n v="250"/>
    <n v="17600"/>
    <n v="4400"/>
    <n v="22000"/>
    <n v="3987.4579999999996"/>
  </r>
  <r>
    <s v="FALL 2025"/>
    <s v="WOMENS"/>
    <x v="15"/>
    <s v="FYNEX"/>
    <s v="CHINA"/>
    <s v="STF24W51406"/>
    <s v="FF447-F"/>
    <s v="88% NYLON/12% SPANDEX 125 GSM WATER REPELLENT"/>
    <s v="WOVEN"/>
    <s v="6204.53.3010"/>
    <n v="88"/>
    <n v="18.22495"/>
    <n v="13.59"/>
    <n v="0.16"/>
    <n v="2.1743999999999999"/>
    <n v="7.4999999999999997E-2"/>
    <n v="1.01925"/>
    <n v="7.0000000000000007E-2"/>
    <n v="0.95130000000000003"/>
    <n v="0.49"/>
    <n v="350"/>
    <n v="56"/>
    <m/>
    <m/>
    <m/>
    <m/>
    <n v="8"/>
    <n v="414"/>
    <n v="30800"/>
    <n v="5632"/>
    <n v="36432"/>
    <n v="6378.7325000000001"/>
  </r>
  <r>
    <s v="FALL 2025"/>
    <s v="WOMENS"/>
    <x v="0"/>
    <s v="HESRRO"/>
    <s v="CHINA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00"/>
    <n v="55"/>
    <m/>
    <m/>
    <m/>
    <m/>
    <m/>
    <n v="355"/>
    <n v="37500"/>
    <n v="6875"/>
    <n v="44375"/>
    <n v="7852.8"/>
  </r>
  <r>
    <s v="FALL 2025"/>
    <s v="WOMENS"/>
    <x v="1"/>
    <s v="HESRRO"/>
    <s v="CHINA"/>
    <s v="STF25W51253"/>
    <s v="FF331"/>
    <s v="60% POLYESTER/40% COTTON DOUBLE KNIT 280 GM/M2"/>
    <s v="KNIT"/>
    <s v="6112.12.0060"/>
    <n v="110"/>
    <n v="22.965249999999994"/>
    <n v="15.75"/>
    <n v="0.28199999999999997"/>
    <n v="4.4414999999999996"/>
    <n v="7.4999999999999997E-2"/>
    <n v="1.1812499999999999"/>
    <n v="7.0000000000000007E-2"/>
    <n v="1.1025"/>
    <n v="0.49"/>
    <n v="300"/>
    <n v="55"/>
    <m/>
    <m/>
    <m/>
    <m/>
    <m/>
    <n v="355"/>
    <n v="33000"/>
    <n v="6050"/>
    <n v="39050"/>
    <n v="6889.574999999998"/>
  </r>
  <r>
    <s v="FALL 2025"/>
    <s v="WOMENS"/>
    <x v="0"/>
    <s v="HESRRO"/>
    <s v="CHINA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64"/>
    <m/>
    <m/>
    <m/>
    <m/>
    <m/>
    <n v="314"/>
    <n v="31250"/>
    <n v="8000"/>
    <n v="39250"/>
    <n v="6544.0000000000009"/>
  </r>
  <r>
    <s v="FALL 2025"/>
    <s v="WOMENS"/>
    <x v="1"/>
    <s v="HESRRO"/>
    <s v="CHINA"/>
    <s v="STF25W51253"/>
    <s v="FF331"/>
    <s v="60% POLYESTER/40% COTTON DOUBLE KNIT 280 GM/M2"/>
    <s v="KNIT"/>
    <s v="6112.12.0060"/>
    <n v="110"/>
    <n v="22.965249999999994"/>
    <n v="15.75"/>
    <n v="0.28199999999999997"/>
    <n v="4.4414999999999996"/>
    <n v="7.4999999999999997E-2"/>
    <n v="1.1812499999999999"/>
    <n v="7.0000000000000007E-2"/>
    <n v="1.1025"/>
    <n v="0.49"/>
    <n v="250"/>
    <n v="64"/>
    <m/>
    <m/>
    <m/>
    <m/>
    <m/>
    <n v="314"/>
    <n v="27500"/>
    <n v="7040"/>
    <n v="34540"/>
    <n v="5741.3124999999982"/>
  </r>
  <r>
    <s v="FALL 2025"/>
    <s v="WOMENS"/>
    <x v="0"/>
    <s v="HESRRO"/>
    <s v="CHINA"/>
    <s v="STF25W51252"/>
    <s v="FF331"/>
    <s v="60% POLYESTER/40% COTTON DOUBLE KNIT 28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48"/>
    <m/>
    <m/>
    <m/>
    <m/>
    <n v="4"/>
    <n v="302"/>
    <n v="31250"/>
    <n v="6500"/>
    <n v="37750"/>
    <n v="6544.0000000000009"/>
  </r>
  <r>
    <s v="FALL 2025"/>
    <s v="WOMENS"/>
    <x v="18"/>
    <s v="HESRRO"/>
    <s v="CHINA"/>
    <s v="STF25W51254"/>
    <s v="FF331"/>
    <s v="60% POLYESTER/40% COTTON DOUBLE KNIT 280 GM/M2"/>
    <s v="KNIT"/>
    <s v="6104.53.2010"/>
    <n v="78"/>
    <n v="14.844999999999999"/>
    <n v="11"/>
    <n v="0.16"/>
    <n v="1.76"/>
    <n v="7.4999999999999997E-2"/>
    <n v="0.82499999999999996"/>
    <n v="7.0000000000000007E-2"/>
    <n v="0.77"/>
    <n v="0.49"/>
    <n v="250"/>
    <n v="48"/>
    <m/>
    <m/>
    <m/>
    <m/>
    <n v="4"/>
    <n v="302"/>
    <n v="19500"/>
    <n v="4056"/>
    <n v="23556"/>
    <n v="3711.2499999999995"/>
  </r>
  <r>
    <s v="FALL 2025"/>
    <s v="WOMENS"/>
    <x v="0"/>
    <s v="HESRRO"/>
    <s v="CHINA"/>
    <s v="STF25W51255"/>
    <s v="FF331"/>
    <s v="60% POLYESTER/40% COTTON DOUBLE KNIT 280 GM/M2"/>
    <s v="KNIT"/>
    <s v="6112.12.0020"/>
    <n v="150"/>
    <n v="28.673249999999996"/>
    <n v="19.75"/>
    <n v="0.28199999999999997"/>
    <n v="5.5694999999999997"/>
    <n v="7.4999999999999997E-2"/>
    <n v="1.48125"/>
    <n v="7.0000000000000007E-2"/>
    <n v="1.3825000000000001"/>
    <n v="0.49"/>
    <n v="200"/>
    <n v="11"/>
    <m/>
    <m/>
    <m/>
    <m/>
    <m/>
    <n v="211"/>
    <n v="30000"/>
    <n v="1650"/>
    <n v="31650"/>
    <n v="5734.65"/>
  </r>
  <r>
    <s v="FALL 2025"/>
    <s v="WOMENS"/>
    <x v="1"/>
    <s v="HESRRO"/>
    <s v="CHINA"/>
    <s v="STF25W51256"/>
    <s v="FF331"/>
    <s v="60% POLYESTER/40% COTTON DOUBLE KNIT 280 GM/M2"/>
    <s v="KNIT"/>
    <s v="6112.12.0060"/>
    <n v="125"/>
    <n v="21.895"/>
    <n v="15"/>
    <n v="0.28199999999999997"/>
    <n v="4.2299999999999995"/>
    <n v="7.4999999999999997E-2"/>
    <n v="1.125"/>
    <n v="7.0000000000000007E-2"/>
    <n v="1.05"/>
    <n v="0.49"/>
    <n v="200"/>
    <n v="11"/>
    <m/>
    <m/>
    <m/>
    <m/>
    <m/>
    <n v="211"/>
    <n v="25000"/>
    <n v="1375"/>
    <n v="26375"/>
    <n v="4379"/>
  </r>
  <r>
    <s v="FALL 2025"/>
    <s v="WOMENS"/>
    <x v="0"/>
    <s v="HESRRO"/>
    <s v="CHINA"/>
    <s v="STF25W51255"/>
    <s v="FF331"/>
    <s v="60% POLYESTER/40% COTTON DOUBLE KNIT 280 GM/M2"/>
    <s v="KNIT"/>
    <s v="6112.12.0020"/>
    <n v="150"/>
    <n v="28.673249999999996"/>
    <n v="19.75"/>
    <n v="0.28199999999999997"/>
    <n v="5.5694999999999997"/>
    <n v="7.4999999999999997E-2"/>
    <n v="1.48125"/>
    <n v="7.0000000000000007E-2"/>
    <n v="1.3825000000000001"/>
    <n v="0.49"/>
    <n v="200"/>
    <n v="43"/>
    <m/>
    <m/>
    <m/>
    <m/>
    <m/>
    <n v="243"/>
    <n v="30000"/>
    <n v="6450"/>
    <n v="36450"/>
    <n v="5734.65"/>
  </r>
  <r>
    <s v="FALL 2025"/>
    <s v="WOMENS"/>
    <x v="1"/>
    <s v="HESRRO"/>
    <s v="CHINA"/>
    <s v="STF25W51256"/>
    <s v="FF331"/>
    <s v="60% POLYESTER/40% COTTON DOUBLE KNIT 280 GM/M2"/>
    <s v="KNIT"/>
    <s v="6112.12.0060"/>
    <n v="125"/>
    <n v="21.895"/>
    <n v="15"/>
    <n v="0.28199999999999997"/>
    <n v="4.2299999999999995"/>
    <n v="7.4999999999999997E-2"/>
    <n v="1.125"/>
    <n v="7.0000000000000007E-2"/>
    <n v="1.05"/>
    <n v="0.49"/>
    <n v="200"/>
    <n v="43"/>
    <m/>
    <m/>
    <m/>
    <m/>
    <m/>
    <n v="243"/>
    <n v="25000"/>
    <n v="5375"/>
    <n v="30375"/>
    <n v="4379"/>
  </r>
  <r>
    <s v="FALL 2025"/>
    <s v="WOMENS"/>
    <x v="0"/>
    <s v="HESRRO"/>
    <s v="CHINA"/>
    <s v="STF25W51271"/>
    <s v="FF080-H"/>
    <s v="100% POLYESTER TWILL 220 GM/M2"/>
    <s v="KNIT"/>
    <s v="6112.12.002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64"/>
    <m/>
    <m/>
    <m/>
    <m/>
    <m/>
    <n v="314"/>
    <n v="33750"/>
    <n v="8640"/>
    <n v="42390"/>
    <n v="6008.875"/>
  </r>
  <r>
    <s v="FALL 2025"/>
    <s v="WOMENS"/>
    <x v="1"/>
    <s v="HESRRO"/>
    <s v="CHINA"/>
    <s v="STF25W51272"/>
    <s v="FF080-H"/>
    <s v="100% POLYESTER TWILL 220 GM/M2"/>
    <s v="KNIT"/>
    <s v="6112.12.0060"/>
    <n v="110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64"/>
    <m/>
    <m/>
    <m/>
    <m/>
    <m/>
    <n v="314"/>
    <n v="27500"/>
    <n v="7040"/>
    <n v="34540"/>
    <n v="4403.4999999999991"/>
  </r>
  <r>
    <s v="FALL 2025"/>
    <s v="WOMENS"/>
    <x v="0"/>
    <s v="HESRRO"/>
    <s v="CHINA"/>
    <s v="STF25W51271"/>
    <s v="FF080-H"/>
    <s v="100% POLYESTER TWILL 220 GM/M2"/>
    <s v="KNIT"/>
    <s v="6112.12.002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39"/>
    <m/>
    <n v="80"/>
    <m/>
    <m/>
    <m/>
    <n v="369"/>
    <n v="33750"/>
    <n v="16065"/>
    <n v="49815"/>
    <n v="6008.875"/>
  </r>
  <r>
    <s v="FALL 2025"/>
    <s v="WOMENS"/>
    <x v="1"/>
    <s v="HESRRO"/>
    <s v="CHINA"/>
    <s v="STF25W51272"/>
    <s v="FF080-H"/>
    <s v="100% POLYESTER TWILL 220 GM/M2"/>
    <s v="KNIT"/>
    <s v="6112.12.0060"/>
    <n v="110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39"/>
    <m/>
    <n v="70"/>
    <m/>
    <m/>
    <m/>
    <n v="359"/>
    <n v="27500"/>
    <n v="11990"/>
    <n v="39490"/>
    <n v="4403.4999999999991"/>
  </r>
  <r>
    <s v="FALL 2025"/>
    <s v="WOMENS"/>
    <x v="0"/>
    <s v="HESRRO"/>
    <s v="CHINA"/>
    <s v="STF25W51273"/>
    <s v="FF359"/>
    <s v="85% POLYESTER/15% NYLON PEACHED BLEND"/>
    <s v="WOVEN"/>
    <s v="6202.40.7511"/>
    <n v="13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50"/>
    <n v="49"/>
    <m/>
    <m/>
    <m/>
    <m/>
    <n v="4"/>
    <n v="303"/>
    <n v="33750"/>
    <n v="7155"/>
    <n v="40905"/>
    <n v="7079.1249999999982"/>
  </r>
  <r>
    <s v="FALL 2025"/>
    <s v="WOMENS"/>
    <x v="1"/>
    <s v="HESRRO"/>
    <s v="CHINA"/>
    <s v="STF25W51274"/>
    <s v="FF359"/>
    <s v="85% POLYESTER/15% NYLON PEACHED BLEND"/>
    <s v="WOVEN"/>
    <s v="6204.63.9011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n v="49"/>
    <m/>
    <m/>
    <m/>
    <m/>
    <n v="4"/>
    <n v="303"/>
    <n v="27500"/>
    <n v="5830"/>
    <n v="33330"/>
    <n v="6008.875"/>
  </r>
  <r>
    <s v="FALL 2025"/>
    <s v="WOMENS"/>
    <x v="0"/>
    <s v="HESRRO"/>
    <s v="CHINA"/>
    <s v="STF25W51273"/>
    <s v="FF359"/>
    <s v="85% POLYESTER/15% NYLON PEACHED BLEND"/>
    <s v="WOVEN"/>
    <s v="6202.40.7511"/>
    <n v="13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50"/>
    <n v="81"/>
    <m/>
    <m/>
    <m/>
    <m/>
    <n v="4"/>
    <n v="335"/>
    <n v="33750"/>
    <n v="11475"/>
    <n v="45225"/>
    <n v="7079.1249999999982"/>
  </r>
  <r>
    <s v="FALL 2025"/>
    <s v="WOMENS"/>
    <x v="1"/>
    <s v="HESRRO"/>
    <s v="CHINA"/>
    <s v="STF25W51274"/>
    <s v="FF359"/>
    <s v="85% POLYESTER/15% NYLON PEACHED BLEND"/>
    <s v="WOVEN"/>
    <s v="6204.63.9011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n v="81"/>
    <m/>
    <m/>
    <m/>
    <m/>
    <n v="4"/>
    <n v="335"/>
    <n v="27500"/>
    <n v="9350"/>
    <n v="36850"/>
    <n v="6008.875"/>
  </r>
  <r>
    <s v="FALL 2025"/>
    <s v="WOMENS"/>
    <x v="10"/>
    <s v="HESRRO"/>
    <s v="CHINA"/>
    <s v="STF25W51289"/>
    <s v="FF443-H"/>
    <s v="70% WOOL/15% NYLON/15% POLYESTER"/>
    <s v="WOVEN"/>
    <s v="6202.20.4011"/>
    <n v="275"/>
    <n v="57.465000000000003"/>
    <n v="43"/>
    <n v="0.18"/>
    <n v="7.7399999999999993"/>
    <n v="7.4999999999999997E-2"/>
    <n v="3.2250000000000001"/>
    <n v="7.0000000000000007E-2"/>
    <n v="3.0100000000000002"/>
    <n v="0.49"/>
    <n v="200"/>
    <n v="32"/>
    <m/>
    <m/>
    <m/>
    <m/>
    <m/>
    <n v="232"/>
    <n v="55000"/>
    <n v="8800"/>
    <n v="63800"/>
    <n v="11493"/>
  </r>
  <r>
    <s v="FALL 2025"/>
    <s v="WOMENS"/>
    <x v="0"/>
    <s v="HESRRO"/>
    <s v="CHINA"/>
    <s v="STF25W51290"/>
    <s v="FF345/FF442-H"/>
    <s v="FF345: 100% SHINY NYLON FF442-H FACE: 95% NYLON/5% SPANDEX BACK: 99% POLYESTER/1% SPANDEX"/>
    <s v="WOVEN"/>
    <s v="6202.40.7511"/>
    <n v="145"/>
    <n v="30.456999999999997"/>
    <n v="21"/>
    <n v="0.28199999999999997"/>
    <n v="5.9219999999999997"/>
    <n v="7.4999999999999997E-2"/>
    <n v="1.575"/>
    <n v="7.0000000000000007E-2"/>
    <n v="1.4700000000000002"/>
    <n v="0.49"/>
    <n v="200"/>
    <m/>
    <m/>
    <m/>
    <m/>
    <m/>
    <m/>
    <n v="200"/>
    <n v="29000"/>
    <n v="0"/>
    <n v="29000"/>
    <n v="6091.4"/>
  </r>
  <r>
    <s v="FALL 2025"/>
    <s v="WOMENS"/>
    <x v="0"/>
    <s v="PORTA ASIATACA"/>
    <s v="CHINA"/>
    <s v="STF25W51286"/>
    <s v="FF418"/>
    <s v="58% COTTON/40% VISCOSE/2% SPANDEX 370 GM/M2"/>
    <s v="WOVEN"/>
    <s v="6211.42.1040"/>
    <n v="165"/>
    <n v="32.733800000000002"/>
    <n v="26.3"/>
    <n v="8.1000000000000003E-2"/>
    <n v="2.1303000000000001"/>
    <n v="7.4999999999999997E-2"/>
    <n v="1.9724999999999999"/>
    <n v="7.0000000000000007E-2"/>
    <n v="1.8410000000000002"/>
    <n v="0.49"/>
    <n v="200"/>
    <n v="32"/>
    <m/>
    <m/>
    <m/>
    <m/>
    <m/>
    <n v="232"/>
    <n v="33000"/>
    <n v="5280"/>
    <n v="38280"/>
    <n v="6546.76"/>
  </r>
  <r>
    <s v="FALL 2025"/>
    <s v="WOMENS"/>
    <x v="1"/>
    <s v="PORTA ASIATACA"/>
    <s v="CHINA"/>
    <s v="STF25W51287"/>
    <s v="FF418"/>
    <s v="58% COTTON/40% VISCOSE/2% SPANDEX 370 GM/M2"/>
    <s v="WOVEN"/>
    <s v="6211.42.1030"/>
    <n v="135"/>
    <n v="25.622999999999998"/>
    <n v="20.5"/>
    <n v="8.1000000000000003E-2"/>
    <n v="1.6605000000000001"/>
    <n v="7.4999999999999997E-2"/>
    <n v="1.5374999999999999"/>
    <n v="7.0000000000000007E-2"/>
    <n v="1.4350000000000001"/>
    <n v="0.49"/>
    <n v="200"/>
    <n v="32"/>
    <m/>
    <m/>
    <m/>
    <m/>
    <m/>
    <n v="232"/>
    <n v="27000"/>
    <n v="4320"/>
    <n v="31320"/>
    <n v="5124.5999999999995"/>
  </r>
  <r>
    <s v="FALL 2025"/>
    <s v="WOMENS"/>
    <x v="0"/>
    <s v="PORTA ASIATACA"/>
    <s v="CHINA"/>
    <s v="STF25W51286"/>
    <s v="FF418"/>
    <s v="58% COTTON/40% VISCOSE/2% SPANDEX 370 GM/M2"/>
    <s v="WOVEN"/>
    <s v="6211.42.1040"/>
    <n v="165"/>
    <n v="32.733800000000002"/>
    <n v="26.3"/>
    <n v="8.1000000000000003E-2"/>
    <n v="2.1303000000000001"/>
    <n v="7.4999999999999997E-2"/>
    <n v="1.9724999999999999"/>
    <n v="7.0000000000000007E-2"/>
    <n v="1.8410000000000002"/>
    <n v="0.49"/>
    <n v="200"/>
    <m/>
    <m/>
    <m/>
    <m/>
    <m/>
    <m/>
    <n v="200"/>
    <n v="33000"/>
    <n v="0"/>
    <n v="33000"/>
    <n v="6546.76"/>
  </r>
  <r>
    <s v="FALL 2025"/>
    <s v="WOMENS"/>
    <x v="1"/>
    <s v="PORTA ASIATACA"/>
    <s v="CHINA"/>
    <s v="STF25W51287"/>
    <s v="FF418"/>
    <s v="58% COTTON/40% VISCOSE/2% SPANDEX 370 GM/M2"/>
    <s v="WOVEN"/>
    <s v="6211.42.1030"/>
    <n v="135"/>
    <n v="25.622999999999998"/>
    <n v="20.5"/>
    <n v="8.1000000000000003E-2"/>
    <n v="1.6605000000000001"/>
    <n v="7.4999999999999997E-2"/>
    <n v="1.5374999999999999"/>
    <n v="7.0000000000000007E-2"/>
    <n v="1.4350000000000001"/>
    <n v="0.49"/>
    <n v="200"/>
    <m/>
    <m/>
    <m/>
    <m/>
    <m/>
    <m/>
    <n v="200"/>
    <n v="27000"/>
    <n v="0"/>
    <n v="27000"/>
    <n v="5124.5999999999995"/>
  </r>
  <r>
    <s v="FALL 2025"/>
    <s v="WOMENS"/>
    <x v="19"/>
    <s v="PORTA ASIATACA"/>
    <s v="CHINA"/>
    <s v="STF25W51288"/>
    <s v="FF418"/>
    <s v="58% COTTON/40% VISCOSE/2% SPANDEX 370 GM/M2"/>
    <s v="WOVEN"/>
    <s v="6104.42.0010"/>
    <n v="175"/>
    <n v="37.786000000000008"/>
    <n v="29.6"/>
    <n v="0.115"/>
    <n v="3.4040000000000004"/>
    <n v="7.4999999999999997E-2"/>
    <n v="2.2200000000000002"/>
    <n v="7.0000000000000007E-2"/>
    <n v="2.0720000000000005"/>
    <n v="0.49"/>
    <n v="200"/>
    <n v="38"/>
    <m/>
    <m/>
    <m/>
    <m/>
    <m/>
    <n v="238"/>
    <n v="35000"/>
    <n v="6650"/>
    <n v="41650"/>
    <n v="7557.2000000000016"/>
  </r>
  <r>
    <s v="FALL 2025"/>
    <s v="WOMENS"/>
    <x v="4"/>
    <s v="PORTA ASIATACA"/>
    <s v="CHINA"/>
    <s v="STF25W51227"/>
    <s v="FF403-P"/>
    <s v="82% NYLON/18% SPANDEX PERFORMANCE DOUBLE KNIT"/>
    <s v="KNIT"/>
    <s v="6109.90.1050"/>
    <n v="78"/>
    <n v="18.069999999999997"/>
    <n v="12"/>
    <n v="0.32"/>
    <n v="3.84"/>
    <n v="7.4999999999999997E-2"/>
    <n v="0.89999999999999991"/>
    <n v="7.0000000000000007E-2"/>
    <n v="0.84000000000000008"/>
    <n v="0.49"/>
    <n v="250"/>
    <n v="48"/>
    <m/>
    <m/>
    <m/>
    <m/>
    <m/>
    <n v="298"/>
    <n v="19500"/>
    <n v="3744"/>
    <n v="23244"/>
    <n v="4517.4999999999991"/>
  </r>
  <r>
    <s v="FALL 2025"/>
    <s v="WOMENS"/>
    <x v="4"/>
    <s v="PORTA ASIATACA"/>
    <s v="CHINA"/>
    <s v="STF25W51227"/>
    <s v="FF403-P"/>
    <s v="82% NYLON/18% SPANDEX PERFORMANCE DOUBLE KNIT"/>
    <s v="KNIT"/>
    <s v="6109.90.1050"/>
    <n v="78"/>
    <n v="18.069999999999997"/>
    <n v="12"/>
    <n v="0.32"/>
    <n v="3.84"/>
    <n v="7.4999999999999997E-2"/>
    <n v="0.89999999999999991"/>
    <n v="7.0000000000000007E-2"/>
    <n v="0.84000000000000008"/>
    <n v="0.49"/>
    <n v="250"/>
    <n v="32"/>
    <m/>
    <m/>
    <m/>
    <m/>
    <m/>
    <n v="282"/>
    <n v="19500"/>
    <n v="2496"/>
    <n v="21996"/>
    <n v="4517.4999999999991"/>
  </r>
  <r>
    <s v="FALL 2025"/>
    <s v="WOMENS"/>
    <x v="15"/>
    <s v="PORTA ASIATACA"/>
    <s v="CHINA"/>
    <s v="STF25W51228"/>
    <s v="FF403-P"/>
    <s v="82% NYLON/18% SPANDEX PERFORMANCE DOUBLE KNIT"/>
    <s v="KNIT"/>
    <s v="6104.53.2010"/>
    <n v="78"/>
    <n v="17.454999999999998"/>
    <n v="13"/>
    <n v="0.16"/>
    <n v="2.08"/>
    <n v="7.4999999999999997E-2"/>
    <n v="0.97499999999999998"/>
    <n v="7.0000000000000007E-2"/>
    <n v="0.91000000000000014"/>
    <n v="0.49"/>
    <n v="250"/>
    <n v="48"/>
    <m/>
    <m/>
    <m/>
    <m/>
    <m/>
    <n v="298"/>
    <n v="19500"/>
    <n v="3744"/>
    <n v="23244"/>
    <n v="4363.75"/>
  </r>
  <r>
    <s v="FALL 2025"/>
    <s v="WOMENS"/>
    <x v="15"/>
    <s v="PORTA ASIATACA"/>
    <s v="CHINA"/>
    <s v="STF25W51228"/>
    <s v="FF403-P"/>
    <s v="82% NYLON/18% SPANDEX PERFORMANCE DOUBLE KNIT"/>
    <s v="KNIT"/>
    <s v="6104.53.2010"/>
    <n v="78"/>
    <n v="17.454999999999998"/>
    <n v="13"/>
    <n v="0.16"/>
    <n v="2.08"/>
    <n v="7.4999999999999997E-2"/>
    <n v="0.97499999999999998"/>
    <n v="7.0000000000000007E-2"/>
    <n v="0.91000000000000014"/>
    <n v="0.49"/>
    <n v="250"/>
    <n v="32"/>
    <m/>
    <m/>
    <m/>
    <m/>
    <m/>
    <n v="282"/>
    <n v="19500"/>
    <n v="2496"/>
    <n v="21996"/>
    <n v="4363.75"/>
  </r>
  <r>
    <s v="FALL 2025"/>
    <s v="WOMENS"/>
    <x v="19"/>
    <s v="PORTA ASIATACA"/>
    <s v="CHINA"/>
    <s v="STF25W51229"/>
    <s v="FF403-P"/>
    <s v="82% NYLON/18% SPANDEX PERFORMANCE DOUBLE KNIT"/>
    <s v="KNIT"/>
    <s v="6104.43.2010"/>
    <n v="135"/>
    <n v="26.916250000000002"/>
    <n v="20.25"/>
    <n v="0.16"/>
    <n v="3.24"/>
    <n v="7.4999999999999997E-2"/>
    <n v="1.51875"/>
    <n v="7.0000000000000007E-2"/>
    <n v="1.4175000000000002"/>
    <n v="0.49"/>
    <n v="250"/>
    <m/>
    <m/>
    <m/>
    <m/>
    <m/>
    <m/>
    <n v="250"/>
    <n v="33750"/>
    <n v="0"/>
    <n v="33750"/>
    <n v="6729.0625"/>
  </r>
  <r>
    <s v="FALL 2025"/>
    <s v="WOMENS"/>
    <x v="19"/>
    <s v="PORTA ASIATACA"/>
    <s v="CHINA"/>
    <s v="STF25W51230"/>
    <s v="FF414"/>
    <s v="73% NYLON/27% SPANDEX OTTOMAN KNIT"/>
    <s v="KNIT"/>
    <s v="6104.43.2010"/>
    <n v="125"/>
    <n v="25.937499999999996"/>
    <n v="19.5"/>
    <n v="0.16"/>
    <n v="3.12"/>
    <n v="7.4999999999999997E-2"/>
    <n v="1.4624999999999999"/>
    <n v="7.0000000000000007E-2"/>
    <n v="1.3650000000000002"/>
    <n v="0.49"/>
    <n v="300"/>
    <n v="39"/>
    <m/>
    <m/>
    <m/>
    <m/>
    <m/>
    <n v="339"/>
    <n v="37500"/>
    <n v="4875"/>
    <n v="42375"/>
    <n v="7781.2499999999991"/>
  </r>
  <r>
    <s v="FALL 2025"/>
    <s v="WOMENS"/>
    <x v="19"/>
    <s v="PORTA ASIATACA"/>
    <s v="CHINA"/>
    <s v="STF25W51230"/>
    <s v="FF414"/>
    <s v="73% NYLON/27% SPANDEX OTTOMAN KNIT"/>
    <s v="KNIT"/>
    <s v="6104.43.2010"/>
    <n v="125"/>
    <n v="25.937499999999996"/>
    <n v="19.5"/>
    <n v="0.16"/>
    <n v="3.12"/>
    <n v="7.4999999999999997E-2"/>
    <n v="1.4624999999999999"/>
    <n v="7.0000000000000007E-2"/>
    <n v="1.3650000000000002"/>
    <n v="0.49"/>
    <n v="250"/>
    <n v="32"/>
    <m/>
    <m/>
    <m/>
    <m/>
    <m/>
    <n v="282"/>
    <n v="31250"/>
    <n v="4000"/>
    <n v="35250"/>
    <n v="6484.3749999999991"/>
  </r>
  <r>
    <s v="FALL 2025"/>
    <s v="WOMENS"/>
    <x v="7"/>
    <s v="PORTA ASIATACA"/>
    <s v="CHINA"/>
    <s v="STF25W51231"/>
    <s v="FF403-P"/>
    <s v="82% NYLON/18% SPANDEX PERFORMANCE DOUBLE KNIT"/>
    <s v="KNIT"/>
    <s v="6109.90.1050"/>
    <n v="98"/>
    <n v="23.197500000000002"/>
    <n v="15.5"/>
    <n v="0.32"/>
    <n v="4.96"/>
    <n v="7.4999999999999997E-2"/>
    <n v="1.1624999999999999"/>
    <n v="7.0000000000000007E-2"/>
    <n v="1.0850000000000002"/>
    <n v="0.49"/>
    <n v="250"/>
    <n v="48"/>
    <m/>
    <m/>
    <m/>
    <m/>
    <m/>
    <n v="298"/>
    <n v="24500"/>
    <n v="4704"/>
    <n v="29204"/>
    <n v="5799.375"/>
  </r>
  <r>
    <s v="FALL 2025"/>
    <s v="WOMENS"/>
    <x v="20"/>
    <s v="PORTA ASIATACA"/>
    <s v="CHINA"/>
    <s v="STF25W51232"/>
    <s v="FF403-P"/>
    <s v="82% NYLON/18% SPANDEX PERFORMANCE DOUBLE KNIT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48"/>
    <m/>
    <m/>
    <m/>
    <m/>
    <m/>
    <n v="298"/>
    <n v="29500"/>
    <n v="5664"/>
    <n v="35164"/>
    <n v="5295.3749999999991"/>
  </r>
  <r>
    <s v="FALL 2025"/>
    <s v="WOMENS"/>
    <x v="7"/>
    <s v="PORTA ASIATACA"/>
    <s v="CHINA"/>
    <s v="STF25W51231"/>
    <s v="FF403-P"/>
    <s v="82% NYLON/18% SPANDEX PERFORMANCE DOUBLE KNIT"/>
    <s v="KNIT"/>
    <s v="6109.90.1050"/>
    <n v="98"/>
    <n v="23.197500000000002"/>
    <n v="15.5"/>
    <n v="0.32"/>
    <n v="4.96"/>
    <n v="7.4999999999999997E-2"/>
    <n v="1.1624999999999999"/>
    <n v="7.0000000000000007E-2"/>
    <n v="1.0850000000000002"/>
    <n v="0.49"/>
    <n v="250"/>
    <n v="48"/>
    <m/>
    <m/>
    <m/>
    <m/>
    <m/>
    <n v="298"/>
    <n v="24500"/>
    <n v="4704"/>
    <n v="29204"/>
    <n v="5799.375"/>
  </r>
  <r>
    <s v="FALL 2025"/>
    <s v="WOMENS"/>
    <x v="20"/>
    <s v="PORTA ASIATACA"/>
    <s v="CHINA"/>
    <s v="STF25W51232"/>
    <s v="FF403-P"/>
    <s v="82% NYLON/18% SPANDEX PERFORMANCE DOUBLE KNIT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48"/>
    <m/>
    <m/>
    <m/>
    <m/>
    <m/>
    <n v="298"/>
    <n v="29500"/>
    <n v="5664"/>
    <n v="35164"/>
    <n v="5295.3749999999991"/>
  </r>
  <r>
    <s v="FALL 2025"/>
    <s v="WOMENS"/>
    <x v="21"/>
    <s v="PORTA ASIATACA"/>
    <s v="CHINA"/>
    <s v="STF25W51097"/>
    <s v="FF403-P"/>
    <s v="82% NYLON/18% SPANDEX PERFORMANCE DOUBLE KNIT"/>
    <s v="KNIT"/>
    <s v="6212.10.9020"/>
    <n v="68"/>
    <n v="16.231719999999999"/>
    <n v="11.98"/>
    <n v="0.16900000000000001"/>
    <n v="2.0246200000000001"/>
    <n v="7.4999999999999997E-2"/>
    <n v="0.89849999999999997"/>
    <n v="7.0000000000000007E-2"/>
    <n v="0.83860000000000012"/>
    <n v="0.49"/>
    <n v="250"/>
    <m/>
    <m/>
    <m/>
    <m/>
    <m/>
    <m/>
    <n v="250"/>
    <n v="17000"/>
    <n v="0"/>
    <n v="17000"/>
    <n v="4057.93"/>
  </r>
  <r>
    <s v="FALL 2025"/>
    <s v="WOMENS"/>
    <x v="20"/>
    <s v="PORTA ASIATACA"/>
    <s v="CHINA"/>
    <s v="STF25W51096"/>
    <s v="FF403-P"/>
    <s v="82% NYLON/18% SPANDEX PERFORMANCE DOUBLE KNIT"/>
    <s v="KNIT"/>
    <s v="6104.63.2011"/>
    <n v="110"/>
    <n v="20.468"/>
    <n v="14"/>
    <n v="0.28199999999999997"/>
    <n v="3.9479999999999995"/>
    <n v="7.4999999999999997E-2"/>
    <n v="1.05"/>
    <n v="7.0000000000000007E-2"/>
    <n v="0.98000000000000009"/>
    <n v="0.49"/>
    <n v="250"/>
    <n v="56"/>
    <m/>
    <n v="70"/>
    <m/>
    <m/>
    <m/>
    <n v="376"/>
    <n v="27500"/>
    <n v="13860"/>
    <n v="41360"/>
    <n v="5117"/>
  </r>
  <r>
    <s v="FALL 2025"/>
    <s v="WOMENS"/>
    <x v="0"/>
    <s v="PORTA ASIATACA"/>
    <s v="CHINA"/>
    <s v="STF25W51108"/>
    <s v="FF403-P"/>
    <s v="82% NYLON/18% SPANDEX PERFORMANCE DOUBLE KNIT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50"/>
    <n v="56"/>
    <m/>
    <n v="80"/>
    <m/>
    <m/>
    <m/>
    <n v="386"/>
    <n v="31250"/>
    <n v="17000"/>
    <n v="48250"/>
    <n v="6544.0000000000009"/>
  </r>
  <r>
    <s v="FALL 2025"/>
    <s v="WOMENS"/>
    <x v="12"/>
    <s v="PORTA ASIATACA"/>
    <s v="CHINA"/>
    <s v="STF25W51261"/>
    <s v="FF288"/>
    <s v="62% VISCOSE/38% POLYESTER 14GG FULL NEEDLE "/>
    <s v="SWEATER"/>
    <s v="6110.30.3020"/>
    <n v="225"/>
    <n v="46.637499999999996"/>
    <n v="31.5"/>
    <n v="0.32"/>
    <n v="10.08"/>
    <n v="7.4999999999999997E-2"/>
    <n v="2.3624999999999998"/>
    <n v="7.0000000000000007E-2"/>
    <n v="2.2050000000000001"/>
    <n v="0.49"/>
    <n v="200"/>
    <m/>
    <m/>
    <m/>
    <m/>
    <m/>
    <m/>
    <n v="200"/>
    <n v="45000"/>
    <n v="0"/>
    <n v="45000"/>
    <n v="9327.5"/>
  </r>
  <r>
    <s v="FALL 2025"/>
    <s v="WOMENS"/>
    <x v="12"/>
    <s v="PORTA ASIATACA"/>
    <s v="CHINA"/>
    <s v="STF25W51261"/>
    <s v="FF288"/>
    <s v="62% VISCOSE/38% POLYESTER 14GG FULL NEEDLE "/>
    <s v="SWEATER"/>
    <s v="6110.30.3020"/>
    <n v="225"/>
    <n v="46.637499999999996"/>
    <n v="31.5"/>
    <n v="0.32"/>
    <n v="10.08"/>
    <n v="7.4999999999999997E-2"/>
    <n v="2.3624999999999998"/>
    <n v="7.0000000000000007E-2"/>
    <n v="2.2050000000000001"/>
    <n v="0.49"/>
    <n v="200"/>
    <m/>
    <m/>
    <m/>
    <m/>
    <m/>
    <m/>
    <n v="200"/>
    <n v="45000"/>
    <n v="0"/>
    <n v="45000"/>
    <n v="9327.5"/>
  </r>
  <r>
    <s v="FALL 2025"/>
    <s v="WOMENS"/>
    <x v="12"/>
    <s v="PORTA ASIATACA"/>
    <s v="CHINA"/>
    <s v="STF25W51263"/>
    <s v="FF288"/>
    <s v="62% VISCOSE/38% POLYESTER 7GG BIRDSEYE BACK JACQUARD "/>
    <s v="SWEATER"/>
    <s v="6110.30.3035"/>
    <n v="175"/>
    <n v="37.115000000000002"/>
    <n v="25"/>
    <n v="0.32"/>
    <n v="8"/>
    <n v="7.4999999999999997E-2"/>
    <n v="1.875"/>
    <n v="7.0000000000000007E-2"/>
    <n v="1.7500000000000002"/>
    <n v="0.49"/>
    <n v="200"/>
    <n v="53"/>
    <m/>
    <m/>
    <m/>
    <m/>
    <m/>
    <n v="253"/>
    <n v="35000"/>
    <n v="9275"/>
    <n v="44275"/>
    <n v="7423"/>
  </r>
  <r>
    <s v="FALL 2025"/>
    <s v="WOMENS"/>
    <x v="12"/>
    <s v="PORTA ASIATACA"/>
    <s v="CHINA"/>
    <s v="STF25W51264"/>
    <s v="FF288"/>
    <s v="62% VISCOSE/38% POLYESTER 16GG FULL NEEDLE"/>
    <s v="SWEATER"/>
    <s v="6104.59.1030"/>
    <n v="125"/>
    <n v="24.965500000000002"/>
    <n v="19.98"/>
    <n v="0.08"/>
    <n v="1.5984"/>
    <n v="7.4999999999999997E-2"/>
    <n v="1.4984999999999999"/>
    <n v="7.0000000000000007E-2"/>
    <n v="1.3986000000000001"/>
    <n v="0.49"/>
    <n v="200"/>
    <n v="37"/>
    <m/>
    <m/>
    <m/>
    <m/>
    <m/>
    <n v="237"/>
    <n v="25000"/>
    <n v="4625"/>
    <n v="29625"/>
    <n v="4993.1000000000004"/>
  </r>
  <r>
    <s v="FALL 2025"/>
    <s v="WOMENS"/>
    <x v="12"/>
    <s v="PORTA ASIATACA"/>
    <s v="CHINA"/>
    <s v="STF25W51265"/>
    <s v="FF288"/>
    <s v="62% VISCOSE/38% POLYESTER 7GG JERSEY"/>
    <s v="SWEATER"/>
    <s v="6110.30.3059"/>
    <n v="165"/>
    <n v="33.452500000000001"/>
    <n v="22.5"/>
    <n v="0.32"/>
    <n v="7.2"/>
    <n v="7.4999999999999997E-2"/>
    <n v="1.6875"/>
    <n v="7.0000000000000007E-2"/>
    <n v="1.5750000000000002"/>
    <n v="0.49"/>
    <n v="250"/>
    <n v="48"/>
    <m/>
    <m/>
    <m/>
    <m/>
    <n v="8"/>
    <n v="306"/>
    <n v="41250"/>
    <n v="9240"/>
    <n v="50490"/>
    <n v="8363.125"/>
  </r>
  <r>
    <s v="FALL 2025"/>
    <s v="WOMENS"/>
    <x v="12"/>
    <s v="PORTA ASIATACA"/>
    <s v="CHINA"/>
    <s v="STF25W51265"/>
    <s v="FF288"/>
    <s v="62% VISCOSE/38% POLYESTER 7GG JERSEY"/>
    <s v="SWEATER"/>
    <s v="6110.30.3059"/>
    <n v="165"/>
    <n v="33.452500000000001"/>
    <n v="22.5"/>
    <n v="0.32"/>
    <n v="7.2"/>
    <n v="7.4999999999999997E-2"/>
    <n v="1.6875"/>
    <n v="7.0000000000000007E-2"/>
    <n v="1.5750000000000002"/>
    <n v="0.49"/>
    <n v="200"/>
    <n v="31"/>
    <m/>
    <m/>
    <m/>
    <m/>
    <m/>
    <n v="231"/>
    <n v="33000"/>
    <n v="5115"/>
    <n v="38115"/>
    <n v="6690.5"/>
  </r>
  <r>
    <s v="FALL 2025"/>
    <s v="WOMENS"/>
    <x v="12"/>
    <s v="PORTA ASIATACA"/>
    <s v="CHINA"/>
    <s v="STF25W51266"/>
    <s v="FF288"/>
    <s v="62% VISCOSE/38% POLYESTER 7GG MIXED STITCHES"/>
    <s v="SWEATER"/>
    <s v="6104.44.2010"/>
    <n v="225"/>
    <n v="47.720999999999997"/>
    <n v="36.5"/>
    <n v="0.14899999999999999"/>
    <n v="5.4384999999999994"/>
    <n v="7.4999999999999997E-2"/>
    <n v="2.7374999999999998"/>
    <n v="7.0000000000000007E-2"/>
    <n v="2.5550000000000002"/>
    <n v="0.49"/>
    <n v="200"/>
    <n v="40"/>
    <m/>
    <m/>
    <m/>
    <m/>
    <m/>
    <n v="240"/>
    <n v="45000"/>
    <n v="9000"/>
    <n v="54000"/>
    <n v="9544.1999999999989"/>
  </r>
  <r>
    <s v="FALL 2025"/>
    <s v="WOMENS"/>
    <x v="0"/>
    <s v="PORTA ASIATACA"/>
    <s v="CHINA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300"/>
    <n v="48"/>
    <m/>
    <n v="100"/>
    <m/>
    <m/>
    <m/>
    <n v="448"/>
    <n v="45000"/>
    <n v="22200"/>
    <n v="67200"/>
    <n v="9137.0999999999985"/>
  </r>
  <r>
    <s v="FALL 2025"/>
    <s v="WOMENS"/>
    <x v="1"/>
    <s v="PORTA ASIATACA"/>
    <s v="CHINA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48"/>
    <m/>
    <n v="90"/>
    <m/>
    <m/>
    <m/>
    <n v="438"/>
    <n v="37500"/>
    <n v="17250"/>
    <n v="54750"/>
    <n v="7424.7"/>
  </r>
  <r>
    <s v="FALL 2025"/>
    <s v="WOMENS"/>
    <x v="0"/>
    <s v="PORTA ASIATACA"/>
    <s v="CHINA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250"/>
    <n v="59"/>
    <m/>
    <n v="80"/>
    <m/>
    <m/>
    <m/>
    <n v="389"/>
    <n v="37500"/>
    <n v="20850"/>
    <n v="58350"/>
    <n v="7614.2499999999991"/>
  </r>
  <r>
    <s v="FALL 2025"/>
    <s v="WOMENS"/>
    <x v="1"/>
    <s v="PORTA ASIATACA"/>
    <s v="CHINA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250"/>
    <n v="59"/>
    <m/>
    <n v="70"/>
    <m/>
    <m/>
    <m/>
    <n v="379"/>
    <n v="31250"/>
    <n v="16125"/>
    <n v="47375"/>
    <n v="6187.25"/>
  </r>
  <r>
    <s v="FALL 2025"/>
    <s v="WOMENS"/>
    <x v="0"/>
    <s v="PORTA ASIATACA"/>
    <s v="CHINA"/>
    <s v="STF25W51267"/>
    <s v="FF141-P"/>
    <s v="93% POLYESTER/7% SPANDEX VELOUR 300 GM/M2"/>
    <s v="KNIT"/>
    <s v="6112.12.002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300"/>
    <n v="91"/>
    <m/>
    <m/>
    <m/>
    <m/>
    <m/>
    <n v="391"/>
    <n v="45000"/>
    <n v="13650"/>
    <n v="58650"/>
    <n v="9137.0999999999985"/>
  </r>
  <r>
    <s v="FALL 2025"/>
    <s v="WOMENS"/>
    <x v="1"/>
    <s v="PORTA ASIATACA"/>
    <s v="CHINA"/>
    <s v="STF25W51268"/>
    <s v="FF141-P"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91"/>
    <m/>
    <m/>
    <m/>
    <m/>
    <m/>
    <n v="391"/>
    <n v="37500"/>
    <n v="11375"/>
    <n v="48875"/>
    <n v="7424.7"/>
  </r>
  <r>
    <s v="FALL 2025"/>
    <s v="WOMENS"/>
    <x v="0"/>
    <s v="PORTA ASIATACA"/>
    <s v="CHINA"/>
    <s v="STF25W51269"/>
    <s v="FF031"/>
    <s v="92% POLYESTER/8% SPANDEX DIVER 300 GM/M2"/>
    <s v="KNIT"/>
    <s v="6112.12.002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250"/>
    <n v="75"/>
    <m/>
    <m/>
    <m/>
    <m/>
    <m/>
    <n v="325"/>
    <n v="36250"/>
    <n v="10875"/>
    <n v="47125"/>
    <n v="7168.3124999999991"/>
  </r>
  <r>
    <s v="FALL 2025"/>
    <s v="WOMENS"/>
    <x v="1"/>
    <s v="PORTA ASIATACA"/>
    <s v="CHINA"/>
    <s v="STF25W51270"/>
    <s v="FF031"/>
    <s v="92% POLYESTER/8% SPANDEX DIVER 300 GM/M2"/>
    <s v="KNIT"/>
    <s v="6112.12.0060"/>
    <n v="125"/>
    <n v="24.035499999999999"/>
    <n v="16.5"/>
    <n v="0.28199999999999997"/>
    <n v="4.6529999999999996"/>
    <n v="7.4999999999999997E-2"/>
    <n v="1.2375"/>
    <n v="7.0000000000000007E-2"/>
    <n v="1.155"/>
    <n v="0.49"/>
    <n v="250"/>
    <n v="75"/>
    <m/>
    <m/>
    <m/>
    <m/>
    <m/>
    <n v="325"/>
    <n v="31250"/>
    <n v="9375"/>
    <n v="40625"/>
    <n v="6008.875"/>
  </r>
  <r>
    <s v="FALL 2025"/>
    <s v="WOMENS"/>
    <x v="0"/>
    <s v="PORTA ASIATACA"/>
    <s v="CHINA"/>
    <s v="STF25W51269"/>
    <s v="FF031"/>
    <s v="92% POLYESTER/8% SPANDEX DIVER 300 GM/M2"/>
    <s v="KNIT"/>
    <s v="6112.12.0020"/>
    <n v="145"/>
    <n v="28.673249999999996"/>
    <n v="19.75"/>
    <n v="0.28199999999999997"/>
    <n v="5.5694999999999997"/>
    <n v="7.4999999999999997E-2"/>
    <n v="1.48125"/>
    <n v="7.0000000000000007E-2"/>
    <n v="1.3825000000000001"/>
    <n v="0.49"/>
    <n v="250"/>
    <n v="57"/>
    <m/>
    <m/>
    <m/>
    <m/>
    <m/>
    <n v="307"/>
    <n v="36250"/>
    <n v="8265"/>
    <n v="44515"/>
    <n v="7168.3124999999991"/>
  </r>
  <r>
    <s v="FALL 2025"/>
    <s v="WOMENS"/>
    <x v="1"/>
    <s v="PORTA ASIATACA"/>
    <s v="CHINA"/>
    <s v="STF25W51270"/>
    <s v="FF031"/>
    <s v="92% POLYESTER/8% SPANDEX DIVER 300 GM/M2"/>
    <s v="KNIT"/>
    <s v="6112.12.0060"/>
    <n v="125"/>
    <n v="24.035499999999999"/>
    <n v="16.5"/>
    <n v="0.28199999999999997"/>
    <n v="4.6529999999999996"/>
    <n v="7.4999999999999997E-2"/>
    <n v="1.2375"/>
    <n v="7.0000000000000007E-2"/>
    <n v="1.155"/>
    <n v="0.49"/>
    <n v="250"/>
    <n v="57"/>
    <m/>
    <m/>
    <m/>
    <m/>
    <m/>
    <n v="307"/>
    <n v="31250"/>
    <n v="7125"/>
    <n v="38375"/>
    <n v="6008.875"/>
  </r>
  <r>
    <s v="FALL 2025"/>
    <s v="WOMENS"/>
    <x v="0"/>
    <s v="PORTA ASIATACA"/>
    <s v="CHINA"/>
    <s v="STF25W51275"/>
    <s v="FF460"/>
    <s v="64% POLYESTER/35% RAYON/1% SPANDEX 330GSM"/>
    <s v="KNIT"/>
    <s v="6112.12.0020"/>
    <n v="150"/>
    <n v="31.170499999999997"/>
    <n v="21.5"/>
    <n v="0.28199999999999997"/>
    <n v="6.0629999999999997"/>
    <n v="7.4999999999999997E-2"/>
    <n v="1.6125"/>
    <n v="7.0000000000000007E-2"/>
    <n v="1.5050000000000001"/>
    <n v="0.49"/>
    <n v="200"/>
    <n v="24"/>
    <m/>
    <m/>
    <m/>
    <m/>
    <m/>
    <n v="224"/>
    <n v="30000"/>
    <n v="3600"/>
    <n v="33600"/>
    <n v="6234.0999999999995"/>
  </r>
  <r>
    <s v="FALL 2025"/>
    <s v="WOMENS"/>
    <x v="1"/>
    <s v="PORTA ASIATACA"/>
    <s v="CHINA"/>
    <s v="STF25W51276"/>
    <s v="FF460"/>
    <s v="64% POLYESTER/35% RAYON/1% SPANDEX 330GSM"/>
    <s v="KNIT"/>
    <s v="6112.12.0060"/>
    <n v="135"/>
    <n v="30.385649999999995"/>
    <n v="20.95"/>
    <n v="0.28199999999999997"/>
    <n v="5.9078999999999988"/>
    <n v="7.4999999999999997E-2"/>
    <n v="1.5712499999999998"/>
    <n v="7.0000000000000007E-2"/>
    <n v="1.4665000000000001"/>
    <n v="0.49"/>
    <n v="200"/>
    <n v="24"/>
    <m/>
    <m/>
    <m/>
    <m/>
    <m/>
    <n v="224"/>
    <n v="27000"/>
    <n v="3240"/>
    <n v="30240"/>
    <n v="6077.1299999999992"/>
  </r>
  <r>
    <s v="FALL 2025"/>
    <s v="WOMENS"/>
    <x v="0"/>
    <s v="PORTA ASIATACA"/>
    <s v="CHINA"/>
    <s v="STF25W51278"/>
    <s v="FF417"/>
    <s v="95% POLYESTER/5% SPANDEX FAUX SUEDE 300GSM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59"/>
    <m/>
    <m/>
    <m/>
    <m/>
    <m/>
    <n v="259"/>
    <n v="33000"/>
    <n v="9735"/>
    <n v="42735"/>
    <n v="6376.7999999999993"/>
  </r>
  <r>
    <s v="FALL 2025"/>
    <s v="WOMENS"/>
    <x v="1"/>
    <s v="PORTA ASIATACA"/>
    <s v="CHINA"/>
    <s v="STF25W51279"/>
    <s v="FF417"/>
    <s v="95% POLYESTER/5% SPANDEX FAUX SUEDE 300GSM"/>
    <s v="KNIT"/>
    <s v="6112.12.006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00"/>
    <n v="59"/>
    <m/>
    <m/>
    <m/>
    <m/>
    <m/>
    <n v="259"/>
    <n v="27000"/>
    <n v="7965"/>
    <n v="34965"/>
    <n v="5235.2000000000007"/>
  </r>
  <r>
    <s v="FALL 2025"/>
    <s v="WOMENS"/>
    <x v="0"/>
    <s v="PORTA ASIATACA"/>
    <s v="CHINA"/>
    <s v="STF25W51278"/>
    <s v="FF417"/>
    <s v="95% POLYESTER/5% SPANDEX FAUX SUEDE 300GSM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54"/>
    <m/>
    <m/>
    <m/>
    <m/>
    <n v="4"/>
    <n v="258"/>
    <n v="33000"/>
    <n v="9570"/>
    <n v="42570"/>
    <n v="6376.7999999999993"/>
  </r>
  <r>
    <s v="FALL 2025"/>
    <s v="WOMENS"/>
    <x v="1"/>
    <s v="PORTA ASIATACA"/>
    <s v="CHINA"/>
    <s v="STF25W51279"/>
    <s v="FF417"/>
    <s v="95% POLYESTER/5% SPANDEX FAUX SUEDE 300GSM"/>
    <s v="KNIT"/>
    <s v="6112.12.0060"/>
    <n v="13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200"/>
    <n v="54"/>
    <m/>
    <m/>
    <m/>
    <m/>
    <n v="4"/>
    <n v="258"/>
    <n v="27000"/>
    <n v="7830"/>
    <n v="34830"/>
    <n v="5235.2000000000007"/>
  </r>
  <r>
    <s v="FALL 2025"/>
    <s v="WOMENS"/>
    <x v="0"/>
    <s v="PORTA ASIATACA"/>
    <s v="CHINA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50"/>
    <n v="78"/>
    <m/>
    <m/>
    <m/>
    <m/>
    <m/>
    <n v="328"/>
    <n v="41250"/>
    <n v="12870"/>
    <n v="54120"/>
    <n v="7435.8749999999991"/>
  </r>
  <r>
    <s v="FALL 2025"/>
    <s v="WOMENS"/>
    <x v="1"/>
    <s v="PORTA ASIATACA"/>
    <s v="CHINA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78"/>
    <m/>
    <m/>
    <m/>
    <m/>
    <m/>
    <n v="328"/>
    <n v="33750"/>
    <n v="10530"/>
    <n v="44280"/>
    <n v="6365.625"/>
  </r>
  <r>
    <s v="FALL 2025"/>
    <s v="WOMENS"/>
    <x v="0"/>
    <s v="PORTA ASIATACA"/>
    <s v="CHINA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50"/>
    <n v="38"/>
    <m/>
    <m/>
    <m/>
    <m/>
    <m/>
    <n v="288"/>
    <n v="41250"/>
    <n v="6270"/>
    <n v="47520"/>
    <n v="7435.8749999999991"/>
  </r>
  <r>
    <s v="FALL 2025"/>
    <s v="WOMENS"/>
    <x v="1"/>
    <s v="PORTA ASIATACA"/>
    <s v="CHINA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38"/>
    <m/>
    <m/>
    <m/>
    <m/>
    <m/>
    <n v="288"/>
    <n v="33750"/>
    <n v="5130"/>
    <n v="38880"/>
    <n v="6365.625"/>
  </r>
  <r>
    <s v="FALL 2025"/>
    <s v="WOMENS"/>
    <x v="0"/>
    <s v="PORTA ASIATACA"/>
    <s v="CHINA"/>
    <s v="STF25W51280"/>
    <s v="FF141-P"/>
    <s v="93% POLYESTER/7% SPANDEX VELOUR 300 GM/M2"/>
    <s v="KNIT"/>
    <s v="6112.12.0020"/>
    <n v="165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200"/>
    <n v="32"/>
    <m/>
    <m/>
    <m/>
    <m/>
    <m/>
    <n v="232"/>
    <n v="33000"/>
    <n v="5280"/>
    <n v="38280"/>
    <n v="5948.7"/>
  </r>
  <r>
    <s v="FALL 2025"/>
    <s v="WOMENS"/>
    <x v="1"/>
    <s v="PORTA ASIATACA"/>
    <s v="CHINA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00"/>
    <n v="32"/>
    <m/>
    <m/>
    <m/>
    <m/>
    <m/>
    <n v="232"/>
    <n v="27000"/>
    <n v="4320"/>
    <n v="31320"/>
    <n v="5092.5"/>
  </r>
  <r>
    <s v="FALL 2025"/>
    <s v="WOMENS"/>
    <x v="19"/>
    <s v="PORTA ASIATACA"/>
    <s v="CHINA"/>
    <s v="STF25W51282"/>
    <s v="FF141-P"/>
    <s v="93% POLYESTER/7% SPANDEX VELOUR 300 GM/M2"/>
    <s v="KNIT"/>
    <s v="6104.43.2010"/>
    <n v="125"/>
    <n v="22.674999999999997"/>
    <n v="17"/>
    <n v="0.16"/>
    <n v="2.72"/>
    <n v="7.4999999999999997E-2"/>
    <n v="1.2749999999999999"/>
    <n v="7.0000000000000007E-2"/>
    <n v="1.1900000000000002"/>
    <n v="0.49"/>
    <n v="250"/>
    <n v="56"/>
    <m/>
    <m/>
    <m/>
    <m/>
    <m/>
    <n v="306"/>
    <n v="31250"/>
    <n v="7000"/>
    <n v="38250"/>
    <n v="5668.7499999999991"/>
  </r>
  <r>
    <s v="FALL 2025"/>
    <s v="WOMENS"/>
    <x v="22"/>
    <s v="PORTA ASIATACA"/>
    <s v="CHINA"/>
    <s v="STF25W51283"/>
    <s v="FF141-P"/>
    <s v="93% POLYESTER/7% SPANDEX VELOUR 300 GM/M2"/>
    <s v="KNIT"/>
    <s v="6110.20.2079"/>
    <n v="125"/>
    <n v="21.122499999999995"/>
    <n v="15.75"/>
    <n v="0.16500000000000001"/>
    <n v="2.5987500000000003"/>
    <n v="7.4999999999999997E-2"/>
    <n v="1.1812499999999999"/>
    <n v="7.0000000000000007E-2"/>
    <n v="1.1025"/>
    <n v="0.49"/>
    <n v="300"/>
    <m/>
    <m/>
    <m/>
    <m/>
    <m/>
    <m/>
    <n v="300"/>
    <n v="37500"/>
    <n v="0"/>
    <n v="37500"/>
    <n v="6336.7499999999982"/>
  </r>
  <r>
    <s v="FALL 2025"/>
    <s v="WOMENS"/>
    <x v="22"/>
    <s v="PORTA ASIATACA"/>
    <s v="CHINA"/>
    <s v="STF25W51283"/>
    <s v="FF141-P"/>
    <s v="93% POLYESTER/7% SPANDEX VELOUR 300 GM/M2"/>
    <s v="KNIT"/>
    <s v="6110.20.2079"/>
    <n v="125"/>
    <n v="21.122499999999995"/>
    <n v="15.75"/>
    <n v="0.16500000000000001"/>
    <n v="2.5987500000000003"/>
    <n v="7.4999999999999997E-2"/>
    <n v="1.1812499999999999"/>
    <n v="7.0000000000000007E-2"/>
    <n v="1.1025"/>
    <n v="0.49"/>
    <n v="300"/>
    <m/>
    <m/>
    <m/>
    <m/>
    <m/>
    <m/>
    <n v="300"/>
    <n v="37500"/>
    <n v="0"/>
    <n v="37500"/>
    <n v="6336.7499999999982"/>
  </r>
  <r>
    <s v="FALL 2025"/>
    <s v="WOMENS"/>
    <x v="1"/>
    <s v="PORTA ASIATACA"/>
    <s v="CHINA"/>
    <s v="STF25W51281"/>
    <s v="FF141-P"/>
    <s v="93% POLYESTER/7% SPANDEX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m/>
    <m/>
    <m/>
    <m/>
    <m/>
    <m/>
    <n v="250"/>
    <n v="33750"/>
    <n v="0"/>
    <n v="33750"/>
    <n v="6365.625"/>
  </r>
  <r>
    <s v="FALL 2025"/>
    <s v="WOMENS"/>
    <x v="0"/>
    <s v="PORTA ASIATACA"/>
    <s v="CHINA"/>
    <s v="STF25W51284"/>
    <s v="FF141-P"/>
    <s v="93% POLYESTER/7% SPANDEX VELOUR 300 GM/M2"/>
    <s v="KNIT"/>
    <s v="6112.12.0020"/>
    <n v="135"/>
    <n v="27.602999999999998"/>
    <n v="19"/>
    <n v="0.28199999999999997"/>
    <n v="5.3579999999999997"/>
    <n v="7.4999999999999997E-2"/>
    <n v="1.425"/>
    <n v="7.0000000000000007E-2"/>
    <n v="1.33"/>
    <n v="0.49"/>
    <n v="250"/>
    <m/>
    <m/>
    <m/>
    <m/>
    <m/>
    <m/>
    <n v="250"/>
    <n v="33750"/>
    <n v="0"/>
    <n v="33750"/>
    <n v="6900.7499999999991"/>
  </r>
  <r>
    <s v="FALL 2025"/>
    <s v="WOMENS"/>
    <x v="18"/>
    <s v="PORTA ASIATACA"/>
    <s v="CHINA"/>
    <s v="STF25W51285"/>
    <s v="FF141-P"/>
    <s v="93% POLYESTER/7% SPANDEX VELOUR 300 GM/M2"/>
    <s v="KNIT"/>
    <s v="6104.53.2010"/>
    <n v="78"/>
    <n v="16.149999999999999"/>
    <n v="12"/>
    <n v="0.16"/>
    <n v="1.92"/>
    <n v="7.4999999999999997E-2"/>
    <n v="0.89999999999999991"/>
    <n v="7.0000000000000007E-2"/>
    <n v="0.84000000000000008"/>
    <n v="0.49"/>
    <n v="200"/>
    <m/>
    <m/>
    <m/>
    <m/>
    <m/>
    <m/>
    <n v="200"/>
    <n v="15600"/>
    <n v="0"/>
    <n v="15600"/>
    <n v="3229.9999999999995"/>
  </r>
  <r>
    <s v="FALL 2025"/>
    <s v="WOMENS"/>
    <x v="21"/>
    <s v="SARA"/>
    <s v="BANGLADESH"/>
    <s v="STF25W51244"/>
    <s v="FF338"/>
    <s v="94% POLYESTER/6% ELASTANE JERSEY"/>
    <s v="KNIT"/>
    <s v="6212.10.9020"/>
    <n v="48"/>
    <n v="6.9947499999999998"/>
    <n v="5.25"/>
    <n v="0.16900000000000001"/>
    <n v="0.88725000000000009"/>
    <m/>
    <m/>
    <n v="7.0000000000000007E-2"/>
    <n v="0.36750000000000005"/>
    <n v="0.49"/>
    <n v="300"/>
    <m/>
    <m/>
    <m/>
    <m/>
    <m/>
    <m/>
    <n v="300"/>
    <n v="14400"/>
    <n v="0"/>
    <n v="14400"/>
    <n v="2098.4249999999997"/>
  </r>
  <r>
    <s v="FALL 2025"/>
    <s v="WOMENS"/>
    <x v="21"/>
    <s v="SARA"/>
    <s v="BANGLADESH"/>
    <s v="STF25W51244"/>
    <s v="FF338"/>
    <s v="94% POLYESTER/6% ELASTANE JERSEY"/>
    <s v="KNIT"/>
    <s v="6212.10.9020"/>
    <n v="48"/>
    <n v="6.9947499999999998"/>
    <n v="5.25"/>
    <n v="0.16900000000000001"/>
    <n v="0.88725000000000009"/>
    <m/>
    <m/>
    <n v="7.0000000000000007E-2"/>
    <n v="0.36750000000000005"/>
    <n v="0.49"/>
    <n v="300"/>
    <m/>
    <m/>
    <m/>
    <m/>
    <m/>
    <m/>
    <n v="300"/>
    <n v="14400"/>
    <n v="0"/>
    <n v="14400"/>
    <n v="2098.4249999999997"/>
  </r>
  <r>
    <s v="FALL 2025"/>
    <s v="WOMENS"/>
    <x v="0"/>
    <s v="SARA"/>
    <s v="BANGLADESH"/>
    <s v="STF25W51245"/>
    <s v="FF042-S"/>
    <s v="100% COTTON FRENCH TERRY 360 GM/M2"/>
    <s v="KNIT"/>
    <s v="6110.20.2079"/>
    <n v="98"/>
    <n v="17.779999999999998"/>
    <n v="14"/>
    <n v="0.16500000000000001"/>
    <n v="2.31"/>
    <m/>
    <m/>
    <n v="7.0000000000000007E-2"/>
    <n v="0.98000000000000009"/>
    <n v="0.49"/>
    <n v="250"/>
    <n v="64"/>
    <m/>
    <m/>
    <m/>
    <m/>
    <m/>
    <n v="314"/>
    <n v="24500"/>
    <n v="6272"/>
    <n v="30772"/>
    <n v="4444.9999999999991"/>
  </r>
  <r>
    <s v="FALL 2025"/>
    <s v="WOMENS"/>
    <x v="23"/>
    <s v="SARA"/>
    <s v="BANGLADESH"/>
    <s v="STF25W51246"/>
    <s v="FF042-S"/>
    <s v="100% COTTON FRENCH TERRY 360 GM/M2"/>
    <s v="KNIT"/>
    <s v="6104.62.2011"/>
    <n v="88"/>
    <n v="17.555999999999997"/>
    <n v="14"/>
    <n v="0.14899999999999999"/>
    <n v="2.0859999999999999"/>
    <m/>
    <m/>
    <n v="7.0000000000000007E-2"/>
    <n v="0.98000000000000009"/>
    <n v="0.49"/>
    <n v="250"/>
    <n v="64"/>
    <m/>
    <m/>
    <m/>
    <m/>
    <m/>
    <n v="314"/>
    <n v="22000"/>
    <n v="5632"/>
    <n v="27632"/>
    <n v="4388.9999999999991"/>
  </r>
  <r>
    <s v="FALL 2025"/>
    <s v="WOMENS"/>
    <x v="0"/>
    <s v="SARA"/>
    <s v="BANGLADESH"/>
    <s v="STF25W51245"/>
    <s v="FF042-S"/>
    <s v="100% COTTON FRENCH TERRY 360 GM/M2"/>
    <s v="KNIT"/>
    <s v="6110.20.2079"/>
    <n v="98"/>
    <n v="17.779999999999998"/>
    <n v="14"/>
    <n v="0.16500000000000001"/>
    <n v="2.31"/>
    <m/>
    <m/>
    <n v="7.0000000000000007E-2"/>
    <n v="0.98000000000000009"/>
    <n v="0.49"/>
    <n v="250"/>
    <n v="64"/>
    <m/>
    <m/>
    <m/>
    <m/>
    <m/>
    <n v="314"/>
    <n v="24500"/>
    <n v="6272"/>
    <n v="30772"/>
    <n v="4444.9999999999991"/>
  </r>
  <r>
    <s v="FALL 2025"/>
    <s v="WOMENS"/>
    <x v="23"/>
    <s v="SARA"/>
    <s v="BANGLADESH"/>
    <s v="STF25W51246"/>
    <s v="FF042-S"/>
    <s v="100% COTTON FRENCH TERRY 360 GM/M2"/>
    <s v="KNIT"/>
    <s v="6104.62.2011"/>
    <n v="88"/>
    <n v="17.555999999999997"/>
    <n v="14"/>
    <n v="0.14899999999999999"/>
    <n v="2.0859999999999999"/>
    <m/>
    <m/>
    <n v="7.0000000000000007E-2"/>
    <n v="0.98000000000000009"/>
    <n v="0.49"/>
    <n v="250"/>
    <n v="64"/>
    <m/>
    <m/>
    <m/>
    <m/>
    <m/>
    <n v="314"/>
    <n v="22000"/>
    <n v="5632"/>
    <n v="27632"/>
    <n v="4388.9999999999991"/>
  </r>
  <r>
    <s v="FALL 2025"/>
    <s v="WOMENS"/>
    <x v="2"/>
    <s v="SARA"/>
    <s v="BANGLADESH"/>
    <s v="STF25W51247"/>
    <s v="FF387"/>
    <s v="65% COTTON/30% POLYESTER/5% ELASTANE PIQUE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4"/>
    <m/>
    <m/>
    <m/>
    <m/>
    <m/>
    <n v="314"/>
    <n v="10500"/>
    <n v="2688"/>
    <n v="13188"/>
    <n v="1527.3125"/>
  </r>
  <r>
    <s v="FALL 2025"/>
    <s v="WOMENS"/>
    <x v="2"/>
    <s v="SARA"/>
    <s v="BANGLADESH"/>
    <s v="STF25W51247"/>
    <s v="FF387"/>
    <s v="65% COTTON/30% POLYESTER/5% ELASTANE PIQUE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4"/>
    <m/>
    <m/>
    <m/>
    <m/>
    <m/>
    <n v="314"/>
    <n v="10500"/>
    <n v="2688"/>
    <n v="13188"/>
    <n v="1527.3125"/>
  </r>
  <r>
    <s v="FALL 2025"/>
    <s v="WOMENS"/>
    <x v="5"/>
    <s v="SARA"/>
    <s v="BANGLADESH"/>
    <s v="STF25W51248"/>
    <s v="FF042-S"/>
    <s v="100% COTTON FRENCH TERRY 360 GM/M2"/>
    <s v="KNIT"/>
    <s v="6110.20.2079"/>
    <n v="68"/>
    <n v="12.28425"/>
    <n v="9.5500000000000007"/>
    <n v="0.16500000000000001"/>
    <n v="1.5757500000000002"/>
    <m/>
    <m/>
    <n v="7.0000000000000007E-2"/>
    <n v="0.66850000000000009"/>
    <n v="0.49"/>
    <n v="300"/>
    <n v="64"/>
    <m/>
    <n v="80"/>
    <m/>
    <m/>
    <m/>
    <n v="444"/>
    <n v="20400"/>
    <n v="9792"/>
    <n v="30192"/>
    <n v="3685.2750000000001"/>
  </r>
  <r>
    <s v="FALL 2025"/>
    <s v="WOMENS"/>
    <x v="5"/>
    <s v="SARA"/>
    <s v="BANGLADESH"/>
    <s v="STF25W51248"/>
    <s v="FF042-S"/>
    <s v="100% COTTON FRENCH TERRY 360 GM/M2"/>
    <s v="KNIT"/>
    <s v="6110.20.2079"/>
    <n v="68"/>
    <n v="12.28425"/>
    <n v="9.5500000000000007"/>
    <n v="0.16500000000000001"/>
    <n v="1.5757500000000002"/>
    <m/>
    <m/>
    <n v="7.0000000000000007E-2"/>
    <n v="0.66850000000000009"/>
    <n v="0.49"/>
    <n v="300"/>
    <n v="55"/>
    <m/>
    <n v="80"/>
    <m/>
    <m/>
    <m/>
    <n v="435"/>
    <n v="20400"/>
    <n v="9180"/>
    <n v="29580"/>
    <n v="3685.2750000000001"/>
  </r>
  <r>
    <s v="FALL 2025"/>
    <s v="WOMENS"/>
    <x v="23"/>
    <s v="SARA"/>
    <s v="BANGLADESH"/>
    <s v="STF25W51249"/>
    <s v="FF042-S"/>
    <s v="100% COTTON FRENCH TERRY 360 GM/M2"/>
    <s v="KNIT"/>
    <s v="6104.62.2011"/>
    <n v="88"/>
    <n v="16.337"/>
    <n v="13"/>
    <n v="0.14899999999999999"/>
    <n v="1.9369999999999998"/>
    <m/>
    <m/>
    <n v="7.0000000000000007E-2"/>
    <n v="0.91000000000000014"/>
    <n v="0.49"/>
    <n v="300"/>
    <n v="64"/>
    <m/>
    <n v="70"/>
    <m/>
    <m/>
    <m/>
    <n v="434"/>
    <n v="26400"/>
    <n v="11792"/>
    <n v="38192"/>
    <n v="4901.1000000000004"/>
  </r>
  <r>
    <s v="FALL 2025"/>
    <s v="WOMENS"/>
    <x v="23"/>
    <s v="SARA"/>
    <s v="BANGLADESH"/>
    <s v="STF25W51249"/>
    <s v="FF042-S"/>
    <s v="100% COTTON FRENCH TERRY 360 GM/M2"/>
    <s v="KNIT"/>
    <s v="6104.62.2011"/>
    <n v="88"/>
    <n v="16.337"/>
    <n v="13"/>
    <n v="0.14899999999999999"/>
    <n v="1.9369999999999998"/>
    <m/>
    <m/>
    <n v="7.0000000000000007E-2"/>
    <n v="0.91000000000000014"/>
    <n v="0.49"/>
    <n v="300"/>
    <n v="55"/>
    <m/>
    <n v="70"/>
    <m/>
    <m/>
    <m/>
    <n v="425"/>
    <n v="26400"/>
    <n v="11000"/>
    <n v="37400"/>
    <n v="4901.1000000000004"/>
  </r>
  <r>
    <s v="FALL 2025"/>
    <s v="WOMENS"/>
    <x v="2"/>
    <s v="SARA"/>
    <s v="BANGLADESH"/>
    <s v="STF25W51250"/>
    <s v="FF325-S"/>
    <s v="100% COTTON FRENCH TERRY 360 GM/M2"/>
    <s v="KNIT"/>
    <s v="6109.10.0012"/>
    <n v="48"/>
    <n v="7.9"/>
    <n v="6"/>
    <n v="0.16500000000000001"/>
    <n v="0.99"/>
    <m/>
    <m/>
    <n v="7.0000000000000007E-2"/>
    <n v="0.42000000000000004"/>
    <n v="0.49"/>
    <n v="300"/>
    <n v="55"/>
    <m/>
    <m/>
    <m/>
    <m/>
    <m/>
    <n v="355"/>
    <n v="14400"/>
    <n v="2640"/>
    <n v="17040"/>
    <n v="2370"/>
  </r>
  <r>
    <s v="FALL 2025"/>
    <s v="WOMENS"/>
    <x v="15"/>
    <s v="SARA"/>
    <s v="BANGLADESH"/>
    <s v="STF25W51251"/>
    <s v="FF042-S"/>
    <s v="100% COTTON FRENCH TERRY 360 GM/M2"/>
    <s v="KNIT"/>
    <s v="6104.52.0010"/>
    <n v="58"/>
    <n v="9.7140000000000004"/>
    <n v="8"/>
    <n v="8.3000000000000004E-2"/>
    <n v="0.66400000000000003"/>
    <m/>
    <m/>
    <n v="7.0000000000000007E-2"/>
    <n v="0.56000000000000005"/>
    <n v="0.49"/>
    <n v="300"/>
    <n v="48"/>
    <m/>
    <m/>
    <m/>
    <m/>
    <m/>
    <n v="348"/>
    <n v="17400"/>
    <n v="2784"/>
    <n v="20184"/>
    <n v="2914.2000000000003"/>
  </r>
  <r>
    <s v="FALL 2025"/>
    <s v="WOMENS"/>
    <x v="2"/>
    <s v="SARA"/>
    <s v="BANGLADESH"/>
    <s v="STF25W51250"/>
    <s v="FF325-S"/>
    <s v="100% COTTON FRENCH TERRY 360 GM/M2"/>
    <s v="KNIT"/>
    <s v="6109.10.0012"/>
    <n v="48"/>
    <n v="7.9"/>
    <n v="6"/>
    <n v="0.16500000000000001"/>
    <n v="0.99"/>
    <m/>
    <m/>
    <n v="7.0000000000000007E-2"/>
    <n v="0.42000000000000004"/>
    <n v="0.49"/>
    <n v="250"/>
    <n v="48"/>
    <m/>
    <m/>
    <m/>
    <m/>
    <m/>
    <n v="298"/>
    <n v="12000"/>
    <n v="2304"/>
    <n v="14304"/>
    <n v="1975"/>
  </r>
  <r>
    <s v="FALL 2025"/>
    <s v="WOMENS"/>
    <x v="15"/>
    <s v="SARA"/>
    <s v="BANGLADESH"/>
    <s v="STF25W51251"/>
    <s v="FF042-S"/>
    <s v="100% COTTON FRENCH TERRY 360 GM/M2"/>
    <s v="KNIT"/>
    <s v="6104.52.0010"/>
    <n v="58"/>
    <n v="9.6900000000000013"/>
    <n v="8"/>
    <n v="0.08"/>
    <n v="0.64"/>
    <m/>
    <m/>
    <n v="7.0000000000000007E-2"/>
    <n v="0.56000000000000005"/>
    <n v="0.49"/>
    <n v="250"/>
    <n v="48"/>
    <m/>
    <m/>
    <m/>
    <m/>
    <m/>
    <n v="298"/>
    <n v="14500"/>
    <n v="2784"/>
    <n v="17284"/>
    <n v="2422.5000000000005"/>
  </r>
  <r>
    <s v="FALL 2025"/>
    <s v="WOMENS"/>
    <x v="2"/>
    <s v="SARA"/>
    <s v="BANGLADESH"/>
    <s v="STF25W51405"/>
    <s v="FF155"/>
    <s v="100% COTTON JERSEY 180 GM/M2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56"/>
    <m/>
    <m/>
    <m/>
    <m/>
    <m/>
    <n v="306"/>
    <n v="10500"/>
    <n v="2352"/>
    <n v="12852"/>
    <n v="1527.3125"/>
  </r>
  <r>
    <s v="FALL 2025"/>
    <s v="WOMENS"/>
    <x v="2"/>
    <s v="SARA"/>
    <s v="BANGLADESH"/>
    <s v="STF25W51405"/>
    <s v="FF155"/>
    <s v="100% COTTON JERSEY 180 GM/M2"/>
    <s v="KNIT"/>
    <s v="6109.10.0012"/>
    <n v="42"/>
    <n v="6.1092500000000003"/>
    <n v="4.55"/>
    <n v="0.16500000000000001"/>
    <n v="0.75075000000000003"/>
    <m/>
    <m/>
    <n v="7.0000000000000007E-2"/>
    <n v="0.31850000000000001"/>
    <n v="0.49"/>
    <n v="250"/>
    <n v="63"/>
    <m/>
    <m/>
    <m/>
    <m/>
    <m/>
    <n v="313"/>
    <n v="10500"/>
    <n v="2646"/>
    <n v="13146"/>
    <n v="1527.3125"/>
  </r>
  <r>
    <s v="FALL 2025"/>
    <s v="WOMENS"/>
    <x v="2"/>
    <s v="SARA"/>
    <s v="BANGLADESH"/>
    <s v="STF25W51257"/>
    <s v="FF155"/>
    <s v="100% COTTON JERSEY 180 GM/M2"/>
    <s v="KNIT"/>
    <s v="6109.10.0012"/>
    <n v="42"/>
    <n v="5.7387500000000005"/>
    <n v="4.25"/>
    <n v="0.16500000000000001"/>
    <n v="0.70125000000000004"/>
    <m/>
    <m/>
    <n v="7.0000000000000007E-2"/>
    <n v="0.29750000000000004"/>
    <n v="0.49"/>
    <n v="200"/>
    <m/>
    <n v="50"/>
    <m/>
    <m/>
    <m/>
    <m/>
    <n v="250"/>
    <n v="8400"/>
    <n v="2100"/>
    <n v="10500"/>
    <n v="1147.75"/>
  </r>
  <r>
    <s v="FALL 2025"/>
    <s v="WOMENS"/>
    <x v="2"/>
    <s v="SARA"/>
    <s v="BANGLADESH"/>
    <s v="STF25W51257"/>
    <s v="FF155"/>
    <s v="100% COTTON JERSEY 180 GM/M2"/>
    <s v="KNIT"/>
    <s v="6109.10.0012"/>
    <n v="42"/>
    <n v="5.7387500000000005"/>
    <n v="4.25"/>
    <n v="0.16500000000000001"/>
    <n v="0.70125000000000004"/>
    <m/>
    <m/>
    <n v="7.0000000000000007E-2"/>
    <n v="0.29750000000000004"/>
    <n v="0.49"/>
    <n v="200"/>
    <n v="40"/>
    <n v="10"/>
    <m/>
    <m/>
    <m/>
    <m/>
    <n v="250"/>
    <n v="8400"/>
    <n v="2100"/>
    <n v="10500"/>
    <n v="1147.75"/>
  </r>
  <r>
    <s v="FALL 2025"/>
    <s v="UNISEX"/>
    <x v="24"/>
    <s v="FIORIMA"/>
    <s v="PORTUGAL"/>
    <s v="STF25X51395"/>
    <s v="FF355"/>
    <s v="85% COTTON/13% POLYAMIDE/2% ELASTANE"/>
    <s v="KNIT"/>
    <s v="6115.95.9000"/>
    <n v="18"/>
    <n v="4.2014000000000005"/>
    <n v="3.08"/>
    <n v="0.13500000000000001"/>
    <n v="0.41580000000000006"/>
    <m/>
    <m/>
    <m/>
    <n v="0.21560000000000001"/>
    <n v="0.49"/>
    <n v="700"/>
    <n v="100"/>
    <m/>
    <m/>
    <m/>
    <m/>
    <m/>
    <n v="800"/>
    <n v="12600"/>
    <n v="1800"/>
    <n v="14400"/>
    <n v="2940.9800000000005"/>
  </r>
  <r>
    <s v="FALL 2025"/>
    <s v="UNISEX"/>
    <x v="24"/>
    <s v="FIORIMA"/>
    <s v="PORTUGAL"/>
    <s v="STF25X51395"/>
    <s v="FF355"/>
    <s v="85% COTTON/13% POLYAMIDE/2% ELASTANE"/>
    <s v="KNIT"/>
    <s v="6115.95.9000"/>
    <n v="18"/>
    <n v="4.2014000000000005"/>
    <n v="3.08"/>
    <n v="0.13500000000000001"/>
    <n v="0.41580000000000006"/>
    <m/>
    <m/>
    <m/>
    <n v="0.21560000000000001"/>
    <n v="0.49"/>
    <n v="500"/>
    <n v="100"/>
    <m/>
    <m/>
    <m/>
    <m/>
    <m/>
    <n v="600"/>
    <n v="9000"/>
    <n v="1800"/>
    <n v="10800"/>
    <n v="2100.7000000000003"/>
  </r>
  <r>
    <s v="FALL 2025"/>
    <s v="UNISEX"/>
    <x v="25"/>
    <s v="SHANGHAI YUXIU"/>
    <s v="CHINA"/>
    <s v="STF25X51402"/>
    <s v="N/A"/>
    <s v="100% POLYESTER TWILL"/>
    <s v="WOVEN"/>
    <s v="6505.00.8090"/>
    <n v="42"/>
    <n v="8.218399999999999"/>
    <n v="5.56"/>
    <n v="7.0000000000000007E-2"/>
    <n v="0.38919999999999999"/>
    <n v="0.25"/>
    <n v="1.39"/>
    <m/>
    <n v="0.38919999999999999"/>
    <n v="0.49"/>
    <n v="250"/>
    <n v="76"/>
    <n v="174"/>
    <m/>
    <m/>
    <m/>
    <m/>
    <n v="500"/>
    <n v="10500"/>
    <n v="10500"/>
    <n v="21000"/>
    <n v="2054.6"/>
  </r>
  <r>
    <s v="Total"/>
    <m/>
    <x v="26"/>
    <m/>
    <m/>
    <m/>
    <m/>
    <m/>
    <m/>
    <m/>
    <m/>
    <m/>
    <m/>
    <m/>
    <m/>
    <m/>
    <m/>
    <m/>
    <m/>
    <m/>
    <n v="174300"/>
    <n v="35240"/>
    <n v="881"/>
    <n v="1120"/>
    <n v="0"/>
    <n v="185"/>
    <n v="426"/>
    <n v="212152"/>
    <n v="22136150"/>
    <n v="4818026"/>
    <n v="26954176"/>
    <n v="4238315.941499998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s v="MEGA"/>
    <s v="CHINA"/>
    <s v="STF24M50931"/>
    <m/>
    <s v="85% POLYAMIDE/15% SPANDEX PIQUE 175 GM/M2"/>
    <s v="KNIT"/>
    <s v="6105.20.2010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50"/>
    <n v="98"/>
    <n v="156"/>
    <m/>
    <m/>
    <m/>
    <m/>
    <n v="504"/>
    <n v="24500"/>
    <n v="24892"/>
    <n v="49392"/>
    <n v="4865.4375000000009"/>
  </r>
  <r>
    <x v="0"/>
    <s v="MEGA"/>
    <s v="CHINA"/>
    <s v="STF24M50931"/>
    <m/>
    <s v="85% POLYAMIDE/15% SPANDEX PIQUE 175 GM/M2"/>
    <s v="KNIT"/>
    <s v="6105.20.2010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50"/>
    <n v="70"/>
    <n v="185"/>
    <m/>
    <m/>
    <m/>
    <m/>
    <n v="505"/>
    <n v="24500"/>
    <n v="24990"/>
    <n v="49490"/>
    <n v="4865.4375000000009"/>
  </r>
  <r>
    <x v="1"/>
    <s v="MEGA"/>
    <s v="CHINA"/>
    <s v="STF24M50936"/>
    <m/>
    <s v="100% COTTON FRENCH TERRY 360 GM/M2"/>
    <s v="KNIT"/>
    <s v="6112.12.0010"/>
    <n v="110"/>
    <n v="18.829999999999998"/>
    <n v="14"/>
    <n v="0.16500000000000001"/>
    <n v="2.31"/>
    <n v="7.4999999999999997E-2"/>
    <n v="1.05"/>
    <n v="7.0000000000000007E-2"/>
    <n v="0.98000000000000009"/>
    <n v="0.49"/>
    <n v="351"/>
    <n v="12"/>
    <n v="125"/>
    <m/>
    <m/>
    <m/>
    <n v="18"/>
    <n v="506"/>
    <n v="38610"/>
    <n v="17050"/>
    <n v="55660"/>
    <n v="6609.329999999999"/>
  </r>
  <r>
    <x v="1"/>
    <s v="MEGA"/>
    <s v="CHINA"/>
    <s v="STF24M50936"/>
    <m/>
    <s v="100% COTTON FRENCH TERRY 360 GM/M2"/>
    <s v="KNIT"/>
    <s v="6112.12.0010"/>
    <n v="110"/>
    <n v="18.829999999999998"/>
    <n v="14"/>
    <n v="0.16500000000000001"/>
    <n v="2.31"/>
    <n v="7.4999999999999997E-2"/>
    <n v="1.05"/>
    <n v="7.0000000000000007E-2"/>
    <n v="0.98000000000000009"/>
    <n v="0.49"/>
    <n v="251"/>
    <n v="8"/>
    <n v="223"/>
    <m/>
    <m/>
    <m/>
    <n v="18"/>
    <n v="500"/>
    <n v="27610"/>
    <n v="27390"/>
    <n v="55000"/>
    <n v="4726.33"/>
  </r>
  <r>
    <x v="2"/>
    <s v="MEGA"/>
    <s v="CHINA"/>
    <s v="STF24M50932"/>
    <m/>
    <s v="85% POLYAMIDE/15% SPANDEX PIQUE 175 GM/M2"/>
    <s v="KNIT"/>
    <s v="6103.43.1550"/>
    <n v="85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76"/>
    <n v="172"/>
    <m/>
    <m/>
    <m/>
    <n v="6"/>
    <n v="504"/>
    <n v="21250"/>
    <n v="21590"/>
    <n v="42840"/>
    <n v="4403.4999999999991"/>
  </r>
  <r>
    <x v="2"/>
    <s v="MEGA"/>
    <s v="CHINA"/>
    <s v="STF24M50932"/>
    <m/>
    <s v="85% POLYAMIDE/15% SPANDEX PIQUE 175 GM/M2"/>
    <s v="KNIT"/>
    <s v="6103.43.1550"/>
    <n v="85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212"/>
    <n v="29"/>
    <m/>
    <m/>
    <m/>
    <n v="6"/>
    <n v="497"/>
    <n v="21250"/>
    <n v="20995"/>
    <n v="42245"/>
    <n v="4403.4999999999991"/>
  </r>
  <r>
    <x v="3"/>
    <s v="MEGA"/>
    <s v="CHINA"/>
    <s v="STF24M50935"/>
    <m/>
    <s v="85% POLYAMIDE/15% SPANDEX PIQUE 175 GM/M2"/>
    <s v="KNIT"/>
    <s v="6109.90.1007"/>
    <n v="78"/>
    <n v="17.044499999999999"/>
    <n v="11.3"/>
    <n v="0.32"/>
    <n v="3.6160000000000001"/>
    <n v="7.4999999999999997E-2"/>
    <n v="0.84750000000000003"/>
    <n v="7.0000000000000007E-2"/>
    <n v="0.79100000000000015"/>
    <n v="0.49"/>
    <n v="301"/>
    <n v="93"/>
    <m/>
    <m/>
    <m/>
    <m/>
    <m/>
    <n v="394"/>
    <n v="23478"/>
    <n v="7254"/>
    <n v="30732"/>
    <n v="5130.3944999999994"/>
  </r>
  <r>
    <x v="3"/>
    <s v="MEGA"/>
    <s v="CHINA"/>
    <s v="STF24M50935"/>
    <m/>
    <s v="85% POLYAMIDE/15% SPANDEX PIQUE 175 GM/M2"/>
    <s v="KNIT"/>
    <s v="6109.90.1007"/>
    <n v="78"/>
    <n v="17.044499999999999"/>
    <n v="11.3"/>
    <n v="0.32"/>
    <n v="3.6160000000000001"/>
    <n v="7.4999999999999997E-2"/>
    <n v="0.84750000000000003"/>
    <n v="7.0000000000000007E-2"/>
    <n v="0.79100000000000015"/>
    <n v="0.49"/>
    <n v="301"/>
    <n v="207"/>
    <m/>
    <m/>
    <m/>
    <m/>
    <m/>
    <n v="508"/>
    <n v="23478"/>
    <n v="16146"/>
    <n v="39624"/>
    <n v="5130.3944999999994"/>
  </r>
  <r>
    <x v="2"/>
    <s v="MEGA"/>
    <s v="CHINA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208"/>
    <m/>
    <m/>
    <m/>
    <m/>
    <m/>
    <n v="507"/>
    <n v="23322"/>
    <n v="16224"/>
    <n v="39546"/>
    <n v="5042.9340000000002"/>
  </r>
  <r>
    <x v="2"/>
    <s v="MEGA"/>
    <s v="CHINA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55"/>
    <n v="146"/>
    <m/>
    <m/>
    <m/>
    <m/>
    <n v="500"/>
    <n v="23322"/>
    <n v="15678"/>
    <n v="39000"/>
    <n v="5042.9340000000002"/>
  </r>
  <r>
    <x v="2"/>
    <s v="MEGA"/>
    <s v="CHINA"/>
    <s v="STF24M50925"/>
    <m/>
    <s v="90% POLYESTER/10% SPANDEX POPLIN 110 GM/M2"/>
    <s v="WOVEN"/>
    <s v="6203.43.9030"/>
    <n v="78"/>
    <n v="16.866"/>
    <n v="11.5"/>
    <n v="0.27900000000000003"/>
    <n v="3.2085000000000004"/>
    <n v="7.4999999999999997E-2"/>
    <n v="0.86249999999999993"/>
    <n v="7.0000000000000007E-2"/>
    <n v="0.80500000000000005"/>
    <n v="0.49"/>
    <n v="299"/>
    <n v="51"/>
    <n v="150"/>
    <m/>
    <m/>
    <m/>
    <m/>
    <n v="500"/>
    <n v="23322"/>
    <n v="15678"/>
    <n v="39000"/>
    <n v="5042.9340000000002"/>
  </r>
  <r>
    <x v="1"/>
    <s v="MEGA"/>
    <s v="CHINA"/>
    <s v="STF24M50941"/>
    <m/>
    <s v="97% POLYESTER/3% SPANDEX JACQUARD WAFFLE 310 GM/M2"/>
    <s v="KNIT"/>
    <s v="6110.30.3010"/>
    <n v="125"/>
    <n v="22.391749999999998"/>
    <n v="14.95"/>
    <n v="0.32"/>
    <n v="4.7839999999999998"/>
    <n v="7.4999999999999997E-2"/>
    <n v="1.1212499999999999"/>
    <n v="7.0000000000000007E-2"/>
    <n v="1.0465"/>
    <n v="0.49"/>
    <n v="301"/>
    <n v="26"/>
    <n v="166"/>
    <m/>
    <m/>
    <m/>
    <n v="12"/>
    <n v="505"/>
    <n v="37625"/>
    <n v="25500"/>
    <n v="63125"/>
    <n v="6739.9167499999994"/>
  </r>
  <r>
    <x v="1"/>
    <s v="MEGA"/>
    <s v="CHINA"/>
    <s v="STF24M50941"/>
    <m/>
    <s v="97% POLYESTER/3% SPANDEX JACQUARD WAFFLE 310 GM/M2"/>
    <s v="KNIT"/>
    <s v="6110.30.3010"/>
    <n v="125"/>
    <n v="22.391749999999998"/>
    <n v="14.95"/>
    <n v="0.32"/>
    <n v="4.7839999999999998"/>
    <n v="7.4999999999999997E-2"/>
    <n v="1.1212499999999999"/>
    <n v="7.0000000000000007E-2"/>
    <n v="1.0465"/>
    <n v="0.49"/>
    <n v="301"/>
    <m/>
    <n v="187"/>
    <m/>
    <m/>
    <m/>
    <n v="12"/>
    <n v="500"/>
    <n v="37625"/>
    <n v="24875"/>
    <n v="62500"/>
    <n v="6739.9167499999994"/>
  </r>
  <r>
    <x v="2"/>
    <s v="MEGA"/>
    <s v="CHINA"/>
    <s v="STF24M50942"/>
    <m/>
    <s v="97% POLYESTER/3% SPANDEX JACQUARD WAFFLE 310 GM/M2"/>
    <s v="KNIT"/>
    <s v="6103.43.1550"/>
    <n v="90"/>
    <n v="15.4735"/>
    <n v="10.5"/>
    <n v="0.28199999999999997"/>
    <n v="2.9609999999999999"/>
    <n v="7.4999999999999997E-2"/>
    <n v="0.78749999999999998"/>
    <n v="7.0000000000000007E-2"/>
    <n v="0.7350000000000001"/>
    <n v="0.49"/>
    <n v="299"/>
    <n v="228"/>
    <m/>
    <m/>
    <m/>
    <m/>
    <m/>
    <n v="527"/>
    <n v="26910"/>
    <n v="20520"/>
    <n v="47430"/>
    <n v="4626.5765000000001"/>
  </r>
  <r>
    <x v="2"/>
    <s v="MEGA"/>
    <s v="CHINA"/>
    <s v="STF24M50942"/>
    <m/>
    <s v="97% POLYESTER/3% SPANDEX JACQUARD WAFFLE 310 GM/M2"/>
    <s v="KNIT"/>
    <s v="6103.43.1550"/>
    <n v="90"/>
    <n v="15.4735"/>
    <n v="10.5"/>
    <n v="0.28199999999999997"/>
    <n v="2.9609999999999999"/>
    <n v="7.4999999999999997E-2"/>
    <n v="0.78749999999999998"/>
    <n v="7.0000000000000007E-2"/>
    <n v="0.7350000000000001"/>
    <n v="0.49"/>
    <n v="299"/>
    <n v="47"/>
    <n v="160"/>
    <m/>
    <m/>
    <m/>
    <m/>
    <n v="506"/>
    <n v="26910"/>
    <n v="18630"/>
    <n v="45540"/>
    <n v="4626.5765000000001"/>
  </r>
  <r>
    <x v="1"/>
    <s v="MEGA"/>
    <s v="CHINA"/>
    <s v="STF24M51048"/>
    <m/>
    <s v="97% POLYESTER/3% SPANDEX JACQUARD WAFFLE 310 GM/M2"/>
    <s v="KNIT"/>
    <s v="6105.20.2010"/>
    <n v="90"/>
    <n v="16.018999999999998"/>
    <n v="10.6"/>
    <n v="0.32"/>
    <n v="3.3919999999999999"/>
    <n v="7.4999999999999997E-2"/>
    <n v="0.79499999999999993"/>
    <n v="7.0000000000000007E-2"/>
    <n v="0.74199999999999999"/>
    <n v="0.49"/>
    <n v="250"/>
    <n v="126"/>
    <n v="123"/>
    <m/>
    <m/>
    <m/>
    <m/>
    <n v="499"/>
    <n v="22500"/>
    <n v="22410"/>
    <n v="44910"/>
    <n v="4004.7499999999995"/>
  </r>
  <r>
    <x v="1"/>
    <s v="MEGA"/>
    <s v="CHINA"/>
    <s v="STF24M51048"/>
    <m/>
    <s v="97% POLYESTER/3% SPANDEX JACQUARD WAFFLE 310 GM/M2"/>
    <s v="KNIT"/>
    <s v="6105.20.2010"/>
    <n v="90"/>
    <n v="16.018999999999998"/>
    <n v="10.6"/>
    <n v="0.32"/>
    <n v="3.3919999999999999"/>
    <n v="7.4999999999999997E-2"/>
    <n v="0.79499999999999993"/>
    <n v="7.0000000000000007E-2"/>
    <n v="0.74199999999999999"/>
    <n v="0.49"/>
    <n v="301"/>
    <n v="47"/>
    <n v="158"/>
    <m/>
    <m/>
    <m/>
    <m/>
    <n v="506"/>
    <n v="27090"/>
    <n v="18450"/>
    <n v="45540"/>
    <n v="4821.7189999999991"/>
  </r>
  <r>
    <x v="4"/>
    <s v="MEGA"/>
    <s v="CHINA"/>
    <s v="STF24M50891"/>
    <m/>
    <s v="100% POLYESTER FAUX SUEDE WITH FLEECE BACK 460 GM/M2"/>
    <s v="KNIT"/>
    <s v="6112.11.0010"/>
    <n v="150"/>
    <n v="27.817049999999995"/>
    <n v="19.149999999999999"/>
    <n v="0.28199999999999997"/>
    <n v="5.4002999999999988"/>
    <n v="7.4999999999999997E-2"/>
    <n v="1.4362499999999998"/>
    <n v="7.0000000000000007E-2"/>
    <n v="1.3405"/>
    <n v="0.49"/>
    <n v="501"/>
    <n v="132"/>
    <m/>
    <m/>
    <m/>
    <m/>
    <m/>
    <n v="633"/>
    <n v="75150"/>
    <n v="19800"/>
    <n v="94950"/>
    <n v="13936.342049999997"/>
  </r>
  <r>
    <x v="5"/>
    <s v="MEGA"/>
    <s v="CHINA"/>
    <s v="STF24M50892"/>
    <m/>
    <s v="100% POLYESTER FAUX SUEDE WITH FLEECE BACK 460 GM/M2"/>
    <s v="KNIT"/>
    <s v="6101.30.2010"/>
    <n v="125"/>
    <n v="24.677649999999996"/>
    <n v="16.95"/>
    <n v="0.28199999999999997"/>
    <n v="4.7798999999999996"/>
    <n v="7.4999999999999997E-2"/>
    <n v="1.27125"/>
    <n v="7.0000000000000007E-2"/>
    <n v="1.1865000000000001"/>
    <n v="0.49"/>
    <n v="501"/>
    <n v="133"/>
    <m/>
    <m/>
    <m/>
    <m/>
    <m/>
    <n v="634"/>
    <n v="62625"/>
    <n v="16625"/>
    <n v="79250"/>
    <n v="12363.502649999999"/>
  </r>
  <r>
    <x v="4"/>
    <s v="MEGA"/>
    <s v="CHINA"/>
    <s v="STF24M50891"/>
    <m/>
    <s v="100% POLYESTER FAUX SUEDE WITH FLEECE BACK 460 GM/M2"/>
    <s v="KNIT"/>
    <s v="6112.11.0010"/>
    <n v="150"/>
    <n v="27.817049999999995"/>
    <n v="19.149999999999999"/>
    <n v="0.28199999999999997"/>
    <n v="5.4002999999999988"/>
    <n v="7.4999999999999997E-2"/>
    <n v="1.4362499999999998"/>
    <n v="7.0000000000000007E-2"/>
    <n v="1.3405"/>
    <n v="0.49"/>
    <n v="600"/>
    <n v="147"/>
    <m/>
    <m/>
    <m/>
    <m/>
    <m/>
    <n v="747"/>
    <n v="90000"/>
    <n v="22050"/>
    <n v="112050"/>
    <n v="16690.229999999996"/>
  </r>
  <r>
    <x v="5"/>
    <s v="MEGA"/>
    <s v="CHINA"/>
    <s v="STF24M50892"/>
    <m/>
    <s v="100% POLYESTER FAUX SUEDE WITH FLEECE BACK 460 GM/M2"/>
    <s v="KNIT"/>
    <s v="6101.30.2010"/>
    <n v="125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141"/>
    <m/>
    <m/>
    <m/>
    <m/>
    <m/>
    <n v="741"/>
    <n v="75000"/>
    <n v="17625"/>
    <n v="92625"/>
    <n v="14806.589999999998"/>
  </r>
  <r>
    <x v="4"/>
    <s v="HESRRO"/>
    <s v="CHINA"/>
    <s v="STF24M50928"/>
    <m/>
    <s v="100% CRINKLE NYLON 86 GM/M2"/>
    <s v="WOVEN"/>
    <s v="6201.40.7511"/>
    <n v="135"/>
    <n v="22.971819999999997"/>
    <n v="15.81"/>
    <n v="0.27700000000000002"/>
    <n v="4.3793700000000007"/>
    <n v="7.4999999999999997E-2"/>
    <n v="1.1857500000000001"/>
    <n v="7.0000000000000007E-2"/>
    <n v="1.1067000000000002"/>
    <n v="0.49"/>
    <n v="250"/>
    <n v="298"/>
    <m/>
    <m/>
    <m/>
    <m/>
    <n v="18"/>
    <n v="566"/>
    <n v="33750"/>
    <n v="42660"/>
    <n v="76410"/>
    <n v="5742.954999999999"/>
  </r>
  <r>
    <x v="5"/>
    <s v="HESRRO"/>
    <s v="CHINA"/>
    <s v="STF24M50926"/>
    <m/>
    <s v="100% CRINKLE NYLON 86 GM/M2"/>
    <s v="WOVEN"/>
    <s v="6203.43.9010"/>
    <n v="125"/>
    <n v="18.574799999999996"/>
    <n v="12.7"/>
    <n v="0.27900000000000003"/>
    <n v="3.5433000000000003"/>
    <n v="7.4999999999999997E-2"/>
    <n v="0.9524999999999999"/>
    <n v="7.0000000000000007E-2"/>
    <n v="0.88900000000000001"/>
    <n v="0.49"/>
    <n v="251"/>
    <n v="298"/>
    <m/>
    <m/>
    <m/>
    <m/>
    <n v="18"/>
    <n v="567"/>
    <n v="31375"/>
    <n v="39500"/>
    <n v="70875"/>
    <n v="4662.2747999999992"/>
  </r>
  <r>
    <x v="4"/>
    <s v="HESRRO"/>
    <s v="CHINA"/>
    <s v="STF24M50928"/>
    <m/>
    <s v="100% CRINKLE NYLON 86 GM/M2"/>
    <s v="WOVEN"/>
    <s v="6201.40.7511"/>
    <n v="135"/>
    <n v="22.971819999999997"/>
    <n v="15.81"/>
    <n v="0.27700000000000002"/>
    <n v="4.3793700000000007"/>
    <n v="7.4999999999999997E-2"/>
    <n v="1.1857500000000001"/>
    <n v="7.0000000000000007E-2"/>
    <n v="1.1067000000000002"/>
    <n v="0.49"/>
    <n v="250"/>
    <n v="268"/>
    <m/>
    <m/>
    <m/>
    <m/>
    <n v="18"/>
    <n v="536"/>
    <n v="33750"/>
    <n v="38610"/>
    <n v="72360"/>
    <n v="5742.954999999999"/>
  </r>
  <r>
    <x v="5"/>
    <s v="HESRRO"/>
    <s v="CHINA"/>
    <s v="STF24M50926"/>
    <m/>
    <s v="100% CRINKLE NYLON 86 GM/M2"/>
    <s v="WOVEN"/>
    <s v="6203.43.9010"/>
    <n v="125"/>
    <n v="18.574799999999996"/>
    <n v="12.7"/>
    <n v="0.27900000000000003"/>
    <n v="3.5433000000000003"/>
    <n v="7.4999999999999997E-2"/>
    <n v="0.9524999999999999"/>
    <n v="7.0000000000000007E-2"/>
    <n v="0.88900000000000001"/>
    <n v="0.49"/>
    <n v="300"/>
    <n v="279"/>
    <m/>
    <m/>
    <m/>
    <m/>
    <n v="18"/>
    <n v="597"/>
    <n v="37500"/>
    <n v="37125"/>
    <n v="74625"/>
    <n v="5572.4399999999987"/>
  </r>
  <r>
    <x v="4"/>
    <s v="HESRRO"/>
    <s v="CHINA"/>
    <s v="STF24M50737"/>
    <m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</r>
  <r>
    <x v="5"/>
    <s v="HESRRO"/>
    <s v="CHINA"/>
    <s v="STF24M14552"/>
    <m/>
    <s v="100% POLYESTER TWILL 220 GM/M2"/>
    <s v="KNIT"/>
    <s v="6112.12.0010"/>
    <n v="110"/>
    <n v="16.900500000000001"/>
    <n v="11.5"/>
    <n v="0.28199999999999997"/>
    <n v="3.2429999999999999"/>
    <n v="7.4999999999999997E-2"/>
    <n v="0.86249999999999993"/>
    <n v="7.0000000000000007E-2"/>
    <n v="0.80500000000000005"/>
    <n v="0.49"/>
    <n v="400"/>
    <m/>
    <m/>
    <m/>
    <m/>
    <m/>
    <m/>
    <n v="400"/>
    <n v="44000"/>
    <n v="0"/>
    <n v="44000"/>
    <n v="6760.2000000000007"/>
  </r>
  <r>
    <x v="4"/>
    <s v="HESRRO"/>
    <s v="CHINA"/>
    <s v="STS24M50737"/>
    <m/>
    <s v="100% POLYESTER TWILL 220 GM/M2"/>
    <s v="KNIT"/>
    <s v="6112.12.0010"/>
    <n v="140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m/>
    <m/>
    <m/>
    <m/>
    <m/>
    <m/>
    <n v="400"/>
    <n v="56000"/>
    <n v="0"/>
    <n v="56000"/>
    <n v="7901.7999999999984"/>
  </r>
  <r>
    <x v="5"/>
    <s v="HESRRO"/>
    <s v="CHINA"/>
    <s v="STS24M14552"/>
    <m/>
    <s v="100% POLYESTER TWILL 220 GM/M2"/>
    <s v="KNIT"/>
    <s v="6112.12.0010"/>
    <n v="110"/>
    <n v="16.900500000000001"/>
    <n v="11.5"/>
    <n v="0.28199999999999997"/>
    <n v="3.2429999999999999"/>
    <n v="7.4999999999999997E-2"/>
    <n v="0.86249999999999993"/>
    <n v="7.0000000000000007E-2"/>
    <n v="0.80500000000000005"/>
    <n v="0.49"/>
    <n v="400"/>
    <m/>
    <m/>
    <m/>
    <m/>
    <m/>
    <m/>
    <n v="400"/>
    <n v="44000"/>
    <n v="0"/>
    <n v="44000"/>
    <n v="6760.2000000000007"/>
  </r>
  <r>
    <x v="4"/>
    <s v="HESRRO"/>
    <s v="CHINA"/>
    <s v="STF24M50960"/>
    <m/>
    <s v="100% NYLON TAFFETA 48 GM/M2"/>
    <s v="WOVEN"/>
    <s v="6201.40.7511"/>
    <n v="135"/>
    <n v="24.194740000000003"/>
    <n v="16.670000000000002"/>
    <n v="0.27700000000000002"/>
    <n v="4.6175900000000007"/>
    <n v="7.4999999999999997E-2"/>
    <n v="1.2502500000000001"/>
    <n v="7.0000000000000007E-2"/>
    <n v="1.1669000000000003"/>
    <n v="0.49"/>
    <n v="301"/>
    <n v="104"/>
    <n v="65"/>
    <m/>
    <m/>
    <m/>
    <n v="18"/>
    <n v="488"/>
    <n v="40635"/>
    <n v="25245"/>
    <n v="65880"/>
    <n v="7282.6167400000013"/>
  </r>
  <r>
    <x v="5"/>
    <s v="HESRRO"/>
    <s v="CHINA"/>
    <s v="STF24M50961"/>
    <m/>
    <s v="100% NYLON TAFFETA 48 GM/M2"/>
    <s v="WOVEN"/>
    <s v="6203.43.9010"/>
    <n v="125"/>
    <n v="21.16648"/>
    <n v="14.52"/>
    <n v="0.27900000000000003"/>
    <n v="4.0510800000000007"/>
    <n v="7.4999999999999997E-2"/>
    <n v="1.089"/>
    <n v="7.0000000000000007E-2"/>
    <n v="1.0164"/>
    <n v="0.49"/>
    <n v="300"/>
    <n v="68"/>
    <n v="102"/>
    <m/>
    <m/>
    <m/>
    <n v="18"/>
    <n v="488"/>
    <n v="37500"/>
    <n v="23500"/>
    <n v="61000"/>
    <n v="6349.9440000000004"/>
  </r>
  <r>
    <x v="2"/>
    <s v="HESRRO"/>
    <s v="CHINA"/>
    <s v="STF24M50966"/>
    <m/>
    <s v="100% NYLON TAFFETA 48 GM/M2"/>
    <s v="WOVEN"/>
    <s v="6203.43.9030"/>
    <n v="78"/>
    <n v="15.273719999999999"/>
    <n v="10.36"/>
    <n v="0.28199999999999997"/>
    <n v="2.9215199999999997"/>
    <n v="7.4999999999999997E-2"/>
    <n v="0.77699999999999991"/>
    <n v="7.0000000000000007E-2"/>
    <n v="0.72520000000000007"/>
    <n v="0.49"/>
    <n v="250"/>
    <n v="80"/>
    <n v="170"/>
    <m/>
    <m/>
    <m/>
    <m/>
    <n v="500"/>
    <n v="19500"/>
    <n v="19500"/>
    <n v="39000"/>
    <n v="3818.43"/>
  </r>
  <r>
    <x v="4"/>
    <s v="HESRRO"/>
    <s v="CHINA"/>
    <s v="STF24M50960"/>
    <m/>
    <s v="100% NYLON TAFFETA 48 GM/M2"/>
    <s v="WOVEN"/>
    <s v="6201.40.7511"/>
    <n v="135"/>
    <n v="24.194740000000003"/>
    <n v="16.670000000000002"/>
    <n v="0.27700000000000002"/>
    <n v="4.6175900000000007"/>
    <n v="7.4999999999999997E-2"/>
    <n v="1.2502500000000001"/>
    <n v="7.0000000000000007E-2"/>
    <n v="1.1669000000000003"/>
    <n v="0.49"/>
    <n v="301"/>
    <n v="208"/>
    <m/>
    <m/>
    <m/>
    <m/>
    <n v="18"/>
    <n v="527"/>
    <n v="40635"/>
    <n v="30510"/>
    <n v="71145"/>
    <n v="7282.6167400000013"/>
  </r>
  <r>
    <x v="5"/>
    <s v="HESRRO"/>
    <s v="CHINA"/>
    <s v="STF24M50961"/>
    <m/>
    <s v="100% NYLON TAFFETA 48 GM/M2"/>
    <s v="WOVEN"/>
    <s v="6203.43.9010"/>
    <n v="125"/>
    <n v="21.16648"/>
    <n v="14.52"/>
    <n v="0.27900000000000003"/>
    <n v="4.0510800000000007"/>
    <n v="7.4999999999999997E-2"/>
    <n v="1.089"/>
    <n v="7.0000000000000007E-2"/>
    <n v="1.0164"/>
    <n v="0.49"/>
    <n v="300"/>
    <n v="187"/>
    <m/>
    <m/>
    <m/>
    <m/>
    <n v="18"/>
    <n v="505"/>
    <n v="37500"/>
    <n v="25625"/>
    <n v="63125"/>
    <n v="6349.9440000000004"/>
  </r>
  <r>
    <x v="2"/>
    <s v="HESRRO"/>
    <s v="CHINA"/>
    <s v="STF24M50966"/>
    <m/>
    <s v="100% NYLON TAFFETA 48 GM/M2"/>
    <s v="WOVEN"/>
    <s v="6203.43.9030"/>
    <n v="78"/>
    <n v="15.273719999999999"/>
    <n v="10.36"/>
    <n v="0.28199999999999997"/>
    <n v="2.9215199999999997"/>
    <n v="7.4999999999999997E-2"/>
    <n v="0.77699999999999991"/>
    <n v="7.0000000000000007E-2"/>
    <n v="0.72520000000000007"/>
    <n v="0.49"/>
    <n v="250"/>
    <n v="55"/>
    <n v="195"/>
    <m/>
    <m/>
    <m/>
    <m/>
    <n v="500"/>
    <n v="19500"/>
    <n v="19500"/>
    <n v="39000"/>
    <n v="3818.43"/>
  </r>
  <r>
    <x v="6"/>
    <s v="HESRRO"/>
    <s v="CHINA"/>
    <s v="STF24M51049"/>
    <m/>
    <s v=" 53% POLYESTER/45% RAYON/2% SPANDEX JERSEY QUILT 300 GM/M2"/>
    <s v="KNIT"/>
    <s v="6110.30.3053"/>
    <n v="150"/>
    <n v="30.229499999999998"/>
    <n v="20.3"/>
    <n v="0.32"/>
    <n v="6.4960000000000004"/>
    <n v="7.4999999999999997E-2"/>
    <n v="1.5225"/>
    <n v="7.0000000000000007E-2"/>
    <n v="1.4210000000000003"/>
    <n v="0.49"/>
    <n v="400"/>
    <n v="172"/>
    <m/>
    <m/>
    <m/>
    <m/>
    <n v="6"/>
    <n v="578"/>
    <n v="60000"/>
    <n v="26700"/>
    <n v="86700"/>
    <n v="12091.8"/>
  </r>
  <r>
    <x v="7"/>
    <s v="HESRRO"/>
    <s v="CHINA"/>
    <s v="STF24M51050"/>
    <m/>
    <s v=" 53% POLYESTER/45% RAYON/2% SPANDEX JERSEY QUILT 300 GM/M2"/>
    <s v="KNIT"/>
    <s v="6114.20.0055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400"/>
    <n v="173"/>
    <m/>
    <m/>
    <m/>
    <m/>
    <n v="6"/>
    <n v="579"/>
    <n v="50000"/>
    <n v="22375"/>
    <n v="72375"/>
    <n v="10470.400000000001"/>
  </r>
  <r>
    <x v="6"/>
    <s v="HESRRO"/>
    <s v="CHINA"/>
    <s v="STF24M51049"/>
    <m/>
    <s v=" 53% POLYESTER/45% RAYON/2% SPANDEX JERSEY QUILT 300 GM/M2"/>
    <s v="KNIT"/>
    <s v="6110.30.3053"/>
    <n v="150"/>
    <n v="30.229499999999998"/>
    <n v="20.3"/>
    <n v="0.32"/>
    <n v="6.4960000000000004"/>
    <n v="7.4999999999999997E-2"/>
    <n v="1.5225"/>
    <n v="7.0000000000000007E-2"/>
    <n v="1.4210000000000003"/>
    <n v="0.49"/>
    <n v="400"/>
    <n v="145"/>
    <m/>
    <m/>
    <m/>
    <m/>
    <n v="6"/>
    <n v="551"/>
    <n v="60000"/>
    <n v="22650"/>
    <n v="82650"/>
    <n v="12091.8"/>
  </r>
  <r>
    <x v="7"/>
    <s v="HESRRO"/>
    <s v="CHINA"/>
    <s v="STF24M51050"/>
    <m/>
    <s v=" 53% POLYESTER/45% RAYON/2% SPANDEX JERSEY QUILT 300 GM/M2"/>
    <s v="KNIT"/>
    <s v="6114.20.0055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400"/>
    <n v="165"/>
    <m/>
    <m/>
    <m/>
    <m/>
    <n v="6"/>
    <n v="571"/>
    <n v="50000"/>
    <n v="21375"/>
    <n v="71375"/>
    <n v="10470.400000000001"/>
  </r>
  <r>
    <x v="8"/>
    <s v="HESRRO"/>
    <s v="CHINA"/>
    <s v="STF24M50923"/>
    <m/>
    <s v="100% COTTON FLEECE 390 GM/M2"/>
    <s v="KNIT"/>
    <s v="6112.12.0010"/>
    <n v="110"/>
    <n v="25.196599999999997"/>
    <n v="18.86"/>
    <n v="0.16500000000000001"/>
    <n v="3.1118999999999999"/>
    <n v="7.4999999999999997E-2"/>
    <n v="1.4144999999999999"/>
    <n v="7.0000000000000007E-2"/>
    <n v="1.3202"/>
    <n v="0.49"/>
    <n v="301"/>
    <n v="105"/>
    <n v="68"/>
    <m/>
    <m/>
    <m/>
    <n v="32"/>
    <n v="506"/>
    <n v="33110"/>
    <n v="22550"/>
    <n v="55660"/>
    <n v="7584.1765999999989"/>
  </r>
  <r>
    <x v="2"/>
    <s v="HESRRO"/>
    <s v="CHINA"/>
    <s v="STF24M50924"/>
    <m/>
    <s v="100% COTTON FLEECE 390 GM/M2"/>
    <s v="KNIT"/>
    <s v="6103.42.1050"/>
    <n v="85"/>
    <n v="18.460559999999997"/>
    <n v="13.76"/>
    <n v="0.161"/>
    <n v="2.21536"/>
    <n v="7.4999999999999997E-2"/>
    <n v="1.032"/>
    <n v="7.0000000000000007E-2"/>
    <n v="0.96320000000000006"/>
    <n v="0.49"/>
    <n v="250"/>
    <n v="56"/>
    <n v="194"/>
    <m/>
    <m/>
    <m/>
    <n v="6"/>
    <n v="506"/>
    <n v="21250"/>
    <n v="21760"/>
    <n v="43010"/>
    <n v="4615.1399999999994"/>
  </r>
  <r>
    <x v="8"/>
    <s v="HESRRO"/>
    <s v="CHINA"/>
    <s v="STF24M50923"/>
    <m/>
    <s v="100% COTTON FLEECE 390 GM/M2"/>
    <s v="KNIT"/>
    <s v="6112.12.0010"/>
    <n v="110"/>
    <n v="25.196599999999997"/>
    <n v="18.86"/>
    <n v="0.16500000000000001"/>
    <n v="3.1118999999999999"/>
    <n v="7.4999999999999997E-2"/>
    <n v="1.4144999999999999"/>
    <n v="7.0000000000000007E-2"/>
    <n v="1.3202"/>
    <n v="0.49"/>
    <n v="301"/>
    <n v="103"/>
    <n v="69"/>
    <m/>
    <m/>
    <m/>
    <n v="32"/>
    <n v="505"/>
    <n v="33110"/>
    <n v="22440"/>
    <n v="55550"/>
    <n v="7584.1765999999989"/>
  </r>
  <r>
    <x v="2"/>
    <s v="HESRRO"/>
    <s v="CHINA"/>
    <s v="STF24M50924"/>
    <m/>
    <s v="100% COTTON FLEECE 390 GM/M2"/>
    <s v="KNIT"/>
    <s v="6103.42.1050"/>
    <n v="85"/>
    <n v="18.460559999999997"/>
    <n v="13.76"/>
    <n v="0.161"/>
    <n v="2.21536"/>
    <n v="7.4999999999999997E-2"/>
    <n v="1.032"/>
    <n v="7.0000000000000007E-2"/>
    <n v="0.96320000000000006"/>
    <n v="0.49"/>
    <n v="250"/>
    <n v="80"/>
    <n v="169"/>
    <m/>
    <m/>
    <m/>
    <n v="6"/>
    <n v="505"/>
    <n v="21250"/>
    <n v="21675"/>
    <n v="42925"/>
    <n v="4615.1399999999994"/>
  </r>
  <r>
    <x v="6"/>
    <s v="HESRRO"/>
    <s v="CHINA"/>
    <s v="STF24M51046"/>
    <m/>
    <s v="100% COTTON FLEECE 390 GM/M2"/>
    <s v="KNIT"/>
    <s v="6110.20.2041"/>
    <n v="125"/>
    <n v="32.991100000000003"/>
    <n v="24.81"/>
    <n v="0.16500000000000001"/>
    <n v="4.0936500000000002"/>
    <n v="7.4999999999999997E-2"/>
    <n v="1.8607499999999999"/>
    <n v="7.0000000000000007E-2"/>
    <n v="1.7367000000000001"/>
    <n v="0.49"/>
    <n v="301"/>
    <n v="100"/>
    <n v="81"/>
    <m/>
    <m/>
    <m/>
    <n v="18"/>
    <n v="500"/>
    <n v="37625"/>
    <n v="24875"/>
    <n v="62500"/>
    <n v="9930.321100000001"/>
  </r>
  <r>
    <x v="7"/>
    <s v="HESRRO"/>
    <s v="CHINA"/>
    <s v="STF24M51047"/>
    <m/>
    <s v="100% COTTON FLEECE 390 GM/M2"/>
    <s v="KNIT"/>
    <s v="6103.42.1020"/>
    <n v="110"/>
    <n v="24.07"/>
    <n v="18"/>
    <n v="0.16500000000000001"/>
    <n v="2.97"/>
    <n v="7.4999999999999997E-2"/>
    <n v="1.3499999999999999"/>
    <n v="7.0000000000000007E-2"/>
    <n v="1.2600000000000002"/>
    <n v="0.49"/>
    <n v="302"/>
    <n v="99"/>
    <n v="93"/>
    <m/>
    <m/>
    <m/>
    <n v="6"/>
    <n v="500"/>
    <n v="33220"/>
    <n v="21780"/>
    <n v="55000"/>
    <n v="7269.14"/>
  </r>
  <r>
    <x v="6"/>
    <s v="HESRRO"/>
    <s v="CHINA"/>
    <s v="STF24M51046"/>
    <m/>
    <s v="100% COTTON FLEECE 390 GM/M2"/>
    <s v="KNIT"/>
    <s v="6110.20.2041"/>
    <n v="125"/>
    <n v="32.991100000000003"/>
    <n v="24.81"/>
    <n v="0.16500000000000001"/>
    <n v="4.0936500000000002"/>
    <n v="7.4999999999999997E-2"/>
    <n v="1.8607499999999999"/>
    <n v="7.0000000000000007E-2"/>
    <n v="1.7367000000000001"/>
    <n v="0.49"/>
    <n v="301"/>
    <n v="72"/>
    <n v="121"/>
    <m/>
    <m/>
    <m/>
    <n v="6"/>
    <n v="500"/>
    <n v="37625"/>
    <n v="24875"/>
    <n v="62500"/>
    <n v="9930.321100000001"/>
  </r>
  <r>
    <x v="7"/>
    <s v="HESRRO"/>
    <s v="CHINA"/>
    <s v="STF24M51047"/>
    <m/>
    <s v="100% COTTON FLEECE 390 GM/M2"/>
    <s v="KNIT"/>
    <s v="6103.42.1020"/>
    <n v="110"/>
    <n v="24.07"/>
    <n v="18"/>
    <n v="0.16500000000000001"/>
    <n v="2.97"/>
    <n v="7.4999999999999997E-2"/>
    <n v="1.3499999999999999"/>
    <n v="7.0000000000000007E-2"/>
    <n v="1.2600000000000002"/>
    <n v="0.49"/>
    <n v="302"/>
    <n v="72"/>
    <n v="120"/>
    <m/>
    <m/>
    <m/>
    <n v="6"/>
    <n v="500"/>
    <n v="33220"/>
    <n v="21780"/>
    <n v="55000"/>
    <n v="7269.14"/>
  </r>
  <r>
    <x v="4"/>
    <s v="HESRRO"/>
    <s v="CHINA"/>
    <s v="STF24M50893"/>
    <m/>
    <s v="60% POLYESTER/40% COTTON DOUBLE KNIT 280 GM/M2"/>
    <s v="KNIT"/>
    <s v="6112.12.0010"/>
    <n v="140"/>
    <n v="23.892799999999998"/>
    <n v="16.399999999999999"/>
    <n v="0.28199999999999997"/>
    <n v="4.6247999999999996"/>
    <n v="7.4999999999999997E-2"/>
    <n v="1.2299999999999998"/>
    <n v="7.0000000000000007E-2"/>
    <n v="1.1479999999999999"/>
    <n v="0.49"/>
    <n v="501"/>
    <m/>
    <m/>
    <m/>
    <m/>
    <m/>
    <m/>
    <n v="501"/>
    <n v="70140"/>
    <n v="0"/>
    <n v="70140"/>
    <n v="11970.292799999999"/>
  </r>
  <r>
    <x v="5"/>
    <s v="HESRRO"/>
    <s v="CHINA"/>
    <s v="STF24M50894"/>
    <m/>
    <s v="60% POLYESTER/40% COTTON DOUBLE KNIT 280 GM/M2"/>
    <s v="KNIT"/>
    <s v="6112.12.0050"/>
    <n v="125"/>
    <n v="21.081609999999998"/>
    <n v="14.43"/>
    <n v="0.28199999999999997"/>
    <n v="4.0692599999999999"/>
    <n v="7.4999999999999997E-2"/>
    <n v="1.0822499999999999"/>
    <n v="7.0000000000000007E-2"/>
    <n v="1.0101"/>
    <n v="0.49"/>
    <n v="501"/>
    <m/>
    <m/>
    <m/>
    <m/>
    <m/>
    <m/>
    <n v="501"/>
    <n v="62625"/>
    <n v="0"/>
    <n v="62625"/>
    <n v="10561.88661"/>
  </r>
  <r>
    <x v="4"/>
    <s v="HESRRO"/>
    <s v="CHINA"/>
    <s v="STF24M50988"/>
    <m/>
    <s v="100% RECYCLED NYLON 66 GM/2"/>
    <s v="WOVEN"/>
    <s v="6201.40.7511"/>
    <n v="195"/>
    <n v="31.674459999999996"/>
    <n v="21.93"/>
    <n v="0.27700000000000002"/>
    <n v="6.0746100000000007"/>
    <n v="7.4999999999999997E-2"/>
    <n v="1.6447499999999999"/>
    <n v="7.0000000000000007E-2"/>
    <n v="1.5351000000000001"/>
    <n v="0.49"/>
    <n v="400"/>
    <n v="77"/>
    <n v="14"/>
    <m/>
    <m/>
    <m/>
    <n v="6"/>
    <n v="497"/>
    <n v="78000"/>
    <n v="18915"/>
    <n v="96915"/>
    <n v="12669.783999999998"/>
  </r>
  <r>
    <x v="5"/>
    <s v="HESRRO"/>
    <s v="CHINA"/>
    <s v="STF24M50989"/>
    <m/>
    <s v="100% RECYCLED NYLON 66 GM/2"/>
    <s v="WOVEN"/>
    <s v="6203.43.9010"/>
    <n v="150"/>
    <n v="27.930479999999999"/>
    <n v="19.27"/>
    <n v="0.27900000000000003"/>
    <n v="5.3763300000000003"/>
    <n v="7.4999999999999997E-2"/>
    <n v="1.4452499999999999"/>
    <n v="7.0000000000000007E-2"/>
    <n v="1.3489"/>
    <n v="0.49"/>
    <n v="300"/>
    <n v="60"/>
    <n v="131"/>
    <m/>
    <m/>
    <m/>
    <n v="6"/>
    <n v="497"/>
    <n v="45000"/>
    <n v="29550"/>
    <n v="74550"/>
    <n v="8379.1440000000002"/>
  </r>
  <r>
    <x v="9"/>
    <s v="HESRRO"/>
    <s v="CHINA"/>
    <s v="STF24M50922"/>
    <m/>
    <s v="100% SHINY NYLON 100 GM/M2 "/>
    <s v="WOVEN"/>
    <s v="6201.40.7511"/>
    <n v="250"/>
    <n v="44.003200000000007"/>
    <n v="30.6"/>
    <n v="0.27700000000000002"/>
    <n v="8.4762000000000004"/>
    <n v="7.4999999999999997E-2"/>
    <n v="2.2949999999999999"/>
    <n v="7.0000000000000007E-2"/>
    <n v="2.1420000000000003"/>
    <n v="0.49"/>
    <n v="200"/>
    <m/>
    <m/>
    <m/>
    <m/>
    <m/>
    <m/>
    <n v="200"/>
    <n v="50000"/>
    <n v="0"/>
    <n v="50000"/>
    <n v="8800.6400000000012"/>
  </r>
  <r>
    <x v="3"/>
    <s v="SARA"/>
    <s v="BANGLADESH"/>
    <s v="STF24M50927"/>
    <m/>
    <s v="100% COTTON JERSEY 180 GM/M2"/>
    <s v="KNIT"/>
    <s v="6109.10.0012"/>
    <n v="54"/>
    <n v="7.3442499999999997"/>
    <n v="5.55"/>
    <n v="0.16500000000000001"/>
    <n v="0.91575000000000006"/>
    <m/>
    <m/>
    <n v="7.0000000000000007E-2"/>
    <n v="0.38850000000000001"/>
    <n v="0.49"/>
    <n v="301"/>
    <n v="135"/>
    <m/>
    <m/>
    <m/>
    <m/>
    <m/>
    <n v="436"/>
    <n v="16254"/>
    <n v="7290"/>
    <n v="23544"/>
    <n v="2210.6192499999997"/>
  </r>
  <r>
    <x v="3"/>
    <s v="SARA"/>
    <s v="BANGLADESH"/>
    <s v="STF24M50927"/>
    <m/>
    <s v="100% COTTON JERSEY 180 GM/M2"/>
    <s v="KNIT"/>
    <s v="6109.10.0012"/>
    <n v="54"/>
    <n v="7.3442499999999997"/>
    <n v="5.55"/>
    <n v="0.16500000000000001"/>
    <n v="0.91575000000000006"/>
    <m/>
    <m/>
    <n v="7.0000000000000007E-2"/>
    <n v="0.38850000000000001"/>
    <n v="0.49"/>
    <n v="301"/>
    <n v="109"/>
    <m/>
    <m/>
    <m/>
    <m/>
    <m/>
    <n v="410"/>
    <n v="16254"/>
    <n v="5886"/>
    <n v="22140"/>
    <n v="2210.6192499999997"/>
  </r>
  <r>
    <x v="3"/>
    <s v="SARA"/>
    <s v="BANGLADESH"/>
    <s v="STF24M50981"/>
    <m/>
    <s v="100% COTTON JERSEY 180 GM/M2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1"/>
    <n v="154"/>
    <m/>
    <m/>
    <m/>
    <m/>
    <m/>
    <n v="455"/>
    <n v="14448"/>
    <n v="7392"/>
    <n v="21840"/>
    <n v="2192.0324999999998"/>
  </r>
  <r>
    <x v="3"/>
    <s v="SARA"/>
    <s v="BANGLADESH"/>
    <s v="STF24M50981"/>
    <m/>
    <s v="100% COTTON JERSEY 180 GM/M2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1"/>
    <n v="76"/>
    <m/>
    <m/>
    <m/>
    <m/>
    <m/>
    <n v="377"/>
    <n v="14448"/>
    <n v="3648"/>
    <n v="18096"/>
    <n v="2192.0324999999998"/>
  </r>
  <r>
    <x v="7"/>
    <s v="SARA"/>
    <s v="BANGLADESH"/>
    <s v="STF24M50982"/>
    <m/>
    <s v="100% COTTON FRENCH TERRY 360 GM/M2"/>
    <s v="KNIT"/>
    <s v="6103.42.1020"/>
    <n v="98"/>
    <n v="17.779999999999998"/>
    <n v="14"/>
    <n v="0.16500000000000001"/>
    <n v="2.31"/>
    <m/>
    <m/>
    <n v="7.0000000000000007E-2"/>
    <n v="0.98000000000000009"/>
    <n v="0.49"/>
    <n v="302"/>
    <n v="23"/>
    <m/>
    <m/>
    <m/>
    <m/>
    <n v="12"/>
    <n v="337"/>
    <n v="29596"/>
    <n v="3430"/>
    <n v="33026"/>
    <n v="5369.5599999999995"/>
  </r>
  <r>
    <x v="7"/>
    <s v="SARA"/>
    <s v="BANGLADESH"/>
    <s v="STF24M50982"/>
    <m/>
    <s v="100% COTTON FRENCH TERRY 360 GM/M2"/>
    <s v="KNIT"/>
    <s v="6103.42.1020"/>
    <n v="98"/>
    <n v="17.779999999999998"/>
    <n v="14"/>
    <n v="0.16500000000000001"/>
    <n v="2.31"/>
    <m/>
    <m/>
    <n v="7.0000000000000007E-2"/>
    <n v="0.98000000000000009"/>
    <n v="0.49"/>
    <n v="302"/>
    <n v="6"/>
    <m/>
    <m/>
    <m/>
    <m/>
    <n v="12"/>
    <n v="320"/>
    <n v="29596"/>
    <n v="1764"/>
    <n v="31360"/>
    <n v="5369.5599999999995"/>
  </r>
  <r>
    <x v="6"/>
    <s v="SARA"/>
    <s v="BANGLADESH"/>
    <s v="STF24M50962"/>
    <m/>
    <s v="100% COTTON FRENCH TERRY 360 GM/M2"/>
    <s v="KNIT"/>
    <s v="6110.20.2041"/>
    <n v="135"/>
    <n v="21.484999999999999"/>
    <n v="17"/>
    <n v="0.16500000000000001"/>
    <n v="2.8050000000000002"/>
    <m/>
    <m/>
    <n v="7.0000000000000007E-2"/>
    <n v="1.1900000000000002"/>
    <n v="0.49"/>
    <n v="301"/>
    <n v="15"/>
    <m/>
    <m/>
    <m/>
    <m/>
    <n v="26"/>
    <n v="342"/>
    <n v="40635"/>
    <n v="5535"/>
    <n v="46170"/>
    <n v="6466.9849999999997"/>
  </r>
  <r>
    <x v="6"/>
    <s v="SARA"/>
    <s v="BANGLADESH"/>
    <s v="STF24M50962"/>
    <m/>
    <s v="100% COTTON FRENCH TERRY 360 GM/M2"/>
    <s v="KNIT"/>
    <s v="6110.20.2041"/>
    <n v="135"/>
    <n v="21.484999999999999"/>
    <n v="17"/>
    <n v="0.16500000000000001"/>
    <n v="2.8050000000000002"/>
    <m/>
    <m/>
    <n v="7.0000000000000007E-2"/>
    <n v="1.1900000000000002"/>
    <n v="0.49"/>
    <n v="301"/>
    <n v="15"/>
    <m/>
    <m/>
    <m/>
    <m/>
    <n v="26"/>
    <n v="342"/>
    <n v="40635"/>
    <n v="5535"/>
    <n v="46170"/>
    <n v="6466.9849999999997"/>
  </r>
  <r>
    <x v="3"/>
    <s v="SARA"/>
    <s v="BANGLADESH"/>
    <s v="STF24M50972"/>
    <m/>
    <s v="100% COTTON JERSEY 250 GM/M2"/>
    <s v="KNIT"/>
    <s v="6109.10.0012"/>
    <n v="64"/>
    <n v="11.296250000000001"/>
    <n v="8.75"/>
    <n v="0.16500000000000001"/>
    <n v="1.4437500000000001"/>
    <m/>
    <m/>
    <n v="7.0000000000000007E-2"/>
    <n v="0.61250000000000004"/>
    <n v="0.49"/>
    <n v="250"/>
    <n v="59"/>
    <m/>
    <m/>
    <m/>
    <m/>
    <m/>
    <n v="309"/>
    <n v="16000"/>
    <n v="3776"/>
    <n v="19776"/>
    <n v="2824.0625"/>
  </r>
  <r>
    <x v="3"/>
    <s v="SARA"/>
    <s v="BANGLADESH"/>
    <s v="STF24M50972"/>
    <m/>
    <s v="100% COTTON JERSEY 250 GM/M2"/>
    <s v="KNIT"/>
    <s v="6109.10.0012"/>
    <n v="64"/>
    <n v="11.296250000000001"/>
    <n v="8.75"/>
    <n v="0.16500000000000001"/>
    <n v="1.4437500000000001"/>
    <m/>
    <m/>
    <n v="7.0000000000000007E-2"/>
    <n v="0.61250000000000004"/>
    <n v="0.49"/>
    <n v="250"/>
    <n v="61"/>
    <m/>
    <m/>
    <m/>
    <m/>
    <m/>
    <n v="311"/>
    <n v="16000"/>
    <n v="3904"/>
    <n v="19904"/>
    <n v="2824.0625"/>
  </r>
  <r>
    <x v="3"/>
    <s v="SARA"/>
    <s v="BANGLADESH"/>
    <s v="STF24M50934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01"/>
    <n v="198"/>
    <m/>
    <m/>
    <m/>
    <m/>
    <m/>
    <n v="499"/>
    <n v="14448"/>
    <n v="9504"/>
    <n v="23952"/>
    <n v="2173.4457500000003"/>
  </r>
  <r>
    <x v="3"/>
    <s v="SARA"/>
    <s v="BANGLADESH"/>
    <s v="STF24M50934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400"/>
    <n v="85"/>
    <m/>
    <m/>
    <m/>
    <m/>
    <m/>
    <n v="485"/>
    <n v="19200"/>
    <n v="4080"/>
    <n v="23280"/>
    <n v="2888.3"/>
  </r>
  <r>
    <x v="3"/>
    <s v="SARA"/>
    <s v="BANGLADESH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01"/>
    <n v="66"/>
    <m/>
    <m/>
    <m/>
    <m/>
    <m/>
    <n v="367"/>
    <n v="16254"/>
    <n v="3564"/>
    <n v="19818"/>
    <n v="2247.7927500000001"/>
  </r>
  <r>
    <x v="3"/>
    <s v="SARA"/>
    <s v="BANGLADESH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51"/>
    <n v="22"/>
    <m/>
    <m/>
    <m/>
    <m/>
    <m/>
    <n v="373"/>
    <n v="18954"/>
    <n v="1188"/>
    <n v="20142"/>
    <n v="2621.1802500000003"/>
  </r>
  <r>
    <x v="3"/>
    <s v="SARA"/>
    <s v="BANGLADESH"/>
    <s v="STF24M50933"/>
    <m/>
    <s v="100% COTTON JERSEY 180 GM/M2"/>
    <s v="KNIT"/>
    <s v="6109.10.0012"/>
    <n v="54"/>
    <n v="7.4677500000000006"/>
    <n v="5.65"/>
    <n v="0.16500000000000001"/>
    <n v="0.93225000000000013"/>
    <m/>
    <m/>
    <n v="7.0000000000000007E-2"/>
    <n v="0.39550000000000007"/>
    <n v="0.49"/>
    <n v="301"/>
    <n v="71"/>
    <m/>
    <m/>
    <m/>
    <m/>
    <m/>
    <n v="372"/>
    <n v="16254"/>
    <n v="3834"/>
    <n v="20088"/>
    <n v="2247.7927500000001"/>
  </r>
  <r>
    <x v="3"/>
    <s v="SARA"/>
    <s v="BANGLADESH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97"/>
    <m/>
    <m/>
    <m/>
    <m/>
    <m/>
    <n v="448"/>
    <n v="16848"/>
    <n v="4656"/>
    <n v="21504"/>
    <n v="2534.4832500000002"/>
  </r>
  <r>
    <x v="3"/>
    <s v="SARA"/>
    <s v="BANGLADESH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2"/>
    <m/>
    <m/>
    <m/>
    <m/>
    <m/>
    <n v="423"/>
    <n v="16848"/>
    <n v="3456"/>
    <n v="20304"/>
    <n v="2534.4832500000002"/>
  </r>
  <r>
    <x v="3"/>
    <s v="SARA"/>
    <s v="BANGLADESH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5"/>
    <m/>
    <m/>
    <m/>
    <m/>
    <m/>
    <n v="426"/>
    <n v="16848"/>
    <n v="3600"/>
    <n v="20448"/>
    <n v="2534.4832500000002"/>
  </r>
  <r>
    <x v="3"/>
    <s v="SARA"/>
    <s v="BANGLADESH"/>
    <s v="STF24M50930"/>
    <m/>
    <s v="100% COTTON JERSEY 180 GM/M2"/>
    <s v="KNIT"/>
    <s v="6109.10.0012"/>
    <n v="48"/>
    <n v="7.2207500000000007"/>
    <n v="5.45"/>
    <n v="0.16500000000000001"/>
    <n v="0.8992500000000001"/>
    <m/>
    <m/>
    <n v="7.0000000000000007E-2"/>
    <n v="0.38150000000000006"/>
    <n v="0.49"/>
    <n v="351"/>
    <n v="74"/>
    <m/>
    <m/>
    <m/>
    <m/>
    <m/>
    <n v="425"/>
    <n v="16848"/>
    <n v="3552"/>
    <n v="20400"/>
    <n v="2534.4832500000002"/>
  </r>
  <r>
    <x v="0"/>
    <s v="SARA"/>
    <s v="BANGLADESH"/>
    <s v="STF24M50911"/>
    <m/>
    <s v="100% COTTON PIQUE 200 GM/M2"/>
    <s v="KNIT"/>
    <s v="6112.12.0010"/>
    <n v="78"/>
    <n v="13.09665"/>
    <n v="9.9499999999999993"/>
    <n v="0.19700000000000001"/>
    <n v="1.9601499999999998"/>
    <m/>
    <m/>
    <n v="7.0000000000000007E-2"/>
    <n v="0.69650000000000001"/>
    <n v="0.49"/>
    <n v="301"/>
    <m/>
    <m/>
    <m/>
    <m/>
    <m/>
    <m/>
    <n v="301"/>
    <n v="23478"/>
    <n v="0"/>
    <n v="23478"/>
    <n v="3942.0916500000003"/>
  </r>
  <r>
    <x v="0"/>
    <s v="SARA"/>
    <s v="BANGLADESH"/>
    <s v="STF24M50911"/>
    <m/>
    <s v="100% COTTON PIQUE 200 GM/M2"/>
    <s v="KNIT"/>
    <s v="6112.12.0010"/>
    <n v="78"/>
    <n v="13.09665"/>
    <n v="9.9499999999999993"/>
    <n v="0.19700000000000001"/>
    <n v="1.9601499999999998"/>
    <m/>
    <m/>
    <n v="7.0000000000000007E-2"/>
    <n v="0.69650000000000001"/>
    <n v="0.49"/>
    <n v="301"/>
    <m/>
    <m/>
    <m/>
    <m/>
    <m/>
    <m/>
    <n v="301"/>
    <n v="23478"/>
    <n v="0"/>
    <n v="23478"/>
    <n v="3942.0916500000003"/>
  </r>
  <r>
    <x v="3"/>
    <s v="SARA"/>
    <s v="BANGLADESH"/>
    <s v="STF24M50973"/>
    <m/>
    <s v="100% COTTON JERSEY 180 GM/M2"/>
    <s v="KNIT"/>
    <s v="6109.10.0012"/>
    <n v="64"/>
    <n v="8.8262499999999999"/>
    <n v="6.75"/>
    <n v="0.16500000000000001"/>
    <n v="1.11375"/>
    <m/>
    <m/>
    <n v="7.0000000000000007E-2"/>
    <n v="0.47250000000000003"/>
    <n v="0.49"/>
    <n v="400"/>
    <m/>
    <m/>
    <m/>
    <m/>
    <m/>
    <m/>
    <n v="400"/>
    <n v="25600"/>
    <n v="0"/>
    <n v="25600"/>
    <n v="3530.5"/>
  </r>
  <r>
    <x v="3"/>
    <s v="SARA"/>
    <s v="BANGLADESH"/>
    <s v="STF24M50973"/>
    <m/>
    <s v="100% COTTON JERSEY 180 GM/M2"/>
    <s v="KNIT"/>
    <s v="6109.10.0012"/>
    <n v="64"/>
    <n v="8.8262499999999999"/>
    <n v="6.75"/>
    <n v="0.16500000000000001"/>
    <n v="1.11375"/>
    <m/>
    <m/>
    <n v="7.0000000000000007E-2"/>
    <n v="0.47250000000000003"/>
    <n v="0.49"/>
    <n v="400"/>
    <m/>
    <m/>
    <m/>
    <m/>
    <m/>
    <m/>
    <n v="400"/>
    <n v="25600"/>
    <n v="0"/>
    <n v="25600"/>
    <n v="3530.5"/>
  </r>
  <r>
    <x v="4"/>
    <s v="PORTA WOVENS"/>
    <s v="CHINA"/>
    <s v="STF24M50953"/>
    <m/>
    <s v="55% TENCEL/43% POLYESTER/2% SPANDEX BLEND 150 GM/M2"/>
    <s v="WOVEN"/>
    <s v="6201.40.7511"/>
    <n v="245"/>
    <n v="47.387560000000001"/>
    <n v="32.979999999999997"/>
    <n v="0.27700000000000002"/>
    <n v="9.1354600000000001"/>
    <n v="7.4999999999999997E-2"/>
    <n v="2.4734999999999996"/>
    <n v="7.0000000000000007E-2"/>
    <n v="2.3086000000000002"/>
    <n v="0.49"/>
    <n v="350"/>
    <n v="50"/>
    <m/>
    <m/>
    <m/>
    <m/>
    <m/>
    <n v="400"/>
    <n v="85750"/>
    <n v="12250"/>
    <n v="98000"/>
    <n v="16585.646000000001"/>
  </r>
  <r>
    <x v="5"/>
    <s v="PORTA WOVENS"/>
    <s v="CHINA"/>
    <s v="STF24M50954"/>
    <m/>
    <s v="55% TENCEL/43% POLYESTER/2% SPANDEX BLEND 150 GM/M2"/>
    <s v="WOVEN"/>
    <s v="6203.43.9010"/>
    <n v="195"/>
    <n v="38.866800000000005"/>
    <n v="26.95"/>
    <n v="0.27900000000000003"/>
    <n v="7.5190500000000009"/>
    <n v="7.4999999999999997E-2"/>
    <n v="2.0212499999999998"/>
    <n v="7.0000000000000007E-2"/>
    <n v="1.8865000000000001"/>
    <n v="0.49"/>
    <n v="300"/>
    <n v="50"/>
    <m/>
    <m/>
    <m/>
    <m/>
    <m/>
    <n v="350"/>
    <n v="58500"/>
    <n v="9750"/>
    <n v="68250"/>
    <n v="11660.04"/>
  </r>
  <r>
    <x v="10"/>
    <s v="PORTA WOVENS"/>
    <s v="CHINA"/>
    <s v="STF24M50992"/>
    <m/>
    <s v="55% TENCEL/43% POLYESTER/2% SPANDEX BLEND 150 GM/M2"/>
    <s v="WOVEN"/>
    <s v="6205.30.2050"/>
    <n v="150"/>
    <n v="32.372500000000002"/>
    <n v="22.5"/>
    <n v="0.27200000000000002"/>
    <n v="6.12"/>
    <n v="7.4999999999999997E-2"/>
    <n v="1.6875"/>
    <n v="7.0000000000000007E-2"/>
    <n v="1.5750000000000002"/>
    <n v="0.49"/>
    <n v="352"/>
    <n v="82"/>
    <n v="66"/>
    <m/>
    <m/>
    <m/>
    <m/>
    <n v="500"/>
    <n v="52800"/>
    <n v="22200"/>
    <n v="75000"/>
    <n v="11395.12"/>
  </r>
  <r>
    <x v="2"/>
    <s v="PORTA WOVENS"/>
    <s v="CHINA"/>
    <s v="STF24M50993"/>
    <m/>
    <s v="55% TENCEL/43% POLYESTER/2% SPANDEX BLEND 150 GM/M2"/>
    <s v="WOVEN"/>
    <s v="6203.43.9030"/>
    <n v="140"/>
    <n v="30.456999999999997"/>
    <n v="21"/>
    <n v="0.28199999999999997"/>
    <n v="5.9219999999999997"/>
    <n v="7.4999999999999997E-2"/>
    <n v="1.575"/>
    <n v="7.0000000000000007E-2"/>
    <n v="1.4700000000000002"/>
    <n v="0.49"/>
    <n v="349"/>
    <n v="80"/>
    <n v="71"/>
    <m/>
    <m/>
    <m/>
    <m/>
    <n v="500"/>
    <n v="48860"/>
    <n v="21140"/>
    <n v="70000"/>
    <n v="10629.492999999999"/>
  </r>
  <r>
    <x v="4"/>
    <s v="PORTA WOVENS"/>
    <s v="CHINA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501"/>
    <n v="118"/>
    <m/>
    <m/>
    <m/>
    <n v="10"/>
    <m/>
    <n v="629"/>
    <n v="97695"/>
    <n v="24960"/>
    <n v="122655"/>
    <n v="19979.579400000002"/>
  </r>
  <r>
    <x v="5"/>
    <s v="PORTA WOVENS"/>
    <s v="CHINA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501"/>
    <n v="119"/>
    <m/>
    <m/>
    <m/>
    <n v="10"/>
    <m/>
    <n v="630"/>
    <n v="75150"/>
    <n v="19350"/>
    <n v="94500"/>
    <n v="15477.0924"/>
  </r>
  <r>
    <x v="4"/>
    <s v="PORTA WOVENS"/>
    <s v="CHINA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400"/>
    <n v="35"/>
    <m/>
    <m/>
    <m/>
    <n v="28"/>
    <m/>
    <n v="463"/>
    <n v="78000"/>
    <n v="12285"/>
    <n v="90285"/>
    <n v="15951.760000000002"/>
  </r>
  <r>
    <x v="5"/>
    <s v="PORTA WOVENS"/>
    <s v="CHINA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400"/>
    <n v="35"/>
    <m/>
    <m/>
    <m/>
    <n v="28"/>
    <m/>
    <n v="463"/>
    <n v="60000"/>
    <n v="9450"/>
    <n v="69450"/>
    <n v="12356.96"/>
  </r>
  <r>
    <x v="4"/>
    <s v="PORTA WOVENS"/>
    <s v="CHINA"/>
    <s v="STF24M50948"/>
    <m/>
    <s v="68% POLYESTER/28% RAYON/4% SPANDEX PINSTRIPE 265 GM/M2"/>
    <s v="WOVEN"/>
    <s v="6201.40.7511"/>
    <n v="195"/>
    <n v="39.879400000000004"/>
    <n v="27.7"/>
    <n v="0.27700000000000002"/>
    <n v="7.6729000000000003"/>
    <n v="7.4999999999999997E-2"/>
    <n v="2.0774999999999997"/>
    <n v="7.0000000000000007E-2"/>
    <n v="1.9390000000000001"/>
    <n v="0.49"/>
    <n v="250"/>
    <m/>
    <m/>
    <m/>
    <m/>
    <m/>
    <m/>
    <n v="250"/>
    <n v="48750"/>
    <n v="0"/>
    <n v="48750"/>
    <n v="9969.85"/>
  </r>
  <r>
    <x v="5"/>
    <s v="PORTA WOVENS"/>
    <s v="CHINA"/>
    <s v="STF24M50949"/>
    <m/>
    <s v="68% POLYESTER/28% RAYON/4% SPANDEX PINSTRIPE 265 GM/M2"/>
    <s v="WOVEN"/>
    <s v="6203.43.9010"/>
    <n v="150"/>
    <n v="30.892399999999999"/>
    <n v="21.35"/>
    <n v="0.27900000000000003"/>
    <n v="5.9566500000000007"/>
    <n v="7.4999999999999997E-2"/>
    <n v="1.6012500000000001"/>
    <n v="7.0000000000000007E-2"/>
    <n v="1.4945000000000002"/>
    <n v="0.49"/>
    <n v="251"/>
    <m/>
    <m/>
    <m/>
    <m/>
    <m/>
    <m/>
    <n v="251"/>
    <n v="37650"/>
    <n v="0"/>
    <n v="37650"/>
    <n v="7753.9923999999992"/>
  </r>
  <r>
    <x v="5"/>
    <s v="PORTA WOVENS"/>
    <s v="CHINA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501"/>
    <m/>
    <m/>
    <m/>
    <m/>
    <m/>
    <m/>
    <n v="501"/>
    <n v="75150"/>
    <n v="0"/>
    <n v="75150"/>
    <n v="15726.790800000001"/>
  </r>
  <r>
    <x v="5"/>
    <s v="PORTA WOVENS"/>
    <s v="CHINA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400"/>
    <m/>
    <m/>
    <m/>
    <m/>
    <m/>
    <m/>
    <n v="400"/>
    <n v="60000"/>
    <n v="0"/>
    <n v="60000"/>
    <n v="12556.320000000002"/>
  </r>
  <r>
    <x v="5"/>
    <s v="PORTA WOVENS"/>
    <s v="CHINA"/>
    <s v="STF24M51026"/>
    <m/>
    <s v="86% NYLON/14% SPANDEX 126 GM/M2"/>
    <s v="WOVEN"/>
    <s v="6203.43.9010"/>
    <n v="150"/>
    <n v="31.390800000000002"/>
    <n v="21.7"/>
    <n v="0.27900000000000003"/>
    <n v="6.0543000000000005"/>
    <n v="7.4999999999999997E-2"/>
    <n v="1.6274999999999999"/>
    <n v="7.0000000000000007E-2"/>
    <n v="1.5190000000000001"/>
    <n v="0.49"/>
    <n v="400"/>
    <n v="5"/>
    <m/>
    <m/>
    <m/>
    <m/>
    <m/>
    <n v="405"/>
    <n v="60000"/>
    <n v="750"/>
    <n v="60750"/>
    <n v="12556.320000000002"/>
  </r>
  <r>
    <x v="0"/>
    <s v="PORTA"/>
    <s v="CHINA"/>
    <s v="STF24M50963"/>
    <m/>
    <s v="86% POLYESTER/11% RAYON/3% SPANDEX 295 GM/M2"/>
    <s v="KNIT"/>
    <s v="6105.20.2010"/>
    <n v="98"/>
    <n v="19.535"/>
    <n v="13"/>
    <n v="0.32"/>
    <n v="4.16"/>
    <n v="7.4999999999999997E-2"/>
    <n v="0.97499999999999998"/>
    <n v="7.0000000000000007E-2"/>
    <n v="0.91000000000000014"/>
    <n v="0.49"/>
    <n v="301"/>
    <n v="107"/>
    <m/>
    <m/>
    <m/>
    <m/>
    <m/>
    <n v="408"/>
    <n v="29498"/>
    <n v="10486"/>
    <n v="39984"/>
    <n v="5880.0349999999999"/>
  </r>
  <r>
    <x v="2"/>
    <s v="PORTA"/>
    <s v="CHINA"/>
    <s v="STF24M51045"/>
    <m/>
    <s v="86% POLYESTER/11% RAYON/3% SPANDEX 295 GM/M2"/>
    <s v="KNIT"/>
    <s v="6103.43.1550"/>
    <n v="88"/>
    <n v="18.684250000000002"/>
    <n v="12.75"/>
    <n v="0.28199999999999997"/>
    <n v="3.5954999999999995"/>
    <n v="7.4999999999999997E-2"/>
    <n v="0.95624999999999993"/>
    <n v="7.0000000000000007E-2"/>
    <n v="0.89250000000000007"/>
    <n v="0.49"/>
    <n v="299"/>
    <n v="123"/>
    <m/>
    <m/>
    <m/>
    <m/>
    <m/>
    <n v="422"/>
    <n v="26312"/>
    <n v="10824"/>
    <n v="37136"/>
    <n v="5586.5907500000003"/>
  </r>
  <r>
    <x v="0"/>
    <s v="PORTA"/>
    <s v="CHINA"/>
    <s v="STF24M50963"/>
    <m/>
    <s v="86% POLYESTER/11% RAYON/3% SPANDEX 295 GM/M2"/>
    <s v="KNIT"/>
    <s v="6105.20.2010"/>
    <n v="98"/>
    <n v="19.535"/>
    <n v="13"/>
    <n v="0.32"/>
    <n v="4.16"/>
    <n v="7.4999999999999997E-2"/>
    <n v="0.97499999999999998"/>
    <n v="7.0000000000000007E-2"/>
    <n v="0.91000000000000014"/>
    <n v="0.49"/>
    <n v="301"/>
    <n v="107"/>
    <m/>
    <m/>
    <m/>
    <m/>
    <m/>
    <n v="408"/>
    <n v="29498"/>
    <n v="10486"/>
    <n v="39984"/>
    <n v="5880.0349999999999"/>
  </r>
  <r>
    <x v="2"/>
    <s v="PORTA"/>
    <s v="CHINA"/>
    <s v="STF24M51045"/>
    <m/>
    <s v="86% POLYESTER/11% RAYON/3% SPANDEX 295 GM/M2"/>
    <s v="KNIT"/>
    <s v="6103.43.1550"/>
    <n v="88"/>
    <n v="18.684250000000002"/>
    <n v="12.75"/>
    <n v="0.28199999999999997"/>
    <n v="3.5954999999999995"/>
    <n v="7.4999999999999997E-2"/>
    <n v="0.95624999999999993"/>
    <n v="7.0000000000000007E-2"/>
    <n v="0.89250000000000007"/>
    <n v="0.49"/>
    <n v="299"/>
    <n v="115"/>
    <m/>
    <m/>
    <m/>
    <m/>
    <m/>
    <n v="414"/>
    <n v="26312"/>
    <n v="10120"/>
    <n v="36432"/>
    <n v="5586.5907500000003"/>
  </r>
  <r>
    <x v="10"/>
    <s v="PORTA"/>
    <s v="CHINA"/>
    <s v="STF24M50976"/>
    <m/>
    <s v="78% COTTON/22 % POLYESTER TERRY 300 GM/M2"/>
    <s v="KNIT"/>
    <s v="6205.20.2066"/>
    <n v="150"/>
    <n v="30.483699999999999"/>
    <n v="22.35"/>
    <n v="0.19700000000000001"/>
    <n v="4.4029500000000006"/>
    <n v="7.4999999999999997E-2"/>
    <n v="1.67625"/>
    <n v="7.0000000000000007E-2"/>
    <n v="1.5645000000000002"/>
    <n v="0.49"/>
    <n v="501"/>
    <n v="103"/>
    <m/>
    <m/>
    <m/>
    <m/>
    <m/>
    <n v="604"/>
    <n v="75150"/>
    <n v="15450"/>
    <n v="90600"/>
    <n v="15272.333699999999"/>
  </r>
  <r>
    <x v="2"/>
    <s v="PORTA"/>
    <s v="CHINA"/>
    <s v="STF24M50977"/>
    <m/>
    <s v="78% COTTON/22 % POLYESTER TERRY 300 GM/M2"/>
    <s v="KNIT"/>
    <s v="6103.42.1050"/>
    <n v="135"/>
    <n v="21.320699999999995"/>
    <n v="15.95"/>
    <n v="0.161"/>
    <n v="2.5679499999999997"/>
    <n v="7.4999999999999997E-2"/>
    <n v="1.1962499999999998"/>
    <n v="7.0000000000000007E-2"/>
    <n v="1.1165"/>
    <n v="0.49"/>
    <n v="499"/>
    <n v="140"/>
    <m/>
    <m/>
    <m/>
    <m/>
    <m/>
    <n v="639"/>
    <n v="67365"/>
    <n v="18900"/>
    <n v="86265"/>
    <n v="10639.029299999998"/>
  </r>
  <r>
    <x v="10"/>
    <s v="PORTA"/>
    <s v="CHINA"/>
    <s v="STF24M50976"/>
    <m/>
    <s v="78% COTTON/22 % POLYESTER TERRY 300 GM/M2"/>
    <s v="KNIT"/>
    <s v="6205.20.2066"/>
    <n v="150"/>
    <n v="30.483699999999999"/>
    <n v="22.35"/>
    <n v="0.19700000000000001"/>
    <n v="4.4029500000000006"/>
    <n v="7.4999999999999997E-2"/>
    <n v="1.67625"/>
    <n v="7.0000000000000007E-2"/>
    <n v="1.5645000000000002"/>
    <n v="0.49"/>
    <n v="352"/>
    <n v="95"/>
    <m/>
    <m/>
    <m/>
    <m/>
    <m/>
    <n v="447"/>
    <n v="52800"/>
    <n v="14250"/>
    <n v="67050"/>
    <n v="10730.2624"/>
  </r>
  <r>
    <x v="2"/>
    <s v="PORTA"/>
    <s v="CHINA"/>
    <s v="STF24M50977"/>
    <m/>
    <s v="78% COTTON/22 % POLYESTER TERRY 300 GM/M2"/>
    <s v="KNIT"/>
    <s v="6103.42.1050"/>
    <n v="135"/>
    <n v="21.320699999999995"/>
    <n v="15.95"/>
    <n v="0.161"/>
    <n v="2.5679499999999997"/>
    <n v="7.4999999999999997E-2"/>
    <n v="1.1962499999999998"/>
    <n v="7.0000000000000007E-2"/>
    <n v="1.1165"/>
    <n v="0.49"/>
    <n v="349"/>
    <n v="119"/>
    <m/>
    <m/>
    <m/>
    <m/>
    <m/>
    <n v="468"/>
    <n v="47115"/>
    <n v="16065"/>
    <n v="63180"/>
    <n v="7440.9242999999979"/>
  </r>
  <r>
    <x v="4"/>
    <s v="PORTA"/>
    <s v="CHINA"/>
    <s v="STF24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1000"/>
    <n v="167"/>
    <m/>
    <m/>
    <m/>
    <m/>
    <n v="6"/>
    <n v="1173"/>
    <n v="160000"/>
    <n v="27680"/>
    <n v="187680"/>
    <n v="31170.499999999996"/>
  </r>
  <r>
    <x v="5"/>
    <s v="PORTA"/>
    <s v="CHINA"/>
    <s v="STF24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1000"/>
    <n v="160"/>
    <m/>
    <m/>
    <m/>
    <m/>
    <n v="6"/>
    <n v="1166"/>
    <n v="125000"/>
    <n v="20750"/>
    <n v="145750"/>
    <n v="24035.5"/>
  </r>
  <r>
    <x v="4"/>
    <s v="PORTA"/>
    <s v="CHINA"/>
    <s v="STF24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800"/>
    <n v="283"/>
    <m/>
    <m/>
    <m/>
    <m/>
    <n v="6"/>
    <n v="1089"/>
    <n v="128000"/>
    <n v="46240"/>
    <n v="174240"/>
    <n v="24936.399999999998"/>
  </r>
  <r>
    <x v="5"/>
    <s v="PORTA"/>
    <s v="CHINA"/>
    <s v="STF24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799"/>
    <n v="280"/>
    <m/>
    <m/>
    <m/>
    <m/>
    <n v="6"/>
    <n v="1085"/>
    <n v="99875"/>
    <n v="35750"/>
    <n v="135625"/>
    <n v="19204.3645"/>
  </r>
  <r>
    <x v="4"/>
    <s v="PORTA"/>
    <s v="CHINA"/>
    <s v="STF23M50644"/>
    <m/>
    <s v="93% POLYESTER/7% SPANDEX VELOUR 300 GM/M2"/>
    <s v="KNIT"/>
    <s v="6112.12.0010"/>
    <n v="160"/>
    <n v="31.170499999999997"/>
    <n v="21.5"/>
    <n v="0.28199999999999997"/>
    <n v="6.0629999999999997"/>
    <n v="7.4999999999999997E-2"/>
    <n v="1.6125"/>
    <n v="7.0000000000000007E-2"/>
    <n v="1.5050000000000001"/>
    <n v="0.49"/>
    <n v="500"/>
    <m/>
    <m/>
    <m/>
    <m/>
    <m/>
    <m/>
    <n v="500"/>
    <n v="80000"/>
    <n v="0"/>
    <n v="80000"/>
    <n v="15585.249999999998"/>
  </r>
  <r>
    <x v="5"/>
    <s v="PORTA"/>
    <s v="CHINA"/>
    <s v="STF23M50645"/>
    <m/>
    <s v="93% POLYESTER/7% SPANDEX VELOUR 300 GM/M2"/>
    <s v="KNIT"/>
    <s v="6112.12.0050"/>
    <n v="125"/>
    <n v="24.035499999999999"/>
    <n v="16.5"/>
    <n v="0.28199999999999997"/>
    <n v="4.6529999999999996"/>
    <n v="7.4999999999999997E-2"/>
    <n v="1.2375"/>
    <n v="7.0000000000000007E-2"/>
    <n v="1.155"/>
    <n v="0.49"/>
    <n v="500"/>
    <m/>
    <m/>
    <m/>
    <m/>
    <m/>
    <m/>
    <n v="500"/>
    <n v="62500"/>
    <n v="0"/>
    <n v="62500"/>
    <n v="12017.75"/>
  </r>
  <r>
    <x v="11"/>
    <s v="PORTA"/>
    <s v="CHINA"/>
    <s v="STF24M50908"/>
    <m/>
    <s v="62% E COVERO VISCOSE/38% POLYESTER 2/68NM, 14GG*2ENDS &quot;ATHENA YARN&quot;"/>
    <s v="SWEATER"/>
    <s v="6110.30.3010"/>
    <n v="250"/>
    <n v="63.484999999999999"/>
    <n v="43"/>
    <n v="0.32"/>
    <n v="13.76"/>
    <n v="7.4999999999999997E-2"/>
    <n v="3.2250000000000001"/>
    <n v="7.0000000000000007E-2"/>
    <n v="3.0100000000000002"/>
    <n v="0.49"/>
    <n v="251"/>
    <n v="32"/>
    <m/>
    <m/>
    <m/>
    <n v="19"/>
    <m/>
    <n v="302"/>
    <n v="62750"/>
    <n v="12750"/>
    <n v="75500"/>
    <n v="15934.735000000001"/>
  </r>
  <r>
    <x v="11"/>
    <s v="PORTA"/>
    <s v="CHINA"/>
    <s v="STF24M50909"/>
    <m/>
    <s v="62% E COVERO VISCOSE/38% POLYESTER 2/68NM, 14GG*2ENDS &quot;ATHENA YARN&quot;"/>
    <s v="SWEATER"/>
    <s v="6103.49.1020"/>
    <n v="225"/>
    <n v="63.277999999999999"/>
    <n v="44"/>
    <n v="0.28199999999999997"/>
    <n v="12.407999999999999"/>
    <n v="7.4999999999999997E-2"/>
    <n v="3.3"/>
    <n v="7.0000000000000007E-2"/>
    <n v="3.08"/>
    <n v="0.49"/>
    <n v="249"/>
    <n v="32"/>
    <m/>
    <m/>
    <m/>
    <n v="16"/>
    <m/>
    <n v="297"/>
    <n v="56025"/>
    <n v="10800"/>
    <n v="66825"/>
    <n v="15756.222"/>
  </r>
  <r>
    <x v="11"/>
    <s v="PORTA"/>
    <s v="CHINA"/>
    <s v="STF24M50910"/>
    <m/>
    <s v="62% E COVERO VISCOSE/38% POLYESTER 2/68NM, 14GG*2ENDS &quot;ATHENA YARN&quot;"/>
    <s v="SWEATER"/>
    <s v="6105.20.2010"/>
    <n v="165"/>
    <n v="47.370000000000005"/>
    <n v="32"/>
    <n v="0.32"/>
    <n v="10.24"/>
    <n v="7.4999999999999997E-2"/>
    <n v="2.4"/>
    <n v="7.0000000000000007E-2"/>
    <n v="2.2400000000000002"/>
    <n v="0.49"/>
    <n v="251"/>
    <m/>
    <m/>
    <m/>
    <m/>
    <n v="5"/>
    <m/>
    <n v="256"/>
    <n v="41415"/>
    <n v="825"/>
    <n v="42240"/>
    <n v="11889.87"/>
  </r>
  <r>
    <x v="11"/>
    <s v="PORTA"/>
    <s v="CHINA"/>
    <s v="STF24M50908"/>
    <m/>
    <s v="62% E COVERO VISCOSE/38% POLYESTER 2/68NM, 14GG*2ENDS &quot;ATHENA YARN&quot;"/>
    <s v="SWEATER"/>
    <s v="6110.30.3010"/>
    <n v="250"/>
    <n v="63.484999999999999"/>
    <n v="43"/>
    <n v="0.32"/>
    <n v="13.76"/>
    <n v="7.4999999999999997E-2"/>
    <n v="3.2250000000000001"/>
    <n v="7.0000000000000007E-2"/>
    <n v="3.0100000000000002"/>
    <n v="0.49"/>
    <n v="300"/>
    <n v="198"/>
    <m/>
    <m/>
    <m/>
    <n v="36"/>
    <m/>
    <n v="534"/>
    <n v="75000"/>
    <n v="58500"/>
    <n v="133500"/>
    <n v="19045.5"/>
  </r>
  <r>
    <x v="11"/>
    <s v="PORTA"/>
    <s v="CHINA"/>
    <s v="STF24M50909"/>
    <m/>
    <s v="62% E COVERO VISCOSE/38% POLYESTER 2/68NM, 14GG*2ENDS &quot;ATHENA YARN&quot;"/>
    <s v="SWEATER"/>
    <s v="6103.49.1020"/>
    <n v="225"/>
    <n v="63.277999999999999"/>
    <n v="44"/>
    <n v="0.28199999999999997"/>
    <n v="12.407999999999999"/>
    <n v="7.4999999999999997E-2"/>
    <n v="3.3"/>
    <n v="7.0000000000000007E-2"/>
    <n v="3.08"/>
    <n v="0.49"/>
    <n v="300"/>
    <n v="197"/>
    <m/>
    <m/>
    <m/>
    <n v="23"/>
    <m/>
    <n v="520"/>
    <n v="67500"/>
    <n v="49500"/>
    <n v="117000"/>
    <n v="18983.399999999998"/>
  </r>
  <r>
    <x v="11"/>
    <s v="PORTA"/>
    <s v="CHINA"/>
    <s v="STF24M50910"/>
    <m/>
    <s v="62% E COVERO VISCOSE/38% POLYESTER 2/68NM, 14GG*2ENDS &quot;ATHENA YARN&quot;"/>
    <s v="SWEATER"/>
    <s v="6105.20.2010"/>
    <n v="165"/>
    <n v="47.370000000000005"/>
    <n v="32"/>
    <n v="0.32"/>
    <n v="10.24"/>
    <n v="7.4999999999999997E-2"/>
    <n v="2.4"/>
    <n v="7.0000000000000007E-2"/>
    <n v="2.2400000000000002"/>
    <n v="0.49"/>
    <n v="251"/>
    <n v="9"/>
    <m/>
    <m/>
    <m/>
    <n v="5"/>
    <m/>
    <n v="265"/>
    <n v="41415"/>
    <n v="2310"/>
    <n v="43725"/>
    <n v="11889.87"/>
  </r>
  <r>
    <x v="0"/>
    <s v="PORTA"/>
    <s v="CHINA"/>
    <s v="STF24M50914"/>
    <m/>
    <s v="63% POLYESTER/33% RAYON/4% SPANDEX INTERLOCK JERSEY 40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250"/>
    <n v="112"/>
    <m/>
    <m/>
    <m/>
    <n v="19"/>
    <m/>
    <n v="381"/>
    <n v="31250"/>
    <n v="16375"/>
    <n v="47625"/>
    <n v="5982.5"/>
  </r>
  <r>
    <x v="2"/>
    <s v="PORTA"/>
    <s v="CHINA"/>
    <s v="STF24M50915"/>
    <m/>
    <s v="63% POLYESTER/33% RAYON/4% SPANDEX INTERLOCK JERSEY 400 GM/M2"/>
    <s v="KNIT"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250"/>
    <n v="112"/>
    <m/>
    <m/>
    <m/>
    <n v="19"/>
    <m/>
    <n v="381"/>
    <n v="25000"/>
    <n v="13100"/>
    <n v="38100"/>
    <n v="4938.6249999999991"/>
  </r>
  <r>
    <x v="0"/>
    <s v="PORTA"/>
    <s v="CHINA"/>
    <s v="STF24M50914"/>
    <m/>
    <s v="63% POLYESTER/33% RAYON/4% SPANDEX INTERLOCK JERSEY 40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250"/>
    <n v="111"/>
    <m/>
    <m/>
    <m/>
    <n v="12"/>
    <m/>
    <n v="373"/>
    <n v="31250"/>
    <n v="15375"/>
    <n v="46625"/>
    <n v="5982.5"/>
  </r>
  <r>
    <x v="2"/>
    <s v="PORTA"/>
    <s v="CHINA"/>
    <s v="STF24M50915"/>
    <m/>
    <s v="63% POLYESTER/33% RAYON/4% SPANDEX INTERLOCK JERSEY 400 GM/M2"/>
    <s v="KNIT"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250"/>
    <n v="111"/>
    <m/>
    <m/>
    <m/>
    <n v="12"/>
    <m/>
    <n v="373"/>
    <n v="25000"/>
    <n v="12300"/>
    <n v="37300"/>
    <n v="4938.6249999999991"/>
  </r>
  <r>
    <x v="4"/>
    <s v="PORTA"/>
    <s v="CHINA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501"/>
    <n v="145"/>
    <m/>
    <m/>
    <m/>
    <m/>
    <n v="6"/>
    <n v="652"/>
    <n v="75150"/>
    <n v="22650"/>
    <n v="97800"/>
    <n v="15509.181449999998"/>
  </r>
  <r>
    <x v="5"/>
    <s v="PORTA"/>
    <s v="CHINA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501"/>
    <n v="136"/>
    <m/>
    <m/>
    <m/>
    <m/>
    <n v="6"/>
    <n v="643"/>
    <n v="62625"/>
    <n v="17750"/>
    <n v="80375"/>
    <n v="11684.322"/>
  </r>
  <r>
    <x v="4"/>
    <s v="PORTA"/>
    <s v="CHINA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800"/>
    <n v="261"/>
    <m/>
    <m/>
    <m/>
    <m/>
    <n v="6"/>
    <n v="1067"/>
    <n v="120000"/>
    <n v="40050"/>
    <n v="160050"/>
    <n v="24765.159999999996"/>
  </r>
  <r>
    <x v="5"/>
    <s v="PORTA"/>
    <s v="CHINA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799"/>
    <n v="249"/>
    <m/>
    <m/>
    <m/>
    <m/>
    <n v="6"/>
    <n v="1054"/>
    <n v="99875"/>
    <n v="31875"/>
    <n v="131750"/>
    <n v="18634.277999999998"/>
  </r>
  <r>
    <x v="4"/>
    <s v="PORTA"/>
    <s v="CHINA"/>
    <s v="STF24M50912"/>
    <m/>
    <s v="95% POLYESTER/5% SPANDEX BRUSHED DIVER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1000"/>
    <n v="208"/>
    <m/>
    <m/>
    <m/>
    <m/>
    <n v="6"/>
    <n v="1214"/>
    <n v="150000"/>
    <n v="32100"/>
    <n v="182100"/>
    <n v="30956.449999999997"/>
  </r>
  <r>
    <x v="5"/>
    <s v="PORTA"/>
    <s v="CHINA"/>
    <s v="STF24M50913"/>
    <m/>
    <s v="95% POLYESTER/5% SPANDEX BRUSHED DIVER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1000"/>
    <n v="206"/>
    <m/>
    <m/>
    <m/>
    <m/>
    <n v="6"/>
    <n v="1212"/>
    <n v="125000"/>
    <n v="26500"/>
    <n v="151500"/>
    <n v="23322"/>
  </r>
  <r>
    <x v="4"/>
    <s v="PORTA"/>
    <s v="CHINA"/>
    <s v="STF24M50995"/>
    <m/>
    <s v="58% POLYESTER/37% COTTON/5% SPANDEX FLAT BACK DOUBLE PIQUE 346 GM/M2"/>
    <s v="KNIT"/>
    <s v="6112.12.0010"/>
    <n v="175"/>
    <n v="33.311000000000007"/>
    <n v="23"/>
    <n v="0.28199999999999997"/>
    <n v="6.4859999999999998"/>
    <n v="7.4999999999999997E-2"/>
    <n v="1.7249999999999999"/>
    <n v="7.0000000000000007E-2"/>
    <n v="1.61"/>
    <n v="0.49"/>
    <n v="350"/>
    <n v="85"/>
    <m/>
    <m/>
    <m/>
    <m/>
    <n v="6"/>
    <n v="441"/>
    <n v="61250"/>
    <n v="15925"/>
    <n v="77175"/>
    <n v="11658.850000000002"/>
  </r>
  <r>
    <x v="5"/>
    <s v="PORTA"/>
    <s v="CHINA"/>
    <s v="STF24M50996"/>
    <m/>
    <s v="58% POLYESTER/37% COTTON/5% SPANDEX FLAT BACK DOUBLE PIQUE 346 GM/M2"/>
    <s v="KNIT"/>
    <s v="6112.12.0050"/>
    <n v="150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50"/>
    <n v="82"/>
    <m/>
    <m/>
    <m/>
    <m/>
    <n v="6"/>
    <n v="438"/>
    <n v="52500"/>
    <n v="13200"/>
    <n v="65700"/>
    <n v="9161.6"/>
  </r>
  <r>
    <x v="4"/>
    <s v="PORTA"/>
    <s v="CHINA"/>
    <s v="STF24M50995"/>
    <m/>
    <s v="58% POLYESTER/37% COTTON/5% SPANDEX FLAT BACK DOUBLE PIQUE 346 GM/M2"/>
    <s v="KNIT"/>
    <s v="6112.12.0010"/>
    <n v="175"/>
    <n v="33.311000000000007"/>
    <n v="23"/>
    <n v="0.28199999999999997"/>
    <n v="6.4859999999999998"/>
    <n v="7.4999999999999997E-2"/>
    <n v="1.7249999999999999"/>
    <n v="7.0000000000000007E-2"/>
    <n v="1.61"/>
    <n v="0.49"/>
    <n v="350"/>
    <n v="119"/>
    <m/>
    <m/>
    <m/>
    <m/>
    <n v="6"/>
    <n v="475"/>
    <n v="61250"/>
    <n v="21875"/>
    <n v="83125"/>
    <n v="11658.850000000002"/>
  </r>
  <r>
    <x v="5"/>
    <s v="PORTA"/>
    <s v="CHINA"/>
    <s v="STF24M50996"/>
    <m/>
    <s v="58% POLYESTER/37% COTTON/5% SPANDEX FLAT BACK DOUBLE PIQUE 346 GM/M2"/>
    <s v="KNIT"/>
    <s v="6112.12.0050"/>
    <n v="150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50"/>
    <n v="114"/>
    <m/>
    <m/>
    <m/>
    <m/>
    <n v="6"/>
    <n v="470"/>
    <n v="52500"/>
    <n v="18000"/>
    <n v="70500"/>
    <n v="9161.6"/>
  </r>
  <r>
    <x v="4"/>
    <s v="PORTA"/>
    <s v="CHINA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400"/>
    <n v="69"/>
    <m/>
    <m/>
    <m/>
    <m/>
    <m/>
    <n v="469"/>
    <n v="70000"/>
    <n v="12075"/>
    <n v="82075"/>
    <n v="12725.059999999998"/>
  </r>
  <r>
    <x v="5"/>
    <s v="PORTA"/>
    <s v="CHINA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400"/>
    <n v="69"/>
    <m/>
    <m/>
    <m/>
    <m/>
    <m/>
    <n v="469"/>
    <n v="60000"/>
    <n v="10350"/>
    <n v="70350"/>
    <n v="9871.0599999999977"/>
  </r>
  <r>
    <x v="4"/>
    <s v="PORTA"/>
    <s v="CHINA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501"/>
    <n v="160"/>
    <m/>
    <m/>
    <m/>
    <n v="17"/>
    <m/>
    <n v="678"/>
    <n v="87675"/>
    <n v="30975"/>
    <n v="118650"/>
    <n v="15938.137649999997"/>
  </r>
  <r>
    <x v="5"/>
    <s v="PORTA"/>
    <s v="CHINA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501"/>
    <n v="150"/>
    <m/>
    <m/>
    <m/>
    <n v="12"/>
    <m/>
    <n v="663"/>
    <n v="75150"/>
    <n v="24300"/>
    <n v="99450"/>
    <n v="12363.502649999999"/>
  </r>
  <r>
    <x v="4"/>
    <s v="PORTA"/>
    <s v="CHINA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600"/>
    <n v="74"/>
    <m/>
    <m/>
    <m/>
    <n v="8"/>
    <n v="6"/>
    <n v="688"/>
    <n v="105000"/>
    <n v="15400"/>
    <n v="120400"/>
    <n v="19087.589999999997"/>
  </r>
  <r>
    <x v="5"/>
    <s v="PORTA"/>
    <s v="CHINA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74"/>
    <m/>
    <m/>
    <m/>
    <m/>
    <n v="6"/>
    <n v="680"/>
    <n v="90000"/>
    <n v="12000"/>
    <n v="102000"/>
    <n v="14806.589999999998"/>
  </r>
  <r>
    <x v="4"/>
    <s v="PORTA"/>
    <s v="CHINA"/>
    <s v="STF24M50879"/>
    <m/>
    <s v="93% POLYESTER/7% SPANDEX VELOUR 300 GM/M2"/>
    <s v="KNIT"/>
    <s v="6112.12.0010"/>
    <n v="175"/>
    <n v="31.812649999999994"/>
    <n v="21.95"/>
    <n v="0.28199999999999997"/>
    <n v="6.1898999999999988"/>
    <n v="7.4999999999999997E-2"/>
    <n v="1.64625"/>
    <n v="7.0000000000000007E-2"/>
    <n v="1.5365000000000002"/>
    <n v="0.49"/>
    <n v="600"/>
    <n v="127"/>
    <m/>
    <m/>
    <m/>
    <m/>
    <n v="6"/>
    <n v="733"/>
    <n v="105000"/>
    <n v="23275"/>
    <n v="128275"/>
    <n v="19087.589999999997"/>
  </r>
  <r>
    <x v="5"/>
    <s v="PORTA"/>
    <s v="CHINA"/>
    <s v="STF24M50880"/>
    <m/>
    <s v="93% POLYESTER/7% SPANDEX VELOUR 300 GM/M2"/>
    <s v="KNIT"/>
    <s v="6112.12.0050"/>
    <n v="150"/>
    <n v="24.677649999999996"/>
    <n v="16.95"/>
    <n v="0.28199999999999997"/>
    <n v="4.7798999999999996"/>
    <n v="7.4999999999999997E-2"/>
    <n v="1.27125"/>
    <n v="7.0000000000000007E-2"/>
    <n v="1.1865000000000001"/>
    <n v="0.49"/>
    <n v="600"/>
    <n v="127"/>
    <m/>
    <m/>
    <m/>
    <m/>
    <n v="6"/>
    <n v="733"/>
    <n v="90000"/>
    <n v="19950"/>
    <n v="109950"/>
    <n v="14806.589999999998"/>
  </r>
  <r>
    <x v="4"/>
    <s v="PORTA"/>
    <s v="CHINA"/>
    <s v="STF24M50881"/>
    <m/>
    <s v="93% POLYESTER/7% SPANDEX VELOUR 300 GM/M2"/>
    <s v="KNIT"/>
    <s v="6112.12.0010"/>
    <n v="180"/>
    <n v="34.024500000000003"/>
    <n v="23.5"/>
    <n v="0.28199999999999997"/>
    <n v="6.6269999999999998"/>
    <n v="7.4999999999999997E-2"/>
    <n v="1.7625"/>
    <n v="7.0000000000000007E-2"/>
    <n v="1.6450000000000002"/>
    <n v="0.49"/>
    <n v="400"/>
    <n v="24"/>
    <m/>
    <m/>
    <m/>
    <m/>
    <m/>
    <n v="424"/>
    <n v="72000"/>
    <n v="4320"/>
    <n v="76320"/>
    <n v="13609.800000000001"/>
  </r>
  <r>
    <x v="5"/>
    <s v="PORTA"/>
    <s v="CHINA"/>
    <s v="STF24M50882"/>
    <m/>
    <s v="93% POLYESTER/7% SPANDEX VELOUR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400"/>
    <n v="27"/>
    <m/>
    <m/>
    <m/>
    <m/>
    <m/>
    <n v="427"/>
    <n v="60000"/>
    <n v="4050"/>
    <n v="64050"/>
    <n v="10185"/>
  </r>
  <r>
    <x v="4"/>
    <s v="PORTA"/>
    <s v="CHINA"/>
    <s v="STF24M50881"/>
    <m/>
    <s v="93% POLYESTER/7% SPANDEX VELOUR 300 GM/M2"/>
    <s v="KNIT"/>
    <s v="6112.12.0010"/>
    <n v="180"/>
    <n v="34.024500000000003"/>
    <n v="23.5"/>
    <n v="0.28199999999999997"/>
    <n v="6.6269999999999998"/>
    <n v="7.4999999999999997E-2"/>
    <n v="1.7625"/>
    <n v="7.0000000000000007E-2"/>
    <n v="1.6450000000000002"/>
    <n v="0.49"/>
    <n v="501"/>
    <n v="160"/>
    <m/>
    <m/>
    <m/>
    <n v="16"/>
    <m/>
    <n v="677"/>
    <n v="90180"/>
    <n v="31680"/>
    <n v="121860"/>
    <n v="17046.274500000003"/>
  </r>
  <r>
    <x v="5"/>
    <s v="PORTA"/>
    <s v="CHINA"/>
    <s v="STF24M50882"/>
    <m/>
    <s v="93% POLYESTER/7% SPANDEX VELOUR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61"/>
    <m/>
    <m/>
    <m/>
    <n v="12"/>
    <m/>
    <n v="674"/>
    <n v="75150"/>
    <n v="25950"/>
    <n v="101100"/>
    <n v="12756.7125"/>
  </r>
  <r>
    <x v="6"/>
    <s v="PORTA"/>
    <s v="CHINA"/>
    <s v="STF24M50899"/>
    <m/>
    <s v="93% POLYESTER/7% SPANDEX VELOUR 300 GM/M2"/>
    <s v="KNIT"/>
    <s v="6110.30.3053"/>
    <n v="150"/>
    <n v="32.646750000000004"/>
    <n v="21.95"/>
    <n v="0.32"/>
    <n v="7.024"/>
    <n v="7.4999999999999997E-2"/>
    <n v="1.64625"/>
    <n v="7.0000000000000007E-2"/>
    <n v="1.5365000000000002"/>
    <n v="0.49"/>
    <n v="351"/>
    <n v="36"/>
    <m/>
    <m/>
    <m/>
    <m/>
    <n v="6"/>
    <n v="393"/>
    <n v="52650"/>
    <n v="6300"/>
    <n v="58950"/>
    <n v="11459.009250000001"/>
  </r>
  <r>
    <x v="6"/>
    <s v="PORTA"/>
    <s v="CHINA"/>
    <s v="STF24M50899"/>
    <m/>
    <s v="93% POLYESTER/7% SPANDEX VELOUR 300 GM/M2"/>
    <s v="KNIT"/>
    <s v="6110.30.3053"/>
    <n v="150"/>
    <n v="32.646750000000004"/>
    <n v="21.95"/>
    <n v="0.32"/>
    <n v="7.024"/>
    <n v="7.4999999999999997E-2"/>
    <n v="1.64625"/>
    <n v="7.0000000000000007E-2"/>
    <n v="1.5365000000000002"/>
    <n v="0.49"/>
    <n v="351"/>
    <n v="79"/>
    <m/>
    <m/>
    <m/>
    <m/>
    <n v="6"/>
    <n v="436"/>
    <n v="52650"/>
    <n v="12750"/>
    <n v="65400"/>
    <n v="11459.009250000001"/>
  </r>
  <r>
    <x v="3"/>
    <s v="PORTA"/>
    <s v="CHINA"/>
    <s v="STF24M50896"/>
    <m/>
    <s v="93% POLYESTER/7% SPANDEX VELOUR 300 GM/M2 "/>
    <s v="KNIT"/>
    <s v="6109.90.1007"/>
    <n v="88"/>
    <n v="14.407500000000001"/>
    <n v="9.5"/>
    <n v="0.32"/>
    <n v="3.04"/>
    <n v="7.4999999999999997E-2"/>
    <n v="0.71250000000000002"/>
    <n v="7.0000000000000007E-2"/>
    <n v="0.66500000000000004"/>
    <n v="0.49"/>
    <n v="400"/>
    <m/>
    <m/>
    <m/>
    <m/>
    <m/>
    <m/>
    <n v="400"/>
    <n v="35200"/>
    <n v="0"/>
    <n v="35200"/>
    <n v="5763"/>
  </r>
  <r>
    <x v="3"/>
    <s v="PORTA"/>
    <s v="CHINA"/>
    <s v="STF24M50896"/>
    <m/>
    <s v="93% POLYESTER/7% SPANDEX VELOUR 300 GM/M2"/>
    <s v="KNIT"/>
    <s v="6109.90.1007"/>
    <n v="88"/>
    <n v="14.407500000000001"/>
    <n v="9.5"/>
    <n v="0.32"/>
    <n v="3.04"/>
    <n v="7.4999999999999997E-2"/>
    <n v="0.71250000000000002"/>
    <n v="7.0000000000000007E-2"/>
    <n v="0.66500000000000004"/>
    <n v="0.49"/>
    <n v="400"/>
    <n v="18"/>
    <m/>
    <m/>
    <m/>
    <m/>
    <m/>
    <n v="418"/>
    <n v="35200"/>
    <n v="1584"/>
    <n v="36784"/>
    <n v="5763"/>
  </r>
  <r>
    <x v="1"/>
    <s v="PORTA"/>
    <s v="CHINA"/>
    <s v="STF24M50895"/>
    <m/>
    <s v="93% POLYESTER/7% SPANDEX VELOUR 300 GM/M2"/>
    <s v="KNIT"/>
    <s v="6110.30.3010"/>
    <n v="110"/>
    <n v="19.535"/>
    <n v="13"/>
    <n v="0.32"/>
    <n v="4.16"/>
    <n v="7.4999999999999997E-2"/>
    <n v="0.97499999999999998"/>
    <n v="7.0000000000000007E-2"/>
    <n v="0.91000000000000014"/>
    <n v="0.49"/>
    <n v="400"/>
    <m/>
    <m/>
    <m/>
    <m/>
    <m/>
    <m/>
    <n v="400"/>
    <n v="44000"/>
    <n v="0"/>
    <n v="44000"/>
    <n v="7814"/>
  </r>
  <r>
    <x v="1"/>
    <s v="PORTA"/>
    <s v="CHINA"/>
    <s v="STF24M50895"/>
    <m/>
    <s v="93% POLYESTER/7% SPANDEX VELOUR 300 GM/M2"/>
    <s v="KNIT"/>
    <s v="6110.30.3010"/>
    <n v="110"/>
    <n v="19.535"/>
    <n v="13"/>
    <n v="0.32"/>
    <n v="4.16"/>
    <n v="7.4999999999999997E-2"/>
    <n v="0.97499999999999998"/>
    <n v="7.0000000000000007E-2"/>
    <n v="0.91000000000000014"/>
    <n v="0.49"/>
    <n v="400"/>
    <m/>
    <m/>
    <m/>
    <m/>
    <m/>
    <m/>
    <n v="400"/>
    <n v="44000"/>
    <n v="0"/>
    <n v="44000"/>
    <n v="7814"/>
  </r>
  <r>
    <x v="1"/>
    <s v="PORTA"/>
    <s v="CHINA"/>
    <s v="STF24M50897"/>
    <m/>
    <s v="93% POLYESTER/7% SPANDEX VELOUR 300 GM/M2"/>
    <s v="KNIT"/>
    <s v="6105.20.2010"/>
    <n v="135"/>
    <n v="26.86"/>
    <n v="18"/>
    <n v="0.32"/>
    <n v="5.76"/>
    <n v="7.4999999999999997E-2"/>
    <n v="1.3499999999999999"/>
    <n v="7.0000000000000007E-2"/>
    <n v="1.2600000000000002"/>
    <n v="0.49"/>
    <n v="351"/>
    <m/>
    <m/>
    <m/>
    <m/>
    <m/>
    <n v="12"/>
    <n v="363"/>
    <n v="47385"/>
    <n v="1620"/>
    <n v="49005"/>
    <n v="9427.86"/>
  </r>
  <r>
    <x v="2"/>
    <s v="PORTA"/>
    <s v="CHINA"/>
    <s v="STF24M50898"/>
    <m/>
    <s v="93% POLYESTER/7% SPANDEX VELOUR 300 GM/M2"/>
    <s v="KNIT"/>
    <s v="6103.43.1550"/>
    <n v="100"/>
    <n v="20.468"/>
    <n v="14"/>
    <n v="0.28199999999999997"/>
    <n v="3.9479999999999995"/>
    <n v="7.4999999999999997E-2"/>
    <n v="1.05"/>
    <n v="7.0000000000000007E-2"/>
    <n v="0.98000000000000009"/>
    <n v="0.49"/>
    <n v="299"/>
    <n v="28"/>
    <m/>
    <m/>
    <m/>
    <m/>
    <m/>
    <n v="327"/>
    <n v="29900"/>
    <n v="2800"/>
    <n v="32700"/>
    <n v="6119.9319999999998"/>
  </r>
  <r>
    <x v="1"/>
    <s v="PORTA"/>
    <s v="CHINA"/>
    <s v="STF24M50897"/>
    <m/>
    <s v="93% POLYESTER/7% SPANDEX VELOUR 300 GM/M2"/>
    <s v="KNIT"/>
    <s v="6105.20.2010"/>
    <n v="135"/>
    <n v="26.86"/>
    <n v="18"/>
    <n v="0.32"/>
    <n v="5.76"/>
    <n v="7.4999999999999997E-2"/>
    <n v="1.3499999999999999"/>
    <n v="7.0000000000000007E-2"/>
    <n v="1.2600000000000002"/>
    <n v="0.49"/>
    <n v="351"/>
    <m/>
    <m/>
    <m/>
    <m/>
    <m/>
    <n v="12"/>
    <n v="363"/>
    <n v="47385"/>
    <n v="1620"/>
    <n v="49005"/>
    <n v="9427.86"/>
  </r>
  <r>
    <x v="2"/>
    <s v="PORTA"/>
    <s v="CHINA"/>
    <s v="STF24M50898"/>
    <m/>
    <s v="93% POLYESTER/7% SPANDEX VELOUR 300 GM/M2"/>
    <s v="KNIT"/>
    <s v="6103.43.1550"/>
    <n v="100"/>
    <n v="20.468"/>
    <n v="14"/>
    <n v="0.28199999999999997"/>
    <n v="3.9479999999999995"/>
    <n v="7.4999999999999997E-2"/>
    <n v="1.05"/>
    <n v="7.0000000000000007E-2"/>
    <n v="0.98000000000000009"/>
    <n v="0.49"/>
    <n v="299"/>
    <n v="3"/>
    <m/>
    <m/>
    <m/>
    <m/>
    <m/>
    <n v="302"/>
    <n v="29900"/>
    <n v="300"/>
    <n v="30200"/>
    <n v="6119.9319999999998"/>
  </r>
  <r>
    <x v="4"/>
    <s v="PORTA"/>
    <s v="CHINA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400"/>
    <n v="98"/>
    <m/>
    <m/>
    <m/>
    <m/>
    <n v="12"/>
    <n v="510"/>
    <n v="78000"/>
    <n v="21450"/>
    <n v="99450"/>
    <n v="15579.060000000001"/>
  </r>
  <r>
    <x v="5"/>
    <s v="PORTA"/>
    <s v="CHINA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400"/>
    <n v="103"/>
    <m/>
    <m/>
    <m/>
    <m/>
    <n v="12"/>
    <n v="515"/>
    <n v="70000"/>
    <n v="20125"/>
    <n v="90125"/>
    <n v="14608.699999999999"/>
  </r>
  <r>
    <x v="4"/>
    <s v="PORTA"/>
    <s v="CHINA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501"/>
    <n v="150"/>
    <m/>
    <m/>
    <m/>
    <m/>
    <m/>
    <n v="651"/>
    <n v="97695"/>
    <n v="29250"/>
    <n v="126945"/>
    <n v="19512.772650000003"/>
  </r>
  <r>
    <x v="5"/>
    <s v="PORTA"/>
    <s v="CHINA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501"/>
    <n v="162"/>
    <m/>
    <m/>
    <m/>
    <m/>
    <m/>
    <n v="663"/>
    <n v="87675"/>
    <n v="28350"/>
    <n v="116025"/>
    <n v="18297.39675"/>
  </r>
  <r>
    <x v="1"/>
    <s v="PORTA"/>
    <s v="CHINA"/>
    <s v="STF24M50883"/>
    <m/>
    <s v="FACE: 95% POLYESTER/5% SPANDEX BONDED VELOUR 400 GM/M2 BACK: 95% COTTON/5% SPANDEX"/>
    <s v="KNIT"/>
    <s v="6105.10.0010"/>
    <n v="175"/>
    <n v="41.510000000000005"/>
    <n v="28"/>
    <n v="0.32"/>
    <n v="8.9600000000000009"/>
    <n v="7.4999999999999997E-2"/>
    <n v="2.1"/>
    <n v="7.0000000000000007E-2"/>
    <n v="1.9600000000000002"/>
    <n v="0.49"/>
    <n v="301"/>
    <n v="10"/>
    <m/>
    <m/>
    <m/>
    <m/>
    <m/>
    <n v="311"/>
    <n v="52675"/>
    <n v="1750"/>
    <n v="54425"/>
    <n v="12494.510000000002"/>
  </r>
  <r>
    <x v="2"/>
    <s v="PORTA"/>
    <s v="CHINA"/>
    <s v="STF24M50878"/>
    <m/>
    <s v="FACE: 95% POLYESTER/5% SPANDEX BONDED VELOUR 400 GM/M2 BACK: 95% COTTON/5% SPANDEX"/>
    <s v="KNIT"/>
    <s v="6103.43.1550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m/>
    <m/>
    <m/>
    <m/>
    <m/>
    <m/>
    <n v="250"/>
    <n v="27500"/>
    <n v="0"/>
    <n v="27500"/>
    <n v="6008.875"/>
  </r>
  <r>
    <x v="4"/>
    <s v="PORTA"/>
    <s v="CHINA"/>
    <s v="STF24M50875"/>
    <m/>
    <s v="FACE: 95% POLYESTER/5% SPANDEX BONDED VELOUR 400 GM/M2 BACK: 95% COTTON/5% SPANDEX"/>
    <s v="KNIT"/>
    <s v="6112.12.0010"/>
    <n v="195"/>
    <n v="38.947650000000003"/>
    <n v="26.95"/>
    <n v="0.28199999999999997"/>
    <n v="7.599899999999999"/>
    <n v="7.4999999999999997E-2"/>
    <n v="2.0212499999999998"/>
    <n v="7.0000000000000007E-2"/>
    <n v="1.8865000000000001"/>
    <n v="0.49"/>
    <n v="600"/>
    <n v="284"/>
    <m/>
    <m/>
    <m/>
    <m/>
    <n v="12"/>
    <n v="896"/>
    <n v="117000"/>
    <n v="57720"/>
    <n v="174720"/>
    <n v="23368.59"/>
  </r>
  <r>
    <x v="5"/>
    <s v="PORTA"/>
    <s v="CHINA"/>
    <s v="STF24M50876"/>
    <m/>
    <s v="FACE: 95% POLYESTER/5% SPANDEX BONDED VELOUR 400 GM/M2 BACK: 95% COTTON/5% SPANDEX"/>
    <s v="KNIT"/>
    <s v="6112.12.0050"/>
    <n v="175"/>
    <n v="36.521749999999997"/>
    <n v="25.25"/>
    <n v="0.28199999999999997"/>
    <n v="7.1204999999999989"/>
    <n v="7.4999999999999997E-2"/>
    <n v="1.8937499999999998"/>
    <n v="7.0000000000000007E-2"/>
    <n v="1.7675000000000001"/>
    <n v="0.49"/>
    <n v="600"/>
    <n v="282"/>
    <m/>
    <m/>
    <m/>
    <m/>
    <n v="12"/>
    <n v="894"/>
    <n v="105000"/>
    <n v="51450"/>
    <n v="156450"/>
    <n v="21913.05"/>
  </r>
  <r>
    <x v="1"/>
    <s v="PORTA"/>
    <s v="CHINA"/>
    <s v="STF24M50883"/>
    <m/>
    <s v="FACE: 95% POLYESTER/5% SPANDEX BONDED VELOUR 400 GM/M2 BACK: 95% COTTON/5% SPANDEX"/>
    <s v="KNIT"/>
    <s v="6105.10.0010"/>
    <n v="175"/>
    <n v="41.510000000000005"/>
    <n v="28"/>
    <n v="0.32"/>
    <n v="8.9600000000000009"/>
    <n v="7.4999999999999997E-2"/>
    <n v="2.1"/>
    <n v="7.0000000000000007E-2"/>
    <n v="1.9600000000000002"/>
    <n v="0.49"/>
    <n v="301"/>
    <n v="10"/>
    <m/>
    <m/>
    <m/>
    <m/>
    <m/>
    <n v="311"/>
    <n v="52675"/>
    <n v="1750"/>
    <n v="54425"/>
    <n v="12494.510000000002"/>
  </r>
  <r>
    <x v="2"/>
    <s v="PORTA"/>
    <s v="CHINA"/>
    <s v="STF24M50878"/>
    <m/>
    <s v="FACE: 95% POLYESTER/5% SPANDEX BONDED VELOUR 400 GM/M2 BACK: 95% COTTON/5% SPANDEX"/>
    <s v="KNIT"/>
    <s v="6103.43.1550"/>
    <n v="110"/>
    <n v="24.035499999999999"/>
    <n v="16.5"/>
    <n v="0.28199999999999997"/>
    <n v="4.6529999999999996"/>
    <n v="7.4999999999999997E-2"/>
    <n v="1.2375"/>
    <n v="7.0000000000000007E-2"/>
    <n v="1.155"/>
    <n v="0.49"/>
    <n v="250"/>
    <m/>
    <m/>
    <m/>
    <m/>
    <m/>
    <m/>
    <n v="250"/>
    <n v="27500"/>
    <n v="0"/>
    <n v="27500"/>
    <n v="6008.875"/>
  </r>
  <r>
    <x v="11"/>
    <s v="PORTA"/>
    <s v="CHINA"/>
    <s v="STF24M50979"/>
    <m/>
    <s v="100% MERINO WOOL MEDIUM GAUGE 2/26S, 7 GG"/>
    <s v="SWEATER"/>
    <s v="6201.20.4011"/>
    <n v="295"/>
    <n v="67.562499999999986"/>
    <n v="49.5"/>
    <n v="0.21"/>
    <n v="10.395"/>
    <n v="7.4999999999999997E-2"/>
    <n v="3.7124999999999999"/>
    <n v="7.0000000000000007E-2"/>
    <n v="3.4650000000000003"/>
    <n v="0.49"/>
    <n v="251"/>
    <n v="25"/>
    <m/>
    <m/>
    <m/>
    <m/>
    <m/>
    <n v="276"/>
    <n v="74045"/>
    <n v="7375"/>
    <n v="81420"/>
    <n v="16958.187499999996"/>
  </r>
  <r>
    <x v="11"/>
    <s v="PORTA"/>
    <s v="CHINA"/>
    <s v="STF24M50979"/>
    <m/>
    <s v="100% MERINO WOOL MEDIUM GAUGE 2/26S, 7 GG"/>
    <s v="SWEATER"/>
    <s v="6201.20.4011"/>
    <n v="295"/>
    <n v="67.562499999999986"/>
    <n v="49.5"/>
    <n v="0.21"/>
    <n v="10.395"/>
    <n v="7.4999999999999997E-2"/>
    <n v="3.7124999999999999"/>
    <n v="7.0000000000000007E-2"/>
    <n v="3.4650000000000003"/>
    <n v="0.49"/>
    <n v="251"/>
    <n v="39"/>
    <m/>
    <m/>
    <m/>
    <m/>
    <m/>
    <n v="290"/>
    <n v="74045"/>
    <n v="11505"/>
    <n v="85550"/>
    <n v="16958.187499999996"/>
  </r>
  <r>
    <x v="11"/>
    <s v="PORTA"/>
    <s v="CHINA"/>
    <s v="STF24M50916"/>
    <m/>
    <s v="70% ACRYLIC/30% WOOL 2/48S, 12GG"/>
    <s v="SWEATER"/>
    <s v="6110.30.3010"/>
    <n v="225"/>
    <n v="43.927250000000001"/>
    <n v="29.65"/>
    <n v="0.32"/>
    <n v="9.4879999999999995"/>
    <n v="7.4999999999999997E-2"/>
    <n v="2.2237499999999999"/>
    <n v="7.0000000000000007E-2"/>
    <n v="2.0754999999999999"/>
    <n v="0.49"/>
    <n v="251"/>
    <n v="121"/>
    <m/>
    <m/>
    <m/>
    <m/>
    <m/>
    <n v="372"/>
    <n v="56475"/>
    <n v="27225"/>
    <n v="83700"/>
    <n v="11025.739750000001"/>
  </r>
  <r>
    <x v="11"/>
    <s v="PORTA"/>
    <s v="CHINA"/>
    <s v="STF24M50916"/>
    <m/>
    <s v="70% ACRYLIC/30% WOOL 2/48S, 12GG"/>
    <s v="SWEATER"/>
    <s v="6110.30.3010"/>
    <n v="225"/>
    <n v="43.927250000000001"/>
    <n v="29.65"/>
    <n v="0.32"/>
    <n v="9.4879999999999995"/>
    <n v="7.4999999999999997E-2"/>
    <n v="2.2237499999999999"/>
    <n v="7.0000000000000007E-2"/>
    <n v="2.0754999999999999"/>
    <n v="0.49"/>
    <n v="251"/>
    <n v="50"/>
    <m/>
    <m/>
    <m/>
    <n v="32"/>
    <m/>
    <n v="333"/>
    <n v="56475"/>
    <n v="18450"/>
    <n v="74925"/>
    <n v="11025.739750000001"/>
  </r>
  <r>
    <x v="12"/>
    <s v="PORTA"/>
    <s v="CHINA"/>
    <s v="STF24X50917"/>
    <m/>
    <s v="70% ACRYLIC/30% WOOL 2/48S, 12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n v="10"/>
    <m/>
    <m/>
    <m/>
    <m/>
    <m/>
    <n v="210"/>
    <n v="17600"/>
    <n v="880"/>
    <n v="18480"/>
    <n v="3680.5"/>
  </r>
  <r>
    <x v="12"/>
    <s v="PORTA"/>
    <s v="CHINA"/>
    <s v="STF24X50918"/>
    <m/>
    <s v="55% NYLON/20% POLYESTER/16% ACRYLIC/9% MERINO WOOL BLEND 7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m/>
    <m/>
    <m/>
    <m/>
    <m/>
    <m/>
    <n v="200"/>
    <n v="17600"/>
    <n v="0"/>
    <n v="17600"/>
    <n v="3680.5"/>
  </r>
  <r>
    <x v="12"/>
    <s v="PORTA"/>
    <s v="CHINA"/>
    <s v="STF24X50917"/>
    <m/>
    <s v="70% ACRYLIC/30% WOOL 2/48S, 12GG"/>
    <s v="SWEATER"/>
    <s v="6117.10.2030"/>
    <n v="88"/>
    <n v="18.4025"/>
    <n v="12.5"/>
    <n v="0.113"/>
    <n v="1.4125000000000001"/>
    <n v="0.25"/>
    <n v="3.125"/>
    <n v="7.0000000000000007E-2"/>
    <n v="0.87500000000000011"/>
    <n v="0.49"/>
    <n v="200"/>
    <m/>
    <m/>
    <m/>
    <m/>
    <m/>
    <m/>
    <n v="200"/>
    <n v="17600"/>
    <n v="0"/>
    <n v="17600"/>
    <n v="3680.5"/>
  </r>
  <r>
    <x v="11"/>
    <s v="PORTA"/>
    <s v="CHINA"/>
    <s v="STF24M50956"/>
    <m/>
    <s v="100% COTTON 5 GG"/>
    <s v="SWEATER"/>
    <s v="6110.20.2010"/>
    <n v="150"/>
    <n v="29.309999999999995"/>
    <n v="22"/>
    <n v="0.16500000000000001"/>
    <n v="3.6300000000000003"/>
    <n v="7.4999999999999997E-2"/>
    <n v="1.65"/>
    <n v="7.0000000000000007E-2"/>
    <n v="1.54"/>
    <n v="0.49"/>
    <n v="200"/>
    <n v="24"/>
    <m/>
    <m/>
    <m/>
    <m/>
    <m/>
    <n v="224"/>
    <n v="30000"/>
    <n v="3600"/>
    <n v="33600"/>
    <n v="5861.9999999999991"/>
  </r>
  <r>
    <x v="11"/>
    <s v="PORTA"/>
    <s v="CHINA"/>
    <s v="STF24M50956"/>
    <m/>
    <s v="100% COTTON 5 GG"/>
    <s v="SWEATER"/>
    <s v="6110.20.2010"/>
    <n v="150"/>
    <n v="29.309999999999995"/>
    <n v="22"/>
    <n v="0.16500000000000001"/>
    <n v="3.6300000000000003"/>
    <n v="7.4999999999999997E-2"/>
    <n v="1.65"/>
    <n v="7.0000000000000007E-2"/>
    <n v="1.54"/>
    <n v="0.49"/>
    <n v="200"/>
    <n v="15"/>
    <m/>
    <m/>
    <m/>
    <m/>
    <m/>
    <n v="215"/>
    <n v="30000"/>
    <n v="2250"/>
    <n v="32250"/>
    <n v="5861.9999999999991"/>
  </r>
  <r>
    <x v="11"/>
    <s v="PORTA"/>
    <s v="CHINA"/>
    <s v="STF24M50978"/>
    <m/>
    <s v="60% ACRYLIC/30% NYLON/6% SPANDEX/4% WOOL"/>
    <s v="SWEATER"/>
    <s v="6110.30.3010"/>
    <n v="225"/>
    <n v="42.242500000000007"/>
    <n v="28.5"/>
    <n v="0.32"/>
    <n v="9.120000000000001"/>
    <n v="7.4999999999999997E-2"/>
    <n v="2.1374999999999997"/>
    <n v="7.0000000000000007E-2"/>
    <n v="1.9950000000000001"/>
    <n v="0.49"/>
    <n v="200"/>
    <n v="70"/>
    <m/>
    <m/>
    <m/>
    <m/>
    <m/>
    <n v="270"/>
    <n v="45000"/>
    <n v="15750"/>
    <n v="60750"/>
    <n v="8448.5000000000018"/>
  </r>
  <r>
    <x v="4"/>
    <s v="PORTA"/>
    <s v="CHINA"/>
    <s v="STF24M50946"/>
    <m/>
    <s v="92% POLYESTER/8% SPANDEX INTERLOCK 300 GM/M2"/>
    <s v="KNIT"/>
    <s v="6112.12.0010"/>
    <n v="175"/>
    <n v="31.883999999999997"/>
    <n v="22"/>
    <n v="0.28199999999999997"/>
    <n v="6.2039999999999997"/>
    <n v="7.4999999999999997E-2"/>
    <n v="1.65"/>
    <n v="7.0000000000000007E-2"/>
    <n v="1.54"/>
    <n v="0.49"/>
    <n v="501"/>
    <n v="147"/>
    <m/>
    <m/>
    <m/>
    <n v="14"/>
    <n v="6"/>
    <n v="668"/>
    <n v="87675"/>
    <n v="29225"/>
    <n v="116900"/>
    <n v="15973.883999999998"/>
  </r>
  <r>
    <x v="5"/>
    <s v="PORTA"/>
    <s v="CHINA"/>
    <s v="STF24M50947"/>
    <m/>
    <s v="92% POLYESTER/8% SPANDEX INTERLOCK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45"/>
    <m/>
    <m/>
    <m/>
    <n v="14"/>
    <n v="6"/>
    <n v="666"/>
    <n v="75150"/>
    <n v="24750"/>
    <n v="99900"/>
    <n v="12756.7125"/>
  </r>
  <r>
    <x v="4"/>
    <s v="PORTA"/>
    <s v="CHINA"/>
    <s v="STF24M50946"/>
    <m/>
    <s v="92% POLYESTER/8% SPANDEX INTERLOCK 300 GM/M2"/>
    <s v="KNIT"/>
    <s v="6112.12.0010"/>
    <n v="175"/>
    <n v="31.883999999999997"/>
    <n v="22"/>
    <n v="0.28199999999999997"/>
    <n v="6.2039999999999997"/>
    <n v="7.4999999999999997E-2"/>
    <n v="1.65"/>
    <n v="7.0000000000000007E-2"/>
    <n v="1.54"/>
    <n v="0.49"/>
    <n v="501"/>
    <n v="197"/>
    <m/>
    <m/>
    <m/>
    <n v="36"/>
    <n v="6"/>
    <n v="740"/>
    <n v="87675"/>
    <n v="41825"/>
    <n v="129500"/>
    <n v="15973.883999999998"/>
  </r>
  <r>
    <x v="5"/>
    <s v="PORTA"/>
    <s v="CHINA"/>
    <s v="STF24M50947"/>
    <m/>
    <s v="92% POLYESTER/8% SPANDEX INTERLOCK 300 GM/M2"/>
    <s v="KNIT"/>
    <s v="6112.12.0050"/>
    <n v="150"/>
    <n v="25.462499999999999"/>
    <n v="17.5"/>
    <n v="0.28199999999999997"/>
    <n v="4.9349999999999996"/>
    <n v="7.4999999999999997E-2"/>
    <n v="1.3125"/>
    <n v="7.0000000000000007E-2"/>
    <n v="1.2250000000000001"/>
    <n v="0.49"/>
    <n v="501"/>
    <n v="185"/>
    <m/>
    <m/>
    <m/>
    <n v="36"/>
    <n v="6"/>
    <n v="728"/>
    <n v="75150"/>
    <n v="34050"/>
    <n v="109200"/>
    <n v="12756.7125"/>
  </r>
  <r>
    <x v="4"/>
    <s v="PORTA"/>
    <s v="CHINA"/>
    <s v="STF24M50939"/>
    <m/>
    <s v="BODY: 100% POLYESTER &quot;BONDED FAUX SHERPA&quot; 480 GM/M2 SLEEVES: 100% POLYURETHANE"/>
    <s v="KNIT"/>
    <s v="6112.12.0010"/>
    <n v="345"/>
    <n v="54.644650000000006"/>
    <n v="37.950000000000003"/>
    <n v="0.28199999999999997"/>
    <n v="10.7019"/>
    <n v="7.4999999999999997E-2"/>
    <n v="2.8462499999999999"/>
    <n v="7.0000000000000007E-2"/>
    <n v="2.6565000000000003"/>
    <n v="0.49"/>
    <n v="200"/>
    <n v="51"/>
    <m/>
    <m/>
    <m/>
    <m/>
    <m/>
    <n v="251"/>
    <n v="69000"/>
    <n v="17595"/>
    <n v="86595"/>
    <n v="10928.93"/>
  </r>
  <r>
    <x v="4"/>
    <s v="PORTA"/>
    <s v="CHINA"/>
    <s v="STF24M50939"/>
    <m/>
    <s v="BODY: 100% POLYESTER &quot;BONDED FAUX SHERPA&quot; 480 GM/M2 SLEEVES: 100% POLYURETHANE"/>
    <s v="KNIT"/>
    <s v="6112.12.0010"/>
    <n v="345"/>
    <n v="54.644650000000006"/>
    <n v="37.950000000000003"/>
    <n v="0.28199999999999997"/>
    <n v="10.7019"/>
    <n v="7.4999999999999997E-2"/>
    <n v="2.8462499999999999"/>
    <n v="7.0000000000000007E-2"/>
    <n v="2.6565000000000003"/>
    <n v="0.49"/>
    <n v="200"/>
    <n v="36"/>
    <m/>
    <m/>
    <m/>
    <m/>
    <m/>
    <n v="236"/>
    <n v="69000"/>
    <n v="12420"/>
    <n v="81420"/>
    <n v="10928.93"/>
  </r>
  <r>
    <x v="4"/>
    <s v="PORTA"/>
    <s v="CHINA"/>
    <s v="STF24M50964"/>
    <m/>
    <s v="93% POLYESTER/7% SPANDEX VELOUR 300 GM/M2"/>
    <s v="KNIT"/>
    <s v="6112.12.0010"/>
    <n v="225"/>
    <n v="39.732499999999995"/>
    <n v="27.5"/>
    <n v="0.28199999999999997"/>
    <n v="7.754999999999999"/>
    <n v="7.4999999999999997E-2"/>
    <n v="2.0625"/>
    <n v="7.0000000000000007E-2"/>
    <n v="1.9250000000000003"/>
    <n v="0.49"/>
    <n v="250"/>
    <n v="42"/>
    <m/>
    <m/>
    <m/>
    <m/>
    <m/>
    <n v="292"/>
    <n v="56250"/>
    <n v="9450"/>
    <n v="65700"/>
    <n v="9933.1249999999982"/>
  </r>
  <r>
    <x v="4"/>
    <s v="PORTA"/>
    <s v="CHINA"/>
    <s v="STF24M50964"/>
    <m/>
    <s v="93% POLYESTER/7% SPANDEX VELOUR 300 GM/M2"/>
    <s v="KNIT"/>
    <s v="6112.12.0010"/>
    <n v="225"/>
    <n v="39.732499999999995"/>
    <n v="27.5"/>
    <n v="0.28199999999999997"/>
    <n v="7.754999999999999"/>
    <n v="7.4999999999999997E-2"/>
    <n v="2.0625"/>
    <n v="7.0000000000000007E-2"/>
    <n v="1.9250000000000003"/>
    <n v="0.49"/>
    <n v="301"/>
    <n v="17"/>
    <m/>
    <m/>
    <m/>
    <m/>
    <m/>
    <n v="318"/>
    <n v="67725"/>
    <n v="3825"/>
    <n v="71550"/>
    <n v="11959.482499999998"/>
  </r>
  <r>
    <x v="4"/>
    <s v="PORTA"/>
    <s v="CHINA"/>
    <s v="STF24M50997"/>
    <m/>
    <s v="100% POLYESTER BONDED FAUX SHERPA 480 GM/M2 YOKE/ELBOW PANELS: FF149 55% POLYESTER/45% COTTON PEACHED POLY 180 GM/M2"/>
    <s v="KNIT"/>
    <s v="6112.12.0010"/>
    <n v="225"/>
    <n v="46.8675"/>
    <n v="32.5"/>
    <n v="0.28199999999999997"/>
    <n v="9.1649999999999991"/>
    <n v="7.4999999999999997E-2"/>
    <n v="2.4375"/>
    <n v="7.0000000000000007E-2"/>
    <n v="2.2750000000000004"/>
    <n v="0.49"/>
    <n v="250"/>
    <n v="8"/>
    <m/>
    <m/>
    <m/>
    <m/>
    <m/>
    <n v="258"/>
    <n v="56250"/>
    <n v="1800"/>
    <n v="58050"/>
    <n v="11716.875"/>
  </r>
  <r>
    <x v="12"/>
    <s v="BBUK"/>
    <s v="CHINA"/>
    <s v="UKF24X29584"/>
    <m/>
    <s v="50% WOOL/50% ACRYLIC"/>
    <s v="SWEATER"/>
    <s v="6505.00.9090"/>
    <n v="42"/>
    <n v="10.317299999999999"/>
    <n v="7.07"/>
    <n v="7.0000000000000007E-2"/>
    <n v="0.49490000000000006"/>
    <n v="0.25"/>
    <n v="1.7675000000000001"/>
    <n v="7.0000000000000007E-2"/>
    <n v="0.49490000000000006"/>
    <n v="0.49"/>
    <n v="200"/>
    <m/>
    <m/>
    <m/>
    <m/>
    <m/>
    <m/>
    <n v="200"/>
    <n v="8400"/>
    <n v="0"/>
    <n v="8400"/>
    <n v="2063.46"/>
  </r>
  <r>
    <x v="12"/>
    <s v="BBUK"/>
    <s v="CHINA"/>
    <s v="UKF24X21171"/>
    <m/>
    <s v="100% ACRYLIC"/>
    <s v="SWEATER"/>
    <s v="6505.00.9090"/>
    <n v="38"/>
    <n v="6.9813000000000009"/>
    <n v="4.67"/>
    <n v="7.0000000000000007E-2"/>
    <n v="0.32690000000000002"/>
    <n v="0.25"/>
    <n v="1.1675"/>
    <n v="7.0000000000000007E-2"/>
    <n v="0.32690000000000002"/>
    <n v="0.49"/>
    <n v="200"/>
    <m/>
    <m/>
    <m/>
    <m/>
    <m/>
    <m/>
    <n v="200"/>
    <n v="7600"/>
    <n v="0"/>
    <n v="7600"/>
    <n v="1396.2600000000002"/>
  </r>
  <r>
    <x v="12"/>
    <s v="BBUK"/>
    <s v="CHINA"/>
    <s v="UKF24X25028"/>
    <m/>
    <s v="100% ACRYLIC"/>
    <s v="SWEATER"/>
    <s v="6505.00.9090"/>
    <n v="38"/>
    <n v="6.8145000000000007"/>
    <n v="4.55"/>
    <n v="7.0000000000000007E-2"/>
    <n v="0.31850000000000001"/>
    <n v="0.25"/>
    <n v="1.1375"/>
    <n v="7.0000000000000007E-2"/>
    <n v="0.31850000000000001"/>
    <n v="0.49"/>
    <n v="200"/>
    <m/>
    <m/>
    <m/>
    <m/>
    <m/>
    <m/>
    <n v="200"/>
    <n v="7600"/>
    <n v="0"/>
    <n v="7600"/>
    <n v="1362.9"/>
  </r>
  <r>
    <x v="9"/>
    <s v="BBUK"/>
    <s v="CHINA"/>
    <s v="UKF24M21106"/>
    <m/>
    <s v="80% POLYESTER/10% ARCYLIC/10% RAYON 340 GM/M2"/>
    <s v="WOVEN"/>
    <s v="6201.40.7511"/>
    <n v="225"/>
    <n v="48.838000000000001"/>
    <n v="34"/>
    <n v="0.27700000000000002"/>
    <n v="9.418000000000001"/>
    <n v="7.4999999999999997E-2"/>
    <n v="2.5499999999999998"/>
    <n v="7.0000000000000007E-2"/>
    <n v="2.3800000000000003"/>
    <n v="0.49"/>
    <n v="481"/>
    <n v="23"/>
    <m/>
    <m/>
    <m/>
    <m/>
    <m/>
    <n v="504"/>
    <n v="108225"/>
    <n v="5175"/>
    <n v="113400"/>
    <n v="23491.078000000001"/>
  </r>
  <r>
    <x v="4"/>
    <s v="BBUK"/>
    <s v="CHINA"/>
    <s v="UKF24M21116"/>
    <m/>
    <s v="53% POLYESTER/47% COTTON PIQUE 292 GM/M2"/>
    <s v="KNIT"/>
    <s v="6112.12.0010"/>
    <n v="175"/>
    <n v="25.747899999999998"/>
    <n v="17.7"/>
    <n v="0.28199999999999997"/>
    <n v="4.9913999999999996"/>
    <n v="7.4999999999999997E-2"/>
    <n v="1.3274999999999999"/>
    <n v="7.0000000000000007E-2"/>
    <n v="1.2390000000000001"/>
    <n v="0.49"/>
    <n v="400"/>
    <n v="105"/>
    <m/>
    <m/>
    <m/>
    <m/>
    <m/>
    <n v="505"/>
    <n v="70000"/>
    <n v="18375"/>
    <n v="88375"/>
    <n v="10299.16"/>
  </r>
  <r>
    <x v="5"/>
    <s v="BBUK"/>
    <s v="CHINA"/>
    <s v="UKF24M21117"/>
    <m/>
    <s v="53% POLYESTER/47% COTTON PIQUE 292 GM/M2"/>
    <s v="KNIT"/>
    <s v="6112.12.0050"/>
    <n v="135"/>
    <n v="21.6096"/>
    <n v="14.8"/>
    <n v="0.28199999999999997"/>
    <n v="4.1735999999999995"/>
    <n v="7.4999999999999997E-2"/>
    <n v="1.1100000000000001"/>
    <n v="7.0000000000000007E-2"/>
    <n v="1.0360000000000003"/>
    <n v="0.49"/>
    <n v="400"/>
    <n v="103"/>
    <m/>
    <m/>
    <m/>
    <m/>
    <m/>
    <n v="503"/>
    <n v="54000"/>
    <n v="13905"/>
    <n v="67905"/>
    <n v="8643.84"/>
  </r>
  <r>
    <x v="11"/>
    <s v="BBUK"/>
    <s v="INDIA"/>
    <s v="UKF24M21148"/>
    <m/>
    <s v="100% COTTON 2/30'S 4 ENDS 7 GG"/>
    <s v="SWEATER"/>
    <s v="6110.20.2010"/>
    <n v="135"/>
    <n v="21.238000000000003"/>
    <n v="16.8"/>
    <n v="0.16500000000000001"/>
    <n v="2.7720000000000002"/>
    <m/>
    <m/>
    <n v="7.0000000000000007E-2"/>
    <n v="1.1760000000000002"/>
    <n v="0.49"/>
    <n v="420"/>
    <n v="80"/>
    <m/>
    <m/>
    <m/>
    <m/>
    <m/>
    <n v="500"/>
    <n v="56700"/>
    <n v="10800"/>
    <n v="67500"/>
    <n v="8919.9600000000009"/>
  </r>
  <r>
    <x v="13"/>
    <s v="KUKDONG"/>
    <s v="VIETNAM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70"/>
    <n v="32"/>
    <m/>
    <m/>
    <m/>
    <m/>
    <m/>
    <n v="502"/>
    <n v="31960"/>
    <n v="2176"/>
    <n v="34136"/>
    <n v="8965.25"/>
  </r>
  <r>
    <x v="14"/>
    <s v="KUKDONG"/>
    <s v="VIETNAM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70"/>
    <n v="32"/>
    <m/>
    <m/>
    <m/>
    <m/>
    <m/>
    <n v="502"/>
    <n v="51700"/>
    <n v="3520"/>
    <n v="55220"/>
    <n v="10079.619999999999"/>
  </r>
  <r>
    <x v="13"/>
    <s v="KUKDONG"/>
    <s v="VIETNAM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91"/>
    <n v="8"/>
    <m/>
    <m/>
    <m/>
    <m/>
    <m/>
    <n v="499"/>
    <n v="33388"/>
    <n v="544"/>
    <n v="33932"/>
    <n v="9365.8249999999989"/>
  </r>
  <r>
    <x v="14"/>
    <s v="KUKDONG"/>
    <s v="VIETNAM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92"/>
    <n v="8"/>
    <m/>
    <m/>
    <m/>
    <m/>
    <m/>
    <n v="500"/>
    <n v="54120"/>
    <n v="880"/>
    <n v="55000"/>
    <n v="10551.431999999999"/>
  </r>
  <r>
    <x v="13"/>
    <s v="KUKDONG"/>
    <s v="VIETNAM"/>
    <s v="STF24W50999"/>
    <m/>
    <s v="88% POLYAMIDE/12% ELASTANE &quot;COURT STRETCH&quot; 225 GM/M2"/>
    <s v="KNIT"/>
    <s v="6212.10.9020"/>
    <n v="68"/>
    <n v="19.074999999999999"/>
    <n v="15"/>
    <n v="0.16900000000000001"/>
    <n v="2.5350000000000001"/>
    <m/>
    <m/>
    <n v="7.0000000000000007E-2"/>
    <n v="1.05"/>
    <n v="0.49"/>
    <n v="469"/>
    <n v="32"/>
    <m/>
    <m/>
    <m/>
    <m/>
    <m/>
    <n v="501"/>
    <n v="31892"/>
    <n v="2176"/>
    <n v="34068"/>
    <n v="8946.1749999999993"/>
  </r>
  <r>
    <x v="14"/>
    <s v="KUKDONG"/>
    <s v="VIETNAM"/>
    <s v="STF24W51000"/>
    <m/>
    <s v="88% POLYAMIDE/12% ELASTANE &quot;COURT STRETCH&quot; 225 GM/M2"/>
    <s v="KNIT"/>
    <s v="6104.63.2011"/>
    <n v="110"/>
    <n v="21.445999999999998"/>
    <n v="15.5"/>
    <n v="0.28199999999999997"/>
    <n v="4.3709999999999996"/>
    <m/>
    <m/>
    <n v="7.0000000000000007E-2"/>
    <n v="1.0850000000000002"/>
    <n v="0.49"/>
    <n v="467"/>
    <n v="32"/>
    <m/>
    <m/>
    <m/>
    <m/>
    <m/>
    <n v="499"/>
    <n v="51370"/>
    <n v="3520"/>
    <n v="54890"/>
    <n v="10015.281999999999"/>
  </r>
  <r>
    <x v="3"/>
    <s v="KUKDONG"/>
    <s v="VIETNAM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</r>
  <r>
    <x v="3"/>
    <s v="KUKDONG"/>
    <s v="VIETNAM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</r>
  <r>
    <x v="3"/>
    <s v="KUKDONG"/>
    <s v="VIETNAM"/>
    <s v="STF24W51001"/>
    <m/>
    <s v="88% POLYAMIDE/12% ELASTANE &quot;COURT STRETCH&quot; 225 GM/M2"/>
    <s v="KNIT"/>
    <s v="6109.90.1050"/>
    <n v="58"/>
    <n v="15.363"/>
    <n v="10.7"/>
    <n v="0.32"/>
    <n v="3.4239999999999999"/>
    <m/>
    <m/>
    <n v="7.0000000000000007E-2"/>
    <n v="0.749"/>
    <n v="0.49"/>
    <n v="500"/>
    <m/>
    <m/>
    <m/>
    <m/>
    <m/>
    <m/>
    <n v="500"/>
    <n v="29000"/>
    <n v="0"/>
    <n v="29000"/>
    <n v="7681.5"/>
  </r>
  <r>
    <x v="15"/>
    <s v="KUKDONG"/>
    <s v="VIETNAM"/>
    <s v="STF24W50951"/>
    <m/>
    <s v="88% POLYAMIDE/12% ELASTANE &quot;COURT STRETCH&quot; 225 GM/M2"/>
    <s v="KNIT"/>
    <s v="6104.43.2010"/>
    <n v="110"/>
    <n v="26.319999999999997"/>
    <n v="21"/>
    <n v="0.16"/>
    <n v="3.36"/>
    <m/>
    <m/>
    <n v="7.0000000000000007E-2"/>
    <n v="1.4700000000000002"/>
    <n v="0.49"/>
    <n v="501"/>
    <n v="17"/>
    <m/>
    <m/>
    <m/>
    <m/>
    <m/>
    <n v="518"/>
    <n v="55110"/>
    <n v="1870"/>
    <n v="56980"/>
    <n v="13186.319999999998"/>
  </r>
  <r>
    <x v="15"/>
    <s v="KUKDONG"/>
    <s v="VIETNAM"/>
    <s v="STF24W50951"/>
    <m/>
    <s v="88% POLYAMIDE/12% ELASTANE &quot;COURT STRETCH&quot; 225 GM/M2"/>
    <s v="KNIT"/>
    <s v="6104.43.2010"/>
    <n v="110"/>
    <n v="26.319999999999997"/>
    <n v="21"/>
    <n v="0.16"/>
    <n v="3.36"/>
    <m/>
    <m/>
    <n v="7.0000000000000007E-2"/>
    <n v="1.4700000000000002"/>
    <n v="0.49"/>
    <n v="501"/>
    <n v="12"/>
    <m/>
    <m/>
    <m/>
    <m/>
    <m/>
    <n v="513"/>
    <n v="55110"/>
    <n v="1320"/>
    <n v="56430"/>
    <n v="13186.319999999998"/>
  </r>
  <r>
    <x v="15"/>
    <s v="KUKDONG"/>
    <s v="VIETNAM"/>
    <s v="STF24W50951"/>
    <m/>
    <s v="88% POLYAMIDE/12% ELASTANE &quot;COURT STRETCH&quot; 225 GM/M2"/>
    <s v="KNIT"/>
    <s v="6104.43.2010"/>
    <n v="110"/>
    <n v="26.443000000000001"/>
    <n v="21.1"/>
    <n v="0.16"/>
    <n v="3.3760000000000003"/>
    <m/>
    <m/>
    <n v="7.0000000000000007E-2"/>
    <n v="1.4770000000000003"/>
    <n v="0.49"/>
    <n v="501"/>
    <n v="21"/>
    <m/>
    <m/>
    <m/>
    <m/>
    <m/>
    <n v="522"/>
    <n v="55110"/>
    <n v="2310"/>
    <n v="57420"/>
    <n v="13247.943000000001"/>
  </r>
  <r>
    <x v="15"/>
    <s v="KUKDONG"/>
    <s v="VIETNAM"/>
    <s v="STF24W50987"/>
    <m/>
    <s v="88% POLYAMIDE/12% ELASTANE &quot;COURT STRETCH&quot; 225 GM/M2"/>
    <s v="KNIT"/>
    <s v="6104.43.2010"/>
    <n v="125"/>
    <n v="34.930000000000007"/>
    <n v="28"/>
    <n v="0.16"/>
    <n v="4.4800000000000004"/>
    <m/>
    <m/>
    <n v="7.0000000000000007E-2"/>
    <n v="1.9600000000000002"/>
    <n v="0.49"/>
    <n v="501"/>
    <n v="12"/>
    <m/>
    <m/>
    <m/>
    <m/>
    <m/>
    <n v="513"/>
    <n v="62625"/>
    <n v="1500"/>
    <n v="64125"/>
    <n v="17499.930000000004"/>
  </r>
  <r>
    <x v="3"/>
    <s v="MEGA"/>
    <s v="CHINA"/>
    <s v="STF24W50980"/>
    <m/>
    <s v="60% COTTON/40% POLYESTER JERSEY 230 GM/M2"/>
    <s v="KNIT"/>
    <s v="6109.10.0012"/>
    <n v="68"/>
    <n v="14.899999999999999"/>
    <n v="11"/>
    <n v="0.16500000000000001"/>
    <n v="1.8150000000000002"/>
    <n v="7.4999999999999997E-2"/>
    <n v="0.82499999999999996"/>
    <n v="7.0000000000000007E-2"/>
    <n v="0.77"/>
    <n v="0.49"/>
    <n v="152"/>
    <n v="94"/>
    <m/>
    <m/>
    <m/>
    <m/>
    <m/>
    <n v="246"/>
    <n v="10336"/>
    <n v="6392"/>
    <n v="16728"/>
    <n v="2264.7999999999997"/>
  </r>
  <r>
    <x v="3"/>
    <s v="MEGA"/>
    <s v="CHINA"/>
    <s v="STF24W50980"/>
    <m/>
    <s v="60% COTTON/40% POLYESTER JERSEY 230 GM/M2"/>
    <s v="KNIT"/>
    <s v="6109.10.0012"/>
    <n v="68"/>
    <n v="14.899999999999999"/>
    <n v="11"/>
    <n v="0.16500000000000001"/>
    <n v="1.8150000000000002"/>
    <n v="7.4999999999999997E-2"/>
    <n v="0.82499999999999996"/>
    <n v="7.0000000000000007E-2"/>
    <n v="0.77"/>
    <n v="0.49"/>
    <n v="152"/>
    <n v="158"/>
    <m/>
    <m/>
    <m/>
    <m/>
    <m/>
    <n v="310"/>
    <n v="10336"/>
    <n v="10744"/>
    <n v="21080"/>
    <n v="2264.7999999999997"/>
  </r>
  <r>
    <x v="0"/>
    <s v="MEGA"/>
    <s v="CHINA"/>
    <s v="STF24W51002"/>
    <m/>
    <s v="75% POLYESTER/20% RAYON/5% SPANDEX COURT RIB 300 GM/M2"/>
    <s v="KNIT"/>
    <s v="6106.20.2010"/>
    <n v="78"/>
    <n v="14.187749999999999"/>
    <n v="9.35"/>
    <n v="0.32"/>
    <n v="2.992"/>
    <n v="7.4999999999999997E-2"/>
    <n v="0.70124999999999993"/>
    <n v="7.0000000000000007E-2"/>
    <n v="0.65450000000000008"/>
    <n v="0.49"/>
    <n v="200"/>
    <n v="23"/>
    <m/>
    <m/>
    <m/>
    <m/>
    <m/>
    <n v="223"/>
    <n v="15600"/>
    <n v="1794"/>
    <n v="17394"/>
    <n v="2837.5499999999997"/>
  </r>
  <r>
    <x v="16"/>
    <s v="MEGA"/>
    <s v="CHINA"/>
    <s v="STF24W51003"/>
    <m/>
    <s v="90% POLYESTER/10% SPANDEX POLY POPLIN 110 GM/M2_x000a_INNER SHORT: 88% POLYESTER/12% SPANDEX JERSEY"/>
    <s v="WOVEN"/>
    <s v="6204.63.9032"/>
    <n v="78"/>
    <n v="18.470199999999998"/>
    <n v="12.6"/>
    <n v="0.28199999999999997"/>
    <n v="3.5531999999999995"/>
    <n v="7.4999999999999997E-2"/>
    <n v="0.94499999999999995"/>
    <n v="7.0000000000000007E-2"/>
    <n v="0.88200000000000001"/>
    <n v="0.49"/>
    <n v="200"/>
    <n v="38"/>
    <m/>
    <m/>
    <m/>
    <m/>
    <m/>
    <n v="238"/>
    <n v="15600"/>
    <n v="2964"/>
    <n v="18564"/>
    <n v="3694.0399999999995"/>
  </r>
  <r>
    <x v="0"/>
    <s v="MEGA"/>
    <s v="CHINA"/>
    <s v="STF24W51002"/>
    <m/>
    <s v="75% POLYESTER/20% RAYON/5% SPANDEX COURT RIB 300 GM/M2"/>
    <s v="KNIT"/>
    <s v="6106.20.2010"/>
    <n v="78"/>
    <n v="14.187749999999999"/>
    <n v="9.35"/>
    <n v="0.32"/>
    <n v="2.992"/>
    <n v="7.4999999999999997E-2"/>
    <n v="0.70124999999999993"/>
    <n v="7.0000000000000007E-2"/>
    <n v="0.65450000000000008"/>
    <n v="0.49"/>
    <n v="200"/>
    <n v="51"/>
    <m/>
    <m/>
    <m/>
    <m/>
    <m/>
    <n v="251"/>
    <n v="15600"/>
    <n v="3978"/>
    <n v="19578"/>
    <n v="2837.5499999999997"/>
  </r>
  <r>
    <x v="16"/>
    <s v="MEGA"/>
    <s v="CHINA"/>
    <s v="STF24W51003"/>
    <m/>
    <s v="90% POLYESTER/10% SPANDEX POLY POPLIN 110 GM/M2_x000a_INNER SHORT: 88% POLYESTER/12% SPANDEX JERSEY"/>
    <s v="WOVEN"/>
    <s v="6204.63.9032"/>
    <n v="78"/>
    <n v="18.470199999999998"/>
    <n v="12.6"/>
    <n v="0.28199999999999997"/>
    <n v="3.5531999999999995"/>
    <n v="7.4999999999999997E-2"/>
    <n v="0.94499999999999995"/>
    <n v="7.0000000000000007E-2"/>
    <n v="0.88200000000000001"/>
    <n v="0.49"/>
    <n v="200"/>
    <n v="54"/>
    <m/>
    <m/>
    <m/>
    <m/>
    <m/>
    <n v="254"/>
    <n v="15600"/>
    <n v="4212"/>
    <n v="19812"/>
    <n v="3694.0399999999995"/>
  </r>
  <r>
    <x v="15"/>
    <s v="HESRRO"/>
    <s v="CHINA"/>
    <s v="STF24W50986"/>
    <m/>
    <s v="100% POLYESTER TRACK TWILL 220 GM/M2"/>
    <s v="KNIT"/>
    <s v="6104.43.2010"/>
    <n v="135"/>
    <n v="21.761500000000002"/>
    <n v="16.3"/>
    <n v="0.16"/>
    <n v="2.6080000000000001"/>
    <n v="7.4999999999999997E-2"/>
    <n v="1.2224999999999999"/>
    <n v="7.0000000000000007E-2"/>
    <n v="1.1410000000000002"/>
    <n v="0.49"/>
    <n v="252"/>
    <m/>
    <m/>
    <m/>
    <m/>
    <m/>
    <m/>
    <n v="252"/>
    <n v="34020"/>
    <n v="0"/>
    <n v="34020"/>
    <n v="5483.8980000000001"/>
  </r>
  <r>
    <x v="15"/>
    <s v="HESRRO"/>
    <s v="CHINA"/>
    <s v="STF24W50986"/>
    <m/>
    <s v="100% POLYESTER TRACK TWILL 220 GM/M2"/>
    <s v="KNIT"/>
    <s v="6104.43.2010"/>
    <n v="135"/>
    <n v="21.761500000000002"/>
    <n v="16.3"/>
    <n v="0.16"/>
    <n v="2.6080000000000001"/>
    <n v="7.4999999999999997E-2"/>
    <n v="1.2224999999999999"/>
    <n v="7.0000000000000007E-2"/>
    <n v="1.1410000000000002"/>
    <n v="0.49"/>
    <n v="252"/>
    <m/>
    <m/>
    <m/>
    <m/>
    <m/>
    <m/>
    <n v="252"/>
    <n v="34020"/>
    <n v="0"/>
    <n v="34020"/>
    <n v="5483.8980000000001"/>
  </r>
  <r>
    <x v="4"/>
    <s v="HESRRO"/>
    <s v="CHINA"/>
    <s v="STF24W50990"/>
    <m/>
    <s v="100% POLYESTER TRACK TWILL 220 GM/M2"/>
    <s v="KNIT"/>
    <s v="6112.12.0020"/>
    <n v="125"/>
    <n v="25.890599999999999"/>
    <n v="17.8"/>
    <n v="0.28199999999999997"/>
    <n v="5.0195999999999996"/>
    <n v="7.4999999999999997E-2"/>
    <n v="1.335"/>
    <n v="7.0000000000000007E-2"/>
    <n v="1.2460000000000002"/>
    <n v="0.49"/>
    <n v="251"/>
    <n v="5"/>
    <m/>
    <m/>
    <m/>
    <m/>
    <n v="8"/>
    <n v="264"/>
    <n v="31375"/>
    <n v="1625"/>
    <n v="33000"/>
    <n v="6498.5405999999994"/>
  </r>
  <r>
    <x v="5"/>
    <s v="HESRRO"/>
    <s v="CHINA"/>
    <s v="STF24W50991"/>
    <m/>
    <s v="100% POLYESTER TRACK TWILL 220 GM/M2"/>
    <s v="KNIT"/>
    <s v="6112.12.0060"/>
    <n v="110"/>
    <n v="21.6096"/>
    <n v="14.8"/>
    <n v="0.28199999999999997"/>
    <n v="4.1735999999999995"/>
    <n v="7.4999999999999997E-2"/>
    <n v="1.1100000000000001"/>
    <n v="7.0000000000000007E-2"/>
    <n v="1.0360000000000003"/>
    <n v="0.49"/>
    <n v="251"/>
    <m/>
    <m/>
    <m/>
    <m/>
    <m/>
    <n v="8"/>
    <n v="259"/>
    <n v="27610"/>
    <n v="880"/>
    <n v="28490"/>
    <n v="5424.0096000000003"/>
  </r>
  <r>
    <x v="4"/>
    <s v="HESRRO"/>
    <s v="CHINA"/>
    <s v="STF24W50990"/>
    <m/>
    <s v="100% POLYESTER TRACK TWILL 220 GM/M2"/>
    <s v="KNIT"/>
    <s v="6112.12.0020"/>
    <n v="125"/>
    <n v="25.890599999999999"/>
    <n v="17.8"/>
    <n v="0.28199999999999997"/>
    <n v="5.0195999999999996"/>
    <n v="7.4999999999999997E-2"/>
    <n v="1.335"/>
    <n v="7.0000000000000007E-2"/>
    <n v="1.2460000000000002"/>
    <n v="0.49"/>
    <n v="251"/>
    <m/>
    <m/>
    <m/>
    <m/>
    <m/>
    <n v="8"/>
    <n v="259"/>
    <n v="31375"/>
    <n v="1000"/>
    <n v="32375"/>
    <n v="6498.5405999999994"/>
  </r>
  <r>
    <x v="5"/>
    <s v="HESRRO"/>
    <s v="CHINA"/>
    <s v="STF24W50991"/>
    <m/>
    <s v="100% POLYESTER TRACK TWILL 220 GM/M2"/>
    <s v="KNIT"/>
    <s v="6112.12.0060"/>
    <n v="110"/>
    <n v="21.6096"/>
    <n v="14.8"/>
    <n v="0.28199999999999997"/>
    <n v="4.1735999999999995"/>
    <n v="7.4999999999999997E-2"/>
    <n v="1.1100000000000001"/>
    <n v="7.0000000000000007E-2"/>
    <n v="1.0360000000000003"/>
    <n v="0.49"/>
    <n v="251"/>
    <m/>
    <m/>
    <m/>
    <m/>
    <m/>
    <n v="8"/>
    <n v="259"/>
    <n v="27610"/>
    <n v="880"/>
    <n v="28490"/>
    <n v="5424.0096000000003"/>
  </r>
  <r>
    <x v="4"/>
    <s v="HESRRO"/>
    <s v="CHINA"/>
    <s v="STF24W50952"/>
    <m/>
    <s v="100% POLYESTER MESH 105 GM/M2"/>
    <s v="KNIT"/>
    <s v="6112.12.0020"/>
    <n v="14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251"/>
    <n v="13"/>
    <m/>
    <m/>
    <m/>
    <m/>
    <n v="4"/>
    <n v="268"/>
    <n v="36395"/>
    <n v="2465"/>
    <n v="38860"/>
    <n v="7770.0689499999989"/>
  </r>
  <r>
    <x v="4"/>
    <s v="HESRRO"/>
    <s v="CHINA"/>
    <s v="STF24W50952"/>
    <m/>
    <s v="100% POLYESTER MESH 105 GM/M2"/>
    <s v="KNIT"/>
    <s v="6112.12.0020"/>
    <n v="14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251"/>
    <n v="10"/>
    <m/>
    <m/>
    <m/>
    <m/>
    <n v="4"/>
    <n v="265"/>
    <n v="36395"/>
    <n v="2030"/>
    <n v="38425"/>
    <n v="7770.0689499999989"/>
  </r>
  <r>
    <x v="4"/>
    <s v="HESRRO"/>
    <s v="CHINA"/>
    <s v="STF24W50887"/>
    <m/>
    <s v="60% POLYESTER/40% COTTON DOUBLE KNIT 280 GM/M2"/>
    <s v="KNIT"/>
    <s v="6112.12.0020"/>
    <n v="125"/>
    <n v="20.71059"/>
    <n v="14.17"/>
    <n v="0.28199999999999997"/>
    <n v="3.9959399999999996"/>
    <n v="7.4999999999999997E-2"/>
    <n v="1.0627499999999999"/>
    <n v="7.0000000000000007E-2"/>
    <n v="0.99190000000000011"/>
    <n v="0.49"/>
    <n v="200"/>
    <n v="8"/>
    <m/>
    <m/>
    <m/>
    <m/>
    <n v="8"/>
    <n v="216"/>
    <n v="25000"/>
    <n v="2000"/>
    <n v="27000"/>
    <n v="4142.1180000000004"/>
  </r>
  <r>
    <x v="5"/>
    <s v="HESRRO"/>
    <s v="CHINA"/>
    <s v="STF24W50888"/>
    <m/>
    <s v="60% POLYESTER/40% COTTON DOUBLE KNIT 280 GM/M2"/>
    <s v="KNIT"/>
    <s v="6112.12.0060"/>
    <n v="110"/>
    <n v="23.321999999999999"/>
    <n v="16"/>
    <n v="0.28199999999999997"/>
    <n v="4.5119999999999996"/>
    <n v="7.4999999999999997E-2"/>
    <n v="1.2"/>
    <n v="7.0000000000000007E-2"/>
    <n v="1.1200000000000001"/>
    <n v="0.49"/>
    <n v="200"/>
    <n v="8"/>
    <m/>
    <m/>
    <m/>
    <m/>
    <n v="8"/>
    <n v="216"/>
    <n v="22000"/>
    <n v="1760"/>
    <n v="23760"/>
    <n v="4664.3999999999996"/>
  </r>
  <r>
    <x v="4"/>
    <s v="HESRRO"/>
    <s v="CHINA"/>
    <s v="STF24W50887"/>
    <m/>
    <s v="60% POLYESTER/40% COTTON DOUBLE KNIT 280 GM/M2"/>
    <s v="KNIT"/>
    <s v="6112.12.0020"/>
    <n v="125"/>
    <n v="20.71059"/>
    <n v="14.17"/>
    <n v="0.28199999999999997"/>
    <n v="3.9959399999999996"/>
    <n v="7.4999999999999997E-2"/>
    <n v="1.0627499999999999"/>
    <n v="7.0000000000000007E-2"/>
    <n v="0.99190000000000011"/>
    <n v="0.49"/>
    <n v="251"/>
    <m/>
    <n v="25"/>
    <m/>
    <m/>
    <m/>
    <n v="8"/>
    <n v="284"/>
    <n v="31375"/>
    <n v="4125"/>
    <n v="35500"/>
    <n v="5198.3580899999997"/>
  </r>
  <r>
    <x v="5"/>
    <s v="HESRRO"/>
    <s v="CHINA"/>
    <s v="STF24W50888"/>
    <m/>
    <s v="60% POLYESTER/40% COTTON DOUBLE KNIT 280 GM/M2"/>
    <s v="KNIT"/>
    <s v="6112.12.0060"/>
    <n v="110"/>
    <n v="23.321999999999999"/>
    <n v="16"/>
    <n v="0.28199999999999997"/>
    <n v="4.5119999999999996"/>
    <n v="7.4999999999999997E-2"/>
    <n v="1.2"/>
    <n v="7.0000000000000007E-2"/>
    <n v="1.1200000000000001"/>
    <n v="0.49"/>
    <n v="251"/>
    <m/>
    <n v="25"/>
    <m/>
    <m/>
    <m/>
    <n v="8"/>
    <n v="284"/>
    <n v="27610"/>
    <n v="3630"/>
    <n v="31240"/>
    <n v="5853.8220000000001"/>
  </r>
  <r>
    <x v="17"/>
    <s v="HESRRO"/>
    <s v="CHINA"/>
    <s v="STF24W51022"/>
    <m/>
    <s v="_x000a_100% COTTON FRENCH TERRY 360 GM/M2"/>
    <s v="KNIT"/>
    <s v="6110.20.2079"/>
    <n v="125"/>
    <n v="25.510999999999999"/>
    <n v="19.100000000000001"/>
    <n v="0.16500000000000001"/>
    <n v="3.1515000000000004"/>
    <n v="7.4999999999999997E-2"/>
    <n v="1.4325000000000001"/>
    <n v="7.0000000000000007E-2"/>
    <n v="1.3370000000000002"/>
    <n v="0.49"/>
    <n v="200"/>
    <m/>
    <m/>
    <m/>
    <m/>
    <m/>
    <m/>
    <n v="200"/>
    <n v="25000"/>
    <n v="0"/>
    <n v="25000"/>
    <n v="5102.2"/>
  </r>
  <r>
    <x v="18"/>
    <s v="HESRRO"/>
    <s v="CHINA"/>
    <s v="STF24W51023"/>
    <m/>
    <s v="_x000a_100% COTTON FRENCH TERRY 360 GM/M2"/>
    <s v="KNIT"/>
    <s v="6104.62.2011"/>
    <n v="125"/>
    <n v="25.248999999999999"/>
    <n v="18.899999999999999"/>
    <n v="0.16500000000000001"/>
    <n v="3.1185"/>
    <n v="7.4999999999999997E-2"/>
    <n v="1.4174999999999998"/>
    <n v="7.0000000000000007E-2"/>
    <n v="1.323"/>
    <n v="0.49"/>
    <n v="200"/>
    <m/>
    <m/>
    <m/>
    <m/>
    <m/>
    <m/>
    <n v="200"/>
    <n v="25000"/>
    <n v="0"/>
    <n v="25000"/>
    <n v="5049.8"/>
  </r>
  <r>
    <x v="17"/>
    <s v="HESRRO"/>
    <s v="CHINA"/>
    <s v="STF24W51022"/>
    <m/>
    <s v="_x000a_100% COTTON FRENCH TERRY 360 GM/M2"/>
    <s v="KNIT"/>
    <s v="6110.20.2079"/>
    <n v="125"/>
    <n v="25.510999999999999"/>
    <n v="19.100000000000001"/>
    <n v="0.16500000000000001"/>
    <n v="3.1515000000000004"/>
    <n v="7.4999999999999997E-2"/>
    <n v="1.4325000000000001"/>
    <n v="7.0000000000000007E-2"/>
    <n v="1.3370000000000002"/>
    <n v="0.49"/>
    <n v="200"/>
    <m/>
    <n v="100"/>
    <m/>
    <m/>
    <m/>
    <m/>
    <n v="300"/>
    <n v="25000"/>
    <n v="12500"/>
    <n v="37500"/>
    <n v="5102.2"/>
  </r>
  <r>
    <x v="18"/>
    <s v="HESRRO"/>
    <s v="CHINA"/>
    <s v="STF24W51023"/>
    <m/>
    <s v="_x000a_100% COTTON FRENCH TERRY 360 GM/M2"/>
    <s v="KNIT"/>
    <s v="6104.62.2011"/>
    <n v="125"/>
    <n v="25.248999999999999"/>
    <n v="18.899999999999999"/>
    <n v="0.16500000000000001"/>
    <n v="3.1185"/>
    <n v="7.4999999999999997E-2"/>
    <n v="1.4174999999999998"/>
    <n v="7.0000000000000007E-2"/>
    <n v="1.323"/>
    <n v="0.49"/>
    <n v="200"/>
    <m/>
    <n v="100"/>
    <m/>
    <m/>
    <m/>
    <m/>
    <n v="300"/>
    <n v="25000"/>
    <n v="12500"/>
    <n v="37500"/>
    <n v="5049.8"/>
  </r>
  <r>
    <x v="6"/>
    <s v="HESRRO"/>
    <s v="CHINA"/>
    <s v="STF24W51024"/>
    <m/>
    <s v=" 53% POLYESTER/45% RAYON/2% SPANDEX JERSEY QUILT 300 GM/M2"/>
    <s v="KNIT"/>
    <s v="6112.12.0020"/>
    <n v="12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00"/>
    <n v="15"/>
    <m/>
    <m/>
    <m/>
    <m/>
    <m/>
    <n v="215"/>
    <n v="25000"/>
    <n v="1875"/>
    <n v="26875"/>
    <n v="5663.2999999999993"/>
  </r>
  <r>
    <x v="18"/>
    <s v="HESRRO"/>
    <s v="CHINA"/>
    <s v="STF24W50985"/>
    <m/>
    <s v=" 53% POLYESTER/45% RAYON/2% SPANDEX JERSEY QUILT 300 GM/M2"/>
    <s v="KNIT"/>
    <s v="6112.12.0060"/>
    <n v="110"/>
    <n v="25.048669999999998"/>
    <n v="17.21"/>
    <n v="0.28199999999999997"/>
    <n v="4.8532199999999994"/>
    <n v="7.4999999999999997E-2"/>
    <n v="1.2907500000000001"/>
    <n v="7.0000000000000007E-2"/>
    <n v="1.2047000000000001"/>
    <n v="0.49"/>
    <n v="200"/>
    <n v="10"/>
    <m/>
    <m/>
    <m/>
    <m/>
    <m/>
    <n v="210"/>
    <n v="22000"/>
    <n v="1100"/>
    <n v="23100"/>
    <n v="5009.7339999999995"/>
  </r>
  <r>
    <x v="6"/>
    <s v="HESRRO"/>
    <s v="CHINA"/>
    <s v="STF24W51024"/>
    <m/>
    <s v=" 53% POLYESTER/45% RAYON/2% SPANDEX JERSEY QUILT 300 GM/M2"/>
    <s v="KNIT"/>
    <s v="6112.12.0020"/>
    <n v="125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00"/>
    <n v="111"/>
    <m/>
    <m/>
    <m/>
    <m/>
    <m/>
    <n v="311"/>
    <n v="25000"/>
    <n v="13875"/>
    <n v="38875"/>
    <n v="5663.2999999999993"/>
  </r>
  <r>
    <x v="18"/>
    <s v="HESRRO"/>
    <s v="CHINA"/>
    <s v="STF24W50985"/>
    <m/>
    <s v=" 53% POLYESTER/45% RAYON/2% SPANDEX JERSEY QUILT 300 GM/M2"/>
    <s v="KNIT"/>
    <s v="6112.12.0060"/>
    <n v="110"/>
    <n v="25.048669999999998"/>
    <n v="17.21"/>
    <n v="0.28199999999999997"/>
    <n v="4.8532199999999994"/>
    <n v="7.4999999999999997E-2"/>
    <n v="1.2907500000000001"/>
    <n v="7.0000000000000007E-2"/>
    <n v="1.2047000000000001"/>
    <n v="0.49"/>
    <n v="200"/>
    <n v="111"/>
    <m/>
    <m/>
    <m/>
    <m/>
    <m/>
    <n v="311"/>
    <n v="22000"/>
    <n v="12210"/>
    <n v="34210"/>
    <n v="5009.7339999999995"/>
  </r>
  <r>
    <x v="9"/>
    <s v="HESRRO"/>
    <s v="CHINA"/>
    <s v="STF24W50970"/>
    <m/>
    <s v="100% SHINY NYLON 100 GM/M2              "/>
    <s v="WOVEN"/>
    <s v="6202.40.7511"/>
    <n v="225"/>
    <n v="38.172999999999995"/>
    <n v="26.5"/>
    <n v="0.27700000000000002"/>
    <n v="7.3405000000000005"/>
    <n v="7.4999999999999997E-2"/>
    <n v="1.9874999999999998"/>
    <n v="7.0000000000000007E-2"/>
    <n v="1.8550000000000002"/>
    <n v="0.49"/>
    <n v="200"/>
    <m/>
    <m/>
    <m/>
    <m/>
    <m/>
    <m/>
    <n v="200"/>
    <n v="45000"/>
    <n v="0"/>
    <n v="45000"/>
    <n v="7634.5999999999985"/>
  </r>
  <r>
    <x v="9"/>
    <s v="HESRRO"/>
    <s v="CHINA"/>
    <s v="STF24W50969"/>
    <m/>
    <s v="100% POLYESTER PEACHED 190 GM/M2"/>
    <s v="WOVEN"/>
    <s v="6202.40.7511"/>
    <n v="295"/>
    <n v="48.198100000000004"/>
    <n v="33.549999999999997"/>
    <n v="0.27700000000000002"/>
    <n v="9.2933500000000002"/>
    <n v="7.4999999999999997E-2"/>
    <n v="2.5162499999999999"/>
    <n v="7.0000000000000007E-2"/>
    <n v="2.3485"/>
    <n v="0.49"/>
    <n v="151"/>
    <m/>
    <m/>
    <m/>
    <m/>
    <m/>
    <m/>
    <n v="151"/>
    <n v="44545"/>
    <n v="0"/>
    <n v="44545"/>
    <n v="7277.9131000000007"/>
  </r>
  <r>
    <x v="3"/>
    <s v="SARA"/>
    <s v="BANGLADESH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252"/>
    <n v="11"/>
    <m/>
    <m/>
    <m/>
    <m/>
    <m/>
    <n v="263"/>
    <n v="12096"/>
    <n v="528"/>
    <n v="12624"/>
    <n v="1912.9950000000001"/>
  </r>
  <r>
    <x v="3"/>
    <s v="SARA"/>
    <s v="BANGLADESH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152"/>
    <n v="150"/>
    <m/>
    <m/>
    <m/>
    <m/>
    <m/>
    <n v="302"/>
    <n v="7296"/>
    <n v="7200"/>
    <n v="14496"/>
    <n v="1153.8700000000001"/>
  </r>
  <r>
    <x v="3"/>
    <s v="SARA"/>
    <s v="BANGLADESH"/>
    <s v="STF24W50943"/>
    <m/>
    <s v="100% COTTON JERSEY 250 GM/M2"/>
    <s v="KNIT"/>
    <s v="6109.10.0012"/>
    <n v="48"/>
    <n v="7.5912500000000005"/>
    <n v="5.75"/>
    <n v="0.16500000000000001"/>
    <n v="0.94875000000000009"/>
    <m/>
    <m/>
    <n v="7.0000000000000007E-2"/>
    <n v="0.40250000000000002"/>
    <n v="0.49"/>
    <n v="252"/>
    <n v="34"/>
    <m/>
    <m/>
    <m/>
    <m/>
    <m/>
    <n v="286"/>
    <n v="12096"/>
    <n v="1632"/>
    <n v="13728"/>
    <n v="1912.9950000000001"/>
  </r>
  <r>
    <x v="4"/>
    <s v="PORTA ASIATACA"/>
    <s v="CHINA"/>
    <s v="STF24W50958"/>
    <m/>
    <s v="55% TENCEL/43% POLYESTER/2% SPANDEX BLEND 150 GM/M2_x000a_"/>
    <s v="WOVEN"/>
    <s v="6202.40.7511"/>
    <n v="225"/>
    <n v="47.344900000000003"/>
    <n v="32.950000000000003"/>
    <n v="0.27700000000000002"/>
    <n v="9.1271500000000021"/>
    <n v="7.4999999999999997E-2"/>
    <n v="2.4712499999999999"/>
    <n v="7.0000000000000007E-2"/>
    <n v="2.3065000000000002"/>
    <n v="0.49"/>
    <n v="200"/>
    <m/>
    <m/>
    <m/>
    <m/>
    <m/>
    <m/>
    <n v="200"/>
    <n v="45000"/>
    <n v="0"/>
    <n v="45000"/>
    <n v="9468.9800000000014"/>
  </r>
  <r>
    <x v="5"/>
    <s v="PORTA ASIATACA"/>
    <s v="CHINA"/>
    <s v="STF24W50959"/>
    <m/>
    <s v="55% TENCEL/43% POLYESTER/2% SPANDEX BLEND 150 GM/M2_x000a_"/>
    <s v="WOVEN"/>
    <s v="6204.63.9010"/>
    <n v="175"/>
    <n v="34.594799999999999"/>
    <n v="23.95"/>
    <n v="0.27900000000000003"/>
    <n v="6.6820500000000003"/>
    <n v="7.4999999999999997E-2"/>
    <n v="1.7962499999999999"/>
    <n v="7.0000000000000007E-2"/>
    <n v="1.6765000000000001"/>
    <n v="0.49"/>
    <n v="200"/>
    <m/>
    <m/>
    <m/>
    <m/>
    <m/>
    <m/>
    <n v="200"/>
    <n v="35000"/>
    <n v="0"/>
    <n v="35000"/>
    <n v="6918.96"/>
  </r>
  <r>
    <x v="10"/>
    <s v="PORTA ASIATACA"/>
    <s v="CHINA"/>
    <s v="STF24W50983"/>
    <m/>
    <s v="55% TENCEL/43% POLYESTER/2% SPANDEX BLEND  150 GM/M2_x000a_"/>
    <s v="WOVEN"/>
    <s v="6206.40.3035"/>
    <n v="135"/>
    <n v="31.456599999999998"/>
    <n v="21.9"/>
    <n v="0.26900000000000002"/>
    <n v="5.8910999999999998"/>
    <n v="7.4999999999999997E-2"/>
    <n v="1.6424999999999998"/>
    <n v="7.0000000000000007E-2"/>
    <n v="1.5330000000000001"/>
    <n v="0.49"/>
    <n v="200"/>
    <n v="8"/>
    <m/>
    <m/>
    <m/>
    <m/>
    <m/>
    <n v="208"/>
    <n v="27000"/>
    <n v="1080"/>
    <n v="28080"/>
    <n v="6291.32"/>
  </r>
  <r>
    <x v="2"/>
    <s v="PORTA ASIATACA"/>
    <s v="CHINA"/>
    <s v="STF24W50984"/>
    <m/>
    <s v="55% TENCEL/43% POLYESTER/2% SPANDEX BLEND  150 GM/M2_x000a_"/>
    <s v="WOVEN"/>
    <s v="6204.69.2840"/>
    <n v="125"/>
    <n v="29.067069999999998"/>
    <n v="19.97"/>
    <n v="0.28599999999999998"/>
    <n v="5.7114199999999995"/>
    <n v="7.4999999999999997E-2"/>
    <n v="1.4977499999999999"/>
    <n v="7.0000000000000007E-2"/>
    <n v="1.3979000000000001"/>
    <n v="0.49"/>
    <n v="200"/>
    <n v="162"/>
    <m/>
    <m/>
    <m/>
    <m/>
    <m/>
    <n v="362"/>
    <n v="25000"/>
    <n v="20250"/>
    <n v="45250"/>
    <n v="5813.4139999999998"/>
  </r>
  <r>
    <x v="4"/>
    <s v="PORTA ASIATACA"/>
    <s v="CHINA"/>
    <s v="STF24W51015"/>
    <m/>
    <s v="95% POLYESTER/5% SPANDEX BRUSHED DIVER 280 GM/M2"/>
    <s v="KNIT"/>
    <s v="6112.12.0020"/>
    <n v="135"/>
    <n v="28.673249999999996"/>
    <n v="19.75"/>
    <n v="0.28199999999999997"/>
    <n v="5.5694999999999997"/>
    <n v="7.4999999999999997E-2"/>
    <n v="1.48125"/>
    <n v="7.0000000000000007E-2"/>
    <n v="1.3825000000000001"/>
    <n v="0.49"/>
    <n v="251"/>
    <n v="8"/>
    <m/>
    <m/>
    <m/>
    <m/>
    <m/>
    <n v="259"/>
    <n v="33885"/>
    <n v="1080"/>
    <n v="34965"/>
    <n v="7196.9857499999989"/>
  </r>
  <r>
    <x v="5"/>
    <s v="PORTA ASIATACA"/>
    <s v="CHINA"/>
    <s v="STF24W51016"/>
    <m/>
    <s v="95% POLYESTER/5% SPANDEX BRUSHED DIVER 280 GM/M2"/>
    <s v="KNIT"/>
    <s v="6112.12.0060"/>
    <n v="125"/>
    <n v="27.602999999999998"/>
    <n v="19"/>
    <n v="0.28199999999999997"/>
    <n v="5.3579999999999997"/>
    <n v="7.4999999999999997E-2"/>
    <n v="1.425"/>
    <n v="7.0000000000000007E-2"/>
    <n v="1.33"/>
    <n v="0.49"/>
    <n v="251"/>
    <n v="8"/>
    <m/>
    <m/>
    <m/>
    <m/>
    <m/>
    <n v="259"/>
    <n v="31375"/>
    <n v="1000"/>
    <n v="32375"/>
    <n v="6928.3529999999992"/>
  </r>
  <r>
    <x v="4"/>
    <s v="PORTA ASIATACA"/>
    <s v="CHINA"/>
    <s v="STF24W51015"/>
    <m/>
    <s v="95% POLYESTER/5% SPANDEX BRUSHED DIVER 280 GM/M2"/>
    <s v="KNIT"/>
    <s v="6112.12.0020"/>
    <n v="135"/>
    <n v="28.673249999999996"/>
    <n v="19.75"/>
    <n v="0.28199999999999997"/>
    <n v="5.5694999999999997"/>
    <n v="7.4999999999999997E-2"/>
    <n v="1.48125"/>
    <n v="7.0000000000000007E-2"/>
    <n v="1.3825000000000001"/>
    <n v="0.49"/>
    <n v="251"/>
    <m/>
    <m/>
    <m/>
    <m/>
    <m/>
    <m/>
    <n v="251"/>
    <n v="33885"/>
    <n v="0"/>
    <n v="33885"/>
    <n v="7196.9857499999989"/>
  </r>
  <r>
    <x v="5"/>
    <s v="PORTA ASIATACA"/>
    <s v="CHINA"/>
    <s v="STF24W51016"/>
    <m/>
    <s v="95% POLYESTER/5% SPANDEX BRUSHED DIVER 280 GM/M2"/>
    <s v="KNIT"/>
    <s v="6112.12.0060"/>
    <n v="125"/>
    <n v="27.602999999999998"/>
    <n v="19"/>
    <n v="0.28199999999999997"/>
    <n v="5.3579999999999997"/>
    <n v="7.4999999999999997E-2"/>
    <n v="1.425"/>
    <n v="7.0000000000000007E-2"/>
    <n v="1.33"/>
    <n v="0.49"/>
    <n v="251"/>
    <m/>
    <m/>
    <m/>
    <m/>
    <m/>
    <m/>
    <n v="251"/>
    <n v="31375"/>
    <n v="0"/>
    <n v="31375"/>
    <n v="6928.3529999999992"/>
  </r>
  <r>
    <x v="11"/>
    <s v="PORTA ASIATACA"/>
    <s v="CHINA"/>
    <s v="STF24W51017"/>
    <m/>
    <s v="83% DULL VISCOSE/17% ELITE POLYESTER"/>
    <s v="SWEATER                SIZE XS-XL"/>
    <s v="6110.30.3020"/>
    <n v="190"/>
    <n v="47.296750000000003"/>
    <n v="31.95"/>
    <n v="0.32"/>
    <n v="10.224"/>
    <n v="7.4999999999999997E-2"/>
    <n v="2.3962499999999998"/>
    <n v="7.0000000000000007E-2"/>
    <n v="2.2365000000000004"/>
    <n v="0.49"/>
    <n v="252"/>
    <n v="5"/>
    <m/>
    <m/>
    <m/>
    <m/>
    <m/>
    <n v="257"/>
    <n v="47880"/>
    <n v="950"/>
    <n v="48830"/>
    <n v="11918.781000000001"/>
  </r>
  <r>
    <x v="11"/>
    <s v="PORTA ASIATACA"/>
    <s v="CHINA"/>
    <s v="STF24W51018"/>
    <m/>
    <s v="83% DULL VISCOSE/17% ELITE POLYESTER"/>
    <s v="SWEATER                SIZE XS-XL"/>
    <s v="6104.69.2060"/>
    <n v="125"/>
    <n v="34.452599999999997"/>
    <n v="23.8"/>
    <n v="0.28199999999999997"/>
    <n v="6.7115999999999998"/>
    <n v="7.4999999999999997E-2"/>
    <n v="1.7849999999999999"/>
    <n v="7.0000000000000007E-2"/>
    <n v="1.6660000000000001"/>
    <n v="0.49"/>
    <n v="251"/>
    <n v="5"/>
    <m/>
    <m/>
    <m/>
    <m/>
    <m/>
    <n v="256"/>
    <n v="31375"/>
    <n v="625"/>
    <n v="32000"/>
    <n v="8647.6025999999983"/>
  </r>
  <r>
    <x v="11"/>
    <s v="PORTA ASIATACA"/>
    <s v="CHINA"/>
    <s v="STF24W51017"/>
    <m/>
    <s v="83% DULL VISCOSE/17% ELITE POLYESTER"/>
    <s v="SWEATER                SIZE XS-XL"/>
    <s v="6110.30.3020"/>
    <n v="190"/>
    <n v="47.296750000000003"/>
    <n v="31.95"/>
    <n v="0.32"/>
    <n v="10.224"/>
    <n v="7.4999999999999997E-2"/>
    <n v="2.3962499999999998"/>
    <n v="7.0000000000000007E-2"/>
    <n v="2.2365000000000004"/>
    <n v="0.49"/>
    <n v="252"/>
    <n v="33"/>
    <m/>
    <m/>
    <m/>
    <m/>
    <m/>
    <n v="285"/>
    <n v="47880"/>
    <n v="6270"/>
    <n v="54150"/>
    <n v="11918.781000000001"/>
  </r>
  <r>
    <x v="11"/>
    <s v="PORTA ASIATACA"/>
    <s v="CHINA"/>
    <s v="STF24W51018"/>
    <m/>
    <s v="83% DULL VISCOSE/17% ELITE POLYESTER"/>
    <s v="SWEATER                SIZE XS-XL"/>
    <s v="6104.69.2060"/>
    <n v="125"/>
    <n v="34.452599999999997"/>
    <n v="23.8"/>
    <n v="0.28199999999999997"/>
    <n v="6.7115999999999998"/>
    <n v="7.4999999999999997E-2"/>
    <n v="1.7849999999999999"/>
    <n v="7.0000000000000007E-2"/>
    <n v="1.6660000000000001"/>
    <n v="0.49"/>
    <n v="251"/>
    <n v="9"/>
    <m/>
    <m/>
    <m/>
    <m/>
    <m/>
    <n v="260"/>
    <n v="31375"/>
    <n v="1125"/>
    <n v="32500"/>
    <n v="8647.6025999999983"/>
  </r>
  <r>
    <x v="4"/>
    <s v="PORTA ASIATACA"/>
    <s v="CHINA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300"/>
    <n v="8"/>
    <m/>
    <m/>
    <m/>
    <m/>
    <n v="8"/>
    <n v="316"/>
    <n v="45000"/>
    <n v="2400"/>
    <n v="47400"/>
    <n v="8709"/>
  </r>
  <r>
    <x v="5"/>
    <s v="PORTA ASIATACA"/>
    <s v="CHINA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8"/>
    <m/>
    <m/>
    <m/>
    <m/>
    <n v="8"/>
    <n v="316"/>
    <n v="37500"/>
    <n v="2000"/>
    <n v="39500"/>
    <n v="7424.7"/>
  </r>
  <r>
    <x v="4"/>
    <s v="PORTA ASIATACA"/>
    <s v="CHINA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300"/>
    <n v="14"/>
    <m/>
    <m/>
    <m/>
    <m/>
    <n v="8"/>
    <n v="322"/>
    <n v="45000"/>
    <n v="3300"/>
    <n v="48300"/>
    <n v="8709"/>
  </r>
  <r>
    <x v="5"/>
    <s v="PORTA ASIATACA"/>
    <s v="CHINA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14"/>
    <m/>
    <m/>
    <m/>
    <m/>
    <n v="8"/>
    <n v="322"/>
    <n v="37500"/>
    <n v="2750"/>
    <n v="40250"/>
    <n v="7424.7"/>
  </r>
  <r>
    <x v="4"/>
    <s v="PORTA ASIATACA"/>
    <s v="CHINA"/>
    <s v="STF24W51006"/>
    <m/>
    <s v="93% POLYESTER/7% SPANDEX VELOUR 300 GM/M2"/>
    <s v="KNIT"/>
    <s v="6112.12.0020"/>
    <n v="150"/>
    <n v="29.029999999999998"/>
    <n v="20"/>
    <n v="0.28199999999999997"/>
    <n v="5.64"/>
    <n v="7.4999999999999997E-2"/>
    <n v="1.5"/>
    <n v="7.0000000000000007E-2"/>
    <n v="1.4000000000000001"/>
    <n v="0.49"/>
    <n v="251"/>
    <n v="8"/>
    <m/>
    <m/>
    <m/>
    <m/>
    <n v="8"/>
    <n v="267"/>
    <n v="37650"/>
    <n v="2400"/>
    <n v="40050"/>
    <n v="7286.53"/>
  </r>
  <r>
    <x v="5"/>
    <s v="PORTA ASIATACA"/>
    <s v="CHINA"/>
    <s v="STF24W51007"/>
    <m/>
    <s v="93% POLYESTER/7% SPANDEX VELOUR 300 GM/M2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251"/>
    <n v="8"/>
    <m/>
    <m/>
    <m/>
    <m/>
    <n v="8"/>
    <n v="267"/>
    <n v="31375"/>
    <n v="2000"/>
    <n v="33375"/>
    <n v="6211.9989999999998"/>
  </r>
  <r>
    <x v="1"/>
    <s v="PORTA ASIATACA"/>
    <s v="CHINA"/>
    <s v="STF24W51008"/>
    <m/>
    <s v="93% POLYESTER/7% SPANDEX VELOUR 300 GM/M2"/>
    <s v="KNIT"/>
    <s v="6106.20.2010"/>
    <n v="118"/>
    <n v="23.93"/>
    <n v="16"/>
    <n v="0.32"/>
    <n v="5.12"/>
    <n v="7.4999999999999997E-2"/>
    <n v="1.2"/>
    <n v="7.0000000000000007E-2"/>
    <n v="1.1200000000000001"/>
    <n v="0.49"/>
    <n v="300"/>
    <m/>
    <m/>
    <m/>
    <m/>
    <m/>
    <n v="8"/>
    <n v="308"/>
    <n v="35400"/>
    <n v="944"/>
    <n v="36344"/>
    <n v="7179"/>
  </r>
  <r>
    <x v="19"/>
    <s v="PORTA ASIATACA"/>
    <s v="CHINA"/>
    <s v="STF24W51009"/>
    <m/>
    <s v="92% POLYESTER/7% SPANDEX VELOUR 300 GM/M2_x000a_NYLON PLEATS: 92% NYLON/8% SPANDEX 125-130 GM/M2"/>
    <s v="KNIT"/>
    <s v="6104.53.2010"/>
    <n v="88"/>
    <n v="16.149999999999999"/>
    <n v="12"/>
    <n v="0.16"/>
    <n v="1.92"/>
    <n v="7.4999999999999997E-2"/>
    <n v="0.89999999999999991"/>
    <n v="7.0000000000000007E-2"/>
    <n v="0.84000000000000008"/>
    <n v="0.49"/>
    <n v="300"/>
    <m/>
    <m/>
    <m/>
    <m/>
    <m/>
    <n v="8"/>
    <n v="308"/>
    <n v="26400"/>
    <n v="704"/>
    <n v="27104"/>
    <n v="4845"/>
  </r>
  <r>
    <x v="1"/>
    <s v="PORTA ASIATACA"/>
    <s v="CHINA"/>
    <s v="STF24W51008"/>
    <m/>
    <s v="93% POLYESTER/7% SPANDEX VELOUR 300 GM/M2"/>
    <s v="KNIT"/>
    <s v="6106.20.2010"/>
    <n v="118"/>
    <n v="23.93"/>
    <n v="16"/>
    <n v="0.32"/>
    <n v="5.12"/>
    <n v="7.4999999999999997E-2"/>
    <n v="1.2"/>
    <n v="7.0000000000000007E-2"/>
    <n v="1.1200000000000001"/>
    <n v="0.49"/>
    <n v="300"/>
    <m/>
    <m/>
    <m/>
    <m/>
    <m/>
    <n v="8"/>
    <n v="308"/>
    <n v="35400"/>
    <n v="944"/>
    <n v="36344"/>
    <n v="7179"/>
  </r>
  <r>
    <x v="19"/>
    <s v="PORTA ASIATACA"/>
    <s v="CHINA"/>
    <s v="STF24W51009"/>
    <m/>
    <s v="92% POLYESTER/7% SPANDEX VELOUR 300 GM/M2_x000a_NYLON PLEATS: 92% NYLON/8% SPANDEX 125-130 GM/M2"/>
    <s v="KNIT"/>
    <s v="6104.53.2010"/>
    <n v="88"/>
    <n v="16.149999999999999"/>
    <n v="12"/>
    <n v="0.16"/>
    <n v="1.92"/>
    <n v="7.4999999999999997E-2"/>
    <n v="0.89999999999999991"/>
    <n v="7.0000000000000007E-2"/>
    <n v="0.84000000000000008"/>
    <n v="0.49"/>
    <n v="300"/>
    <n v="4"/>
    <m/>
    <m/>
    <m/>
    <m/>
    <n v="8"/>
    <n v="312"/>
    <n v="26400"/>
    <n v="1056"/>
    <n v="27456"/>
    <n v="4845"/>
  </r>
  <r>
    <x v="11"/>
    <s v="PORTA ASIATACA"/>
    <s v="CHINA"/>
    <s v="STF24W51012"/>
    <m/>
    <s v="100% HIGH TWIST COTTON 7GG, 2/40S, 6 ENDS"/>
    <s v="SWEATER                SIZE XS-XL"/>
    <s v="6110.20.20.20"/>
    <n v="150"/>
    <n v="29.702999999999999"/>
    <n v="22.3"/>
    <n v="0.16500000000000001"/>
    <n v="3.6795000000000004"/>
    <n v="7.4999999999999997E-2"/>
    <n v="1.6725000000000001"/>
    <n v="7.0000000000000007E-2"/>
    <n v="1.5610000000000002"/>
    <n v="0.49"/>
    <n v="200"/>
    <n v="9"/>
    <m/>
    <m/>
    <m/>
    <m/>
    <n v="8"/>
    <n v="217"/>
    <n v="30000"/>
    <n v="2550"/>
    <n v="32550"/>
    <n v="5940.5999999999995"/>
  </r>
  <r>
    <x v="2"/>
    <s v="PORTA ASIATACA"/>
    <s v="CHINA"/>
    <s v="STF24W51010"/>
    <m/>
    <s v="93% POLYESTER/7% SPANDEX VELOUR 300 GM/M2"/>
    <s v="KNIT"/>
    <s v="6104.63.2030"/>
    <n v="88"/>
    <n v="20.967449999999996"/>
    <n v="14.35"/>
    <n v="0.28199999999999997"/>
    <n v="4.0466999999999995"/>
    <n v="7.4999999999999997E-2"/>
    <n v="1.0762499999999999"/>
    <n v="7.0000000000000007E-2"/>
    <n v="1.0045000000000002"/>
    <n v="0.49"/>
    <n v="200"/>
    <n v="159"/>
    <m/>
    <m/>
    <m/>
    <m/>
    <m/>
    <n v="359"/>
    <n v="17600"/>
    <n v="13992"/>
    <n v="31592"/>
    <n v="4193.4899999999989"/>
  </r>
  <r>
    <x v="15"/>
    <s v="PORTA ASIATACA"/>
    <s v="CHINA"/>
    <s v="STF24W51011"/>
    <m/>
    <s v="93% POLYESTER/7% SPANDEX VELOUR 300 GM/M2"/>
    <s v="KNIT"/>
    <s v="6104.43.2010"/>
    <n v="125"/>
    <n v="19.412499999999998"/>
    <n v="14.5"/>
    <n v="0.16"/>
    <n v="2.3199999999999998"/>
    <n v="7.4999999999999997E-2"/>
    <n v="1.0874999999999999"/>
    <n v="7.0000000000000007E-2"/>
    <n v="1.0150000000000001"/>
    <n v="0.49"/>
    <n v="200"/>
    <m/>
    <m/>
    <m/>
    <m/>
    <m/>
    <m/>
    <n v="200"/>
    <n v="25000"/>
    <n v="0"/>
    <n v="25000"/>
    <n v="3882.4999999999995"/>
  </r>
  <r>
    <x v="15"/>
    <s v="PORTA ASIATACA"/>
    <s v="CHINA"/>
    <s v="STF24W51011"/>
    <m/>
    <s v="93% POLYESTER/7% SPANDEX VELOUR 300 GM/M2"/>
    <s v="KNIT"/>
    <s v="6104.43.2010"/>
    <n v="125"/>
    <n v="19.412499999999998"/>
    <n v="14.5"/>
    <n v="0.16"/>
    <n v="2.3199999999999998"/>
    <n v="7.4999999999999997E-2"/>
    <n v="1.0874999999999999"/>
    <n v="7.0000000000000007E-2"/>
    <n v="1.0150000000000001"/>
    <n v="0.49"/>
    <n v="200"/>
    <m/>
    <m/>
    <m/>
    <m/>
    <m/>
    <m/>
    <n v="200"/>
    <n v="25000"/>
    <n v="0"/>
    <n v="25000"/>
    <n v="3882.4999999999995"/>
  </r>
  <r>
    <x v="11"/>
    <s v="PORTA ASIATACA"/>
    <s v="CHINA"/>
    <s v="STF24W51019"/>
    <m/>
    <s v="72% VISCOSE/28% POLYESTER_x000a_50S/2, 12GG*2ENDS BIRDSEYE JACQUARD"/>
    <s v="SWEATER                SIZE XS-XL"/>
    <s v="6110.30.3020"/>
    <n v="210"/>
    <n v="44.220250000000007"/>
    <n v="29.85"/>
    <n v="0.32"/>
    <n v="9.5520000000000014"/>
    <n v="7.4999999999999997E-2"/>
    <n v="2.23875"/>
    <n v="7.0000000000000007E-2"/>
    <n v="2.0895000000000001"/>
    <n v="0.49"/>
    <n v="200"/>
    <n v="105"/>
    <m/>
    <m/>
    <m/>
    <m/>
    <m/>
    <n v="305"/>
    <n v="42000"/>
    <n v="22050"/>
    <n v="64050"/>
    <n v="8844.0500000000011"/>
  </r>
  <r>
    <x v="11"/>
    <s v="PORTA ASIATACA"/>
    <s v="CHINA"/>
    <s v="STF24W51019"/>
    <m/>
    <s v="72% VISCOSE/28% POLYESTER_x000a_50S/2, 12GG*2ENDS BIRDSEYE JACQUARD"/>
    <s v="SWEATER                SIZE XS-XL"/>
    <s v="6110.30.3020"/>
    <n v="210"/>
    <n v="44.220250000000007"/>
    <n v="29.85"/>
    <n v="0.32"/>
    <n v="9.5520000000000014"/>
    <n v="7.4999999999999997E-2"/>
    <n v="2.23875"/>
    <n v="7.0000000000000007E-2"/>
    <n v="2.0895000000000001"/>
    <n v="0.49"/>
    <n v="200"/>
    <m/>
    <m/>
    <m/>
    <m/>
    <m/>
    <m/>
    <n v="200"/>
    <n v="42000"/>
    <n v="0"/>
    <n v="42000"/>
    <n v="8844.0500000000011"/>
  </r>
  <r>
    <x v="11"/>
    <s v="PORTA ASIATACA"/>
    <s v="CHINA"/>
    <s v="STF24W51020"/>
    <m/>
    <s v="83% DULL VISCOSE/17% ELITE POLYESTER"/>
    <s v="SWEATER                SIZE XS-XL"/>
    <s v="6110.30.3020"/>
    <n v="250"/>
    <n v="63.411750000000005"/>
    <n v="42.95"/>
    <n v="0.32"/>
    <n v="13.744000000000002"/>
    <n v="7.4999999999999997E-2"/>
    <n v="3.2212499999999999"/>
    <n v="7.0000000000000007E-2"/>
    <n v="3.0065000000000004"/>
    <n v="0.49"/>
    <n v="200"/>
    <n v="15"/>
    <m/>
    <m/>
    <m/>
    <m/>
    <n v="4"/>
    <n v="219"/>
    <n v="50000"/>
    <n v="4750"/>
    <n v="54750"/>
    <n v="12682.35"/>
  </r>
  <r>
    <x v="11"/>
    <s v="PORTA ASIATACA"/>
    <s v="CHINA"/>
    <s v="STF24W51021"/>
    <m/>
    <s v="83% DULL VISCOSE/17% ELITE POLYESTER"/>
    <s v="SWEATER                SIZE XS-XL"/>
    <s v="6104.69.2030"/>
    <n v="225"/>
    <n v="57.498650000000012"/>
    <n v="39.950000000000003"/>
    <n v="0.28199999999999997"/>
    <n v="11.2659"/>
    <n v="7.4999999999999997E-2"/>
    <n v="2.9962500000000003"/>
    <n v="7.0000000000000007E-2"/>
    <n v="2.7965000000000004"/>
    <n v="0.49"/>
    <n v="200"/>
    <n v="24"/>
    <m/>
    <m/>
    <m/>
    <m/>
    <n v="4"/>
    <n v="228"/>
    <n v="45000"/>
    <n v="6300"/>
    <n v="51300"/>
    <n v="11499.730000000003"/>
  </r>
  <r>
    <x v="11"/>
    <s v="PORTA ASIATACA"/>
    <s v="CHINA"/>
    <s v="STF24W51020"/>
    <m/>
    <s v="83% DULL VISCOSE/17% ELITE POLYESTER"/>
    <s v="SWEATER                SIZE XS-XL"/>
    <s v="6110.30.3020"/>
    <n v="250"/>
    <n v="63.411750000000005"/>
    <n v="42.95"/>
    <n v="0.32"/>
    <n v="13.744000000000002"/>
    <n v="7.4999999999999997E-2"/>
    <n v="3.2212499999999999"/>
    <n v="7.0000000000000007E-2"/>
    <n v="3.0065000000000004"/>
    <n v="0.49"/>
    <n v="200"/>
    <n v="15"/>
    <m/>
    <m/>
    <m/>
    <m/>
    <m/>
    <n v="215"/>
    <n v="50000"/>
    <n v="3750"/>
    <n v="53750"/>
    <n v="12682.35"/>
  </r>
  <r>
    <x v="11"/>
    <s v="PORTA ASIATACA"/>
    <s v="CHINA"/>
    <s v="STF24W51021"/>
    <m/>
    <s v="83% DULL VISCOSE/17% ELITE POLYESTER"/>
    <s v="SWEATER                SIZE XS-XL"/>
    <s v="6104.69.2030"/>
    <n v="225"/>
    <n v="57.498650000000012"/>
    <n v="39.950000000000003"/>
    <n v="0.28199999999999997"/>
    <n v="11.2659"/>
    <n v="7.4999999999999997E-2"/>
    <n v="2.9962500000000003"/>
    <n v="7.0000000000000007E-2"/>
    <n v="2.7965000000000004"/>
    <n v="0.49"/>
    <n v="200"/>
    <n v="15"/>
    <m/>
    <m/>
    <m/>
    <m/>
    <m/>
    <n v="215"/>
    <n v="45000"/>
    <n v="3375"/>
    <n v="48375"/>
    <n v="11499.730000000003"/>
  </r>
  <r>
    <x v="4"/>
    <s v="PORTA ASIATACA"/>
    <s v="CHINA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251"/>
    <n v="112"/>
    <m/>
    <m/>
    <m/>
    <m/>
    <m/>
    <n v="363"/>
    <n v="37650"/>
    <n v="16800"/>
    <n v="54450"/>
    <n v="7268.621149999999"/>
  </r>
  <r>
    <x v="5"/>
    <s v="PORTA ASIATACA"/>
    <s v="CHINA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251"/>
    <n v="112"/>
    <m/>
    <m/>
    <m/>
    <m/>
    <m/>
    <n v="363"/>
    <n v="33885"/>
    <n v="15120"/>
    <n v="49005"/>
    <n v="6391.0874999999996"/>
  </r>
  <r>
    <x v="4"/>
    <s v="PORTA ASIATACA"/>
    <s v="CHINA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300"/>
    <n v="26"/>
    <m/>
    <m/>
    <m/>
    <m/>
    <m/>
    <n v="326"/>
    <n v="45000"/>
    <n v="3900"/>
    <n v="48900"/>
    <n v="8687.5949999999993"/>
  </r>
  <r>
    <x v="5"/>
    <s v="PORTA ASIATACA"/>
    <s v="CHINA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300"/>
    <n v="26"/>
    <m/>
    <m/>
    <m/>
    <m/>
    <m/>
    <n v="326"/>
    <n v="40500"/>
    <n v="3510"/>
    <n v="44010"/>
    <n v="7638.75"/>
  </r>
  <r>
    <x v="4"/>
    <s v="PORTA ASIATACA"/>
    <s v="CHINA"/>
    <s v="STF24W51013"/>
    <m/>
    <s v="93% POLYESTER/7% SPANDEX DEBOSSED VELOUR 300 GM/M2"/>
    <s v="KNIT"/>
    <s v="6112.12.0020"/>
    <n v="150"/>
    <n v="28.958649999999995"/>
    <n v="19.95"/>
    <n v="0.28199999999999997"/>
    <n v="5.6258999999999997"/>
    <n v="7.4999999999999997E-2"/>
    <n v="1.4962499999999999"/>
    <n v="7.0000000000000007E-2"/>
    <n v="1.3965000000000001"/>
    <n v="0.49"/>
    <n v="300"/>
    <n v="10"/>
    <m/>
    <m/>
    <m/>
    <m/>
    <m/>
    <n v="310"/>
    <n v="45000"/>
    <n v="1500"/>
    <n v="46500"/>
    <n v="8687.5949999999993"/>
  </r>
  <r>
    <x v="5"/>
    <s v="PORTA ASIATACA"/>
    <s v="CHINA"/>
    <s v="STF24W51014"/>
    <m/>
    <s v="93% POLYESTER/7% SPANDEX DEBOSSED VELOUR 300 GM/M2"/>
    <s v="KNIT"/>
    <s v="6112.12.0060"/>
    <n v="135"/>
    <n v="25.462499999999999"/>
    <n v="17.5"/>
    <n v="0.28199999999999997"/>
    <n v="4.9349999999999996"/>
    <n v="7.4999999999999997E-2"/>
    <n v="1.3125"/>
    <n v="7.0000000000000007E-2"/>
    <n v="1.2250000000000001"/>
    <n v="0.49"/>
    <n v="300"/>
    <n v="10"/>
    <m/>
    <m/>
    <m/>
    <m/>
    <m/>
    <n v="310"/>
    <n v="40500"/>
    <n v="1350"/>
    <n v="41850"/>
    <n v="7638.75"/>
  </r>
  <r>
    <x v="4"/>
    <s v="PORTA ASIATACA"/>
    <s v="CHINA"/>
    <s v="STF24W50957"/>
    <m/>
    <s v="BODY: 100% POLYESTER &quot;BONDED FAUX SHERPA&quot; 480 GM/M2                                                        SLEEVES: 100% POLYURETHANE"/>
    <s v="KNIT"/>
    <s v="6112.12.0020"/>
    <n v="325"/>
    <n v="55.429500000000004"/>
    <n v="38.5"/>
    <n v="0.28199999999999997"/>
    <n v="10.856999999999999"/>
    <n v="7.4999999999999997E-2"/>
    <n v="2.8874999999999997"/>
    <n v="7.0000000000000007E-2"/>
    <n v="2.6950000000000003"/>
    <n v="0.49"/>
    <n v="151"/>
    <m/>
    <m/>
    <m/>
    <m/>
    <m/>
    <m/>
    <n v="151"/>
    <n v="49075"/>
    <n v="0"/>
    <n v="49075"/>
    <n v="8369.8545000000013"/>
  </r>
  <r>
    <x v="9"/>
    <s v="PORTA ASIATACA"/>
    <s v="CHINA"/>
    <s v="STF24W50968"/>
    <m/>
    <s v="92% POLYESTER/8% SPANDEX CHENILLE CHAIN KNIT 380-400 GM/M2"/>
    <s v="KNIT"/>
    <s v="6102.30.2010"/>
    <n v="225"/>
    <n v="49.721499999999999"/>
    <n v="34.5"/>
    <n v="0.28199999999999997"/>
    <n v="9.7289999999999992"/>
    <n v="7.4999999999999997E-2"/>
    <n v="2.5874999999999999"/>
    <n v="7.0000000000000007E-2"/>
    <n v="2.415"/>
    <n v="0.49"/>
    <n v="151"/>
    <n v="5"/>
    <m/>
    <m/>
    <m/>
    <m/>
    <m/>
    <n v="156"/>
    <n v="33975"/>
    <n v="1125"/>
    <n v="35100"/>
    <n v="7507.94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s v="HESRRO"/>
    <s v="CHINA"/>
    <s v="STS25M51110"/>
    <s v="FF391-H "/>
    <s v="100% POLYESTER INTERLOCK 145 GM/M2"/>
    <s v="KNIT"/>
    <s v="6105.20.2010"/>
    <n v="88"/>
    <n v="12.576250000000002"/>
    <n v="8.25"/>
    <n v="0.32"/>
    <n v="2.64"/>
    <n v="7.4999999999999997E-2"/>
    <n v="0.61875000000000002"/>
    <n v="7.0000000000000007E-2"/>
    <n v="0.57750000000000001"/>
    <n v="0.49"/>
    <n v="400"/>
    <n v="144"/>
    <n v="0"/>
    <m/>
    <m/>
    <m/>
    <n v="10"/>
    <n v="554"/>
    <n v="35200"/>
    <n v="13552"/>
    <n v="48752"/>
    <n v="5030.5000000000009"/>
    <n v="1893.4800000000002"/>
    <n v="6923.9800000000014"/>
  </r>
  <r>
    <x v="1"/>
    <s v="HESRRO"/>
    <s v="CHINA"/>
    <s v="STS25M51104"/>
    <s v="FF476_x000a_"/>
    <s v="100% POLYESTER PIQUE 155 GM/M2"/>
    <s v="KNIT"/>
    <s v="6103.43.1550"/>
    <n v="68"/>
    <n v="10.978449999999999"/>
    <n v="7.35"/>
    <n v="0.28199999999999997"/>
    <n v="2.0726999999999998"/>
    <n v="7.4999999999999997E-2"/>
    <n v="0.55124999999999991"/>
    <n v="7.0000000000000007E-2"/>
    <n v="0.51450000000000007"/>
    <n v="0.49"/>
    <n v="400"/>
    <n v="149"/>
    <n v="0"/>
    <m/>
    <m/>
    <m/>
    <n v="30"/>
    <n v="579"/>
    <n v="27200"/>
    <n v="12172"/>
    <n v="39372"/>
    <n v="4391.3799999999992"/>
    <n v="1856.2890499999999"/>
    <n v="6247.6690499999986"/>
  </r>
  <r>
    <x v="0"/>
    <s v="HESRRO"/>
    <s v="CHINA"/>
    <s v="STS25M51110"/>
    <s v="FF391-H "/>
    <s v="100% POLYESTER INTERLOCK 145 GM/M2"/>
    <s v="KNIT"/>
    <s v="6105.20.2010"/>
    <n v="88"/>
    <n v="12.576250000000002"/>
    <n v="8.25"/>
    <n v="0.32"/>
    <n v="2.64"/>
    <n v="7.4999999999999997E-2"/>
    <n v="0.61875000000000002"/>
    <n v="7.0000000000000007E-2"/>
    <n v="0.57750000000000001"/>
    <n v="0.49"/>
    <n v="300"/>
    <n v="141"/>
    <n v="52"/>
    <m/>
    <m/>
    <m/>
    <n v="10"/>
    <n v="503"/>
    <n v="26400"/>
    <n v="17864"/>
    <n v="44264"/>
    <n v="3772.8750000000005"/>
    <n v="2509.7162500000004"/>
    <n v="6282.5912500000013"/>
  </r>
  <r>
    <x v="1"/>
    <s v="HESRRO"/>
    <s v="CHINA"/>
    <s v="STS25M51104"/>
    <s v="FF476_x000a_"/>
    <s v="100% POLYESTER PIQUE 155 GM/M2"/>
    <s v="KNIT"/>
    <s v="6103.43.1550"/>
    <n v="68"/>
    <n v="10.978449999999999"/>
    <n v="7.35"/>
    <n v="0.28199999999999997"/>
    <n v="2.0726999999999998"/>
    <n v="7.4999999999999997E-2"/>
    <n v="0.55124999999999991"/>
    <n v="7.0000000000000007E-2"/>
    <n v="0.51450000000000007"/>
    <n v="0.49"/>
    <n v="300"/>
    <n v="221"/>
    <n v="0"/>
    <m/>
    <m/>
    <m/>
    <n v="30"/>
    <n v="551"/>
    <n v="20400"/>
    <n v="17068"/>
    <n v="37468"/>
    <n v="3293.5349999999994"/>
    <n v="2646.7374499999996"/>
    <n v="5940.2724499999986"/>
  </r>
  <r>
    <x v="0"/>
    <s v="HESRRO"/>
    <s v="CHINA"/>
    <s v="STS25M51110"/>
    <s v="FF391-H "/>
    <s v="100% POLYESTER INTERLOCK 145 GM/M2"/>
    <s v="KNIT"/>
    <s v="6105.20.2010"/>
    <n v="88"/>
    <n v="12.576250000000002"/>
    <n v="8.25"/>
    <n v="0.32"/>
    <n v="2.64"/>
    <n v="7.4999999999999997E-2"/>
    <n v="0.61875000000000002"/>
    <n v="7.0000000000000007E-2"/>
    <n v="0.57750000000000001"/>
    <n v="0.49"/>
    <n v="350"/>
    <n v="53"/>
    <n v="87"/>
    <m/>
    <m/>
    <m/>
    <n v="10"/>
    <n v="500"/>
    <n v="30800"/>
    <n v="13200"/>
    <n v="44000"/>
    <n v="4401.6875000000009"/>
    <n v="1843.1750000000002"/>
    <n v="6244.8625000000011"/>
  </r>
  <r>
    <x v="1"/>
    <s v="HESRRO"/>
    <s v="CHINA"/>
    <s v="STS25M51104"/>
    <s v="FF476_x000a_"/>
    <s v="100% POLYESTER PIQUE 155 GM/M2"/>
    <s v="KNIT"/>
    <s v="6103.43.1550"/>
    <n v="68"/>
    <n v="10.978449999999999"/>
    <n v="7.35"/>
    <n v="0.28199999999999997"/>
    <n v="2.0726999999999998"/>
    <n v="7.4999999999999997E-2"/>
    <n v="0.55124999999999991"/>
    <n v="7.0000000000000007E-2"/>
    <n v="0.51450000000000007"/>
    <n v="0.49"/>
    <n v="350"/>
    <n v="167"/>
    <n v="0"/>
    <m/>
    <m/>
    <m/>
    <n v="30"/>
    <n v="547"/>
    <n v="23800"/>
    <n v="13396"/>
    <n v="37196"/>
    <n v="3842.4574999999995"/>
    <n v="2053.9011499999997"/>
    <n v="5896.3586499999992"/>
  </r>
  <r>
    <x v="2"/>
    <s v="HESRRO"/>
    <s v="CHINA"/>
    <s v="STF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700"/>
    <n v="213"/>
    <n v="0"/>
    <m/>
    <m/>
    <m/>
    <m/>
    <n v="913"/>
    <n v="98000"/>
    <n v="29820"/>
    <n v="127820"/>
    <n v="14187.753999999997"/>
    <n v="4317.1308599999993"/>
    <n v="18504.884859999998"/>
  </r>
  <r>
    <x v="3"/>
    <s v="HESRRO"/>
    <s v="CHINA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600"/>
    <n v="212"/>
    <n v="0"/>
    <m/>
    <m/>
    <m/>
    <m/>
    <n v="812"/>
    <n v="66000"/>
    <n v="23320"/>
    <n v="89320"/>
    <n v="9052.9260000000013"/>
    <n v="3198.7005200000003"/>
    <n v="12251.626520000002"/>
  </r>
  <r>
    <x v="2"/>
    <s v="HESRRO"/>
    <s v="CHINA"/>
    <s v="STF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300"/>
    <m/>
    <n v="0"/>
    <m/>
    <m/>
    <m/>
    <m/>
    <n v="300"/>
    <n v="42000"/>
    <n v="0"/>
    <n v="42000"/>
    <n v="6080.4659999999985"/>
    <n v="0"/>
    <n v="6080.4659999999985"/>
  </r>
  <r>
    <x v="3"/>
    <s v="HESRRO"/>
    <s v="CHINA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300"/>
    <m/>
    <n v="0"/>
    <m/>
    <m/>
    <m/>
    <m/>
    <n v="300"/>
    <n v="33000"/>
    <n v="0"/>
    <n v="33000"/>
    <n v="4526.4630000000006"/>
    <n v="0"/>
    <n v="4526.4630000000006"/>
  </r>
  <r>
    <x v="2"/>
    <s v="HESRRO"/>
    <s v="CHINA"/>
    <s v="STF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700"/>
    <n v="183"/>
    <n v="0"/>
    <m/>
    <m/>
    <m/>
    <m/>
    <n v="883"/>
    <n v="98000"/>
    <n v="25620"/>
    <n v="123620"/>
    <n v="14187.753999999997"/>
    <n v="3709.0842599999992"/>
    <n v="17896.838259999997"/>
  </r>
  <r>
    <x v="3"/>
    <s v="HESRRO"/>
    <s v="CHINA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600"/>
    <n v="177"/>
    <n v="0"/>
    <m/>
    <m/>
    <m/>
    <m/>
    <n v="777"/>
    <n v="66000"/>
    <n v="19470"/>
    <n v="85470"/>
    <n v="9052.9260000000013"/>
    <n v="2670.6131700000005"/>
    <n v="11723.539170000002"/>
  </r>
  <r>
    <x v="2"/>
    <s v="HESRRO"/>
    <s v="CHINA"/>
    <s v="STF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300"/>
    <m/>
    <n v="0"/>
    <m/>
    <m/>
    <m/>
    <m/>
    <n v="300"/>
    <n v="42000"/>
    <n v="0"/>
    <n v="42000"/>
    <n v="6080.4659999999985"/>
    <n v="0"/>
    <n v="6080.4659999999985"/>
  </r>
  <r>
    <x v="3"/>
    <s v="HESRRO"/>
    <s v="CHINA"/>
    <s v="STF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300"/>
    <m/>
    <n v="0"/>
    <m/>
    <m/>
    <m/>
    <m/>
    <n v="300"/>
    <n v="33000"/>
    <n v="0"/>
    <n v="33000"/>
    <n v="4526.4630000000006"/>
    <n v="0"/>
    <n v="4526.4630000000006"/>
  </r>
  <r>
    <x v="2"/>
    <s v="HESRRO"/>
    <s v="CHINA"/>
    <s v="STS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700"/>
    <n v="326"/>
    <n v="0"/>
    <m/>
    <m/>
    <m/>
    <m/>
    <n v="1026"/>
    <n v="98000"/>
    <n v="45640"/>
    <n v="143640"/>
    <n v="14187.753999999997"/>
    <n v="6607.4397199999985"/>
    <n v="20795.193719999996"/>
  </r>
  <r>
    <x v="3"/>
    <s v="HESRRO"/>
    <s v="CHINA"/>
    <s v="STS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600"/>
    <n v="324"/>
    <n v="0"/>
    <m/>
    <m/>
    <m/>
    <m/>
    <n v="924"/>
    <n v="66000"/>
    <n v="35640"/>
    <n v="101640"/>
    <n v="9052.9260000000013"/>
    <n v="4888.5800400000007"/>
    <n v="13941.506040000002"/>
  </r>
  <r>
    <x v="2"/>
    <s v="HESRRO"/>
    <s v="CHINA"/>
    <s v="STS24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300"/>
    <m/>
    <n v="0"/>
    <m/>
    <m/>
    <m/>
    <m/>
    <n v="300"/>
    <n v="42000"/>
    <n v="0"/>
    <n v="42000"/>
    <n v="6080.4659999999985"/>
    <n v="0"/>
    <n v="6080.4659999999985"/>
  </r>
  <r>
    <x v="3"/>
    <s v="HESRRO"/>
    <s v="CHINA"/>
    <s v="STS24M1455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300"/>
    <m/>
    <n v="0"/>
    <m/>
    <m/>
    <m/>
    <m/>
    <n v="300"/>
    <n v="33000"/>
    <n v="0"/>
    <n v="33000"/>
    <n v="4526.4630000000006"/>
    <n v="0"/>
    <n v="4526.4630000000006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413"/>
    <n v="223"/>
    <n v="0"/>
    <m/>
    <m/>
    <m/>
    <m/>
    <n v="636"/>
    <n v="57820"/>
    <n v="31220"/>
    <n v="89040"/>
    <n v="8370.7748599999977"/>
    <n v="4519.8130599999995"/>
    <n v="12890.587919999998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300"/>
    <n v="223"/>
    <n v="0"/>
    <m/>
    <m/>
    <m/>
    <m/>
    <n v="523"/>
    <n v="33000"/>
    <n v="24530"/>
    <n v="57530"/>
    <n v="4526.4630000000006"/>
    <n v="3364.6708300000005"/>
    <n v="7891.1338300000007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413"/>
    <n v="233"/>
    <n v="0"/>
    <m/>
    <m/>
    <m/>
    <m/>
    <n v="646"/>
    <n v="57820"/>
    <n v="32620"/>
    <n v="90440"/>
    <n v="8370.7748599999977"/>
    <n v="4722.4952599999988"/>
    <n v="13093.270119999997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300"/>
    <n v="233"/>
    <n v="52"/>
    <m/>
    <m/>
    <m/>
    <m/>
    <n v="585"/>
    <n v="33000"/>
    <n v="31350"/>
    <n v="64350"/>
    <n v="4526.4630000000006"/>
    <n v="4300.1398500000005"/>
    <n v="8826.6028500000011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500"/>
    <m/>
    <n v="0"/>
    <m/>
    <m/>
    <m/>
    <m/>
    <n v="500"/>
    <n v="70000"/>
    <n v="0"/>
    <n v="70000"/>
    <n v="10134.109999999999"/>
    <n v="0"/>
    <n v="10134.109999999999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500"/>
    <m/>
    <n v="0"/>
    <m/>
    <m/>
    <m/>
    <m/>
    <n v="500"/>
    <n v="55000"/>
    <n v="0"/>
    <n v="55000"/>
    <n v="7544.1050000000014"/>
    <n v="0"/>
    <n v="7544.1050000000014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800"/>
    <m/>
    <n v="0"/>
    <m/>
    <m/>
    <m/>
    <m/>
    <n v="800"/>
    <n v="112000"/>
    <n v="0"/>
    <n v="112000"/>
    <n v="16214.575999999997"/>
    <n v="0"/>
    <n v="16214.575999999997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800"/>
    <m/>
    <n v="0"/>
    <m/>
    <m/>
    <m/>
    <m/>
    <n v="800"/>
    <n v="88000"/>
    <n v="0"/>
    <n v="88000"/>
    <n v="12070.568000000001"/>
    <n v="0"/>
    <n v="12070.568000000001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900"/>
    <m/>
    <n v="0"/>
    <m/>
    <m/>
    <m/>
    <m/>
    <n v="900"/>
    <n v="126000"/>
    <n v="0"/>
    <n v="126000"/>
    <n v="18241.397999999997"/>
    <n v="0"/>
    <n v="18241.397999999997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900"/>
    <m/>
    <n v="0"/>
    <m/>
    <m/>
    <m/>
    <m/>
    <n v="900"/>
    <n v="99000"/>
    <n v="0"/>
    <n v="99000"/>
    <n v="13579.389000000001"/>
    <n v="0"/>
    <n v="13579.389000000001"/>
  </r>
  <r>
    <x v="2"/>
    <s v="HESRRO"/>
    <s v="CHINA"/>
    <s v="STS25M50737"/>
    <s v="FF080"/>
    <s v="100% POLYESTER TWILL 220 GM/M2"/>
    <s v="KNIT"/>
    <s v="6112.12.0010"/>
    <n v="140"/>
    <n v="20.268219999999996"/>
    <n v="13.86"/>
    <n v="0.28199999999999997"/>
    <n v="3.9085199999999993"/>
    <n v="7.4999999999999997E-2"/>
    <n v="1.0394999999999999"/>
    <n v="7.0000000000000007E-2"/>
    <n v="0.97020000000000006"/>
    <n v="0.49"/>
    <n v="1100"/>
    <m/>
    <n v="0"/>
    <m/>
    <m/>
    <m/>
    <m/>
    <n v="1100"/>
    <n v="154000"/>
    <n v="0"/>
    <n v="154000"/>
    <n v="22295.041999999994"/>
    <n v="0"/>
    <n v="22295.041999999994"/>
  </r>
  <r>
    <x v="3"/>
    <s v="HESRRO"/>
    <s v="CHINA"/>
    <s v="STS25M51222"/>
    <s v="FF080"/>
    <s v="100% POLYESTER TWILL 220 GM/M2"/>
    <s v="KNIT"/>
    <s v="6112.12.0050"/>
    <n v="110"/>
    <n v="15.088210000000002"/>
    <n v="10.23"/>
    <n v="0.28199999999999997"/>
    <n v="2.8848599999999998"/>
    <n v="7.4999999999999997E-2"/>
    <n v="0.76724999999999999"/>
    <n v="7.0000000000000007E-2"/>
    <n v="0.71610000000000007"/>
    <n v="0.49"/>
    <n v="1000"/>
    <m/>
    <n v="0"/>
    <m/>
    <m/>
    <m/>
    <m/>
    <n v="1000"/>
    <n v="110000"/>
    <n v="0"/>
    <n v="110000"/>
    <n v="15088.210000000003"/>
    <n v="0"/>
    <n v="15088.210000000003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500"/>
    <n v="138"/>
    <n v="0"/>
    <m/>
    <m/>
    <m/>
    <n v="6"/>
    <n v="644"/>
    <n v="70000"/>
    <n v="20160"/>
    <n v="90160"/>
    <n v="11339.924999999999"/>
    <n v="3223.1192999999998"/>
    <n v="14563.0443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400"/>
    <n v="138"/>
    <n v="0"/>
    <m/>
    <m/>
    <m/>
    <m/>
    <n v="538"/>
    <n v="50000"/>
    <n v="17250"/>
    <n v="67250"/>
    <n v="7616.4000000000005"/>
    <n v="2627.6579999999999"/>
    <n v="10244.058000000001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400"/>
    <m/>
    <n v="0"/>
    <m/>
    <m/>
    <m/>
    <m/>
    <n v="400"/>
    <n v="56000"/>
    <n v="0"/>
    <n v="56000"/>
    <n v="9071.9399999999987"/>
    <n v="0"/>
    <n v="9071.9399999999987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400"/>
    <m/>
    <n v="0"/>
    <m/>
    <m/>
    <m/>
    <m/>
    <n v="400"/>
    <n v="50000"/>
    <n v="0"/>
    <n v="50000"/>
    <n v="7616.4000000000005"/>
    <n v="0"/>
    <n v="7616.4000000000005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400"/>
    <n v="240"/>
    <n v="0"/>
    <m/>
    <m/>
    <m/>
    <n v="12"/>
    <n v="652"/>
    <n v="56000"/>
    <n v="35280"/>
    <n v="91280"/>
    <n v="9071.9399999999987"/>
    <n v="5629.7640000000001"/>
    <n v="14701.703999999998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300"/>
    <n v="240"/>
    <n v="0"/>
    <m/>
    <m/>
    <m/>
    <m/>
    <n v="540"/>
    <n v="37500"/>
    <n v="30000"/>
    <n v="67500"/>
    <n v="5712.3"/>
    <n v="4569.84"/>
    <n v="10282.14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400"/>
    <m/>
    <n v="0"/>
    <m/>
    <m/>
    <m/>
    <m/>
    <n v="400"/>
    <n v="56000"/>
    <n v="0"/>
    <n v="56000"/>
    <n v="9071.9399999999987"/>
    <n v="0"/>
    <n v="9071.9399999999987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400"/>
    <m/>
    <n v="0"/>
    <m/>
    <m/>
    <m/>
    <m/>
    <n v="400"/>
    <n v="50000"/>
    <n v="0"/>
    <n v="50000"/>
    <n v="7616.4000000000005"/>
    <n v="0"/>
    <n v="7616.4000000000005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1000"/>
    <m/>
    <n v="0"/>
    <m/>
    <m/>
    <m/>
    <m/>
    <n v="1000"/>
    <n v="140000"/>
    <n v="0"/>
    <n v="140000"/>
    <n v="22679.85"/>
    <n v="0"/>
    <n v="22679.85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1000"/>
    <m/>
    <n v="0"/>
    <m/>
    <m/>
    <m/>
    <m/>
    <n v="1000"/>
    <n v="125000"/>
    <n v="0"/>
    <n v="125000"/>
    <n v="19041"/>
    <n v="0"/>
    <n v="19041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900"/>
    <m/>
    <n v="0"/>
    <m/>
    <m/>
    <m/>
    <m/>
    <n v="900"/>
    <n v="126000"/>
    <n v="0"/>
    <n v="126000"/>
    <n v="20411.864999999998"/>
    <n v="0"/>
    <n v="20411.864999999998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900"/>
    <m/>
    <n v="0"/>
    <m/>
    <m/>
    <m/>
    <m/>
    <n v="900"/>
    <n v="112500"/>
    <n v="0"/>
    <n v="112500"/>
    <n v="17136.900000000001"/>
    <n v="0"/>
    <n v="17136.900000000001"/>
  </r>
  <r>
    <x v="2"/>
    <s v="HESRRO"/>
    <s v="CHINA"/>
    <s v="STS25M50893"/>
    <s v="FF331"/>
    <s v="60% POLYESTER/40% COTTON DOUBLE KNIT 280 GM/M2"/>
    <s v="KNIT"/>
    <s v="6112.12.0010"/>
    <n v="140"/>
    <n v="22.679849999999998"/>
    <n v="15.55"/>
    <n v="0.28199999999999997"/>
    <n v="4.3850999999999996"/>
    <n v="7.4999999999999997E-2"/>
    <n v="1.16625"/>
    <n v="7.0000000000000007E-2"/>
    <n v="1.0885000000000002"/>
    <n v="0.49"/>
    <n v="1100"/>
    <m/>
    <n v="0"/>
    <m/>
    <m/>
    <m/>
    <m/>
    <n v="1100"/>
    <n v="154000"/>
    <n v="0"/>
    <n v="154000"/>
    <n v="24947.834999999999"/>
    <n v="0"/>
    <n v="24947.834999999999"/>
  </r>
  <r>
    <x v="3"/>
    <s v="HESRRO"/>
    <s v="CHINA"/>
    <s v="STS25M50894"/>
    <s v="FF331"/>
    <s v="60% POLYESTER/40% COTTON DOUBLE KNIT 280 GM/M2"/>
    <s v="KNIT"/>
    <s v="6112.12.0050"/>
    <n v="125"/>
    <n v="19.041"/>
    <n v="13"/>
    <n v="0.28199999999999997"/>
    <n v="3.6659999999999995"/>
    <n v="7.4999999999999997E-2"/>
    <n v="0.97499999999999998"/>
    <n v="7.0000000000000007E-2"/>
    <n v="0.91000000000000014"/>
    <n v="0.49"/>
    <n v="1100"/>
    <m/>
    <n v="0"/>
    <m/>
    <m/>
    <m/>
    <m/>
    <n v="1100"/>
    <n v="137500"/>
    <n v="0"/>
    <n v="137500"/>
    <n v="20945.100000000002"/>
    <n v="0"/>
    <n v="20945.100000000002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600"/>
    <n v="124"/>
    <n v="0"/>
    <m/>
    <m/>
    <m/>
    <m/>
    <n v="724"/>
    <n v="99000"/>
    <n v="20460"/>
    <n v="119460"/>
    <n v="15363.12"/>
    <n v="3175.0448000000001"/>
    <n v="18538.164800000002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500"/>
    <n v="118"/>
    <n v="0"/>
    <m/>
    <m/>
    <m/>
    <m/>
    <n v="618"/>
    <n v="62500"/>
    <n v="14750"/>
    <n v="77250"/>
    <n v="10947.5"/>
    <n v="2583.61"/>
    <n v="13531.11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300"/>
    <m/>
    <n v="0"/>
    <m/>
    <m/>
    <m/>
    <m/>
    <n v="300"/>
    <n v="49500"/>
    <n v="0"/>
    <n v="49500"/>
    <n v="7681.56"/>
    <n v="0"/>
    <n v="7681.56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300"/>
    <m/>
    <n v="0"/>
    <m/>
    <m/>
    <m/>
    <m/>
    <n v="300"/>
    <n v="37500"/>
    <n v="0"/>
    <n v="37500"/>
    <n v="6568.5"/>
    <n v="0"/>
    <n v="6568.5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500"/>
    <n v="11"/>
    <n v="0"/>
    <m/>
    <m/>
    <m/>
    <m/>
    <n v="511"/>
    <n v="82500"/>
    <n v="1815"/>
    <n v="84315"/>
    <n v="12802.6"/>
    <n v="281.65719999999999"/>
    <n v="13084.2572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400"/>
    <n v="11"/>
    <n v="100"/>
    <m/>
    <m/>
    <m/>
    <m/>
    <n v="511"/>
    <n v="50000"/>
    <n v="13875"/>
    <n v="63875"/>
    <n v="8758"/>
    <n v="2430.3449999999998"/>
    <n v="11188.344999999999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300"/>
    <m/>
    <n v="0"/>
    <m/>
    <m/>
    <m/>
    <m/>
    <n v="300"/>
    <n v="49500"/>
    <n v="0"/>
    <n v="49500"/>
    <n v="7681.56"/>
    <n v="0"/>
    <n v="7681.56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300"/>
    <m/>
    <n v="0"/>
    <m/>
    <m/>
    <m/>
    <m/>
    <n v="300"/>
    <n v="37500"/>
    <n v="0"/>
    <n v="37500"/>
    <n v="6568.5"/>
    <n v="0"/>
    <n v="6568.5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600"/>
    <n v="6"/>
    <n v="0"/>
    <m/>
    <m/>
    <m/>
    <m/>
    <n v="606"/>
    <n v="99000"/>
    <n v="990"/>
    <n v="99990"/>
    <n v="15363.12"/>
    <n v="153.63120000000001"/>
    <n v="15516.751200000001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500"/>
    <n v="6"/>
    <n v="0"/>
    <m/>
    <m/>
    <m/>
    <m/>
    <n v="506"/>
    <n v="62500"/>
    <n v="750"/>
    <n v="63250"/>
    <n v="10947.5"/>
    <n v="131.37"/>
    <n v="11078.87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300"/>
    <m/>
    <n v="0"/>
    <m/>
    <m/>
    <m/>
    <m/>
    <n v="300"/>
    <n v="49500"/>
    <n v="0"/>
    <n v="49500"/>
    <n v="7681.56"/>
    <n v="0"/>
    <n v="7681.56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200"/>
    <m/>
    <n v="0"/>
    <m/>
    <m/>
    <m/>
    <m/>
    <n v="200"/>
    <n v="25000"/>
    <n v="0"/>
    <n v="25000"/>
    <n v="4379"/>
    <n v="0"/>
    <n v="4379"/>
  </r>
  <r>
    <x v="2"/>
    <s v="HESRRO"/>
    <s v="CHINA"/>
    <s v="STS25M51084"/>
    <s v="FF331"/>
    <s v="60% POLYESTER/40% COTTON DOUBLE KNIT 280 GM/M2"/>
    <s v="KNIT"/>
    <s v="6112.12.0010"/>
    <n v="165"/>
    <n v="25.6052"/>
    <n v="17.600000000000001"/>
    <n v="0.28199999999999997"/>
    <n v="4.9631999999999996"/>
    <n v="7.4999999999999997E-2"/>
    <n v="1.32"/>
    <n v="7.0000000000000007E-2"/>
    <n v="1.2320000000000002"/>
    <n v="0.49"/>
    <n v="1000"/>
    <m/>
    <n v="0"/>
    <m/>
    <m/>
    <m/>
    <m/>
    <n v="1000"/>
    <n v="165000"/>
    <n v="0"/>
    <n v="165000"/>
    <n v="25605.200000000001"/>
    <n v="0"/>
    <n v="25605.200000000001"/>
  </r>
  <r>
    <x v="3"/>
    <s v="HESRRO"/>
    <s v="CHINA"/>
    <s v="STS25M51085"/>
    <s v="FF331"/>
    <s v="60% POLYESTER/40% COTTON DOUBLE KNIT 280 GM/M2"/>
    <s v="KNIT"/>
    <s v="6112.12.0050"/>
    <n v="125"/>
    <n v="21.895"/>
    <n v="15"/>
    <n v="0.28199999999999997"/>
    <n v="4.2299999999999995"/>
    <n v="7.4999999999999997E-2"/>
    <n v="1.125"/>
    <n v="7.0000000000000007E-2"/>
    <n v="1.05"/>
    <n v="0.49"/>
    <n v="1000"/>
    <m/>
    <n v="0"/>
    <m/>
    <m/>
    <m/>
    <m/>
    <n v="1000"/>
    <n v="125000"/>
    <n v="0"/>
    <n v="125000"/>
    <n v="21895"/>
    <n v="0"/>
    <n v="21895"/>
  </r>
  <r>
    <x v="2"/>
    <s v="HESRRO"/>
    <s v="CHINA"/>
    <s v="STS25M51062"/>
    <s v="FF080"/>
    <s v="100% POLYESTER TWILL 220 GM/M2"/>
    <s v="KNIT"/>
    <s v="6112.12.0010"/>
    <n v="140"/>
    <n v="23.7501"/>
    <n v="16.3"/>
    <n v="0.28199999999999997"/>
    <n v="4.5965999999999996"/>
    <n v="7.4999999999999997E-2"/>
    <n v="1.2224999999999999"/>
    <n v="7.0000000000000007E-2"/>
    <n v="1.1410000000000002"/>
    <n v="0.49"/>
    <n v="400"/>
    <n v="10"/>
    <n v="100"/>
    <m/>
    <m/>
    <m/>
    <m/>
    <n v="510"/>
    <n v="56000"/>
    <n v="15400"/>
    <n v="71400"/>
    <n v="9500.0399999999991"/>
    <n v="2612.511"/>
    <n v="12112.550999999999"/>
  </r>
  <r>
    <x v="3"/>
    <s v="HESRRO"/>
    <s v="CHINA"/>
    <s v="STS25M51063"/>
    <s v="FF080"/>
    <s v="100% POLYESTER TWILL 220 GM/M2"/>
    <s v="KNIT"/>
    <s v="6112.12.0050"/>
    <n v="110"/>
    <n v="16.686449999999997"/>
    <n v="11.35"/>
    <n v="0.28199999999999997"/>
    <n v="3.2006999999999994"/>
    <n v="7.4999999999999997E-2"/>
    <n v="0.85124999999999995"/>
    <n v="7.0000000000000007E-2"/>
    <n v="0.7945000000000001"/>
    <n v="0.49"/>
    <n v="300"/>
    <n v="10"/>
    <n v="200"/>
    <m/>
    <m/>
    <m/>
    <m/>
    <n v="510"/>
    <n v="33000"/>
    <n v="23100"/>
    <n v="56100"/>
    <n v="5005.9349999999995"/>
    <n v="3504.1544999999992"/>
    <n v="8510.0894999999982"/>
  </r>
  <r>
    <x v="2"/>
    <s v="HESRRO"/>
    <s v="CHINA"/>
    <s v="STS25M51062"/>
    <s v="FF080"/>
    <s v="100% POLYESTER TWILL 220 GM/M2"/>
    <s v="KNIT"/>
    <s v="6112.12.0010"/>
    <n v="140"/>
    <n v="23.7501"/>
    <n v="16.3"/>
    <n v="0.28199999999999997"/>
    <n v="4.5965999999999996"/>
    <n v="7.4999999999999997E-2"/>
    <n v="1.2224999999999999"/>
    <n v="7.0000000000000007E-2"/>
    <n v="1.1410000000000002"/>
    <n v="0.49"/>
    <n v="400"/>
    <n v="219"/>
    <n v="0"/>
    <m/>
    <m/>
    <m/>
    <m/>
    <n v="619"/>
    <n v="56000"/>
    <n v="30660"/>
    <n v="86660"/>
    <n v="9500.0399999999991"/>
    <n v="5201.2718999999997"/>
    <n v="14701.311899999999"/>
  </r>
  <r>
    <x v="3"/>
    <s v="HESRRO"/>
    <s v="CHINA"/>
    <s v="STS25M51063"/>
    <s v="FF080"/>
    <s v="100% POLYESTER TWILL 220 GM/M2"/>
    <s v="KNIT"/>
    <s v="6112.12.0050"/>
    <n v="110"/>
    <n v="16.686449999999997"/>
    <n v="11.35"/>
    <n v="0.28199999999999997"/>
    <n v="3.2006999999999994"/>
    <n v="7.4999999999999997E-2"/>
    <n v="0.85124999999999995"/>
    <n v="7.0000000000000007E-2"/>
    <n v="0.7945000000000001"/>
    <n v="0.49"/>
    <n v="300"/>
    <n v="218"/>
    <n v="0"/>
    <m/>
    <m/>
    <m/>
    <m/>
    <n v="518"/>
    <n v="33000"/>
    <n v="23980"/>
    <n v="56980"/>
    <n v="5005.9349999999995"/>
    <n v="3637.6460999999995"/>
    <n v="8643.5810999999994"/>
  </r>
  <r>
    <x v="2"/>
    <s v="HESRRO"/>
    <s v="CHINA"/>
    <s v="STS25M51062"/>
    <s v="FF080"/>
    <s v="100% POLYESTER TWILL 220 GM/M2"/>
    <s v="KNIT"/>
    <s v="6112.12.0010"/>
    <n v="140"/>
    <n v="23.7501"/>
    <n v="16.3"/>
    <n v="0.28199999999999997"/>
    <n v="4.5965999999999996"/>
    <n v="7.4999999999999997E-2"/>
    <n v="1.2224999999999999"/>
    <n v="7.0000000000000007E-2"/>
    <n v="1.1410000000000002"/>
    <n v="0.49"/>
    <n v="300"/>
    <n v="118"/>
    <n v="100"/>
    <m/>
    <m/>
    <m/>
    <m/>
    <n v="518"/>
    <n v="42000"/>
    <n v="30520"/>
    <n v="72520"/>
    <n v="7125.03"/>
    <n v="5177.5217999999995"/>
    <n v="12302.551799999999"/>
  </r>
  <r>
    <x v="3"/>
    <s v="HESRRO"/>
    <s v="CHINA"/>
    <s v="STS25M51063"/>
    <s v="FF080"/>
    <s v="100% POLYESTER TWILL 220 GM/M2"/>
    <s v="KNIT"/>
    <s v="6112.12.0050"/>
    <n v="110"/>
    <n v="16.686449999999997"/>
    <n v="11.35"/>
    <n v="0.28199999999999997"/>
    <n v="3.2006999999999994"/>
    <n v="7.4999999999999997E-2"/>
    <n v="0.85124999999999995"/>
    <n v="7.0000000000000007E-2"/>
    <n v="0.7945000000000001"/>
    <n v="0.49"/>
    <n v="300"/>
    <n v="118"/>
    <n v="100"/>
    <m/>
    <m/>
    <m/>
    <m/>
    <n v="518"/>
    <n v="33000"/>
    <n v="23980"/>
    <n v="56980"/>
    <n v="5005.9349999999995"/>
    <n v="3637.6460999999995"/>
    <n v="8643.5810999999994"/>
  </r>
  <r>
    <x v="2"/>
    <s v="HESRRO"/>
    <s v="CHINA"/>
    <s v="STS25M51082"/>
    <s v="FF359"/>
    <s v="85% POLYESTER/15% NYLON PEACHED 140 GM/M2"/>
    <s v="WOVEN"/>
    <s v="6201.40.7511"/>
    <n v="150"/>
    <n v="30.067599999999999"/>
    <n v="20.8"/>
    <n v="0.27700000000000002"/>
    <n v="5.7616000000000005"/>
    <n v="7.4999999999999997E-2"/>
    <n v="1.56"/>
    <n v="7.0000000000000007E-2"/>
    <n v="1.4560000000000002"/>
    <n v="0.49"/>
    <n v="300"/>
    <n v="100"/>
    <n v="100"/>
    <m/>
    <n v="16"/>
    <m/>
    <n v="4"/>
    <n v="520"/>
    <n v="45000"/>
    <n v="33000"/>
    <n v="78000"/>
    <n v="9020.2799999999988"/>
    <n v="6429.5199999999995"/>
    <n v="15449.8"/>
  </r>
  <r>
    <x v="3"/>
    <s v="HESRRO"/>
    <s v="CHINA"/>
    <s v="STS25M51083"/>
    <s v="FF359"/>
    <s v="85% POLYESTER/15% NYLON PEACHED 140 GM/M2"/>
    <s v="WOVEN"/>
    <s v="6203.43.9010"/>
    <n v="125"/>
    <n v="20.853200000000001"/>
    <n v="14.3"/>
    <n v="0.27900000000000003"/>
    <n v="3.9897000000000005"/>
    <n v="7.4999999999999997E-2"/>
    <n v="1.0725"/>
    <n v="7.0000000000000007E-2"/>
    <n v="1.0010000000000001"/>
    <n v="0.49"/>
    <n v="250"/>
    <n v="100"/>
    <n v="152"/>
    <m/>
    <n v="16"/>
    <m/>
    <n v="4"/>
    <n v="522"/>
    <n v="31250"/>
    <n v="34000"/>
    <n v="65250"/>
    <n v="5213.3"/>
    <n v="5541.0064000000002"/>
    <n v="10754.306400000001"/>
  </r>
  <r>
    <x v="2"/>
    <s v="HESRRO"/>
    <s v="CHINA"/>
    <s v="STS25M51082"/>
    <s v="FF359"/>
    <s v="85% POLYESTER/15% NYLON PEACHED 140 GM/M2"/>
    <s v="WOVEN"/>
    <s v="6201.40.7511"/>
    <n v="150"/>
    <n v="30.067599999999999"/>
    <n v="20.8"/>
    <n v="0.27700000000000002"/>
    <n v="5.7616000000000005"/>
    <n v="7.4999999999999997E-2"/>
    <n v="1.56"/>
    <n v="7.0000000000000007E-2"/>
    <n v="1.4560000000000002"/>
    <n v="0.49"/>
    <n v="350"/>
    <n v="203"/>
    <n v="0"/>
    <m/>
    <m/>
    <m/>
    <m/>
    <n v="553"/>
    <n v="52500"/>
    <n v="30450"/>
    <n v="82950"/>
    <n v="10523.66"/>
    <n v="6103.7227999999996"/>
    <n v="16627.382799999999"/>
  </r>
  <r>
    <x v="3"/>
    <s v="HESRRO"/>
    <s v="CHINA"/>
    <s v="STS25M51083"/>
    <s v="FF359"/>
    <s v="85% POLYESTER/15% NYLON PEACHED 140 GM/M2"/>
    <s v="WOVEN"/>
    <s v="6203.43.9010"/>
    <n v="125"/>
    <n v="20.853200000000001"/>
    <n v="14.3"/>
    <n v="0.27900000000000003"/>
    <n v="3.9897000000000005"/>
    <n v="7.4999999999999997E-2"/>
    <n v="1.0725"/>
    <n v="7.0000000000000007E-2"/>
    <n v="1.0010000000000001"/>
    <n v="0.49"/>
    <n v="300"/>
    <n v="203"/>
    <n v="0"/>
    <m/>
    <m/>
    <m/>
    <m/>
    <n v="503"/>
    <n v="37500"/>
    <n v="25375"/>
    <n v="62875"/>
    <n v="6255.96"/>
    <n v="4233.1995999999999"/>
    <n v="10489.159599999999"/>
  </r>
  <r>
    <x v="4"/>
    <s v="HESRRO"/>
    <s v="CHINA"/>
    <s v="STS25M51219"/>
    <s v="FF367-H"/>
    <s v="100% PLEATED POLYESTER"/>
    <s v="WOVEN"/>
    <s v="6201.40.7511"/>
    <n v="150"/>
    <n v="25.801600000000001"/>
    <n v="17.8"/>
    <n v="0.27700000000000002"/>
    <n v="4.930600000000001"/>
    <n v="7.4999999999999997E-2"/>
    <n v="1.335"/>
    <n v="7.0000000000000007E-2"/>
    <n v="1.2460000000000002"/>
    <n v="0.49"/>
    <n v="400"/>
    <n v="223"/>
    <n v="0"/>
    <m/>
    <m/>
    <n v="22"/>
    <m/>
    <n v="645"/>
    <n v="60000"/>
    <n v="36750"/>
    <n v="96750"/>
    <n v="10320.64"/>
    <n v="6145.3568000000005"/>
    <n v="16465.996800000001"/>
  </r>
  <r>
    <x v="5"/>
    <s v="HESRRO"/>
    <s v="CHINA"/>
    <s v="STS25M51220"/>
    <s v="FF367-H"/>
    <s v="100% PLEATED POLYESTER"/>
    <s v="WOVEN"/>
    <s v="6203.43.9010"/>
    <n v="110"/>
    <n v="18.717200000000002"/>
    <n v="12.8"/>
    <n v="0.27900000000000003"/>
    <n v="3.5712000000000006"/>
    <n v="7.4999999999999997E-2"/>
    <n v="0.96"/>
    <n v="7.0000000000000007E-2"/>
    <n v="0.89600000000000013"/>
    <n v="0.49"/>
    <n v="350"/>
    <n v="216"/>
    <n v="0"/>
    <m/>
    <m/>
    <n v="18"/>
    <m/>
    <n v="584"/>
    <n v="38500"/>
    <n v="25740"/>
    <n v="64240"/>
    <n v="6551.02"/>
    <n v="4273.3152"/>
    <n v="10824.335200000001"/>
  </r>
  <r>
    <x v="4"/>
    <s v="HESRRO"/>
    <s v="CHINA"/>
    <s v="STS25M51219"/>
    <s v="FF367-H"/>
    <s v="100% PLEATED POLYESTER"/>
    <s v="WOVEN"/>
    <s v="6201.40.7511"/>
    <n v="150"/>
    <n v="25.801600000000001"/>
    <n v="17.8"/>
    <n v="0.27700000000000002"/>
    <n v="4.930600000000001"/>
    <n v="7.4999999999999997E-2"/>
    <n v="1.335"/>
    <n v="7.0000000000000007E-2"/>
    <n v="1.2460000000000002"/>
    <n v="0.49"/>
    <n v="400"/>
    <n v="124"/>
    <n v="0"/>
    <m/>
    <m/>
    <n v="4"/>
    <m/>
    <n v="528"/>
    <n v="60000"/>
    <n v="19200"/>
    <n v="79200"/>
    <n v="10320.64"/>
    <n v="3270.5983999999999"/>
    <n v="13591.238399999998"/>
  </r>
  <r>
    <x v="5"/>
    <s v="HESRRO"/>
    <s v="CHINA"/>
    <s v="STS25M51220"/>
    <s v="FF367-H"/>
    <s v="100% PLEATED POLYESTER"/>
    <s v="WOVEN"/>
    <s v="6203.43.9010"/>
    <n v="125"/>
    <n v="18.717200000000002"/>
    <n v="12.8"/>
    <n v="0.27900000000000003"/>
    <n v="3.5712000000000006"/>
    <n v="7.4999999999999997E-2"/>
    <n v="0.96"/>
    <n v="7.0000000000000007E-2"/>
    <n v="0.89600000000000013"/>
    <n v="0.49"/>
    <n v="350"/>
    <n v="124"/>
    <n v="152"/>
    <m/>
    <m/>
    <n v="4"/>
    <m/>
    <n v="630"/>
    <n v="43750"/>
    <n v="35000"/>
    <n v="78750"/>
    <n v="6551.02"/>
    <n v="5217.1472000000003"/>
    <n v="11768.1672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600"/>
    <n v="496"/>
    <n v="0"/>
    <m/>
    <m/>
    <m/>
    <n v="30"/>
    <n v="1126"/>
    <n v="40800"/>
    <n v="35768"/>
    <n v="76568"/>
    <n v="7657.32"/>
    <n v="6588.0511999999999"/>
    <n v="14245.3712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600"/>
    <n v="460"/>
    <n v="0"/>
    <m/>
    <m/>
    <m/>
    <n v="10"/>
    <n v="1070"/>
    <n v="40800"/>
    <n v="31960"/>
    <n v="72760"/>
    <n v="7657.32"/>
    <n v="5956.6120000000001"/>
    <n v="13613.932000000001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500"/>
    <n v="520"/>
    <n v="0"/>
    <m/>
    <m/>
    <m/>
    <n v="10"/>
    <n v="1030"/>
    <n v="34000"/>
    <n v="36040"/>
    <n v="70040"/>
    <n v="6381.1"/>
    <n v="6722.3440000000001"/>
    <n v="13103.444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400"/>
    <m/>
    <n v="0"/>
    <m/>
    <m/>
    <m/>
    <m/>
    <n v="400"/>
    <n v="27200"/>
    <n v="0"/>
    <n v="27200"/>
    <n v="5104.88"/>
    <n v="0"/>
    <n v="5104.88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400"/>
    <m/>
    <n v="0"/>
    <m/>
    <m/>
    <m/>
    <m/>
    <n v="400"/>
    <n v="27200"/>
    <n v="0"/>
    <n v="27200"/>
    <n v="5104.88"/>
    <n v="0"/>
    <n v="5104.88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500"/>
    <m/>
    <n v="0"/>
    <m/>
    <m/>
    <m/>
    <m/>
    <n v="500"/>
    <n v="34000"/>
    <n v="0"/>
    <n v="34000"/>
    <n v="6381.1"/>
    <n v="0"/>
    <n v="6381.1"/>
  </r>
  <r>
    <x v="6"/>
    <s v="HESRRO"/>
    <s v="CHINA"/>
    <s v="STS25M50457"/>
    <s v="FF080"/>
    <s v="100% POLYESTER TWILL 220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1000"/>
    <m/>
    <n v="0"/>
    <m/>
    <m/>
    <m/>
    <m/>
    <n v="1000"/>
    <n v="68000"/>
    <n v="0"/>
    <n v="68000"/>
    <n v="12762.2"/>
    <n v="0"/>
    <n v="12762.2"/>
  </r>
  <r>
    <x v="7"/>
    <s v="HESRRO"/>
    <s v="CHINA"/>
    <s v="STS25M51102"/>
    <s v="FF476_x000a_"/>
    <s v="100% POLYESTER PIQUE 155 GM/M2"/>
    <s v="KNIT"/>
    <s v="6109.90.1007"/>
    <n v="78"/>
    <n v="12.502999999999998"/>
    <n v="8.1999999999999993"/>
    <n v="0.32"/>
    <n v="2.6239999999999997"/>
    <n v="7.4999999999999997E-2"/>
    <n v="0.61499999999999988"/>
    <n v="7.0000000000000007E-2"/>
    <n v="0.57399999999999995"/>
    <n v="0.49"/>
    <n v="400"/>
    <n v="237"/>
    <n v="0"/>
    <m/>
    <m/>
    <m/>
    <n v="20"/>
    <n v="657"/>
    <n v="31200"/>
    <n v="20046"/>
    <n v="51246"/>
    <n v="5001.1999999999989"/>
    <n v="3127.2109999999998"/>
    <n v="8128.4109999999982"/>
  </r>
  <r>
    <x v="0"/>
    <s v="HESRRO"/>
    <s v="CHINA"/>
    <s v="STS25M51103"/>
    <s v="FF476_x000a_"/>
    <s v="100% POLYESTER PIQUE 155 GM/M2"/>
    <s v="KNIT"/>
    <s v="6105.20.2010"/>
    <n v="98"/>
    <n v="13.382000000000001"/>
    <n v="8.8000000000000007"/>
    <n v="0.32"/>
    <n v="2.8160000000000003"/>
    <n v="7.4999999999999997E-2"/>
    <n v="0.66"/>
    <n v="7.0000000000000007E-2"/>
    <n v="0.6160000000000001"/>
    <n v="0.49"/>
    <n v="350"/>
    <n v="234"/>
    <n v="0"/>
    <m/>
    <m/>
    <n v="12"/>
    <n v="40"/>
    <n v="636"/>
    <n v="34300"/>
    <n v="28028"/>
    <n v="62328"/>
    <n v="4683.7000000000007"/>
    <n v="3588.9880000000003"/>
    <n v="8272.6880000000019"/>
  </r>
  <r>
    <x v="1"/>
    <s v="HESRRO"/>
    <s v="CHINA"/>
    <s v="STS25M51105"/>
    <s v="FF476_x000a_"/>
    <s v="100% POLYESTER PIQUE 155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400"/>
    <n v="405"/>
    <n v="0"/>
    <m/>
    <m/>
    <n v="12"/>
    <n v="40"/>
    <n v="857"/>
    <n v="27200"/>
    <n v="31076"/>
    <n v="58276"/>
    <n v="5104.88"/>
    <n v="5615.8909999999996"/>
    <n v="10720.771000000001"/>
  </r>
  <r>
    <x v="7"/>
    <s v="HESRRO"/>
    <s v="CHINA"/>
    <s v="STS25M51102"/>
    <s v="FF476_x000a_"/>
    <s v="100% POLYESTER PIQUE 155 GM/M2"/>
    <s v="KNIT"/>
    <s v="6109.90.1007"/>
    <n v="78"/>
    <n v="12.502999999999998"/>
    <n v="8.1999999999999993"/>
    <n v="0.32"/>
    <n v="2.6239999999999997"/>
    <n v="7.4999999999999997E-2"/>
    <n v="0.61499999999999988"/>
    <n v="7.0000000000000007E-2"/>
    <n v="0.57399999999999995"/>
    <n v="0.49"/>
    <n v="350"/>
    <n v="154"/>
    <n v="0"/>
    <m/>
    <m/>
    <m/>
    <n v="10"/>
    <n v="514"/>
    <n v="27300"/>
    <n v="12792"/>
    <n v="40092"/>
    <n v="4376.0499999999993"/>
    <n v="2007.4619999999998"/>
    <n v="6383.5119999999988"/>
  </r>
  <r>
    <x v="0"/>
    <s v="HESRRO"/>
    <s v="CHINA"/>
    <s v="STS25M51103"/>
    <s v="FF476_x000a_"/>
    <s v="100% POLYESTER PIQUE 155 GM/M2"/>
    <s v="KNIT"/>
    <s v="6105.20.2010"/>
    <n v="98"/>
    <n v="13.382000000000001"/>
    <n v="8.8000000000000007"/>
    <n v="0.32"/>
    <n v="2.8160000000000003"/>
    <n v="7.4999999999999997E-2"/>
    <n v="0.66"/>
    <n v="7.0000000000000007E-2"/>
    <n v="0.6160000000000001"/>
    <n v="0.49"/>
    <n v="300"/>
    <n v="149"/>
    <n v="52"/>
    <m/>
    <m/>
    <m/>
    <n v="10"/>
    <n v="511"/>
    <n v="29400"/>
    <n v="20678"/>
    <n v="50078"/>
    <n v="4014.6000000000004"/>
    <n v="2777.7820000000002"/>
    <n v="6792.3820000000005"/>
  </r>
  <r>
    <x v="1"/>
    <s v="HESRRO"/>
    <s v="CHINA"/>
    <s v="STS25M51105"/>
    <s v="FF476_x000a_"/>
    <s v="100% POLYESTER PIQUE 155 GM/M2"/>
    <s v="KNIT"/>
    <s v="6103.43.1550"/>
    <n v="68"/>
    <n v="12.7622"/>
    <n v="8.6"/>
    <n v="0.28199999999999997"/>
    <n v="2.4251999999999998"/>
    <n v="7.4999999999999997E-2"/>
    <n v="0.64499999999999991"/>
    <n v="7.0000000000000007E-2"/>
    <n v="0.60199999999999998"/>
    <n v="0.49"/>
    <n v="300"/>
    <n v="174"/>
    <n v="52"/>
    <m/>
    <m/>
    <m/>
    <n v="10"/>
    <n v="536"/>
    <n v="20400"/>
    <n v="16048"/>
    <n v="36448"/>
    <n v="3828.66"/>
    <n v="2970.2572"/>
    <n v="6798.9171999999999"/>
  </r>
  <r>
    <x v="2"/>
    <s v="HESRRO"/>
    <s v="CHINA"/>
    <s v="STS25M51223"/>
    <s v="BODY: FF093                               LINING: FF094"/>
    <s v="BODY: 100% NYLON TAFFETA LINING: 100% POLYESTER MESH 82 GM/M2"/>
    <s v="WOVEN"/>
    <s v="6201.40.7511"/>
    <n v="135"/>
    <n v="22.531000000000002"/>
    <n v="15.5"/>
    <n v="0.27700000000000002"/>
    <n v="4.2935000000000008"/>
    <n v="7.4999999999999997E-2"/>
    <n v="1.1624999999999999"/>
    <n v="7.0000000000000007E-2"/>
    <n v="1.0850000000000002"/>
    <n v="0.49"/>
    <n v="300"/>
    <n v="13"/>
    <n v="158"/>
    <m/>
    <m/>
    <m/>
    <n v="30"/>
    <n v="501"/>
    <n v="40500"/>
    <n v="27135"/>
    <n v="67635"/>
    <n v="6759.3000000000011"/>
    <n v="4317.8010000000004"/>
    <n v="11077.101000000002"/>
  </r>
  <r>
    <x v="2"/>
    <s v="HESRRO"/>
    <s v="CHINA"/>
    <s v="STS25M51223"/>
    <s v="BODY: FF093                               LINING: FF094"/>
    <s v="BODY: 100% NYLON TAFFETA LINING: 100% POLYESTER MESH 82 GM/M2"/>
    <s v="WOVEN"/>
    <s v="6201.40.7511"/>
    <n v="135"/>
    <n v="22.531000000000002"/>
    <n v="15.5"/>
    <n v="0.27700000000000002"/>
    <n v="4.2935000000000008"/>
    <n v="7.4999999999999997E-2"/>
    <n v="1.1624999999999999"/>
    <n v="7.0000000000000007E-2"/>
    <n v="1.0850000000000002"/>
    <n v="0.49"/>
    <n v="350"/>
    <n v="143"/>
    <n v="0"/>
    <m/>
    <m/>
    <m/>
    <n v="40"/>
    <n v="533"/>
    <n v="47250"/>
    <n v="24705"/>
    <n v="71955"/>
    <n v="7885.8500000000013"/>
    <n v="3841.9330000000004"/>
    <n v="11727.783000000001"/>
  </r>
  <r>
    <x v="4"/>
    <s v="HESRRO"/>
    <s v="CHINA"/>
    <s v="STS25M51115"/>
    <s v="FF404"/>
    <s v="93% POLYESTER/7% SPANDEX 200 GM/M2"/>
    <s v="WOVEN"/>
    <s v="6201.40.7511"/>
    <n v="150"/>
    <n v="29.996499999999997"/>
    <n v="20.75"/>
    <n v="0.27700000000000002"/>
    <n v="5.7477500000000008"/>
    <n v="7.4999999999999997E-2"/>
    <n v="1.5562499999999999"/>
    <n v="7.0000000000000007E-2"/>
    <n v="1.4525000000000001"/>
    <n v="0.49"/>
    <n v="300"/>
    <n v="8"/>
    <n v="199"/>
    <m/>
    <m/>
    <m/>
    <m/>
    <n v="507"/>
    <n v="45000"/>
    <n v="31050"/>
    <n v="76050"/>
    <n v="8998.9499999999989"/>
    <n v="6209.2754999999997"/>
    <n v="15208.225499999999"/>
  </r>
  <r>
    <x v="4"/>
    <s v="HESRRO"/>
    <s v="CHINA"/>
    <s v="STS25M51115"/>
    <s v="FF404"/>
    <s v="93% POLYESTER/7% SPANDEX 200 GM/M2"/>
    <s v="WOVEN"/>
    <s v="6201.40.7511"/>
    <n v="150"/>
    <n v="29.996499999999997"/>
    <n v="20.75"/>
    <n v="0.27700000000000002"/>
    <n v="5.7477500000000008"/>
    <n v="7.4999999999999997E-2"/>
    <n v="1.5562499999999999"/>
    <n v="7.0000000000000007E-2"/>
    <n v="1.4525000000000001"/>
    <n v="0.49"/>
    <n v="400"/>
    <n v="109"/>
    <n v="0"/>
    <m/>
    <n v="21"/>
    <m/>
    <m/>
    <n v="530"/>
    <n v="60000"/>
    <n v="19500"/>
    <n v="79500"/>
    <n v="11998.599999999999"/>
    <n v="3705.3684999999996"/>
    <n v="15703.968499999999"/>
  </r>
  <r>
    <x v="7"/>
    <s v="SARA"/>
    <s v="BANGLADESH"/>
    <s v="STS25M51143"/>
    <s v="FF387"/>
    <s v="65% COTTON/30% POLYESTER/5% ELASTANE PIQUE 200 GM/M2 "/>
    <s v="KNIT"/>
    <s v="6109.10.0012"/>
    <n v="48"/>
    <n v="7.1590000000000007"/>
    <n v="5.4"/>
    <n v="0.16500000000000001"/>
    <n v="0.89100000000000013"/>
    <m/>
    <m/>
    <n v="7.0000000000000007E-2"/>
    <n v="0.37800000000000006"/>
    <n v="0.49"/>
    <n v="500"/>
    <n v="337"/>
    <n v="0"/>
    <m/>
    <m/>
    <m/>
    <n v="50"/>
    <n v="887"/>
    <n v="24000"/>
    <n v="18576"/>
    <n v="42576"/>
    <n v="3579.5000000000005"/>
    <n v="2682.5830000000001"/>
    <n v="6262.0830000000005"/>
  </r>
  <r>
    <x v="7"/>
    <s v="SARA"/>
    <s v="BANGLADESH"/>
    <s v="STS25M51143"/>
    <s v="FF387"/>
    <s v="65% COTTON/30% POLYESTER/5% ELASTANE PIQUE 200 GM/M2 "/>
    <s v="KNIT"/>
    <s v="6109.10.0012"/>
    <n v="48"/>
    <n v="7.1590000000000007"/>
    <n v="5.4"/>
    <n v="0.16500000000000001"/>
    <n v="0.89100000000000013"/>
    <m/>
    <m/>
    <n v="7.0000000000000007E-2"/>
    <n v="0.37800000000000006"/>
    <n v="0.49"/>
    <n v="350"/>
    <n v="185"/>
    <n v="0"/>
    <m/>
    <m/>
    <m/>
    <n v="20"/>
    <n v="555"/>
    <n v="16800"/>
    <n v="9840"/>
    <n v="26640"/>
    <n v="2505.65"/>
    <n v="1432.4150000000002"/>
    <n v="3938.0650000000005"/>
  </r>
  <r>
    <x v="8"/>
    <s v="SARA"/>
    <s v="BANGLADESH"/>
    <s v="STS25M51125"/>
    <s v="FF042-S"/>
    <s v="100% COTTON FRENCH TERRY 360 GM/M2"/>
    <s v="KNIT"/>
    <s v="6112.12.0010"/>
    <n v="98"/>
    <n v="18.212249999999997"/>
    <n v="14.35"/>
    <n v="0.16500000000000001"/>
    <n v="2.36775"/>
    <m/>
    <m/>
    <n v="7.0000000000000007E-2"/>
    <n v="1.0045000000000002"/>
    <n v="0.49"/>
    <n v="400"/>
    <n v="172"/>
    <n v="0"/>
    <m/>
    <m/>
    <m/>
    <m/>
    <n v="572"/>
    <n v="39200"/>
    <n v="16856"/>
    <n v="56056"/>
    <n v="7284.8999999999987"/>
    <n v="3132.5069999999996"/>
    <n v="10417.406999999999"/>
  </r>
  <r>
    <x v="9"/>
    <s v="SARA"/>
    <s v="BANGLADESH"/>
    <s v="STS25M51126"/>
    <s v="FF042-S"/>
    <s v="100% COTTON FRENCH TERRY 360 GM/M2"/>
    <s v="KNIT"/>
    <s v="6103.42.1020"/>
    <n v="88"/>
    <n v="18.397499999999997"/>
    <n v="14.5"/>
    <n v="0.16500000000000001"/>
    <n v="2.3925000000000001"/>
    <m/>
    <m/>
    <n v="7.0000000000000007E-2"/>
    <n v="1.0150000000000001"/>
    <n v="0.49"/>
    <n v="350"/>
    <n v="149"/>
    <n v="0"/>
    <m/>
    <m/>
    <m/>
    <m/>
    <n v="499"/>
    <n v="30800"/>
    <n v="13112"/>
    <n v="43912"/>
    <n v="6439.1249999999991"/>
    <n v="2741.2274999999995"/>
    <n v="9180.3524999999991"/>
  </r>
  <r>
    <x v="8"/>
    <s v="SARA"/>
    <s v="BANGLADESH"/>
    <s v="STS25M51125"/>
    <s v="FF042-S"/>
    <s v="100% COTTON FRENCH TERRY 360 GM/M2"/>
    <s v="KNIT"/>
    <s v="6112.12.0010"/>
    <n v="98"/>
    <n v="18.212249999999997"/>
    <n v="14.35"/>
    <n v="0.16500000000000001"/>
    <n v="2.36775"/>
    <m/>
    <m/>
    <n v="7.0000000000000007E-2"/>
    <n v="1.0045000000000002"/>
    <n v="0.49"/>
    <n v="500"/>
    <n v="130"/>
    <n v="0"/>
    <m/>
    <m/>
    <m/>
    <m/>
    <n v="630"/>
    <n v="49000"/>
    <n v="12740"/>
    <n v="61740"/>
    <n v="9106.1249999999982"/>
    <n v="2367.5924999999997"/>
    <n v="11473.717499999999"/>
  </r>
  <r>
    <x v="9"/>
    <s v="SARA"/>
    <s v="BANGLADESH"/>
    <s v="STS25M51126"/>
    <s v="FF042-S"/>
    <s v="100% COTTON FRENCH TERRY 360 GM/M2"/>
    <s v="KNIT"/>
    <s v="6103.42.1020"/>
    <n v="88"/>
    <n v="18.397499999999997"/>
    <n v="14.5"/>
    <n v="0.16500000000000001"/>
    <n v="2.3925000000000001"/>
    <m/>
    <m/>
    <n v="7.0000000000000007E-2"/>
    <n v="1.0150000000000001"/>
    <n v="0.49"/>
    <n v="400"/>
    <n v="130"/>
    <n v="0"/>
    <m/>
    <m/>
    <m/>
    <m/>
    <n v="530"/>
    <n v="35200"/>
    <n v="11440"/>
    <n v="46640"/>
    <n v="7358.9999999999991"/>
    <n v="2391.6749999999997"/>
    <n v="9750.6749999999993"/>
  </r>
  <r>
    <x v="7"/>
    <s v="SARA"/>
    <s v="BANGLADESH"/>
    <s v="STS25M51146"/>
    <s v="FF155"/>
    <s v="100% COTTON JERSEY 180 GM/M2"/>
    <s v="KNIT"/>
    <s v="6109.10.0012"/>
    <n v="48"/>
    <n v="6.9737499999999999"/>
    <n v="5.25"/>
    <n v="0.16500000000000001"/>
    <n v="0.86625000000000008"/>
    <m/>
    <m/>
    <n v="7.0000000000000007E-2"/>
    <n v="0.36750000000000005"/>
    <n v="0.49"/>
    <n v="500"/>
    <n v="143"/>
    <n v="0"/>
    <n v="100"/>
    <m/>
    <m/>
    <n v="10"/>
    <n v="753"/>
    <n v="24000"/>
    <n v="12144"/>
    <n v="36144"/>
    <n v="3486.875"/>
    <n v="1574.7462500000001"/>
    <n v="5061.6212500000001"/>
  </r>
  <r>
    <x v="7"/>
    <s v="SARA"/>
    <s v="BANGLADESH"/>
    <s v="STS25M51146"/>
    <s v="FF155"/>
    <s v="100% COTTON JERSEY 180 GM/M2"/>
    <s v="KNIT"/>
    <s v="6109.10.0012"/>
    <n v="48"/>
    <n v="6.9737499999999999"/>
    <n v="5.25"/>
    <n v="0.16500000000000001"/>
    <n v="0.86625000000000008"/>
    <m/>
    <m/>
    <n v="7.0000000000000007E-2"/>
    <n v="0.36750000000000005"/>
    <n v="0.49"/>
    <n v="400"/>
    <n v="165"/>
    <n v="0"/>
    <m/>
    <m/>
    <m/>
    <m/>
    <n v="565"/>
    <n v="19200"/>
    <n v="7920"/>
    <n v="27120"/>
    <n v="2789.5"/>
    <n v="1150.66875"/>
    <n v="3940.1687499999998"/>
  </r>
  <r>
    <x v="7"/>
    <s v="SARA"/>
    <s v="BANGLADESH"/>
    <s v="STS25M51146"/>
    <s v="FF155"/>
    <s v="100% COTTON JERSEY 180 GM/M2"/>
    <s v="KNIT"/>
    <s v="6109.10.0012"/>
    <n v="48"/>
    <n v="6.9737499999999999"/>
    <n v="5.25"/>
    <n v="0.16500000000000001"/>
    <n v="0.86625000000000008"/>
    <m/>
    <m/>
    <n v="7.0000000000000007E-2"/>
    <n v="0.36750000000000005"/>
    <n v="0.49"/>
    <n v="500"/>
    <n v="243"/>
    <n v="0"/>
    <n v="100"/>
    <m/>
    <m/>
    <n v="10"/>
    <n v="853"/>
    <n v="24000"/>
    <n v="16944"/>
    <n v="40944"/>
    <n v="3486.875"/>
    <n v="2272.1212500000001"/>
    <n v="5758.9962500000001"/>
  </r>
  <r>
    <x v="7"/>
    <s v="SARA"/>
    <s v="BANGLADESH"/>
    <s v="STS25M51146"/>
    <s v="FF155"/>
    <s v="100% COTTON JERSEY 180 GM/M2"/>
    <s v="KNIT"/>
    <s v="6109.10.0012"/>
    <n v="48"/>
    <n v="6.9737499999999999"/>
    <n v="5.25"/>
    <n v="0.16500000000000001"/>
    <n v="0.86625000000000008"/>
    <m/>
    <m/>
    <n v="7.0000000000000007E-2"/>
    <n v="0.36750000000000005"/>
    <n v="0.49"/>
    <n v="400"/>
    <n v="153"/>
    <n v="0"/>
    <m/>
    <m/>
    <m/>
    <m/>
    <n v="553"/>
    <n v="19200"/>
    <n v="7344"/>
    <n v="26544"/>
    <n v="2789.5"/>
    <n v="1066.9837499999999"/>
    <n v="3856.4837499999999"/>
  </r>
  <r>
    <x v="0"/>
    <s v="SARA"/>
    <s v="BANGLADESH"/>
    <s v="STS25M51127"/>
    <s v="FF387"/>
    <s v="65% COTTON/30% POLYESTER/5% ELASTANE PIQUE 200 GM/M2 "/>
    <s v="KNIT"/>
    <s v="6105.10.0010"/>
    <n v="78"/>
    <n v="10.182550000000001"/>
    <n v="7.65"/>
    <n v="0.19700000000000001"/>
    <n v="1.5070500000000002"/>
    <m/>
    <m/>
    <n v="7.0000000000000007E-2"/>
    <n v="0.53550000000000009"/>
    <n v="0.49"/>
    <n v="400"/>
    <m/>
    <n v="100"/>
    <m/>
    <m/>
    <m/>
    <m/>
    <n v="500"/>
    <n v="31200"/>
    <n v="7800"/>
    <n v="39000"/>
    <n v="4073.0200000000004"/>
    <n v="1018.2550000000001"/>
    <n v="5091.2750000000005"/>
  </r>
  <r>
    <x v="0"/>
    <s v="SARA"/>
    <s v="BANGLADESH"/>
    <s v="STS25M51127"/>
    <s v="FF387"/>
    <s v="65% COTTON/30% POLYESTER/5% ELASTANE PIQUE 200 GM/M2 "/>
    <s v="KNIT"/>
    <s v="6105.10.0010"/>
    <n v="78"/>
    <n v="10.182550000000001"/>
    <n v="7.65"/>
    <n v="0.19700000000000001"/>
    <n v="1.5070500000000002"/>
    <m/>
    <m/>
    <n v="7.0000000000000007E-2"/>
    <n v="0.53550000000000009"/>
    <n v="0.49"/>
    <n v="450"/>
    <m/>
    <n v="52"/>
    <m/>
    <m/>
    <m/>
    <m/>
    <n v="502"/>
    <n v="35100"/>
    <n v="4056"/>
    <n v="39156"/>
    <n v="4582.1475"/>
    <n v="529.49260000000004"/>
    <n v="5111.6401000000005"/>
  </r>
  <r>
    <x v="0"/>
    <s v="SARA"/>
    <s v="BANGLADESH"/>
    <s v="STS25M51127"/>
    <s v="FF387"/>
    <s v="65% COTTON/30% POLYESTER/5% ELASTANE PIQUE 200 GM/M2 "/>
    <s v="KNIT"/>
    <s v="6105.10.0010"/>
    <n v="78"/>
    <n v="10.182550000000001"/>
    <n v="7.65"/>
    <n v="0.19700000000000001"/>
    <n v="1.5070500000000002"/>
    <m/>
    <m/>
    <n v="7.0000000000000007E-2"/>
    <n v="0.53550000000000009"/>
    <n v="0.49"/>
    <n v="450"/>
    <m/>
    <n v="52"/>
    <m/>
    <m/>
    <m/>
    <m/>
    <n v="502"/>
    <n v="35100"/>
    <n v="4056"/>
    <n v="39156"/>
    <n v="4582.1475"/>
    <n v="529.49260000000004"/>
    <n v="5111.6401000000005"/>
  </r>
  <r>
    <x v="1"/>
    <s v="SARA"/>
    <s v="BANGLADESH"/>
    <s v="STS25M51128"/>
    <s v="FF042-S"/>
    <s v="100% COTTON FRENCH TERRY 360 GM/M2"/>
    <s v="KNIT"/>
    <s v="6103.42.1050"/>
    <n v="78"/>
    <n v="14.6465"/>
    <n v="11.5"/>
    <n v="0.161"/>
    <n v="1.8515000000000001"/>
    <m/>
    <m/>
    <n v="7.0000000000000007E-2"/>
    <n v="0.80500000000000005"/>
    <n v="0.49"/>
    <n v="400"/>
    <n v="178"/>
    <n v="0"/>
    <m/>
    <m/>
    <m/>
    <m/>
    <n v="578"/>
    <n v="31200"/>
    <n v="13884"/>
    <n v="45084"/>
    <n v="5858.5999999999995"/>
    <n v="2607.0769999999998"/>
    <n v="8465.6769999999997"/>
  </r>
  <r>
    <x v="1"/>
    <s v="SARA"/>
    <s v="BANGLADESH"/>
    <s v="STS25M51128"/>
    <s v="FF042-S"/>
    <s v="100% COTTON FRENCH TERRY 360 GM/M2"/>
    <s v="KNIT"/>
    <s v="6103.42.1050"/>
    <n v="78"/>
    <n v="14.6465"/>
    <n v="11.5"/>
    <n v="0.161"/>
    <n v="1.8515000000000001"/>
    <m/>
    <m/>
    <n v="7.0000000000000007E-2"/>
    <n v="0.80500000000000005"/>
    <n v="0.49"/>
    <n v="400"/>
    <n v="162"/>
    <n v="0"/>
    <m/>
    <m/>
    <m/>
    <m/>
    <n v="562"/>
    <n v="31200"/>
    <n v="12636"/>
    <n v="43836"/>
    <n v="5858.5999999999995"/>
    <n v="2372.7329999999997"/>
    <n v="8231.3329999999987"/>
  </r>
  <r>
    <x v="1"/>
    <s v="SARA"/>
    <s v="BANGLADESH"/>
    <s v="STS25M51128"/>
    <s v="FF042-S"/>
    <s v="100% COTTON FRENCH TERRY 360 GM/M2"/>
    <s v="KNIT"/>
    <s v="6103.42.1050"/>
    <n v="78"/>
    <n v="14.6465"/>
    <n v="11.5"/>
    <n v="0.161"/>
    <n v="1.8515000000000001"/>
    <m/>
    <m/>
    <n v="7.0000000000000007E-2"/>
    <n v="0.80500000000000005"/>
    <n v="0.49"/>
    <n v="350"/>
    <n v="154"/>
    <n v="0"/>
    <m/>
    <m/>
    <m/>
    <m/>
    <n v="504"/>
    <n v="27300"/>
    <n v="12012"/>
    <n v="39312"/>
    <n v="5126.2749999999996"/>
    <n v="2255.5610000000001"/>
    <n v="7381.8359999999993"/>
  </r>
  <r>
    <x v="10"/>
    <s v="SARA"/>
    <s v="BANGLADESH"/>
    <s v="STS25M51203"/>
    <s v="FF042-S"/>
    <s v="100% COTTON FRENCH TERRY 360 GM/M2"/>
    <s v="KNIT"/>
    <s v="6110.20.2041"/>
    <n v="125"/>
    <n v="25.498749999999998"/>
    <n v="20.25"/>
    <n v="0.16500000000000001"/>
    <n v="3.3412500000000001"/>
    <m/>
    <m/>
    <n v="7.0000000000000007E-2"/>
    <n v="1.4175000000000002"/>
    <n v="0.49"/>
    <n v="350"/>
    <n v="142"/>
    <n v="0"/>
    <m/>
    <m/>
    <m/>
    <m/>
    <n v="492"/>
    <n v="43750"/>
    <n v="17750"/>
    <n v="61500"/>
    <n v="8924.5625"/>
    <n v="3620.8224999999998"/>
    <n v="12545.385"/>
  </r>
  <r>
    <x v="9"/>
    <s v="SARA"/>
    <s v="BANGLADESH"/>
    <s v="STS25M51204"/>
    <s v="FF042-S"/>
    <s v="100% COTTON FRENCH TERRY 360 GM/M2"/>
    <s v="KNIT"/>
    <s v="6103.42.1020"/>
    <n v="98"/>
    <n v="18.397499999999997"/>
    <n v="14.5"/>
    <n v="0.16500000000000001"/>
    <n v="2.3925000000000001"/>
    <m/>
    <m/>
    <n v="7.0000000000000007E-2"/>
    <n v="1.0150000000000001"/>
    <n v="0.49"/>
    <n v="350"/>
    <n v="142"/>
    <n v="0"/>
    <m/>
    <m/>
    <m/>
    <m/>
    <n v="492"/>
    <n v="34300"/>
    <n v="13916"/>
    <n v="48216"/>
    <n v="6439.1249999999991"/>
    <n v="2612.4449999999997"/>
    <n v="9051.57"/>
  </r>
  <r>
    <x v="10"/>
    <s v="SARA"/>
    <s v="BANGLADESH"/>
    <s v="STS25M51203"/>
    <s v="FF042-S"/>
    <s v="100% COTTON FRENCH TERRY 360 GM/M2"/>
    <s v="KNIT"/>
    <s v="6110.20.2041"/>
    <n v="125"/>
    <n v="25.498749999999998"/>
    <n v="20.25"/>
    <n v="0.16500000000000001"/>
    <n v="3.3412500000000001"/>
    <m/>
    <m/>
    <n v="7.0000000000000007E-2"/>
    <n v="1.4175000000000002"/>
    <n v="0.49"/>
    <n v="300"/>
    <n v="175"/>
    <n v="24"/>
    <m/>
    <m/>
    <m/>
    <m/>
    <n v="499"/>
    <n v="37500"/>
    <n v="24875"/>
    <n v="62375"/>
    <n v="7649.6249999999991"/>
    <n v="5074.2512499999993"/>
    <n v="12723.876249999998"/>
  </r>
  <r>
    <x v="9"/>
    <s v="SARA"/>
    <s v="BANGLADESH"/>
    <s v="STS25M51204"/>
    <s v="FF042-S"/>
    <s v="100% COTTON FRENCH TERRY 360 GM/M2"/>
    <s v="KNIT"/>
    <s v="6103.42.1020"/>
    <n v="98"/>
    <n v="18.397499999999997"/>
    <n v="14.5"/>
    <n v="0.16500000000000001"/>
    <n v="2.3925000000000001"/>
    <m/>
    <m/>
    <n v="7.0000000000000007E-2"/>
    <n v="1.0150000000000001"/>
    <n v="0.49"/>
    <n v="300"/>
    <n v="175"/>
    <n v="24"/>
    <m/>
    <m/>
    <m/>
    <m/>
    <n v="499"/>
    <n v="29400"/>
    <n v="19502"/>
    <n v="48902"/>
    <n v="5519.2499999999991"/>
    <n v="3661.1024999999995"/>
    <n v="9180.3524999999991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600"/>
    <n v="303"/>
    <n v="0"/>
    <m/>
    <m/>
    <m/>
    <n v="10"/>
    <n v="913"/>
    <n v="28800"/>
    <n v="15024"/>
    <n v="43824"/>
    <n v="4369.5"/>
    <n v="2261.5974999999999"/>
    <n v="6631.0974999999999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500"/>
    <n v="180"/>
    <n v="0"/>
    <m/>
    <m/>
    <m/>
    <m/>
    <n v="680"/>
    <n v="24000"/>
    <n v="8640"/>
    <n v="32640"/>
    <n v="3641.25"/>
    <n v="1310.85"/>
    <n v="4952.1000000000004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600"/>
    <n v="225"/>
    <n v="0"/>
    <m/>
    <m/>
    <m/>
    <n v="10"/>
    <n v="835"/>
    <n v="28800"/>
    <n v="11280"/>
    <n v="40080"/>
    <n v="4369.5"/>
    <n v="1693.5625"/>
    <n v="6063.0625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0"/>
    <m/>
    <n v="0"/>
    <m/>
    <m/>
    <m/>
    <m/>
    <n v="300"/>
    <n v="14400"/>
    <n v="0"/>
    <n v="14400"/>
    <n v="2184.75"/>
    <n v="0"/>
    <n v="2184.75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0"/>
    <m/>
    <n v="0"/>
    <m/>
    <m/>
    <m/>
    <m/>
    <n v="300"/>
    <n v="14400"/>
    <n v="0"/>
    <n v="14400"/>
    <n v="2184.75"/>
    <n v="0"/>
    <n v="2184.75"/>
  </r>
  <r>
    <x v="7"/>
    <s v="SARA"/>
    <s v="BANGLADESH"/>
    <s v="STS25M51145"/>
    <s v="FF387"/>
    <s v="65% COTTON/30% POLYESTER/5% ELASTANE PIQUE 200 GM/M2 "/>
    <s v="KNIT"/>
    <s v="6109.10.0012"/>
    <n v="48"/>
    <n v="7.2824999999999998"/>
    <n v="5.5"/>
    <n v="0.16500000000000001"/>
    <n v="0.90750000000000008"/>
    <m/>
    <m/>
    <n v="7.0000000000000007E-2"/>
    <n v="0.38500000000000001"/>
    <n v="0.49"/>
    <n v="300"/>
    <m/>
    <n v="0"/>
    <m/>
    <m/>
    <m/>
    <m/>
    <n v="300"/>
    <n v="14400"/>
    <n v="0"/>
    <n v="14400"/>
    <n v="2184.75"/>
    <n v="0"/>
    <n v="2184.75"/>
  </r>
  <r>
    <x v="11"/>
    <s v="SARA"/>
    <s v="BANGLADESH"/>
    <s v="STS25M51193"/>
    <s v="FF042-S"/>
    <s v="100% COTTON FRENCH TERRY 360 GM/M2"/>
    <s v="KNIT"/>
    <s v="6112.12.0010"/>
    <n v="110"/>
    <n v="18.397499999999997"/>
    <n v="14.5"/>
    <n v="0.16500000000000001"/>
    <n v="2.3925000000000001"/>
    <m/>
    <m/>
    <n v="7.0000000000000007E-2"/>
    <n v="1.0150000000000001"/>
    <n v="0.49"/>
    <n v="300"/>
    <m/>
    <n v="199"/>
    <m/>
    <m/>
    <m/>
    <m/>
    <n v="499"/>
    <n v="33000"/>
    <n v="21890"/>
    <n v="54890"/>
    <n v="5519.2499999999991"/>
    <n v="3661.1024999999995"/>
    <n v="9180.3524999999991"/>
  </r>
  <r>
    <x v="11"/>
    <s v="SARA"/>
    <s v="BANGLADESH"/>
    <s v="STS25M51193"/>
    <s v="FF042-S"/>
    <s v="100% COTTON FRENCH TERRY 360 GM/M2"/>
    <s v="KNIT"/>
    <s v="6112.12.0010"/>
    <n v="110"/>
    <n v="18.397499999999997"/>
    <n v="14.5"/>
    <n v="0.16500000000000001"/>
    <n v="2.3925000000000001"/>
    <m/>
    <m/>
    <n v="7.0000000000000007E-2"/>
    <n v="1.0150000000000001"/>
    <n v="0.49"/>
    <n v="400"/>
    <n v="99"/>
    <n v="0"/>
    <m/>
    <m/>
    <m/>
    <m/>
    <n v="499"/>
    <n v="44000"/>
    <n v="10890"/>
    <n v="54890"/>
    <n v="7358.9999999999991"/>
    <n v="1821.3524999999997"/>
    <n v="9180.3524999999991"/>
  </r>
  <r>
    <x v="11"/>
    <s v="SARA"/>
    <s v="BANGLADESH"/>
    <s v="STS25M51193"/>
    <s v="FF042-S"/>
    <s v="100% COTTON FRENCH TERRY 360 GM/M2"/>
    <s v="KNIT"/>
    <s v="6112.12.0010"/>
    <n v="110"/>
    <n v="18.397499999999997"/>
    <n v="14.5"/>
    <n v="0.16500000000000001"/>
    <n v="2.3925000000000001"/>
    <m/>
    <m/>
    <n v="7.0000000000000007E-2"/>
    <n v="1.0150000000000001"/>
    <n v="0.49"/>
    <n v="300"/>
    <n v="100"/>
    <n v="101"/>
    <m/>
    <m/>
    <m/>
    <m/>
    <n v="501"/>
    <n v="33000"/>
    <n v="22110"/>
    <n v="55110"/>
    <n v="5519.2499999999991"/>
    <n v="3697.8974999999996"/>
    <n v="9217.1474999999991"/>
  </r>
  <r>
    <x v="6"/>
    <s v="SARA"/>
    <s v="BANGLADESH"/>
    <s v="STS25M51194"/>
    <s v="FF042-S"/>
    <s v="100% COTTON FRENCH TERRY 360 GM/M2"/>
    <s v="KNIT"/>
    <s v="6103.42.1050"/>
    <n v="78"/>
    <n v="15.569750000000001"/>
    <n v="12.25"/>
    <n v="0.161"/>
    <n v="1.9722500000000001"/>
    <m/>
    <m/>
    <n v="7.0000000000000007E-2"/>
    <n v="0.85750000000000004"/>
    <n v="0.49"/>
    <n v="300"/>
    <n v="181"/>
    <n v="20"/>
    <m/>
    <m/>
    <m/>
    <m/>
    <n v="501"/>
    <n v="23400"/>
    <n v="15678"/>
    <n v="39078"/>
    <n v="4670.9250000000002"/>
    <n v="3129.5197500000004"/>
    <n v="7800.4447500000006"/>
  </r>
  <r>
    <x v="6"/>
    <s v="SARA"/>
    <s v="BANGLADESH"/>
    <s v="STS25M51194"/>
    <s v="FF042-S"/>
    <s v="100% COTTON FRENCH TERRY 360 GM/M2"/>
    <s v="KNIT"/>
    <s v="6103.42.1050"/>
    <n v="78"/>
    <n v="15.569750000000001"/>
    <n v="12.25"/>
    <n v="0.161"/>
    <n v="1.9722500000000001"/>
    <m/>
    <m/>
    <n v="7.0000000000000007E-2"/>
    <n v="0.85750000000000004"/>
    <n v="0.49"/>
    <n v="300"/>
    <n v="188"/>
    <n v="12"/>
    <m/>
    <m/>
    <m/>
    <m/>
    <n v="500"/>
    <n v="23400"/>
    <n v="15600"/>
    <n v="39000"/>
    <n v="4670.9250000000002"/>
    <n v="3113.9500000000003"/>
    <n v="7784.875"/>
  </r>
  <r>
    <x v="6"/>
    <s v="SARA"/>
    <s v="BANGLADESH"/>
    <s v="STS25M51194"/>
    <s v="FF042-S"/>
    <s v="100% COTTON FRENCH TERRY 360 GM/M2"/>
    <s v="KNIT"/>
    <s v="6103.42.1050"/>
    <n v="78"/>
    <n v="15.569750000000001"/>
    <n v="12.25"/>
    <n v="0.161"/>
    <n v="1.9722500000000001"/>
    <m/>
    <m/>
    <n v="7.0000000000000007E-2"/>
    <n v="0.85750000000000004"/>
    <n v="0.49"/>
    <n v="300"/>
    <n v="251"/>
    <n v="0"/>
    <m/>
    <m/>
    <m/>
    <m/>
    <n v="551"/>
    <n v="23400"/>
    <n v="19578"/>
    <n v="42978"/>
    <n v="4670.9250000000002"/>
    <n v="3908.0072500000001"/>
    <n v="8578.9322499999998"/>
  </r>
  <r>
    <x v="7"/>
    <s v="SARA"/>
    <s v="BANGLADESH"/>
    <s v="STS25M51150"/>
    <s v="FF155"/>
    <s v="100% COTTON JERSEY 180 GM/M2"/>
    <s v="KNIT"/>
    <s v="6109.10.0012"/>
    <n v="48"/>
    <n v="7.9"/>
    <n v="6"/>
    <n v="0.16500000000000001"/>
    <n v="0.99"/>
    <m/>
    <m/>
    <n v="7.0000000000000007E-2"/>
    <n v="0.42000000000000004"/>
    <n v="0.49"/>
    <n v="350"/>
    <n v="179"/>
    <n v="0"/>
    <m/>
    <m/>
    <m/>
    <m/>
    <n v="529"/>
    <n v="16800"/>
    <n v="8592"/>
    <n v="25392"/>
    <n v="2765"/>
    <n v="1414.1000000000001"/>
    <n v="4179.1000000000004"/>
  </r>
  <r>
    <x v="7"/>
    <s v="SARA"/>
    <s v="BANGLADESH"/>
    <s v="STS25M51150"/>
    <s v="FF155"/>
    <s v="100% COTTON JERSEY 180 GM/M2"/>
    <s v="KNIT"/>
    <s v="6109.10.0012"/>
    <n v="48"/>
    <n v="7.9"/>
    <n v="6"/>
    <n v="0.16500000000000001"/>
    <n v="0.99"/>
    <m/>
    <m/>
    <n v="7.0000000000000007E-2"/>
    <n v="0.42000000000000004"/>
    <n v="0.49"/>
    <n v="400"/>
    <n v="174"/>
    <n v="0"/>
    <m/>
    <m/>
    <m/>
    <m/>
    <n v="574"/>
    <n v="19200"/>
    <n v="8352"/>
    <n v="27552"/>
    <n v="3160"/>
    <n v="1374.6000000000001"/>
    <n v="4534.6000000000004"/>
  </r>
  <r>
    <x v="7"/>
    <s v="SARA"/>
    <s v="BANGLADESH"/>
    <s v="STS25M51150"/>
    <s v="FF155"/>
    <s v="100% COTTON JERSEY 180 GM/M2"/>
    <s v="KNIT"/>
    <s v="6109.10.0012"/>
    <n v="48"/>
    <n v="7.9"/>
    <n v="6"/>
    <n v="0.16500000000000001"/>
    <n v="0.99"/>
    <m/>
    <m/>
    <n v="7.0000000000000007E-2"/>
    <n v="0.42000000000000004"/>
    <n v="0.49"/>
    <n v="350"/>
    <n v="256"/>
    <n v="0"/>
    <m/>
    <m/>
    <m/>
    <m/>
    <n v="606"/>
    <n v="16800"/>
    <n v="12288"/>
    <n v="29088"/>
    <n v="2765"/>
    <n v="2022.4"/>
    <n v="4787.3999999999996"/>
  </r>
  <r>
    <x v="0"/>
    <s v="SARA"/>
    <s v="BANGLADESH"/>
    <s v="STS25M51129"/>
    <s v="FF387"/>
    <s v="65% COTTON/30% POLYESTER/5% ELASTANE PIQUE 200 GM/M2 "/>
    <s v="KNIT"/>
    <s v="6105.10.0010"/>
    <n v="58"/>
    <n v="9.4856999999999996"/>
    <n v="7.1"/>
    <n v="0.19700000000000001"/>
    <n v="1.3987000000000001"/>
    <m/>
    <m/>
    <n v="7.0000000000000007E-2"/>
    <n v="0.497"/>
    <n v="0.49"/>
    <n v="400"/>
    <n v="100"/>
    <n v="0"/>
    <m/>
    <m/>
    <m/>
    <n v="30"/>
    <n v="530"/>
    <n v="23200"/>
    <n v="7540"/>
    <n v="30740"/>
    <n v="3794.2799999999997"/>
    <n v="1161.57"/>
    <n v="4955.8499999999995"/>
  </r>
  <r>
    <x v="0"/>
    <s v="SARA"/>
    <s v="BANGLADESH"/>
    <s v="STS25M51129"/>
    <s v="FF387"/>
    <s v="65% COTTON/30% POLYESTER/5% ELASTANE PIQUE 200 GM/M2 "/>
    <s v="KNIT"/>
    <s v="6105.10.0010"/>
    <n v="58"/>
    <n v="9.4856999999999996"/>
    <n v="7.1"/>
    <n v="0.19700000000000001"/>
    <n v="1.3987000000000001"/>
    <m/>
    <m/>
    <n v="7.0000000000000007E-2"/>
    <n v="0.497"/>
    <n v="0.49"/>
    <n v="400"/>
    <n v="100"/>
    <n v="0"/>
    <m/>
    <m/>
    <m/>
    <n v="10"/>
    <n v="510"/>
    <n v="23200"/>
    <n v="6380"/>
    <n v="29580"/>
    <n v="3794.2799999999997"/>
    <n v="1019.5699999999999"/>
    <n v="4813.8499999999995"/>
  </r>
  <r>
    <x v="0"/>
    <s v="SARA"/>
    <s v="BANGLADESH"/>
    <s v="STS25M51129"/>
    <s v="FF387"/>
    <s v="65% COTTON/30% POLYESTER/5% ELASTANE PIQUE 200 GM/M2 "/>
    <s v="KNIT"/>
    <s v="6105.10.0010"/>
    <n v="58"/>
    <n v="9.4856999999999996"/>
    <n v="7.1"/>
    <n v="0.19700000000000001"/>
    <n v="1.3987000000000001"/>
    <m/>
    <m/>
    <n v="7.0000000000000007E-2"/>
    <n v="0.497"/>
    <n v="0.49"/>
    <n v="500"/>
    <n v="17"/>
    <n v="0"/>
    <m/>
    <m/>
    <m/>
    <n v="10"/>
    <n v="527"/>
    <n v="29000"/>
    <n v="1566"/>
    <n v="30566"/>
    <n v="4742.8499999999995"/>
    <n v="232.2569"/>
    <n v="4975.1068999999998"/>
  </r>
  <r>
    <x v="0"/>
    <s v="SARA"/>
    <s v="BANGLADESH"/>
    <s v="STS25M51129"/>
    <s v="FF387"/>
    <s v="65% COTTON/30% POLYESTER/5% ELASTANE PIQUE 200 GM/M2 "/>
    <s v="KNIT"/>
    <s v="6105.10.0010"/>
    <n v="58"/>
    <n v="9.4856999999999996"/>
    <n v="7.1"/>
    <n v="0.19700000000000001"/>
    <n v="1.3987000000000001"/>
    <m/>
    <m/>
    <n v="7.0000000000000007E-2"/>
    <n v="0.497"/>
    <n v="0.49"/>
    <n v="400"/>
    <n v="99"/>
    <n v="0"/>
    <m/>
    <m/>
    <m/>
    <n v="10"/>
    <n v="509"/>
    <n v="23200"/>
    <n v="6322"/>
    <n v="29522"/>
    <n v="3794.2799999999997"/>
    <n v="1010.0843"/>
    <n v="4804.3642999999993"/>
  </r>
  <r>
    <x v="0"/>
    <s v="SARA"/>
    <s v="BANGLADESH"/>
    <s v="STS25M51129"/>
    <s v="FF387"/>
    <s v="65% COTTON/30% POLYESTER/5% ELASTANE PIQUE 200 GM/M2 "/>
    <s v="KNIT"/>
    <s v="6105.10.0010"/>
    <n v="58"/>
    <n v="9.4856999999999996"/>
    <n v="7.1"/>
    <n v="0.19700000000000001"/>
    <n v="1.3987000000000001"/>
    <m/>
    <m/>
    <n v="7.0000000000000007E-2"/>
    <n v="0.497"/>
    <n v="0.49"/>
    <n v="400"/>
    <n v="100"/>
    <n v="0"/>
    <m/>
    <m/>
    <m/>
    <n v="20"/>
    <n v="520"/>
    <n v="23200"/>
    <n v="6960"/>
    <n v="30160"/>
    <n v="3794.2799999999997"/>
    <n v="1090.57"/>
    <n v="4884.849999999999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600"/>
    <m/>
    <n v="0"/>
    <m/>
    <m/>
    <m/>
    <m/>
    <n v="600"/>
    <n v="25200"/>
    <n v="0"/>
    <n v="25200"/>
    <n v="4184.25"/>
    <n v="0"/>
    <n v="4184.2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7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600"/>
    <m/>
    <n v="0"/>
    <m/>
    <m/>
    <m/>
    <m/>
    <n v="600"/>
    <n v="25200"/>
    <n v="0"/>
    <n v="25200"/>
    <n v="4184.25"/>
    <n v="0"/>
    <n v="4184.2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600"/>
    <m/>
    <n v="0"/>
    <m/>
    <m/>
    <m/>
    <m/>
    <n v="600"/>
    <n v="25200"/>
    <n v="0"/>
    <n v="25200"/>
    <n v="4184.25"/>
    <n v="0"/>
    <n v="4184.2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9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9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8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500"/>
    <m/>
    <n v="0"/>
    <m/>
    <m/>
    <m/>
    <m/>
    <n v="500"/>
    <n v="21000"/>
    <n v="0"/>
    <n v="21000"/>
    <n v="3486.875"/>
    <n v="0"/>
    <n v="3486.875"/>
  </r>
  <r>
    <x v="7"/>
    <s v="SARA"/>
    <s v="BANGLADESH"/>
    <s v="STS25M51409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400"/>
    <m/>
    <n v="0"/>
    <m/>
    <m/>
    <m/>
    <m/>
    <n v="400"/>
    <n v="16800"/>
    <n v="0"/>
    <n v="16800"/>
    <n v="2789.5"/>
    <n v="0"/>
    <n v="2789.5"/>
  </r>
  <r>
    <x v="7"/>
    <s v="SARA"/>
    <s v="BANGLADESH"/>
    <s v="STS25M51409"/>
    <s v="FF155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400"/>
    <m/>
    <n v="0"/>
    <m/>
    <m/>
    <m/>
    <m/>
    <n v="400"/>
    <n v="16800"/>
    <n v="0"/>
    <n v="16800"/>
    <n v="2789.5"/>
    <n v="0"/>
    <n v="2789.5"/>
  </r>
  <r>
    <x v="12"/>
    <s v="SARA"/>
    <s v="BANGLADESH"/>
    <s v="STS25M50459"/>
    <s v="FF021-S"/>
    <s v="100% COTTON  PIQUE 200 GM/M2"/>
    <s v="KNIT"/>
    <s v="6105.10.0010"/>
    <n v="68"/>
    <n v="15.694000000000001"/>
    <n v="12"/>
    <n v="0.19700000000000001"/>
    <n v="2.3639999999999999"/>
    <m/>
    <m/>
    <n v="7.0000000000000007E-2"/>
    <n v="0.84000000000000008"/>
    <n v="0.49"/>
    <n v="600"/>
    <n v="290"/>
    <n v="0"/>
    <m/>
    <m/>
    <m/>
    <n v="30"/>
    <n v="920"/>
    <n v="40800"/>
    <n v="21760"/>
    <n v="62560"/>
    <n v="9416.4"/>
    <n v="4911.26"/>
    <n v="14327.66"/>
  </r>
  <r>
    <x v="0"/>
    <s v="SARA"/>
    <s v="BANGLADESH"/>
    <s v="STS25M50459"/>
    <s v="FF021-S"/>
    <s v="100% COTTON  PIQUE 200 GM/M2"/>
    <s v="KNIT"/>
    <s v="6105.10.0010"/>
    <n v="68"/>
    <n v="15.694000000000001"/>
    <n v="12"/>
    <n v="0.19700000000000001"/>
    <n v="2.3639999999999999"/>
    <m/>
    <m/>
    <n v="7.0000000000000007E-2"/>
    <n v="0.84000000000000008"/>
    <n v="0.49"/>
    <n v="600"/>
    <n v="314"/>
    <n v="0"/>
    <m/>
    <m/>
    <m/>
    <n v="10"/>
    <n v="924"/>
    <n v="40800"/>
    <n v="22032"/>
    <n v="62832"/>
    <n v="9416.4"/>
    <n v="5047.9160000000002"/>
    <n v="14464.315999999999"/>
  </r>
  <r>
    <x v="0"/>
    <s v="SARA"/>
    <s v="BANGLADESH"/>
    <s v="STS25M50459"/>
    <s v="FF021-S"/>
    <s v="100% COTTON  PIQUE 200 GM/M2"/>
    <s v="KNIT"/>
    <s v="6105.10.0010"/>
    <n v="68"/>
    <n v="15.694000000000001"/>
    <n v="12"/>
    <n v="0.19700000000000001"/>
    <n v="2.3639999999999999"/>
    <m/>
    <m/>
    <n v="7.0000000000000007E-2"/>
    <n v="0.84000000000000008"/>
    <n v="0.49"/>
    <n v="600"/>
    <n v="347"/>
    <n v="0"/>
    <m/>
    <m/>
    <m/>
    <n v="10"/>
    <n v="957"/>
    <n v="40800"/>
    <n v="24276"/>
    <n v="65076"/>
    <n v="9416.4"/>
    <n v="5565.8180000000002"/>
    <n v="14982.218000000001"/>
  </r>
  <r>
    <x v="0"/>
    <s v="SARA"/>
    <s v="BANGLADESH"/>
    <s v="STS25M50459"/>
    <s v="FF021-S"/>
    <s v="100% COTTON  PIQUE 200 GM/M2"/>
    <s v="KNIT"/>
    <s v="6105.10.0010"/>
    <n v="68"/>
    <n v="15.694000000000001"/>
    <n v="12"/>
    <n v="0.19700000000000001"/>
    <n v="2.3639999999999999"/>
    <m/>
    <m/>
    <n v="7.0000000000000007E-2"/>
    <n v="0.84000000000000008"/>
    <n v="0.49"/>
    <n v="800"/>
    <m/>
    <n v="0"/>
    <m/>
    <m/>
    <m/>
    <m/>
    <n v="800"/>
    <n v="54400"/>
    <n v="0"/>
    <n v="54400"/>
    <n v="12555.2"/>
    <n v="0"/>
    <n v="12555.2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900"/>
    <n v="372"/>
    <n v="0"/>
    <m/>
    <m/>
    <m/>
    <n v="20"/>
    <n v="1292"/>
    <n v="43200"/>
    <n v="18816"/>
    <n v="62016"/>
    <n v="9055.1250000000018"/>
    <n v="3897.7850000000003"/>
    <n v="12952.910000000002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800"/>
    <n v="301"/>
    <n v="0"/>
    <m/>
    <m/>
    <m/>
    <n v="10"/>
    <n v="1111"/>
    <n v="38400"/>
    <n v="14928"/>
    <n v="53328"/>
    <n v="8049.0000000000009"/>
    <n v="3105.9362500000002"/>
    <n v="11154.936250000001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800"/>
    <n v="345"/>
    <n v="0"/>
    <m/>
    <m/>
    <m/>
    <n v="10"/>
    <n v="1155"/>
    <n v="38400"/>
    <n v="17040"/>
    <n v="55440"/>
    <n v="8049.0000000000009"/>
    <n v="3548.6312500000004"/>
    <n v="11597.631250000002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300"/>
    <m/>
    <n v="0"/>
    <m/>
    <m/>
    <m/>
    <m/>
    <n v="300"/>
    <n v="14400"/>
    <n v="0"/>
    <n v="14400"/>
    <n v="3018.3750000000005"/>
    <n v="0"/>
    <n v="3018.3750000000005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300"/>
    <m/>
    <n v="0"/>
    <m/>
    <m/>
    <m/>
    <m/>
    <n v="300"/>
    <n v="14400"/>
    <n v="0"/>
    <n v="14400"/>
    <n v="3018.3750000000005"/>
    <n v="0"/>
    <n v="3018.3750000000005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300"/>
    <m/>
    <n v="0"/>
    <m/>
    <m/>
    <m/>
    <m/>
    <n v="300"/>
    <n v="14400"/>
    <n v="0"/>
    <n v="14400"/>
    <n v="3018.3750000000005"/>
    <n v="0"/>
    <n v="3018.3750000000005"/>
  </r>
  <r>
    <x v="7"/>
    <s v="SARA"/>
    <s v="BANGLADESH"/>
    <s v="STS25M50458"/>
    <s v="FF155"/>
    <s v="100% COTTON JERSEY 180 GM/M2"/>
    <s v="KNIT"/>
    <s v="6109.10.0012"/>
    <n v="48"/>
    <n v="10.061250000000001"/>
    <n v="7.75"/>
    <n v="0.16500000000000001"/>
    <n v="1.2787500000000001"/>
    <m/>
    <m/>
    <n v="7.0000000000000007E-2"/>
    <n v="0.54250000000000009"/>
    <n v="0.49"/>
    <n v="1000"/>
    <m/>
    <n v="0"/>
    <m/>
    <m/>
    <m/>
    <m/>
    <n v="1000"/>
    <n v="48000"/>
    <n v="0"/>
    <n v="48000"/>
    <n v="10061.250000000002"/>
    <n v="0"/>
    <n v="10061.250000000002"/>
  </r>
  <r>
    <x v="7"/>
    <s v="SARA"/>
    <s v="BANGLADESH"/>
    <s v="STS25M51147"/>
    <s v="FF388"/>
    <s v="94% POLYESTER/6% ELASTANE JERSEY 190 GM/M2"/>
    <s v="KNIT"/>
    <s v="6109.90.1007"/>
    <n v="42"/>
    <n v="8.1349999999999998"/>
    <n v="5.5"/>
    <n v="0.32"/>
    <n v="1.76"/>
    <m/>
    <m/>
    <n v="7.0000000000000007E-2"/>
    <n v="0.38500000000000001"/>
    <n v="0.49"/>
    <n v="600"/>
    <n v="154"/>
    <n v="0"/>
    <n v="70"/>
    <m/>
    <m/>
    <n v="30"/>
    <n v="854"/>
    <n v="25200"/>
    <n v="10668"/>
    <n v="35868"/>
    <n v="4881"/>
    <n v="1802.79"/>
    <n v="6683.79"/>
  </r>
  <r>
    <x v="7"/>
    <s v="SARA"/>
    <s v="BANGLADESH"/>
    <s v="STS25M51147"/>
    <s v="FF388"/>
    <s v="94% POLYESTER/6% ELASTANE JERSEY 190 GM/M2"/>
    <s v="KNIT"/>
    <s v="6109.90.1007"/>
    <n v="42"/>
    <n v="8.1349999999999998"/>
    <n v="5.5"/>
    <n v="0.32"/>
    <n v="1.76"/>
    <m/>
    <m/>
    <n v="7.0000000000000007E-2"/>
    <n v="0.38500000000000001"/>
    <n v="0.49"/>
    <n v="600"/>
    <n v="23"/>
    <n v="0"/>
    <n v="50"/>
    <m/>
    <m/>
    <n v="20"/>
    <n v="693"/>
    <n v="25200"/>
    <n v="3906"/>
    <n v="29106"/>
    <n v="4881"/>
    <n v="572.10500000000002"/>
    <n v="5453.1049999999996"/>
  </r>
  <r>
    <x v="7"/>
    <s v="SARA"/>
    <s v="BANGLADESH"/>
    <s v="STS25M51147"/>
    <s v="FF388"/>
    <s v="94% POLYESTER/6% ELASTANE JERSEY 190 GM/M2"/>
    <s v="KNIT"/>
    <s v="6109.90.1007"/>
    <n v="42"/>
    <n v="8.1349999999999998"/>
    <n v="5.5"/>
    <n v="0.32"/>
    <n v="1.76"/>
    <m/>
    <m/>
    <n v="7.0000000000000007E-2"/>
    <n v="0.38500000000000001"/>
    <n v="0.49"/>
    <n v="200"/>
    <m/>
    <n v="0"/>
    <m/>
    <m/>
    <m/>
    <m/>
    <n v="200"/>
    <n v="8400"/>
    <n v="0"/>
    <n v="8400"/>
    <n v="1627"/>
    <n v="0"/>
    <n v="1627"/>
  </r>
  <r>
    <x v="7"/>
    <s v="SARA"/>
    <s v="BANGLADESH"/>
    <s v="STS25M51147"/>
    <s v="FF388"/>
    <s v="94% POLYESTER/6% ELASTANE JERSEY 190 GM/M2"/>
    <s v="KNIT"/>
    <s v="6109.90.1007"/>
    <n v="42"/>
    <n v="8.1349999999999998"/>
    <n v="5.5"/>
    <n v="0.32"/>
    <n v="1.76"/>
    <m/>
    <m/>
    <n v="7.0000000000000007E-2"/>
    <n v="0.38500000000000001"/>
    <n v="0.49"/>
    <n v="200"/>
    <m/>
    <n v="0"/>
    <m/>
    <m/>
    <m/>
    <m/>
    <n v="200"/>
    <n v="8400"/>
    <n v="0"/>
    <n v="8400"/>
    <n v="1627"/>
    <n v="0"/>
    <n v="1627"/>
  </r>
  <r>
    <x v="7"/>
    <s v="SARA"/>
    <s v="BANGLADESH"/>
    <s v="STS25M51144"/>
    <s v="FF155"/>
    <s v="100% COTTON JERSEY 180 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400"/>
    <n v="194"/>
    <n v="0"/>
    <m/>
    <m/>
    <m/>
    <m/>
    <n v="594"/>
    <n v="16800"/>
    <n v="8148"/>
    <n v="24948"/>
    <n v="2913"/>
    <n v="1412.8050000000001"/>
    <n v="4325.8050000000003"/>
  </r>
  <r>
    <x v="7"/>
    <s v="SARA"/>
    <s v="BANGLADESH"/>
    <s v="STS25M51144"/>
    <s v="FF155"/>
    <s v="100% COTTON JERSEY 180 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350"/>
    <n v="175"/>
    <n v="0"/>
    <m/>
    <m/>
    <m/>
    <m/>
    <n v="525"/>
    <n v="14700"/>
    <n v="7350"/>
    <n v="22050"/>
    <n v="2548.875"/>
    <n v="1274.4375"/>
    <n v="3823.3125"/>
  </r>
  <r>
    <x v="7"/>
    <s v="SARA"/>
    <s v="BANGLADESH"/>
    <s v="STS25M51148"/>
    <s v="FF155"/>
    <s v="100% COTTON JERSEY 180 GM/M2"/>
    <s v="KNIT"/>
    <s v="6109.10.0012"/>
    <n v="48"/>
    <n v="7.3442499999999997"/>
    <n v="5.55"/>
    <n v="0.16500000000000001"/>
    <n v="0.91575000000000006"/>
    <m/>
    <m/>
    <n v="7.0000000000000007E-2"/>
    <n v="0.38850000000000001"/>
    <n v="0.49"/>
    <n v="500"/>
    <n v="478"/>
    <n v="0"/>
    <n v="150"/>
    <m/>
    <m/>
    <m/>
    <n v="1128"/>
    <n v="24000"/>
    <n v="30144"/>
    <n v="54144"/>
    <n v="3672.125"/>
    <n v="4343.0514999999996"/>
    <n v="8015.1764999999996"/>
  </r>
  <r>
    <x v="7"/>
    <s v="SARA"/>
    <s v="BANGLADESH"/>
    <s v="STS25M51149"/>
    <s v="FF155"/>
    <s v="100% COTTON JERSEY 180 GM/M2"/>
    <s v="KNIT"/>
    <s v="6109.10.0012"/>
    <n v="48"/>
    <n v="7.3442499999999997"/>
    <n v="5.55"/>
    <n v="0.16500000000000001"/>
    <n v="0.91575000000000006"/>
    <m/>
    <m/>
    <n v="7.0000000000000007E-2"/>
    <n v="0.38850000000000001"/>
    <n v="0.49"/>
    <n v="500"/>
    <n v="22"/>
    <n v="0"/>
    <m/>
    <m/>
    <m/>
    <m/>
    <n v="522"/>
    <n v="24000"/>
    <n v="1056"/>
    <n v="25056"/>
    <n v="3672.125"/>
    <n v="161.5735"/>
    <n v="3833.6985"/>
  </r>
  <r>
    <x v="2"/>
    <s v="PORTA ASIATACA"/>
    <s v="CHINA"/>
    <s v="STS25M51151"/>
    <s v="FF347"/>
    <s v="92% NYLON/8% SPANDEX 125 GM/M2"/>
    <s v="WOVEN"/>
    <s v="6201.40.7511"/>
    <n v="165"/>
    <n v="34.404700000000005"/>
    <n v="23.85"/>
    <n v="0.27700000000000002"/>
    <n v="6.6064500000000006"/>
    <n v="7.4999999999999997E-2"/>
    <n v="1.7887500000000001"/>
    <n v="7.0000000000000007E-2"/>
    <n v="1.6695000000000002"/>
    <n v="0.49"/>
    <n v="400"/>
    <n v="124"/>
    <n v="0"/>
    <m/>
    <m/>
    <m/>
    <n v="4"/>
    <n v="528"/>
    <n v="66000"/>
    <n v="21120"/>
    <n v="87120"/>
    <n v="13761.880000000003"/>
    <n v="4361.5828000000001"/>
    <n v="18123.462800000001"/>
  </r>
  <r>
    <x v="3"/>
    <s v="PORTA ASIATACA"/>
    <s v="CHINA"/>
    <s v="STS25M51152"/>
    <s v="FF347"/>
    <s v="92% NYLON/8% SPANDEX 125 GM/M2"/>
    <s v="WOVEN"/>
    <s v="6203.43.9010"/>
    <n v="135"/>
    <n v="30.322799999999997"/>
    <n v="20.95"/>
    <n v="0.27900000000000003"/>
    <n v="5.8450500000000005"/>
    <n v="7.4999999999999997E-2"/>
    <n v="1.5712499999999998"/>
    <n v="7.0000000000000007E-2"/>
    <n v="1.4665000000000001"/>
    <n v="0.49"/>
    <n v="350"/>
    <n v="130"/>
    <n v="52"/>
    <m/>
    <m/>
    <m/>
    <n v="4"/>
    <n v="536"/>
    <n v="47250"/>
    <n v="25110"/>
    <n v="72360"/>
    <n v="10612.98"/>
    <n v="5602.5495999999994"/>
    <n v="16215.529599999998"/>
  </r>
  <r>
    <x v="2"/>
    <s v="PORTA ASIATACA"/>
    <s v="CHINA"/>
    <s v="STS25M51151"/>
    <s v="FF347"/>
    <s v="92% NYLON/8% SPANDEX 125 GM/M2"/>
    <s v="WOVEN"/>
    <s v="6201.40.7511"/>
    <n v="165"/>
    <n v="34.404700000000005"/>
    <n v="23.85"/>
    <n v="0.27700000000000002"/>
    <n v="6.6064500000000006"/>
    <n v="7.4999999999999997E-2"/>
    <n v="1.7887500000000001"/>
    <n v="7.0000000000000007E-2"/>
    <n v="1.6695000000000002"/>
    <n v="0.49"/>
    <n v="350"/>
    <n v="137"/>
    <n v="53"/>
    <m/>
    <m/>
    <m/>
    <n v="4"/>
    <n v="544"/>
    <n v="57750"/>
    <n v="32010"/>
    <n v="89760"/>
    <n v="12041.645000000002"/>
    <n v="6632.2930000000006"/>
    <n v="18673.938000000002"/>
  </r>
  <r>
    <x v="3"/>
    <s v="PORTA ASIATACA"/>
    <s v="CHINA"/>
    <s v="STS25M51152"/>
    <s v="FF347"/>
    <s v="92% NYLON/8% SPANDEX 125 GM/M2"/>
    <s v="WOVEN"/>
    <s v="6203.43.9010"/>
    <n v="135"/>
    <n v="30.322799999999997"/>
    <n v="20.95"/>
    <n v="0.27900000000000003"/>
    <n v="5.8450500000000005"/>
    <n v="7.4999999999999997E-2"/>
    <n v="1.5712499999999998"/>
    <n v="7.0000000000000007E-2"/>
    <n v="1.4665000000000001"/>
    <n v="0.49"/>
    <n v="300"/>
    <n v="127"/>
    <n v="100"/>
    <m/>
    <m/>
    <m/>
    <n v="4"/>
    <n v="531"/>
    <n v="40500"/>
    <n v="31185"/>
    <n v="71685"/>
    <n v="9096.8399999999983"/>
    <n v="6967.0755999999992"/>
    <n v="16063.915599999997"/>
  </r>
  <r>
    <x v="7"/>
    <s v="PORTA ASIATACA"/>
    <s v="CHINA"/>
    <s v="STS25M51154"/>
    <s v="FF394-P"/>
    <s v="92% POLYESTER/8% SPANDEX 170 GM/M2"/>
    <s v="KNIT"/>
    <s v="6109.90.1007"/>
    <n v="68"/>
    <n v="12.942500000000001"/>
    <n v="8.5"/>
    <n v="0.32"/>
    <n v="2.72"/>
    <n v="7.4999999999999997E-2"/>
    <n v="0.63749999999999996"/>
    <n v="7.0000000000000007E-2"/>
    <n v="0.59500000000000008"/>
    <n v="0.49"/>
    <n v="400"/>
    <n v="127"/>
    <n v="0"/>
    <m/>
    <m/>
    <m/>
    <n v="30"/>
    <n v="557"/>
    <n v="27200"/>
    <n v="10676"/>
    <n v="37876"/>
    <n v="5177"/>
    <n v="1898.6975"/>
    <n v="7075.6975000000002"/>
  </r>
  <r>
    <x v="7"/>
    <s v="PORTA ASIATACA"/>
    <s v="CHINA"/>
    <s v="STS25M51154"/>
    <s v="FF394-P"/>
    <s v="92% POLYESTER/8% SPANDEX 170 GM/M2"/>
    <s v="KNIT"/>
    <s v="6109.90.1007"/>
    <n v="68"/>
    <n v="12.942500000000001"/>
    <n v="8.5"/>
    <n v="0.32"/>
    <n v="2.72"/>
    <n v="7.4999999999999997E-2"/>
    <n v="0.63749999999999996"/>
    <n v="7.0000000000000007E-2"/>
    <n v="0.59500000000000008"/>
    <n v="0.49"/>
    <n v="400"/>
    <n v="130"/>
    <n v="0"/>
    <m/>
    <m/>
    <m/>
    <n v="30"/>
    <n v="560"/>
    <n v="27200"/>
    <n v="10880"/>
    <n v="38080"/>
    <n v="5177"/>
    <n v="1937.5250000000001"/>
    <n v="7114.5249999999996"/>
  </r>
  <r>
    <x v="6"/>
    <s v="PORTA ASIATACA"/>
    <s v="CHINA"/>
    <s v="STS25M51155"/>
    <s v="FF347"/>
    <s v="92% NYLON/8% SPANDEX 125-130 GM/M2"/>
    <s v="WOVEN"/>
    <s v="6203.43.9030"/>
    <n v="98"/>
    <n v="23.273999999999997"/>
    <n v="16"/>
    <n v="0.27900000000000003"/>
    <n v="4.4640000000000004"/>
    <n v="7.4999999999999997E-2"/>
    <n v="1.2"/>
    <n v="7.0000000000000007E-2"/>
    <n v="1.1200000000000001"/>
    <n v="0.49"/>
    <n v="300"/>
    <n v="121"/>
    <n v="99"/>
    <m/>
    <m/>
    <m/>
    <n v="20"/>
    <n v="540"/>
    <n v="29400"/>
    <n v="23520"/>
    <n v="52920"/>
    <n v="6982.1999999999989"/>
    <n v="5440.28"/>
    <n v="12422.48"/>
  </r>
  <r>
    <x v="6"/>
    <s v="PORTA ASIATACA"/>
    <s v="CHINA"/>
    <s v="STS25M51155"/>
    <s v="FF347"/>
    <s v="92% NYLON/8% SPANDEX 125-130 GM/M2"/>
    <s v="WOVEN"/>
    <s v="6203.43.9030"/>
    <n v="98"/>
    <n v="23.273999999999997"/>
    <n v="16"/>
    <n v="0.27900000000000003"/>
    <n v="4.4640000000000004"/>
    <n v="7.4999999999999997E-2"/>
    <n v="1.2"/>
    <n v="7.0000000000000007E-2"/>
    <n v="1.1200000000000001"/>
    <n v="0.49"/>
    <n v="300"/>
    <n v="118"/>
    <n v="99"/>
    <m/>
    <m/>
    <m/>
    <n v="20"/>
    <n v="537"/>
    <n v="29400"/>
    <n v="23226"/>
    <n v="52626"/>
    <n v="6982.1999999999989"/>
    <n v="5370.4579999999996"/>
    <n v="12352.657999999999"/>
  </r>
  <r>
    <x v="2"/>
    <s v="PORTA ASIATACA"/>
    <s v="CHINA"/>
    <s v="STS24M50617"/>
    <m/>
    <s v="64% POLYESTER/35% RAYON/1% SPANDEX 34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817"/>
    <m/>
    <n v="200"/>
    <m/>
    <m/>
    <m/>
    <m/>
    <n v="1017"/>
    <n v="134805"/>
    <n v="33000"/>
    <n v="167805"/>
    <n v="28905.582549999999"/>
    <n v="7076.03"/>
    <n v="35981.612549999998"/>
  </r>
  <r>
    <x v="3"/>
    <s v="PORTA ASIATACA"/>
    <s v="CHINA"/>
    <s v="STS24M50618"/>
    <m/>
    <s v="64% POLYESTER/35% RAYON/1% SPANDEX 340 GM/M2"/>
    <s v="KNIT"/>
    <s v="6112.12.0050"/>
    <n v="13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815"/>
    <m/>
    <n v="200"/>
    <m/>
    <m/>
    <m/>
    <m/>
    <n v="1015"/>
    <n v="110025"/>
    <n v="27000"/>
    <n v="137025"/>
    <n v="21624.191249999996"/>
    <n v="5306.5499999999993"/>
    <n v="26930.741249999995"/>
  </r>
  <r>
    <x v="2"/>
    <s v="PORTA ASIATACA"/>
    <s v="CHINA"/>
    <s v="STS25M51135"/>
    <s v="FF141"/>
    <s v="93% POLYESTER/7% SPANDEX 300 GM/M2 VELOUR"/>
    <s v="KNIT"/>
    <s v="6112.12.0010"/>
    <n v="165"/>
    <n v="31.855459999999994"/>
    <n v="21.98"/>
    <n v="0.28199999999999997"/>
    <n v="6.1983599999999992"/>
    <n v="7.4999999999999997E-2"/>
    <n v="1.6485000000000001"/>
    <n v="7.0000000000000007E-2"/>
    <n v="1.5386000000000002"/>
    <n v="0.49"/>
    <n v="250"/>
    <n v="144"/>
    <n v="100"/>
    <m/>
    <m/>
    <m/>
    <m/>
    <n v="494"/>
    <n v="41250"/>
    <n v="40260"/>
    <n v="81510"/>
    <n v="7963.864999999998"/>
    <n v="7772.7322399999985"/>
    <n v="15736.597239999996"/>
  </r>
  <r>
    <x v="3"/>
    <s v="PORTA ASIATACA"/>
    <s v="CHINA"/>
    <s v="STS25M51136"/>
    <s v="FF141"/>
    <s v="93% POLYESTER/7% SPANDEX 300 GM/M2 VELOUR"/>
    <s v="KNIT"/>
    <s v="6112.12.0050"/>
    <n v="135"/>
    <n v="27.24625"/>
    <n v="18.75"/>
    <n v="0.28199999999999997"/>
    <n v="5.2874999999999996"/>
    <n v="7.4999999999999997E-2"/>
    <n v="1.40625"/>
    <n v="7.0000000000000007E-2"/>
    <n v="1.3125000000000002"/>
    <n v="0.49"/>
    <n v="200"/>
    <n v="166"/>
    <n v="152"/>
    <m/>
    <m/>
    <m/>
    <m/>
    <n v="518"/>
    <n v="27000"/>
    <n v="42930"/>
    <n v="69930"/>
    <n v="5449.25"/>
    <n v="8664.3075000000008"/>
    <n v="14113.557500000001"/>
  </r>
  <r>
    <x v="2"/>
    <s v="PORTA ASIATACA"/>
    <s v="CHINA"/>
    <s v="STS25M51135"/>
    <s v="FF141"/>
    <s v="93% POLYESTER/7% SPANDEX 300 GM/M2 VELOUR"/>
    <s v="KNIT"/>
    <s v="6112.12.0010"/>
    <n v="165"/>
    <n v="31.855459999999994"/>
    <n v="21.98"/>
    <n v="0.28199999999999997"/>
    <n v="6.1983599999999992"/>
    <n v="7.4999999999999997E-2"/>
    <n v="1.6485000000000001"/>
    <n v="7.0000000000000007E-2"/>
    <n v="1.5386000000000002"/>
    <n v="0.49"/>
    <n v="250"/>
    <n v="550"/>
    <n v="100"/>
    <m/>
    <m/>
    <m/>
    <m/>
    <n v="900"/>
    <n v="41250"/>
    <n v="107250"/>
    <n v="148500"/>
    <n v="7963.864999999998"/>
    <n v="20706.048999999995"/>
    <n v="28669.913999999993"/>
  </r>
  <r>
    <x v="3"/>
    <s v="PORTA ASIATACA"/>
    <s v="CHINA"/>
    <s v="STS25M51136"/>
    <s v="FF141"/>
    <s v="93% POLYESTER/7% SPANDEX 300 GM/M2 VELOUR"/>
    <s v="KNIT"/>
    <s v="6112.12.0050"/>
    <n v="135"/>
    <n v="27.24625"/>
    <n v="18.75"/>
    <n v="0.28199999999999997"/>
    <n v="5.2874999999999996"/>
    <n v="7.4999999999999997E-2"/>
    <n v="1.40625"/>
    <n v="7.0000000000000007E-2"/>
    <n v="1.3125000000000002"/>
    <n v="0.49"/>
    <n v="200"/>
    <n v="566"/>
    <n v="100"/>
    <m/>
    <m/>
    <m/>
    <m/>
    <n v="866"/>
    <n v="27000"/>
    <n v="89910"/>
    <n v="116910"/>
    <n v="5449.25"/>
    <n v="18146.002499999999"/>
    <n v="23595.252499999999"/>
  </r>
  <r>
    <x v="10"/>
    <s v="PORTA ASIATACA"/>
    <s v="CHINA"/>
    <s v="STS25M51221"/>
    <s v="FF141"/>
    <s v="93% POLYESTER/7% SPANDEX 300 GM/M2 VELOUR"/>
    <s v="KNIT"/>
    <s v="6110.30.3053"/>
    <n v="150"/>
    <n v="33.452500000000001"/>
    <n v="22.5"/>
    <n v="0.32"/>
    <n v="7.2"/>
    <n v="7.4999999999999997E-2"/>
    <n v="1.6875"/>
    <n v="7.0000000000000007E-2"/>
    <n v="1.5750000000000002"/>
    <n v="0.49"/>
    <n v="350"/>
    <n v="122"/>
    <n v="51"/>
    <m/>
    <m/>
    <m/>
    <m/>
    <n v="523"/>
    <n v="52500"/>
    <n v="25950"/>
    <n v="78450"/>
    <n v="11708.375"/>
    <n v="5787.2825000000003"/>
    <n v="17495.657500000001"/>
  </r>
  <r>
    <x v="10"/>
    <s v="PORTA ASIATACA"/>
    <s v="CHINA"/>
    <s v="STS25M51221"/>
    <s v="FF141"/>
    <s v="93% POLYESTER/7% SPANDEX 300 GM/M2 VELOUR"/>
    <s v="KNIT"/>
    <s v="6110.30.3053"/>
    <n v="150"/>
    <n v="33.452500000000001"/>
    <n v="22.5"/>
    <n v="0.32"/>
    <n v="7.2"/>
    <n v="7.4999999999999997E-2"/>
    <n v="1.6875"/>
    <n v="7.0000000000000007E-2"/>
    <n v="1.5750000000000002"/>
    <n v="0.49"/>
    <n v="300"/>
    <n v="150"/>
    <n v="48"/>
    <m/>
    <m/>
    <m/>
    <m/>
    <n v="498"/>
    <n v="45000"/>
    <n v="29700"/>
    <n v="74700"/>
    <n v="10035.75"/>
    <n v="6623.5950000000003"/>
    <n v="16659.345000000001"/>
  </r>
  <r>
    <x v="0"/>
    <s v="PORTA ASIATACA"/>
    <s v="CHINA"/>
    <s v="STS25M51179"/>
    <s v="FF141"/>
    <s v="93% POLYESTER/7% SPANDEX 300 GM/M2 VELOUR"/>
    <s v="KNIT"/>
    <s v="6105.20.2010"/>
    <n v="125"/>
    <n v="24.44275"/>
    <n v="16.350000000000001"/>
    <n v="0.32"/>
    <n v="5.2320000000000002"/>
    <n v="7.4999999999999997E-2"/>
    <n v="1.2262500000000001"/>
    <n v="7.0000000000000007E-2"/>
    <n v="1.1445000000000003"/>
    <n v="0.49"/>
    <n v="400"/>
    <n v="197"/>
    <n v="0"/>
    <m/>
    <m/>
    <m/>
    <m/>
    <n v="597"/>
    <n v="50000"/>
    <n v="24625"/>
    <n v="74625"/>
    <n v="9777.1"/>
    <n v="4815.2217499999997"/>
    <n v="14592.321749999999"/>
  </r>
  <r>
    <x v="7"/>
    <s v="PORTA ASIATACA"/>
    <s v="CHINA"/>
    <s v="STS25M51180"/>
    <s v="FF141"/>
    <s v="93% POLYESTER/7% SPANDEX 300 GM/M2 VELOUR"/>
    <s v="KNIT"/>
    <s v="6109.90.1007"/>
    <n v="88"/>
    <n v="13.675000000000001"/>
    <n v="9"/>
    <n v="0.32"/>
    <n v="2.88"/>
    <n v="7.4999999999999997E-2"/>
    <n v="0.67499999999999993"/>
    <n v="7.0000000000000007E-2"/>
    <n v="0.63000000000000012"/>
    <n v="0.49"/>
    <n v="400"/>
    <n v="325"/>
    <n v="0"/>
    <m/>
    <m/>
    <m/>
    <m/>
    <n v="725"/>
    <n v="35200"/>
    <n v="28600"/>
    <n v="63800"/>
    <n v="5470"/>
    <n v="4444.375"/>
    <n v="9914.375"/>
  </r>
  <r>
    <x v="6"/>
    <s v="PORTA ASIATACA"/>
    <s v="CHINA"/>
    <s v="STS25M51181"/>
    <s v="FF141"/>
    <s v="93% POLYESTER/7% SPANDEX 300 GM/M2 VELOUR"/>
    <s v="KNIT"/>
    <s v="6103.43.1550"/>
    <n v="88"/>
    <n v="18.327499999999997"/>
    <n v="12.5"/>
    <n v="0.28199999999999997"/>
    <n v="3.5249999999999995"/>
    <n v="7.4999999999999997E-2"/>
    <n v="0.9375"/>
    <n v="7.0000000000000007E-2"/>
    <n v="0.87500000000000011"/>
    <n v="0.49"/>
    <n v="400"/>
    <n v="356"/>
    <n v="0"/>
    <m/>
    <m/>
    <m/>
    <m/>
    <n v="756"/>
    <n v="35200"/>
    <n v="31328"/>
    <n v="66528"/>
    <n v="7330.9999999999991"/>
    <n v="6524.5899999999992"/>
    <n v="13855.589999999998"/>
  </r>
  <r>
    <x v="2"/>
    <s v="PORTA ASIATACA"/>
    <s v="CHINA"/>
    <s v="STS25M51177"/>
    <s v="FF141"/>
    <s v="93% POLYESTER/7% SPANDEX 300 GM/M2 VELOUR"/>
    <s v="KNIT"/>
    <s v="6112.12.0010"/>
    <n v="175"/>
    <n v="33.239649999999997"/>
    <n v="22.95"/>
    <n v="0.28199999999999997"/>
    <n v="6.4718999999999989"/>
    <n v="7.4999999999999997E-2"/>
    <n v="1.7212499999999999"/>
    <n v="7.0000000000000007E-2"/>
    <n v="1.6065"/>
    <n v="0.49"/>
    <n v="209"/>
    <n v="150"/>
    <n v="200"/>
    <m/>
    <m/>
    <m/>
    <m/>
    <n v="559"/>
    <n v="36575"/>
    <n v="61250"/>
    <n v="97825"/>
    <n v="6947.0868499999997"/>
    <n v="11633.877499999999"/>
    <n v="18580.964349999998"/>
  </r>
  <r>
    <x v="3"/>
    <s v="PORTA ASIATACA"/>
    <s v="CHINA"/>
    <s v="STS25M51178"/>
    <s v="FF141"/>
    <s v="93% POLYESTER/7% SPANDEX 300 GM/M2 VELOUR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50"/>
    <n v="150"/>
    <n v="200"/>
    <m/>
    <m/>
    <m/>
    <m/>
    <n v="500"/>
    <n v="22500"/>
    <n v="52500"/>
    <n v="75000"/>
    <n v="4140.45"/>
    <n v="9661.0499999999993"/>
    <n v="13801.5"/>
  </r>
  <r>
    <x v="0"/>
    <s v="PORTA ASIATACA"/>
    <s v="CHINA"/>
    <s v="STS25M51179"/>
    <s v="FF141"/>
    <s v="93% POLYESTER/7% SPANDEX 300 GM/M2 VELOUR"/>
    <s v="KNIT"/>
    <s v="6105.20.2010"/>
    <n v="125"/>
    <n v="24.44275"/>
    <n v="16.350000000000001"/>
    <n v="0.32"/>
    <n v="5.2320000000000002"/>
    <n v="7.4999999999999997E-2"/>
    <n v="1.2262500000000001"/>
    <n v="7.0000000000000007E-2"/>
    <n v="1.1445000000000003"/>
    <n v="0.49"/>
    <n v="400"/>
    <n v="241"/>
    <n v="0"/>
    <m/>
    <m/>
    <m/>
    <m/>
    <n v="641"/>
    <n v="50000"/>
    <n v="30125"/>
    <n v="80125"/>
    <n v="9777.1"/>
    <n v="5890.7027500000004"/>
    <n v="15667.802750000001"/>
  </r>
  <r>
    <x v="7"/>
    <s v="PORTA ASIATACA"/>
    <s v="CHINA"/>
    <s v="STS25M51180"/>
    <s v="FF141"/>
    <s v="93% POLYESTER/7% SPANDEX 300 GM/M2 VELOUR"/>
    <s v="KNIT"/>
    <s v="6109.90.1007"/>
    <n v="88"/>
    <n v="13.675000000000001"/>
    <n v="9"/>
    <n v="0.32"/>
    <n v="2.88"/>
    <n v="7.4999999999999997E-2"/>
    <n v="0.67499999999999993"/>
    <n v="7.0000000000000007E-2"/>
    <n v="0.63000000000000012"/>
    <n v="0.49"/>
    <n v="400"/>
    <n v="349"/>
    <n v="0"/>
    <m/>
    <m/>
    <m/>
    <m/>
    <n v="749"/>
    <n v="35200"/>
    <n v="30712"/>
    <n v="65912"/>
    <n v="5470"/>
    <n v="4772.5749999999998"/>
    <n v="10242.575000000001"/>
  </r>
  <r>
    <x v="1"/>
    <s v="PORTA ASIATACA"/>
    <s v="CHINA"/>
    <s v="STS25M51181"/>
    <s v="FF141"/>
    <s v="93% POLYESTER/7% SPANDEX 300 GM/M2 VELOUR"/>
    <s v="KNIT"/>
    <s v="6103.43.1550"/>
    <n v="88"/>
    <n v="18.327499999999997"/>
    <n v="12.5"/>
    <n v="0.28199999999999997"/>
    <n v="3.5249999999999995"/>
    <n v="7.4999999999999997E-2"/>
    <n v="0.9375"/>
    <n v="7.0000000000000007E-2"/>
    <n v="0.87500000000000011"/>
    <n v="0.49"/>
    <n v="400"/>
    <n v="466"/>
    <n v="0"/>
    <m/>
    <m/>
    <m/>
    <m/>
    <n v="866"/>
    <n v="35200"/>
    <n v="41008"/>
    <n v="76208"/>
    <n v="7330.9999999999991"/>
    <n v="8540.614999999998"/>
    <n v="15871.614999999998"/>
  </r>
  <r>
    <x v="2"/>
    <s v="PORTA ASIATACA"/>
    <s v="CHINA"/>
    <s v="STS25M51177"/>
    <s v="FF141"/>
    <s v="93% POLYESTER/7% SPANDEX 300 GM/M2 VELOUR"/>
    <s v="KNIT"/>
    <s v="6112.12.0010"/>
    <n v="175"/>
    <n v="33.239649999999997"/>
    <n v="22.95"/>
    <n v="0.28199999999999997"/>
    <n v="6.4718999999999989"/>
    <n v="7.4999999999999997E-2"/>
    <n v="1.7212499999999999"/>
    <n v="7.0000000000000007E-2"/>
    <n v="1.6065"/>
    <n v="0.49"/>
    <n v="211"/>
    <n v="269"/>
    <n v="200"/>
    <m/>
    <m/>
    <m/>
    <m/>
    <n v="680"/>
    <n v="36925"/>
    <n v="82075"/>
    <n v="119000"/>
    <n v="7013.5661499999997"/>
    <n v="15589.395849999999"/>
    <n v="22602.962"/>
  </r>
  <r>
    <x v="3"/>
    <s v="PORTA ASIATACA"/>
    <s v="CHINA"/>
    <s v="STS25M51178"/>
    <s v="FF141"/>
    <s v="93% POLYESTER/7% SPANDEX 300 GM/M2 VELOUR"/>
    <s v="KNIT"/>
    <s v="6112.12.0050"/>
    <n v="150"/>
    <n v="27.602999999999998"/>
    <n v="19"/>
    <n v="0.28199999999999997"/>
    <n v="5.3579999999999997"/>
    <n v="7.4999999999999997E-2"/>
    <n v="1.425"/>
    <n v="7.0000000000000007E-2"/>
    <n v="1.33"/>
    <n v="0.49"/>
    <n v="157"/>
    <n v="269"/>
    <n v="200"/>
    <m/>
    <m/>
    <m/>
    <m/>
    <n v="626"/>
    <n v="23550"/>
    <n v="70350"/>
    <n v="93900"/>
    <n v="4333.6709999999994"/>
    <n v="12945.806999999999"/>
    <n v="17279.477999999999"/>
  </r>
  <r>
    <x v="7"/>
    <s v="PORTA ASIATACA"/>
    <s v="CHINA"/>
    <s v="STS25M51180"/>
    <s v="FF141"/>
    <s v="93% POLYESTER/7% SPANDEX 300 GM/M2 VELOUR"/>
    <s v="KNIT"/>
    <s v="6109.90.1007"/>
    <n v="88"/>
    <n v="13.675000000000001"/>
    <n v="9"/>
    <n v="0.32"/>
    <n v="2.88"/>
    <n v="7.4999999999999997E-2"/>
    <n v="0.67499999999999993"/>
    <n v="7.0000000000000007E-2"/>
    <n v="0.63000000000000012"/>
    <n v="0.49"/>
    <n v="350"/>
    <n v="258"/>
    <n v="0"/>
    <m/>
    <m/>
    <m/>
    <m/>
    <n v="608"/>
    <n v="30800"/>
    <n v="22704"/>
    <n v="53504"/>
    <n v="4786.25"/>
    <n v="3528.15"/>
    <n v="8314.4"/>
  </r>
  <r>
    <x v="6"/>
    <s v="PORTA ASIATACA"/>
    <s v="CHINA"/>
    <s v="STS25M51181"/>
    <s v="FF141"/>
    <s v="93% POLYESTER/7% SPANDEX 300 GM/M2 VELOUR"/>
    <s v="KNIT"/>
    <s v="6103.43.1550"/>
    <n v="88"/>
    <n v="18.327499999999997"/>
    <n v="12.5"/>
    <n v="0.28199999999999997"/>
    <n v="3.5249999999999995"/>
    <n v="7.4999999999999997E-2"/>
    <n v="0.9375"/>
    <n v="7.0000000000000007E-2"/>
    <n v="0.87500000000000011"/>
    <n v="0.49"/>
    <n v="350"/>
    <n v="306"/>
    <n v="0"/>
    <m/>
    <m/>
    <m/>
    <m/>
    <n v="656"/>
    <n v="30800"/>
    <n v="26928"/>
    <n v="57728"/>
    <n v="6414.6249999999991"/>
    <n v="5608.2149999999992"/>
    <n v="12022.839999999998"/>
  </r>
  <r>
    <x v="2"/>
    <s v="PORTA ASIATACA"/>
    <s v="CHINA"/>
    <s v="STS25M51131"/>
    <s v="FF141"/>
    <s v="93% POLYESTER/7% SPANDEX 300 GM/M2 VELOUR"/>
    <s v="KNIT"/>
    <s v="6112.12.0010"/>
    <n v="17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250"/>
    <n v="546"/>
    <n v="100"/>
    <m/>
    <m/>
    <m/>
    <m/>
    <n v="896"/>
    <n v="43750"/>
    <n v="113050"/>
    <n v="156800"/>
    <n v="7739.1124999999993"/>
    <n v="19997.866699999999"/>
    <n v="27736.979199999998"/>
  </r>
  <r>
    <x v="3"/>
    <s v="PORTA ASIATACA"/>
    <s v="CHINA"/>
    <s v="STS25M51132"/>
    <s v="FF141"/>
    <s v="93% POLYESTER/7% SPANDEX 300 GM/M2 VELOUR"/>
    <s v="KNIT"/>
    <s v="6112.12.0050"/>
    <n v="135"/>
    <n v="24.035499999999999"/>
    <n v="16.5"/>
    <n v="0.28199999999999997"/>
    <n v="4.6529999999999996"/>
    <n v="7.4999999999999997E-2"/>
    <n v="1.2375"/>
    <n v="7.0000000000000007E-2"/>
    <n v="1.155"/>
    <n v="0.49"/>
    <n v="200"/>
    <n v="540"/>
    <n v="100"/>
    <m/>
    <m/>
    <m/>
    <m/>
    <n v="840"/>
    <n v="27000"/>
    <n v="86400"/>
    <n v="113400"/>
    <n v="4807.0999999999995"/>
    <n v="15382.72"/>
    <n v="20189.82"/>
  </r>
  <r>
    <x v="0"/>
    <s v="PORTA ASIATACA"/>
    <s v="CHINA"/>
    <s v="STS25M51130"/>
    <s v="FF141"/>
    <s v="93% POLYESTER/7% SPANDEX 300 GM/M2 VELOUR VELOUR"/>
    <s v="KNIT"/>
    <s v="6105.20.2010"/>
    <n v="110"/>
    <n v="22.391749999999998"/>
    <n v="14.95"/>
    <n v="0.32"/>
    <n v="4.7839999999999998"/>
    <n v="7.4999999999999997E-2"/>
    <n v="1.1212499999999999"/>
    <n v="7.0000000000000007E-2"/>
    <n v="1.0465"/>
    <n v="0.49"/>
    <n v="300"/>
    <n v="134"/>
    <n v="67"/>
    <m/>
    <m/>
    <m/>
    <m/>
    <n v="501"/>
    <n v="33000"/>
    <n v="22110"/>
    <n v="55110"/>
    <n v="6717.5249999999996"/>
    <n v="4500.7417499999992"/>
    <n v="11218.266749999999"/>
  </r>
  <r>
    <x v="2"/>
    <s v="PORTA ASIATACA"/>
    <s v="CHINA"/>
    <s v="STS25M51131"/>
    <s v="FF141"/>
    <s v="93% POLYESTER/7% SPANDEX 300 GM/M2 VELOUR"/>
    <s v="KNIT"/>
    <s v="6112.12.0010"/>
    <n v="17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300"/>
    <n v="246"/>
    <n v="100"/>
    <m/>
    <m/>
    <m/>
    <m/>
    <n v="646"/>
    <n v="52500"/>
    <n v="60550"/>
    <n v="113050"/>
    <n v="9286.9349999999995"/>
    <n v="10710.931699999999"/>
    <n v="19997.866699999999"/>
  </r>
  <r>
    <x v="3"/>
    <s v="PORTA ASIATACA"/>
    <s v="CHINA"/>
    <s v="STS25M51132"/>
    <s v="FF141"/>
    <s v="93% POLYESTER/7% SPANDEX 300 GM/M2 VELOUR"/>
    <s v="KNIT"/>
    <s v="6112.12.005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251"/>
    <n v="100"/>
    <m/>
    <m/>
    <m/>
    <m/>
    <n v="601"/>
    <n v="33750"/>
    <n v="47385"/>
    <n v="81135"/>
    <n v="6008.875"/>
    <n v="8436.4604999999992"/>
    <n v="14445.335499999999"/>
  </r>
  <r>
    <x v="0"/>
    <s v="PORTA ASIATACA"/>
    <s v="CHINA"/>
    <s v="STS25M51130"/>
    <s v="FF141"/>
    <s v="93% POLYESTER/7% SPANDEX 300 GM/M2 VELOUR VELOUR"/>
    <s v="KNIT"/>
    <s v="6105.20.2010"/>
    <n v="110"/>
    <n v="22.391749999999998"/>
    <n v="14.95"/>
    <n v="0.32"/>
    <n v="4.7839999999999998"/>
    <n v="7.4999999999999997E-2"/>
    <n v="1.1212499999999999"/>
    <n v="7.0000000000000007E-2"/>
    <n v="1.0465"/>
    <n v="0.49"/>
    <n v="400"/>
    <n v="163"/>
    <n v="0"/>
    <m/>
    <m/>
    <m/>
    <m/>
    <n v="563"/>
    <n v="44000"/>
    <n v="17930"/>
    <n v="61930"/>
    <n v="8956.6999999999989"/>
    <n v="3649.8552499999996"/>
    <n v="12606.555249999998"/>
  </r>
  <r>
    <x v="2"/>
    <s v="PORTA ASIATACA"/>
    <s v="CHINA"/>
    <s v="STS25M51131"/>
    <s v="FF141"/>
    <s v="93% POLYESTER/7% SPANDEX 300 GM/M2 VELOUR VELOUR"/>
    <s v="KNIT"/>
    <s v="6112.12.0010"/>
    <n v="175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300"/>
    <n v="260"/>
    <n v="100"/>
    <m/>
    <m/>
    <m/>
    <m/>
    <n v="660"/>
    <n v="52500"/>
    <n v="63000"/>
    <n v="115500"/>
    <n v="9286.9349999999995"/>
    <n v="11144.321999999998"/>
    <n v="20431.256999999998"/>
  </r>
  <r>
    <x v="3"/>
    <s v="PORTA ASIATACA"/>
    <s v="CHINA"/>
    <s v="STS25M51132"/>
    <s v="FF141"/>
    <s v="93% POLYESTER/7% SPANDEX 300 GM/M2 VELOUR VELOUR"/>
    <s v="KNIT"/>
    <s v="6112.12.0050"/>
    <n v="135"/>
    <n v="24.035499999999999"/>
    <n v="16.5"/>
    <n v="0.28199999999999997"/>
    <n v="4.6529999999999996"/>
    <n v="7.4999999999999997E-2"/>
    <n v="1.2375"/>
    <n v="7.0000000000000007E-2"/>
    <n v="1.155"/>
    <n v="0.49"/>
    <n v="250"/>
    <n v="254"/>
    <n v="100"/>
    <m/>
    <m/>
    <m/>
    <m/>
    <n v="604"/>
    <n v="33750"/>
    <n v="47790"/>
    <n v="81540"/>
    <n v="6008.875"/>
    <n v="8508.5669999999991"/>
    <n v="14517.441999999999"/>
  </r>
  <r>
    <x v="13"/>
    <s v="PORTA ASIATACA"/>
    <s v="CHINA"/>
    <s v="STS25M51133"/>
    <s v="FF141"/>
    <s v="93% POLYESTER/7% SPANDEX 300 GM/M2 VELOUR VELOUR"/>
    <s v="KNIT"/>
    <s v="6110.30.3030"/>
    <n v="110"/>
    <n v="20.926749999999998"/>
    <n v="13.95"/>
    <n v="0.32"/>
    <n v="4.4639999999999995"/>
    <n v="7.4999999999999997E-2"/>
    <n v="1.0462499999999999"/>
    <n v="7.0000000000000007E-2"/>
    <n v="0.97650000000000003"/>
    <n v="0.49"/>
    <n v="400"/>
    <n v="83"/>
    <n v="51"/>
    <m/>
    <m/>
    <m/>
    <m/>
    <n v="534"/>
    <n v="44000"/>
    <n v="14740"/>
    <n v="58740"/>
    <n v="8370.6999999999989"/>
    <n v="2804.1844999999998"/>
    <n v="11174.884499999998"/>
  </r>
  <r>
    <x v="6"/>
    <s v="PORTA ASIATACA"/>
    <s v="CHINA"/>
    <s v="STS25M51134"/>
    <s v="FF141"/>
    <s v="93% POLYESTER/7% SPANDEX 300 GM/M2 VELOUR VELOUR"/>
    <s v="KNIT"/>
    <s v="6103.43.1550"/>
    <n v="88"/>
    <n v="19.754499999999997"/>
    <n v="13.5"/>
    <n v="0.28199999999999997"/>
    <n v="3.8069999999999995"/>
    <n v="7.4999999999999997E-2"/>
    <n v="1.0125"/>
    <n v="7.0000000000000007E-2"/>
    <n v="0.94500000000000006"/>
    <n v="0.49"/>
    <n v="400"/>
    <n v="84"/>
    <n v="52"/>
    <m/>
    <m/>
    <m/>
    <m/>
    <n v="536"/>
    <n v="35200"/>
    <n v="11968"/>
    <n v="47168"/>
    <n v="7901.7999999999984"/>
    <n v="2686.6119999999996"/>
    <n v="10588.411999999998"/>
  </r>
  <r>
    <x v="3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600"/>
    <n v="224"/>
    <n v="0"/>
    <m/>
    <m/>
    <m/>
    <m/>
    <n v="824"/>
    <n v="90000"/>
    <n v="33600"/>
    <n v="123600"/>
    <n v="18573.87"/>
    <n v="6934.2447999999995"/>
    <n v="25508.114799999999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500"/>
    <n v="224"/>
    <n v="0"/>
    <m/>
    <m/>
    <m/>
    <m/>
    <n v="724"/>
    <n v="62500"/>
    <n v="28000"/>
    <n v="90500"/>
    <n v="11661"/>
    <n v="5224.1279999999997"/>
    <n v="16885.128000000001"/>
  </r>
  <r>
    <x v="3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500"/>
    <m/>
    <n v="0"/>
    <m/>
    <m/>
    <m/>
    <m/>
    <n v="500"/>
    <n v="75000"/>
    <n v="0"/>
    <n v="75000"/>
    <n v="15478.224999999999"/>
    <n v="0"/>
    <n v="15478.224999999999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300"/>
    <m/>
    <n v="0"/>
    <m/>
    <m/>
    <m/>
    <m/>
    <n v="300"/>
    <n v="37500"/>
    <n v="0"/>
    <n v="37500"/>
    <n v="6996.5999999999995"/>
    <n v="0"/>
    <n v="6996.5999999999995"/>
  </r>
  <r>
    <x v="2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600"/>
    <n v="325"/>
    <n v="0"/>
    <m/>
    <m/>
    <m/>
    <m/>
    <n v="925"/>
    <n v="90000"/>
    <n v="48750"/>
    <n v="138750"/>
    <n v="18573.87"/>
    <n v="10060.846249999999"/>
    <n v="28634.716249999998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500"/>
    <n v="325"/>
    <n v="0"/>
    <m/>
    <m/>
    <m/>
    <m/>
    <n v="825"/>
    <n v="62500"/>
    <n v="40625"/>
    <n v="103125"/>
    <n v="11661"/>
    <n v="7579.65"/>
    <n v="19240.650000000001"/>
  </r>
  <r>
    <x v="2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500"/>
    <m/>
    <n v="0"/>
    <m/>
    <m/>
    <m/>
    <m/>
    <n v="500"/>
    <n v="75000"/>
    <n v="0"/>
    <n v="75000"/>
    <n v="15478.224999999999"/>
    <n v="0"/>
    <n v="15478.224999999999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300"/>
    <m/>
    <n v="0"/>
    <m/>
    <m/>
    <m/>
    <m/>
    <n v="300"/>
    <n v="37500"/>
    <n v="0"/>
    <n v="37500"/>
    <n v="6996.5999999999995"/>
    <n v="0"/>
    <n v="6996.5999999999995"/>
  </r>
  <r>
    <x v="3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1000"/>
    <m/>
    <n v="0"/>
    <m/>
    <m/>
    <m/>
    <m/>
    <n v="1000"/>
    <n v="150000"/>
    <n v="0"/>
    <n v="150000"/>
    <n v="30956.449999999997"/>
    <n v="0"/>
    <n v="30956.449999999997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1000"/>
    <m/>
    <n v="0"/>
    <m/>
    <m/>
    <m/>
    <m/>
    <n v="1000"/>
    <n v="125000"/>
    <n v="0"/>
    <n v="125000"/>
    <n v="23322"/>
    <n v="0"/>
    <n v="23322"/>
  </r>
  <r>
    <x v="3"/>
    <s v="PORTA ASIATACA"/>
    <s v="CHINA"/>
    <s v="STS25M50912"/>
    <s v="FF151"/>
    <s v="95% POLYESTER/5% SPANDEX 280 GM/M2"/>
    <s v="KNIT"/>
    <s v="6112.12.0010"/>
    <n v="150"/>
    <n v="30.956449999999997"/>
    <n v="21.35"/>
    <n v="0.28199999999999997"/>
    <n v="6.0206999999999997"/>
    <n v="7.4999999999999997E-2"/>
    <n v="1.6012500000000001"/>
    <n v="7.0000000000000007E-2"/>
    <n v="1.4945000000000002"/>
    <n v="0.49"/>
    <n v="1200"/>
    <m/>
    <n v="0"/>
    <m/>
    <m/>
    <m/>
    <m/>
    <n v="1200"/>
    <n v="180000"/>
    <n v="0"/>
    <n v="180000"/>
    <n v="37147.74"/>
    <n v="0"/>
    <n v="37147.74"/>
  </r>
  <r>
    <x v="3"/>
    <s v="PORTA ASIATACA"/>
    <s v="CHINA"/>
    <s v="STS25M50913"/>
    <s v="FF151"/>
    <s v="95% POLYESTER/5% SPANDEX 280 GM/M2"/>
    <s v="KNIT"/>
    <s v="6112.12.005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1200"/>
    <m/>
    <n v="0"/>
    <m/>
    <m/>
    <m/>
    <m/>
    <n v="1200"/>
    <n v="150000"/>
    <n v="0"/>
    <n v="150000"/>
    <n v="27986.399999999998"/>
    <n v="0"/>
    <n v="27986.399999999998"/>
  </r>
  <r>
    <x v="2"/>
    <s v="PORTA ASIATACA"/>
    <s v="CHINA"/>
    <s v="STS25M51086"/>
    <s v="FF400"/>
    <s v="BODY: 100% NYLON RIPSTOP 35 GM/M2 LINING: 90% POLYESTER/10% SPANDEX 90 GM/M2"/>
    <s v="WOVEN"/>
    <s v="6201.40.7511"/>
    <n v="175"/>
    <n v="41.728000000000002"/>
    <n v="29"/>
    <n v="0.27700000000000002"/>
    <n v="8.0330000000000013"/>
    <n v="7.4999999999999997E-2"/>
    <n v="2.1749999999999998"/>
    <n v="7.0000000000000007E-2"/>
    <n v="2.0300000000000002"/>
    <n v="0.49"/>
    <n v="350"/>
    <n v="713"/>
    <n v="0"/>
    <m/>
    <m/>
    <m/>
    <n v="12"/>
    <n v="1075"/>
    <n v="61250"/>
    <n v="126875"/>
    <n v="188125"/>
    <n v="14604.800000000001"/>
    <n v="30100.064000000002"/>
    <n v="44704.864000000001"/>
  </r>
  <r>
    <x v="3"/>
    <s v="PORTA ASIATACA"/>
    <s v="CHINA"/>
    <s v="STS25M51087"/>
    <s v="FF400"/>
    <s v="BODY: 100% NYLON RIPSTOP 35 GM/M2 LINING: 90% POLYESTER/10% SPANDEX 90 GM/M2"/>
    <s v="WOVEN"/>
    <s v="6203.43.9010"/>
    <n v="150"/>
    <n v="33.242000000000004"/>
    <n v="23"/>
    <n v="0.27900000000000003"/>
    <n v="6.4170000000000007"/>
    <n v="7.4999999999999997E-2"/>
    <n v="1.7249999999999999"/>
    <n v="7.0000000000000007E-2"/>
    <n v="1.61"/>
    <n v="0.49"/>
    <n v="300"/>
    <n v="654"/>
    <n v="0"/>
    <m/>
    <m/>
    <m/>
    <n v="12"/>
    <n v="966"/>
    <n v="45000"/>
    <n v="99900"/>
    <n v="144900"/>
    <n v="9972.6000000000022"/>
    <n v="22016.268000000004"/>
    <n v="31988.868000000006"/>
  </r>
  <r>
    <x v="2"/>
    <s v="PORTA ASIATACA"/>
    <s v="CHINA"/>
    <s v="STS25M51197"/>
    <s v="FF402"/>
    <s v="42% TENCEL/50%POLYESTER/8% SPANDEX PIQUE 250 GM/M2"/>
    <s v="KNIT"/>
    <s v="6112.12.0010"/>
    <n v="175"/>
    <n v="36.093649999999997"/>
    <n v="24.95"/>
    <n v="0.28199999999999997"/>
    <n v="7.0358999999999989"/>
    <n v="7.4999999999999997E-2"/>
    <n v="1.8712499999999999"/>
    <n v="7.0000000000000007E-2"/>
    <n v="1.7465000000000002"/>
    <n v="0.49"/>
    <n v="400"/>
    <n v="345"/>
    <n v="0"/>
    <m/>
    <m/>
    <m/>
    <m/>
    <n v="745"/>
    <n v="70000"/>
    <n v="60375"/>
    <n v="130375"/>
    <n v="14437.46"/>
    <n v="12452.309249999998"/>
    <n v="26889.769249999998"/>
  </r>
  <r>
    <x v="3"/>
    <s v="PORTA ASIATACA"/>
    <s v="CHINA"/>
    <s v="STS25M51198"/>
    <s v="FF042"/>
    <s v="42% TENCEL/50%POLYESTER/8% SPANDEX PIQUE 250 GM/M2"/>
    <s v="KNIT"/>
    <s v="6112.12.005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350"/>
    <n v="340"/>
    <n v="0"/>
    <m/>
    <m/>
    <m/>
    <m/>
    <n v="690"/>
    <n v="52500"/>
    <n v="51000"/>
    <n v="103500"/>
    <n v="10659.949999999999"/>
    <n v="10355.379999999999"/>
    <n v="21015.329999999998"/>
  </r>
  <r>
    <x v="2"/>
    <s v="PORTA ASIATACA"/>
    <s v="CHINA"/>
    <s v="STS25M51197"/>
    <s v="FF042"/>
    <s v="42% TENCEL/50%POLYESTER/8% SPANDEX PIQUE 250 GM/M2"/>
    <s v="KNIT"/>
    <s v="6112.12.0010"/>
    <n v="175"/>
    <n v="36.093649999999997"/>
    <n v="24.95"/>
    <n v="0.28199999999999997"/>
    <n v="7.0358999999999989"/>
    <n v="7.4999999999999997E-2"/>
    <n v="1.8712499999999999"/>
    <n v="7.0000000000000007E-2"/>
    <n v="1.7465000000000002"/>
    <n v="0.49"/>
    <n v="300"/>
    <n v="186"/>
    <n v="21"/>
    <m/>
    <m/>
    <m/>
    <m/>
    <n v="507"/>
    <n v="52500"/>
    <n v="36225"/>
    <n v="88725"/>
    <n v="10828.094999999999"/>
    <n v="7471.3855499999991"/>
    <n v="18299.48055"/>
  </r>
  <r>
    <x v="3"/>
    <s v="PORTA ASIATACA"/>
    <s v="CHINA"/>
    <s v="STS25M51198"/>
    <s v="FF042"/>
    <s v="42% TENCEL/50%POLYESTER/8% SPANDEX PIQUE 250 GM/M2"/>
    <s v="KNIT"/>
    <s v="6112.12.0050"/>
    <n v="150"/>
    <n v="30.456999999999997"/>
    <n v="21"/>
    <n v="0.28199999999999997"/>
    <n v="5.9219999999999997"/>
    <n v="7.4999999999999997E-2"/>
    <n v="1.575"/>
    <n v="7.0000000000000007E-2"/>
    <n v="1.4700000000000002"/>
    <n v="0.49"/>
    <n v="250"/>
    <n v="186"/>
    <n v="70"/>
    <m/>
    <m/>
    <m/>
    <m/>
    <n v="506"/>
    <n v="37500"/>
    <n v="38400"/>
    <n v="75900"/>
    <n v="7614.2499999999991"/>
    <n v="7796.9919999999993"/>
    <n v="15411.241999999998"/>
  </r>
  <r>
    <x v="2"/>
    <s v="PORTA ASIATACA"/>
    <s v="CHINA"/>
    <s v="STS25M51111"/>
    <s v="FF031"/>
    <s v="92% POLYESTER/8% SPANDEX 300 GM/M2"/>
    <s v="KNIT"/>
    <s v="6112.12.001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500"/>
    <n v="345"/>
    <n v="0"/>
    <m/>
    <m/>
    <m/>
    <n v="12"/>
    <n v="857"/>
    <n v="62500"/>
    <n v="44625"/>
    <n v="107125"/>
    <n v="12374.5"/>
    <n v="8742.4049999999988"/>
    <n v="21116.904999999999"/>
  </r>
  <r>
    <x v="6"/>
    <s v="PORTA ASIATACA"/>
    <s v="CHINA"/>
    <s v="STS25M51112"/>
    <s v="FF031"/>
    <s v="92% POLYESTER/8% SPANDEX 300 GM/M2"/>
    <s v="KNIT"/>
    <s v="6103.43.1550"/>
    <n v="88"/>
    <n v="20.43946"/>
    <n v="13.98"/>
    <n v="0.28199999999999997"/>
    <n v="3.9423599999999999"/>
    <n v="7.4999999999999997E-2"/>
    <n v="1.0485"/>
    <n v="7.0000000000000007E-2"/>
    <n v="0.97860000000000014"/>
    <n v="0.49"/>
    <n v="400"/>
    <n v="330"/>
    <n v="0"/>
    <m/>
    <m/>
    <m/>
    <n v="12"/>
    <n v="742"/>
    <n v="35200"/>
    <n v="30096"/>
    <n v="65296"/>
    <n v="8175.7840000000006"/>
    <n v="6912.7818000000007"/>
    <n v="15088.5658"/>
  </r>
  <r>
    <x v="2"/>
    <s v="PORTA ASIATACA"/>
    <s v="CHINA"/>
    <s v="STS25M51111"/>
    <s v="FF031"/>
    <s v="92% POLYESTER/8% SPANDEX 300 GM/M2"/>
    <s v="KNIT"/>
    <s v="6112.12.001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m/>
    <n v="0"/>
    <m/>
    <m/>
    <m/>
    <m/>
    <n v="300"/>
    <n v="37500"/>
    <n v="0"/>
    <n v="37500"/>
    <n v="7424.7"/>
    <n v="0"/>
    <n v="7424.7"/>
  </r>
  <r>
    <x v="6"/>
    <s v="PORTA ASIATACA"/>
    <s v="CHINA"/>
    <s v="STS25M51112"/>
    <s v="FF031"/>
    <s v="92% POLYESTER/8% SPANDEX 300 GM/M2"/>
    <s v="KNIT"/>
    <s v="6103.43.1550"/>
    <n v="88"/>
    <n v="20.43946"/>
    <n v="13.98"/>
    <n v="0.28199999999999997"/>
    <n v="3.9423599999999999"/>
    <n v="7.4999999999999997E-2"/>
    <n v="1.0485"/>
    <n v="7.0000000000000007E-2"/>
    <n v="0.97860000000000014"/>
    <n v="0.49"/>
    <n v="300"/>
    <m/>
    <n v="0"/>
    <m/>
    <m/>
    <m/>
    <m/>
    <n v="300"/>
    <n v="26400"/>
    <n v="0"/>
    <n v="26400"/>
    <n v="6131.8379999999997"/>
    <n v="0"/>
    <n v="6131.8379999999997"/>
  </r>
  <r>
    <x v="2"/>
    <s v="PORTA ASIATACA"/>
    <s v="CHINA"/>
    <s v="STS25M51111"/>
    <s v="FF031"/>
    <s v="92% POLYESTER/8% SPANDEX 300 GM/M2"/>
    <s v="KNIT"/>
    <s v="6112.12.001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400"/>
    <n v="228"/>
    <n v="0"/>
    <m/>
    <m/>
    <m/>
    <n v="12"/>
    <n v="640"/>
    <n v="50000"/>
    <n v="30000"/>
    <n v="80000"/>
    <n v="9899.6"/>
    <n v="5846.7719999999999"/>
    <n v="15746.371999999999"/>
  </r>
  <r>
    <x v="6"/>
    <s v="PORTA ASIATACA"/>
    <s v="CHINA"/>
    <s v="STS25M51112"/>
    <s v="FF031"/>
    <s v="92% POLYESTER/8% SPANDEX 300 GM/M2"/>
    <s v="KNIT"/>
    <s v="6103.43.1550"/>
    <n v="88"/>
    <n v="20.43946"/>
    <n v="13.98"/>
    <n v="0.28199999999999997"/>
    <n v="3.9423599999999999"/>
    <n v="7.4999999999999997E-2"/>
    <n v="1.0485"/>
    <n v="7.0000000000000007E-2"/>
    <n v="0.97860000000000014"/>
    <n v="0.49"/>
    <n v="350"/>
    <n v="233"/>
    <n v="0"/>
    <m/>
    <m/>
    <m/>
    <n v="12"/>
    <n v="595"/>
    <n v="30800"/>
    <n v="21560"/>
    <n v="52360"/>
    <n v="7153.8109999999997"/>
    <n v="4930.1541800000005"/>
    <n v="12083.965179999999"/>
  </r>
  <r>
    <x v="2"/>
    <s v="PORTA ASIATACA"/>
    <s v="CHINA"/>
    <s v="STS25M51111"/>
    <s v="FF031"/>
    <s v="92% POLYESTER/8% SPANDEX 300 GM/M2"/>
    <s v="KNIT"/>
    <s v="6112.12.001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m/>
    <n v="0"/>
    <m/>
    <m/>
    <m/>
    <m/>
    <n v="300"/>
    <n v="37500"/>
    <n v="0"/>
    <n v="37500"/>
    <n v="7424.7"/>
    <n v="0"/>
    <n v="7424.7"/>
  </r>
  <r>
    <x v="6"/>
    <s v="PORTA ASIATACA"/>
    <s v="CHINA"/>
    <s v="STS25M51112"/>
    <s v="FF031"/>
    <s v="92% POLYESTER/8% SPANDEX 300 GM/M2"/>
    <s v="KNIT"/>
    <s v="6103.43.1550"/>
    <n v="88"/>
    <n v="20.43946"/>
    <n v="13.98"/>
    <n v="0.28199999999999997"/>
    <n v="3.9423599999999999"/>
    <n v="7.4999999999999997E-2"/>
    <n v="1.0485"/>
    <n v="7.0000000000000007E-2"/>
    <n v="0.97860000000000014"/>
    <n v="0.49"/>
    <n v="300"/>
    <m/>
    <n v="0"/>
    <m/>
    <m/>
    <m/>
    <m/>
    <n v="300"/>
    <n v="26400"/>
    <n v="0"/>
    <n v="26400"/>
    <n v="6131.8379999999997"/>
    <n v="0"/>
    <n v="6131.8379999999997"/>
  </r>
  <r>
    <x v="14"/>
    <s v="PORTA ASIATACA"/>
    <s v="CHINA"/>
    <s v="STS25M51165"/>
    <s v="FF288"/>
    <s v="62% ECOVERO VISCOSE/38% POLYESTER 14GG FULL NEEDLE RIB "/>
    <s v="SWEATER"/>
    <s v="6105.20.2010"/>
    <n v="195"/>
    <n v="41.436749999999996"/>
    <n v="27.95"/>
    <n v="0.32"/>
    <n v="8.9440000000000008"/>
    <n v="7.4999999999999997E-2"/>
    <n v="2.0962499999999999"/>
    <n v="7.0000000000000007E-2"/>
    <n v="1.9565000000000001"/>
    <n v="0.49"/>
    <n v="150"/>
    <n v="169"/>
    <n v="100"/>
    <m/>
    <m/>
    <m/>
    <m/>
    <n v="419"/>
    <n v="29250"/>
    <n v="52455"/>
    <n v="81705"/>
    <n v="6215.5124999999998"/>
    <n v="11146.48575"/>
    <n v="17361.998250000001"/>
  </r>
  <r>
    <x v="14"/>
    <s v="PORTA ASIATACA"/>
    <s v="CHINA"/>
    <s v="STS25M51166"/>
    <s v="FF288"/>
    <s v="62% ECOVERO VISCOSE/38% POLYESTER 14GG FULL NEEDLE RIB "/>
    <s v="SWEATER"/>
    <s v="6103.43.1550"/>
    <n v="145"/>
    <n v="33.953150000000001"/>
    <n v="23.45"/>
    <n v="0.28199999999999997"/>
    <n v="6.6128999999999989"/>
    <n v="7.4999999999999997E-2"/>
    <n v="1.7587499999999998"/>
    <n v="7.0000000000000007E-2"/>
    <n v="1.6415000000000002"/>
    <n v="0.49"/>
    <n v="143"/>
    <n v="163"/>
    <n v="99"/>
    <m/>
    <m/>
    <m/>
    <m/>
    <n v="405"/>
    <n v="20735"/>
    <n v="37990"/>
    <n v="58725"/>
    <n v="4855.3004499999997"/>
    <n v="8895.7253000000001"/>
    <n v="13751.025750000001"/>
  </r>
  <r>
    <x v="14"/>
    <s v="PORTA ASIATACA"/>
    <s v="CHINA"/>
    <s v="STS25M51165"/>
    <s v="FF288"/>
    <s v="62% ECOVERO VISCOSE/38% POLYESTER 14GG FULL NEEDLE RIB "/>
    <s v="SWEATER"/>
    <s v="6105.20.2010"/>
    <n v="195"/>
    <n v="41.436749999999996"/>
    <n v="27.95"/>
    <n v="0.32"/>
    <n v="8.9440000000000008"/>
    <n v="7.4999999999999997E-2"/>
    <n v="2.0962499999999999"/>
    <n v="7.0000000000000007E-2"/>
    <n v="1.9565000000000001"/>
    <n v="0.49"/>
    <n v="150"/>
    <n v="276"/>
    <n v="100"/>
    <m/>
    <m/>
    <m/>
    <m/>
    <n v="526"/>
    <n v="29250"/>
    <n v="73320"/>
    <n v="102570"/>
    <n v="6215.5124999999998"/>
    <n v="15580.217999999999"/>
    <n v="21795.730499999998"/>
  </r>
  <r>
    <x v="14"/>
    <s v="PORTA ASIATACA"/>
    <s v="CHINA"/>
    <s v="STS25M51166"/>
    <s v="FF288"/>
    <s v="62% ECOVERO VISCOSE/38% POLYESTER 14GG FULL NEEDLE RIB "/>
    <s v="SWEATER"/>
    <s v="6103.43.1550"/>
    <n v="145"/>
    <n v="33.953150000000001"/>
    <n v="23.45"/>
    <n v="0.28199999999999997"/>
    <n v="6.6128999999999989"/>
    <n v="7.4999999999999997E-2"/>
    <n v="1.7587499999999998"/>
    <n v="7.0000000000000007E-2"/>
    <n v="1.6415000000000002"/>
    <n v="0.49"/>
    <n v="151"/>
    <n v="270"/>
    <n v="99"/>
    <m/>
    <m/>
    <m/>
    <m/>
    <n v="520"/>
    <n v="21895"/>
    <n v="53505"/>
    <n v="75400"/>
    <n v="5126.9256500000001"/>
    <n v="12528.71235"/>
    <n v="17655.637999999999"/>
  </r>
  <r>
    <x v="14"/>
    <s v="PORTA ASIATACA"/>
    <s v="CHINA"/>
    <s v="STS25M51167"/>
    <s v="FF288"/>
    <s v="62% ECOVERO VISCOSE/38% POLYESTER 14 GG FULL NEEDLE RIB "/>
    <s v="SWEATER"/>
    <s v="6110.30.3010"/>
    <n v="250"/>
    <n v="62.723199999999999"/>
    <n v="42.48"/>
    <n v="0.32"/>
    <n v="13.593599999999999"/>
    <n v="7.4999999999999997E-2"/>
    <n v="3.1859999999999995"/>
    <n v="7.0000000000000007E-2"/>
    <n v="2.9736000000000002"/>
    <n v="0.49"/>
    <n v="200"/>
    <m/>
    <n v="0"/>
    <m/>
    <m/>
    <m/>
    <m/>
    <n v="200"/>
    <n v="50000"/>
    <n v="0"/>
    <n v="50000"/>
    <n v="12544.64"/>
    <n v="0"/>
    <n v="12544.64"/>
  </r>
  <r>
    <x v="14"/>
    <s v="PORTA ASIATACA"/>
    <s v="CHINA"/>
    <s v="STS25M51225"/>
    <s v="FF288"/>
    <s v="62% ECOVERO VISCOSE/38% POLYESTER 14 GG FULL NEEDLE RIB "/>
    <s v="SWEATER"/>
    <s v="6112.12.0050"/>
    <n v="225"/>
    <n v="52.546959999999999"/>
    <n v="36.479999999999997"/>
    <n v="0.28199999999999997"/>
    <n v="10.287359999999998"/>
    <n v="7.4999999999999997E-2"/>
    <n v="2.7359999999999998"/>
    <n v="7.0000000000000007E-2"/>
    <n v="2.5535999999999999"/>
    <n v="0.49"/>
    <n v="150"/>
    <m/>
    <n v="0"/>
    <m/>
    <m/>
    <m/>
    <m/>
    <n v="150"/>
    <n v="33750"/>
    <n v="0"/>
    <n v="33750"/>
    <n v="7882.0439999999999"/>
    <n v="0"/>
    <n v="7882.0439999999999"/>
  </r>
  <r>
    <x v="14"/>
    <s v="PORTA ASIATACA"/>
    <s v="CHINA"/>
    <s v="STS25M51167"/>
    <s v="FF288"/>
    <s v="62% ECOVERO VISCOSE/38% POLYESTER 14 GG FULL NEEDLE RIB "/>
    <s v="SWEATER"/>
    <s v="6110.30.3010"/>
    <n v="250"/>
    <n v="62.723199999999999"/>
    <n v="42.48"/>
    <n v="0.32"/>
    <n v="13.593599999999999"/>
    <n v="7.4999999999999997E-2"/>
    <n v="3.1859999999999995"/>
    <n v="7.0000000000000007E-2"/>
    <n v="2.9736000000000002"/>
    <n v="0.49"/>
    <n v="200"/>
    <n v="8"/>
    <n v="0"/>
    <m/>
    <m/>
    <m/>
    <m/>
    <n v="208"/>
    <n v="50000"/>
    <n v="2000"/>
    <n v="52000"/>
    <n v="12544.64"/>
    <n v="501.78559999999999"/>
    <n v="13046.425599999999"/>
  </r>
  <r>
    <x v="14"/>
    <s v="PORTA ASIATACA"/>
    <s v="CHINA"/>
    <s v="STS25M51225"/>
    <s v="FF288"/>
    <s v="62% ECOVERO VISCOSE/38% POLYESTER 14 GG FULL NEEDLE RIB "/>
    <s v="SWEATER"/>
    <s v="6112.12.0050"/>
    <n v="225"/>
    <n v="52.546959999999999"/>
    <n v="36.479999999999997"/>
    <n v="0.28199999999999997"/>
    <n v="10.287359999999998"/>
    <n v="7.4999999999999997E-2"/>
    <n v="2.7359999999999998"/>
    <n v="7.0000000000000007E-2"/>
    <n v="2.5535999999999999"/>
    <n v="0.49"/>
    <n v="150"/>
    <n v="8"/>
    <n v="0"/>
    <m/>
    <m/>
    <m/>
    <m/>
    <n v="158"/>
    <n v="33750"/>
    <n v="1800"/>
    <n v="35550"/>
    <n v="7882.0439999999999"/>
    <n v="420.37567999999999"/>
    <n v="8302.4196799999991"/>
  </r>
  <r>
    <x v="14"/>
    <s v="PORTA ASIATACA"/>
    <s v="CHINA"/>
    <s v="STS25M51168"/>
    <s v="FF408"/>
    <s v="95% ORGANIC COTTON/5% CASHMERE 5 GG JERSEY"/>
    <s v="SWEATER"/>
    <s v="6110.20.2010"/>
    <n v="250"/>
    <n v="54.854999999999997"/>
    <n v="41.5"/>
    <n v="0.16500000000000001"/>
    <n v="6.8475000000000001"/>
    <n v="7.4999999999999997E-2"/>
    <n v="3.1124999999999998"/>
    <n v="7.0000000000000007E-2"/>
    <n v="2.9050000000000002"/>
    <n v="0.49"/>
    <n v="200"/>
    <m/>
    <n v="0"/>
    <m/>
    <m/>
    <m/>
    <m/>
    <n v="200"/>
    <n v="50000"/>
    <n v="0"/>
    <n v="50000"/>
    <n v="10971"/>
    <n v="0"/>
    <n v="10971"/>
  </r>
  <r>
    <x v="14"/>
    <s v="PORTA ASIATACA"/>
    <s v="CHINA"/>
    <s v="STS25M51169"/>
    <s v="FF288"/>
    <s v="62% ECOVERO VISCOSE/38% POLYESTER 14GG FULL NEEDLE RIB "/>
    <s v="SWEATER"/>
    <s v="6110.30.3010"/>
    <n v="185"/>
    <n v="50.080250000000007"/>
    <n v="33.85"/>
    <n v="0.32"/>
    <n v="10.832000000000001"/>
    <n v="7.4999999999999997E-2"/>
    <n v="2.5387499999999998"/>
    <n v="7.0000000000000007E-2"/>
    <n v="2.3695000000000004"/>
    <n v="0.49"/>
    <n v="200"/>
    <n v="3"/>
    <n v="0"/>
    <m/>
    <m/>
    <m/>
    <m/>
    <n v="203"/>
    <n v="37000"/>
    <n v="555"/>
    <n v="37555"/>
    <n v="10016.050000000001"/>
    <n v="150.24075000000002"/>
    <n v="10166.290750000002"/>
  </r>
  <r>
    <x v="14"/>
    <s v="PORTA ASIATACA"/>
    <s v="CHINA"/>
    <s v="STS25M51170"/>
    <s v="FF286"/>
    <s v="100% COTTON 14GG 3ENDS"/>
    <s v="SWEATER"/>
    <s v="6110.20.2010"/>
    <n v="175"/>
    <n v="34.222500000000004"/>
    <n v="25.75"/>
    <n v="0.16500000000000001"/>
    <n v="4.2487500000000002"/>
    <n v="7.4999999999999997E-2"/>
    <n v="1.9312499999999999"/>
    <n v="7.0000000000000007E-2"/>
    <n v="1.8025000000000002"/>
    <n v="0.49"/>
    <n v="600"/>
    <n v="735"/>
    <n v="0"/>
    <m/>
    <m/>
    <m/>
    <m/>
    <n v="1335"/>
    <n v="105000"/>
    <n v="128625"/>
    <n v="233625"/>
    <n v="20533.500000000004"/>
    <n v="25153.537500000002"/>
    <n v="45687.037500000006"/>
  </r>
  <r>
    <x v="14"/>
    <s v="PORTA ASIATACA"/>
    <s v="CHINA"/>
    <s v="STS25M51171"/>
    <s v="FF286"/>
    <s v="100% COTTON 14GG 3ENDS"/>
    <s v="SWEATER"/>
    <s v="6103.42.1050"/>
    <n v="150"/>
    <n v="32.160500000000006"/>
    <n v="24.25"/>
    <n v="0.161"/>
    <n v="3.9042500000000002"/>
    <n v="7.4999999999999997E-2"/>
    <n v="1.8187499999999999"/>
    <n v="7.0000000000000007E-2"/>
    <n v="1.6975000000000002"/>
    <n v="0.49"/>
    <n v="600"/>
    <n v="714"/>
    <n v="0"/>
    <m/>
    <m/>
    <m/>
    <m/>
    <n v="1314"/>
    <n v="90000"/>
    <n v="107100"/>
    <n v="197100"/>
    <n v="19296.300000000003"/>
    <n v="22962.597000000005"/>
    <n v="42258.897000000012"/>
  </r>
  <r>
    <x v="14"/>
    <s v="PORTA ASIATACA"/>
    <s v="CHINA"/>
    <s v="STS25M51170"/>
    <s v="FF286"/>
    <s v="100% COTTON 14GG 3ENDS"/>
    <s v="SWEATER"/>
    <s v="6110.20.2010"/>
    <n v="175"/>
    <n v="34.222500000000004"/>
    <n v="25.75"/>
    <n v="0.16500000000000001"/>
    <n v="4.2487500000000002"/>
    <n v="7.4999999999999997E-2"/>
    <n v="1.9312499999999999"/>
    <n v="7.0000000000000007E-2"/>
    <n v="1.8025000000000002"/>
    <n v="0.49"/>
    <n v="200"/>
    <m/>
    <n v="0"/>
    <m/>
    <m/>
    <m/>
    <m/>
    <n v="200"/>
    <n v="35000"/>
    <n v="0"/>
    <n v="35000"/>
    <n v="6844.5000000000009"/>
    <n v="0"/>
    <n v="6844.5000000000009"/>
  </r>
  <r>
    <x v="14"/>
    <s v="PORTA ASIATACA"/>
    <s v="CHINA"/>
    <s v="STS25M51171"/>
    <s v="FF286"/>
    <s v="100% COTTON 14GG 3ENDS"/>
    <s v="SWEATER"/>
    <s v="6103.42.1050"/>
    <n v="150"/>
    <n v="32.160500000000006"/>
    <n v="24.25"/>
    <n v="0.161"/>
    <n v="3.9042500000000002"/>
    <n v="7.4999999999999997E-2"/>
    <n v="1.8187499999999999"/>
    <n v="7.0000000000000007E-2"/>
    <n v="1.6975000000000002"/>
    <n v="0.49"/>
    <n v="200"/>
    <m/>
    <n v="0"/>
    <m/>
    <m/>
    <m/>
    <m/>
    <n v="200"/>
    <n v="30000"/>
    <n v="0"/>
    <n v="30000"/>
    <n v="6432.1000000000013"/>
    <n v="0"/>
    <n v="6432.1000000000013"/>
  </r>
  <r>
    <x v="14"/>
    <s v="PORTA ASIATACA"/>
    <s v="CHINA"/>
    <s v="STS25M51170"/>
    <s v="FF286"/>
    <s v="100% COTTON 14GG 3ENDS"/>
    <s v="SWEATER"/>
    <s v="6110.20.2010"/>
    <n v="175"/>
    <n v="34.222500000000004"/>
    <n v="25.75"/>
    <n v="0.16500000000000001"/>
    <n v="4.2487500000000002"/>
    <n v="7.4999999999999997E-2"/>
    <n v="1.9312499999999999"/>
    <n v="7.0000000000000007E-2"/>
    <n v="1.8025000000000002"/>
    <n v="0.49"/>
    <n v="500"/>
    <n v="202"/>
    <n v="0"/>
    <m/>
    <n v="16"/>
    <m/>
    <m/>
    <n v="718"/>
    <n v="87500"/>
    <n v="38150"/>
    <n v="125650"/>
    <n v="17111.250000000004"/>
    <n v="7324.9450000000006"/>
    <n v="24436.195000000003"/>
  </r>
  <r>
    <x v="14"/>
    <s v="PORTA ASIATACA"/>
    <s v="CHINA"/>
    <s v="STS25M51171"/>
    <s v="FF286"/>
    <s v="100% COTTON 14GG 3ENDS"/>
    <s v="SWEATER"/>
    <s v="6103.42.1050"/>
    <n v="150"/>
    <n v="32.160500000000006"/>
    <n v="24.25"/>
    <n v="0.161"/>
    <n v="3.9042500000000002"/>
    <n v="7.4999999999999997E-2"/>
    <n v="1.8187499999999999"/>
    <n v="7.0000000000000007E-2"/>
    <n v="1.6975000000000002"/>
    <n v="0.49"/>
    <n v="500"/>
    <n v="202"/>
    <n v="0"/>
    <m/>
    <n v="16"/>
    <m/>
    <m/>
    <n v="718"/>
    <n v="75000"/>
    <n v="32700"/>
    <n v="107700"/>
    <n v="16080.250000000004"/>
    <n v="6884.4210000000012"/>
    <n v="22964.671000000006"/>
  </r>
  <r>
    <x v="14"/>
    <s v="PORTA ASIATACA"/>
    <s v="CHINA"/>
    <s v="STS25M51170"/>
    <s v="FF286"/>
    <s v="100% COTTON 14GG 3ENDS"/>
    <s v="SWEATER"/>
    <s v="6110.20.2010"/>
    <n v="175"/>
    <n v="34.222500000000004"/>
    <n v="25.75"/>
    <n v="0.16500000000000001"/>
    <n v="4.2487500000000002"/>
    <n v="7.4999999999999997E-2"/>
    <n v="1.9312499999999999"/>
    <n v="7.0000000000000007E-2"/>
    <n v="1.8025000000000002"/>
    <n v="0.49"/>
    <n v="800"/>
    <m/>
    <n v="0"/>
    <m/>
    <m/>
    <m/>
    <m/>
    <n v="800"/>
    <n v="140000"/>
    <n v="0"/>
    <n v="140000"/>
    <n v="27378.000000000004"/>
    <n v="0"/>
    <n v="27378.000000000004"/>
  </r>
  <r>
    <x v="14"/>
    <s v="PORTA ASIATACA"/>
    <s v="CHINA"/>
    <s v="STS25M51171"/>
    <s v="FF286"/>
    <s v="100% COTTON 14GG 3ENDS"/>
    <s v="SWEATER"/>
    <s v="6103.42.1050"/>
    <n v="150"/>
    <n v="32.160500000000006"/>
    <n v="24.25"/>
    <n v="0.161"/>
    <n v="3.9042500000000002"/>
    <n v="7.4999999999999997E-2"/>
    <n v="1.8187499999999999"/>
    <n v="7.0000000000000007E-2"/>
    <n v="1.6975000000000002"/>
    <n v="0.49"/>
    <n v="800"/>
    <m/>
    <n v="0"/>
    <m/>
    <m/>
    <m/>
    <m/>
    <n v="800"/>
    <n v="120000"/>
    <n v="0"/>
    <n v="120000"/>
    <n v="25728.400000000005"/>
    <n v="0"/>
    <n v="25728.400000000005"/>
  </r>
  <r>
    <x v="14"/>
    <s v="PORTA ASIATACA"/>
    <s v="CHINA"/>
    <s v="STF24M50963"/>
    <s v="FF259"/>
    <s v="86% POLYESTER/11% RAYON/3% SPANDEX 295 GM/M2"/>
    <s v="SWEATER"/>
    <s v="6105.20.2010"/>
    <n v="98"/>
    <n v="18.802499999999998"/>
    <n v="12.5"/>
    <n v="0.32"/>
    <n v="4"/>
    <n v="7.4999999999999997E-2"/>
    <n v="0.9375"/>
    <n v="7.0000000000000007E-2"/>
    <n v="0.87500000000000011"/>
    <n v="0.49"/>
    <n v="800"/>
    <m/>
    <n v="0"/>
    <m/>
    <m/>
    <m/>
    <m/>
    <n v="800"/>
    <n v="78400"/>
    <n v="0"/>
    <n v="78400"/>
    <n v="15041.999999999998"/>
    <n v="0"/>
    <n v="15041.999999999998"/>
  </r>
  <r>
    <x v="14"/>
    <s v="PORTA ASIATACA"/>
    <s v="CHINA"/>
    <s v="STF24M51045"/>
    <s v="FF259"/>
    <s v="86% POLYESTER/11% RAYON/3% SPANDEX 295 GM/M2"/>
    <s v="SWEATER"/>
    <s v="6103.43.1550"/>
    <n v="88"/>
    <n v="17.970749999999999"/>
    <n v="12.25"/>
    <n v="0.28199999999999997"/>
    <n v="3.4544999999999995"/>
    <n v="7.4999999999999997E-2"/>
    <n v="0.91874999999999996"/>
    <n v="7.0000000000000007E-2"/>
    <n v="0.85750000000000004"/>
    <n v="0.49"/>
    <n v="800"/>
    <m/>
    <n v="0"/>
    <m/>
    <m/>
    <m/>
    <m/>
    <n v="800"/>
    <n v="70400"/>
    <n v="0"/>
    <n v="70400"/>
    <n v="14376.599999999999"/>
    <n v="0"/>
    <n v="14376.599999999999"/>
  </r>
  <r>
    <x v="14"/>
    <s v="PORTA ASIATACA"/>
    <s v="CHINA"/>
    <s v="STS25M50963"/>
    <s v="FF259"/>
    <s v="86% POLYESTER/11% RAYON/3% SPANDEX 295 GM/M2"/>
    <s v="SWEATER"/>
    <s v="6105.20.2010"/>
    <n v="98"/>
    <n v="18.802499999999998"/>
    <n v="12.5"/>
    <n v="0.32"/>
    <n v="4"/>
    <n v="7.4999999999999997E-2"/>
    <n v="0.9375"/>
    <n v="7.0000000000000007E-2"/>
    <n v="0.87500000000000011"/>
    <n v="0.49"/>
    <n v="800"/>
    <m/>
    <n v="0"/>
    <m/>
    <m/>
    <m/>
    <m/>
    <n v="800"/>
    <n v="78400"/>
    <n v="0"/>
    <n v="78400"/>
    <n v="15041.999999999998"/>
    <n v="0"/>
    <n v="15041.999999999998"/>
  </r>
  <r>
    <x v="14"/>
    <s v="PORTA ASIATACA"/>
    <s v="CHINA"/>
    <s v="STS25M51045"/>
    <s v="FF259"/>
    <s v="86% POLYESTER/11% RAYON/3% SPANDEX 295 GM/M2"/>
    <s v="SWEATER"/>
    <s v="6103.43.1550"/>
    <n v="88"/>
    <n v="17.970749999999999"/>
    <n v="12.25"/>
    <n v="0.28199999999999997"/>
    <n v="3.4544999999999995"/>
    <n v="7.4999999999999997E-2"/>
    <n v="0.91874999999999996"/>
    <n v="7.0000000000000007E-2"/>
    <n v="0.85750000000000004"/>
    <n v="0.49"/>
    <n v="800"/>
    <m/>
    <n v="0"/>
    <m/>
    <m/>
    <m/>
    <m/>
    <n v="800"/>
    <n v="70400"/>
    <n v="0"/>
    <n v="70400"/>
    <n v="14376.599999999999"/>
    <n v="0"/>
    <n v="14376.599999999999"/>
  </r>
  <r>
    <x v="14"/>
    <s v="PORTA ASIATACA"/>
    <s v="CHINA"/>
    <s v="STS25M50963"/>
    <s v="FF259"/>
    <s v="86% POLYESTER/11% RAYON/3% SPANDEX 295 GM/M2"/>
    <s v="SWEATER"/>
    <s v="6105.20.2010"/>
    <n v="98"/>
    <n v="18.802499999999998"/>
    <n v="12.5"/>
    <n v="0.32"/>
    <n v="4"/>
    <n v="7.4999999999999997E-2"/>
    <n v="0.9375"/>
    <n v="7.0000000000000007E-2"/>
    <n v="0.87500000000000011"/>
    <n v="0.49"/>
    <n v="800"/>
    <m/>
    <n v="0"/>
    <m/>
    <m/>
    <m/>
    <m/>
    <n v="800"/>
    <n v="78400"/>
    <n v="0"/>
    <n v="78400"/>
    <n v="15041.999999999998"/>
    <n v="0"/>
    <n v="15041.999999999998"/>
  </r>
  <r>
    <x v="14"/>
    <s v="PORTA ASIATACA"/>
    <s v="CHINA"/>
    <s v="STS25M51045"/>
    <s v="FF259"/>
    <s v="86% POLYESTER/11% RAYON/3% SPANDEX 295 GM/M2"/>
    <s v="SWEATER"/>
    <s v="6103.43.1550"/>
    <n v="88"/>
    <n v="17.970749999999999"/>
    <n v="12.25"/>
    <n v="0.28199999999999997"/>
    <n v="3.4544999999999995"/>
    <n v="7.4999999999999997E-2"/>
    <n v="0.91874999999999996"/>
    <n v="7.0000000000000007E-2"/>
    <n v="0.85750000000000004"/>
    <n v="0.49"/>
    <n v="800"/>
    <m/>
    <n v="0"/>
    <m/>
    <m/>
    <m/>
    <m/>
    <n v="800"/>
    <n v="70400"/>
    <n v="0"/>
    <n v="70400"/>
    <n v="14376.599999999999"/>
    <n v="0"/>
    <n v="14376.599999999999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500"/>
    <n v="468"/>
    <n v="0"/>
    <m/>
    <m/>
    <n v="16"/>
    <n v="4"/>
    <n v="988"/>
    <n v="82500"/>
    <n v="80520"/>
    <n v="163020"/>
    <n v="17690.075000000001"/>
    <n v="17046.910199999998"/>
    <n v="34736.985199999996"/>
  </r>
  <r>
    <x v="3"/>
    <s v="PORTA ASIATACA"/>
    <s v="CHINA"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400"/>
    <n v="468"/>
    <n v="0"/>
    <m/>
    <m/>
    <n v="4"/>
    <m/>
    <n v="872"/>
    <n v="56000"/>
    <n v="66080"/>
    <n v="122080"/>
    <n v="10613.099999999999"/>
    <n v="12490.326999999997"/>
    <n v="23103.426999999996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300"/>
    <m/>
    <n v="0"/>
    <m/>
    <m/>
    <m/>
    <m/>
    <n v="300"/>
    <n v="49500"/>
    <n v="0"/>
    <n v="49500"/>
    <n v="10614.045"/>
    <n v="0"/>
    <n v="10614.045"/>
  </r>
  <r>
    <x v="3"/>
    <s v="PORTA ASIATACA"/>
    <s v="CHINA"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300"/>
    <m/>
    <n v="0"/>
    <m/>
    <m/>
    <m/>
    <m/>
    <n v="300"/>
    <n v="42000"/>
    <n v="0"/>
    <n v="42000"/>
    <n v="7959.8249999999989"/>
    <n v="0"/>
    <n v="7959.8249999999989"/>
  </r>
  <r>
    <x v="0"/>
    <s v="PORTA ASIATACA"/>
    <s v="CHINA"/>
    <s v="STS25M51163"/>
    <s v="FF409"/>
    <s v="64% POLYESTER/35% RAYON/1% SPANDEX 33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400"/>
    <n v="373"/>
    <n v="0"/>
    <m/>
    <m/>
    <n v="22"/>
    <n v="4"/>
    <n v="799"/>
    <n v="50000"/>
    <n v="49875"/>
    <n v="99875"/>
    <n v="9572"/>
    <n v="9341.89"/>
    <n v="18913.89"/>
  </r>
  <r>
    <x v="6"/>
    <s v="PORTA ASIATACA"/>
    <s v="CHINA"/>
    <s v="STS25M51164"/>
    <s v="FF409"/>
    <s v="64% POLYESTER/35% RAYON/1% SPANDEX 330 GM/M2"/>
    <s v="KNIT"/>
    <s v="6103.43.1550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400"/>
    <n v="367"/>
    <n v="0"/>
    <m/>
    <m/>
    <n v="22"/>
    <n v="4"/>
    <n v="793"/>
    <n v="44000"/>
    <n v="43230"/>
    <n v="87230"/>
    <n v="8472.5999999999985"/>
    <n v="8150.6104999999989"/>
    <n v="16623.210499999997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600"/>
    <n v="105"/>
    <n v="0"/>
    <m/>
    <m/>
    <m/>
    <n v="4"/>
    <n v="709"/>
    <n v="99000"/>
    <n v="17985"/>
    <n v="116985"/>
    <n v="21228.09"/>
    <n v="3812.7157500000003"/>
    <n v="25040.80575"/>
  </r>
  <r>
    <x v="3"/>
    <s v="PORTA ASIATACA"/>
    <s v="CHINA"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500"/>
    <n v="105"/>
    <n v="0"/>
    <m/>
    <m/>
    <m/>
    <m/>
    <n v="605"/>
    <n v="70000"/>
    <n v="14700"/>
    <n v="84700"/>
    <n v="13266.374999999998"/>
    <n v="2785.9387499999998"/>
    <n v="16052.313749999998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300"/>
    <m/>
    <n v="0"/>
    <m/>
    <m/>
    <m/>
    <m/>
    <n v="300"/>
    <n v="49500"/>
    <n v="0"/>
    <n v="49500"/>
    <n v="10614.045"/>
    <n v="0"/>
    <n v="10614.045"/>
  </r>
  <r>
    <x v="3"/>
    <s v="PORTA ASIATACA"/>
    <s v="CHINA"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300"/>
    <m/>
    <n v="0"/>
    <m/>
    <m/>
    <m/>
    <m/>
    <n v="300"/>
    <n v="42000"/>
    <n v="0"/>
    <n v="42000"/>
    <n v="7959.8249999999989"/>
    <n v="0"/>
    <n v="7959.8249999999989"/>
  </r>
  <r>
    <x v="0"/>
    <s v="PORTA ASIATACA"/>
    <s v="CHINA"/>
    <s v="STS25M51163"/>
    <s v="FF409"/>
    <s v="64% POLYESTER/35% RAYON/1% SPANDEX 33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500"/>
    <n v="236"/>
    <n v="0"/>
    <m/>
    <m/>
    <m/>
    <n v="4"/>
    <n v="740"/>
    <n v="62500"/>
    <n v="30000"/>
    <n v="92500"/>
    <n v="11965"/>
    <n v="5711.48"/>
    <n v="17676.48"/>
  </r>
  <r>
    <x v="6"/>
    <s v="PORTA ASIATACA"/>
    <s v="CHINA"/>
    <s v="STS25M51164"/>
    <s v="FF409"/>
    <s v="64% POLYESTER/35% RAYON/1% SPANDEX 330 GM/M2"/>
    <s v="KNIT"/>
    <s v="6103.43.1550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500"/>
    <n v="230"/>
    <n v="0"/>
    <m/>
    <m/>
    <m/>
    <n v="4"/>
    <n v="734"/>
    <n v="55000"/>
    <n v="25740"/>
    <n v="80740"/>
    <n v="10590.749999999998"/>
    <n v="4929.744999999999"/>
    <n v="15520.494999999997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1000"/>
    <m/>
    <n v="0"/>
    <m/>
    <m/>
    <m/>
    <m/>
    <n v="1000"/>
    <n v="165000"/>
    <n v="0"/>
    <n v="165000"/>
    <n v="35380.15"/>
    <n v="0"/>
    <n v="35380.15"/>
  </r>
  <r>
    <x v="3"/>
    <s v="PORTA ASIATACA"/>
    <m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1000"/>
    <m/>
    <n v="0"/>
    <m/>
    <m/>
    <m/>
    <m/>
    <n v="1000"/>
    <n v="140000"/>
    <n v="0"/>
    <n v="140000"/>
    <n v="26532.749999999996"/>
    <n v="0"/>
    <n v="26532.749999999996"/>
  </r>
  <r>
    <x v="0"/>
    <s v="PORTA ASIATACA"/>
    <s v="CHINA"/>
    <s v="STS25M51163"/>
    <s v="FF409"/>
    <s v="64% POLYESTER/35% RAYON/1% SPANDEX 33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700"/>
    <m/>
    <n v="0"/>
    <m/>
    <m/>
    <m/>
    <m/>
    <n v="700"/>
    <n v="87500"/>
    <n v="0"/>
    <n v="87500"/>
    <n v="16751"/>
    <n v="0"/>
    <n v="16751"/>
  </r>
  <r>
    <x v="6"/>
    <s v="PORTA ASIATACA"/>
    <s v="CHINA"/>
    <s v="STS25M51164"/>
    <s v="FF409"/>
    <s v="64% POLYESTER/35% RAYON/1% SPANDEX 330 GM/M2"/>
    <s v="KNIT"/>
    <s v="6103.43.1550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700"/>
    <m/>
    <n v="0"/>
    <m/>
    <m/>
    <m/>
    <m/>
    <n v="700"/>
    <n v="77000"/>
    <n v="0"/>
    <n v="77000"/>
    <n v="14827.049999999997"/>
    <n v="0"/>
    <n v="14827.049999999997"/>
  </r>
  <r>
    <x v="2"/>
    <s v="PORTA ASIATACA"/>
    <s v="CHINA"/>
    <s v="STS25M51161"/>
    <s v="FF409"/>
    <s v="64% POLYESTER/35% RAYON/1% SPANDEX 330 GM/M2"/>
    <s v="KNIT"/>
    <s v="6112.12.0010"/>
    <n v="165"/>
    <n v="35.38015"/>
    <n v="24.45"/>
    <n v="0.28199999999999997"/>
    <n v="6.8948999999999989"/>
    <n v="7.4999999999999997E-2"/>
    <n v="1.8337499999999998"/>
    <n v="7.0000000000000007E-2"/>
    <n v="1.7115"/>
    <n v="0.49"/>
    <n v="1100"/>
    <m/>
    <n v="0"/>
    <m/>
    <m/>
    <m/>
    <m/>
    <n v="1100"/>
    <n v="181500"/>
    <n v="0"/>
    <n v="181500"/>
    <n v="38918.165000000001"/>
    <n v="0"/>
    <n v="38918.165000000001"/>
  </r>
  <r>
    <x v="3"/>
    <s v="PORTA ASIATACA"/>
    <s v="CHINA"/>
    <s v="STS25M51162"/>
    <s v="FF409"/>
    <s v="64% POLYESTER/35% RAYON/1% SPANDEX 330 GM/M2"/>
    <s v="KNIT"/>
    <s v="6112.12.0050"/>
    <n v="140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1100"/>
    <m/>
    <n v="0"/>
    <m/>
    <m/>
    <m/>
    <m/>
    <n v="1100"/>
    <n v="154000"/>
    <n v="0"/>
    <n v="154000"/>
    <n v="29186.024999999998"/>
    <n v="0"/>
    <n v="29186.024999999998"/>
  </r>
  <r>
    <x v="0"/>
    <s v="PORTA ASIATACA"/>
    <s v="CHINA"/>
    <s v="STS25M51163"/>
    <s v="FF409"/>
    <s v="64% POLYESTER/35% RAYON/1% SPANDEX 330 GM/M2"/>
    <s v="KNIT"/>
    <s v="6105.20.2010"/>
    <n v="125"/>
    <n v="23.93"/>
    <n v="16"/>
    <n v="0.32"/>
    <n v="5.12"/>
    <n v="7.4999999999999997E-2"/>
    <n v="1.2"/>
    <n v="7.0000000000000007E-2"/>
    <n v="1.1200000000000001"/>
    <n v="0.49"/>
    <n v="700"/>
    <m/>
    <n v="0"/>
    <m/>
    <m/>
    <m/>
    <m/>
    <n v="700"/>
    <n v="87500"/>
    <n v="0"/>
    <n v="87500"/>
    <n v="16751"/>
    <n v="0"/>
    <n v="16751"/>
  </r>
  <r>
    <x v="6"/>
    <s v="PORTA ASIATACA"/>
    <s v="CHINA"/>
    <s v="STS25M51164"/>
    <s v="FF409"/>
    <s v="64% POLYESTER/35% RAYON/1% SPANDEX 330 GM/M2"/>
    <s v="KNIT"/>
    <s v="6103.43.1550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700"/>
    <m/>
    <n v="0"/>
    <m/>
    <m/>
    <m/>
    <m/>
    <n v="700"/>
    <n v="77000"/>
    <n v="0"/>
    <n v="77000"/>
    <n v="14827.049999999997"/>
    <n v="0"/>
    <n v="14827.049999999997"/>
  </r>
  <r>
    <x v="0"/>
    <s v="PORTA ASIATACA"/>
    <s v="CHINA"/>
    <s v="STFS25M50914"/>
    <s v="FF228"/>
    <s v="63% POLYESTER/33% RAYON/4% SPANDEX INTERLOCK JERSEY 400 GM/M2"/>
    <m/>
    <s v="6105.20.2010"/>
    <n v="125"/>
    <n v="23.93"/>
    <n v="16"/>
    <n v="0.32"/>
    <n v="5.12"/>
    <n v="7.4999999999999997E-2"/>
    <n v="1.2"/>
    <n v="7.0000000000000007E-2"/>
    <n v="1.1200000000000001"/>
    <n v="0.49"/>
    <n v="900"/>
    <m/>
    <n v="0"/>
    <m/>
    <m/>
    <m/>
    <m/>
    <n v="900"/>
    <n v="112500"/>
    <n v="0"/>
    <n v="112500"/>
    <n v="21537"/>
    <n v="0"/>
    <n v="21537"/>
  </r>
  <r>
    <x v="15"/>
    <s v="PORTA ASIATACA"/>
    <s v="CHINA"/>
    <s v="STS25M50915"/>
    <s v="FF228"/>
    <s v="63% POLYESTER/33% RAYON/4% SPANDEX INTERLOCK JERSEY 400 GM/M2"/>
    <m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900"/>
    <m/>
    <n v="0"/>
    <m/>
    <m/>
    <m/>
    <m/>
    <n v="900"/>
    <n v="90000"/>
    <n v="0"/>
    <n v="90000"/>
    <n v="17779.049999999996"/>
    <n v="0"/>
    <n v="17779.049999999996"/>
  </r>
  <r>
    <x v="0"/>
    <s v="PORTA ASIATACA"/>
    <s v="CHINA"/>
    <s v="STFS25M50914"/>
    <s v="FF228"/>
    <s v="63% POLYESTER/33% RAYON/4% SPANDEX INTERLOCK JERSEY 400 GM/M2"/>
    <m/>
    <s v="6105.20.2010"/>
    <n v="125"/>
    <n v="23.93"/>
    <n v="16"/>
    <n v="0.32"/>
    <n v="5.12"/>
    <n v="7.4999999999999997E-2"/>
    <n v="1.2"/>
    <n v="7.0000000000000007E-2"/>
    <n v="1.1200000000000001"/>
    <n v="0.49"/>
    <n v="900"/>
    <m/>
    <n v="0"/>
    <m/>
    <m/>
    <m/>
    <m/>
    <n v="900"/>
    <n v="112500"/>
    <n v="0"/>
    <n v="112500"/>
    <n v="21537"/>
    <n v="0"/>
    <n v="21537"/>
  </r>
  <r>
    <x v="15"/>
    <s v="PORTA ASIATACA"/>
    <s v="CHINA"/>
    <s v="STS25M50915"/>
    <s v="FF228"/>
    <s v="63% POLYESTER/33% RAYON/4% SPANDEX INTERLOCK JERSEY 400 GM/M2"/>
    <m/>
    <s v="6103.43.1550"/>
    <n v="100"/>
    <n v="19.754499999999997"/>
    <n v="13.5"/>
    <n v="0.28199999999999997"/>
    <n v="3.8069999999999995"/>
    <n v="7.4999999999999997E-2"/>
    <n v="1.0125"/>
    <n v="7.0000000000000007E-2"/>
    <n v="0.94500000000000006"/>
    <n v="0.49"/>
    <n v="900"/>
    <m/>
    <n v="0"/>
    <m/>
    <m/>
    <m/>
    <m/>
    <n v="900"/>
    <n v="90000"/>
    <n v="0"/>
    <n v="90000"/>
    <n v="17779.049999999996"/>
    <n v="0"/>
    <n v="17779.049999999996"/>
  </r>
  <r>
    <x v="1"/>
    <s v="PORTA ASIATACA"/>
    <s v="CHINA"/>
    <s v="STS25M51206"/>
    <s v="FF158-P"/>
    <s v="100% POLYESTER 120 GM/M2"/>
    <s v="WOVEN"/>
    <s v="6203.43.9030"/>
    <n v="110"/>
    <n v="25.177099999999996"/>
    <n v="17.3"/>
    <n v="0.28199999999999997"/>
    <n v="4.8785999999999996"/>
    <n v="7.4999999999999997E-2"/>
    <n v="1.2975000000000001"/>
    <n v="7.0000000000000007E-2"/>
    <n v="1.2110000000000001"/>
    <n v="0.49"/>
    <n v="250"/>
    <n v="124"/>
    <n v="0"/>
    <m/>
    <m/>
    <m/>
    <n v="4"/>
    <n v="378"/>
    <n v="27500"/>
    <n v="14080"/>
    <n v="41580"/>
    <n v="6294.2749999999987"/>
    <n v="3191.1603999999993"/>
    <n v="9485.4353999999985"/>
  </r>
  <r>
    <x v="1"/>
    <s v="PORTA ASIATACA"/>
    <s v="CHINA"/>
    <s v="STS25M51207"/>
    <s v="FF158-P"/>
    <s v="100% POLYESTER 120 GM/M2"/>
    <s v="WOVEN"/>
    <s v="6203.43.9030"/>
    <n v="110"/>
    <n v="20.111249999999995"/>
    <n v="13.75"/>
    <n v="0.28199999999999997"/>
    <n v="3.8774999999999995"/>
    <n v="7.4999999999999997E-2"/>
    <n v="1.03125"/>
    <n v="7.0000000000000007E-2"/>
    <n v="0.96250000000000013"/>
    <n v="0.49"/>
    <n v="250"/>
    <n v="142"/>
    <n v="0"/>
    <n v="70"/>
    <m/>
    <m/>
    <m/>
    <n v="462"/>
    <n v="27500"/>
    <n v="23320"/>
    <n v="50820"/>
    <n v="5027.8124999999991"/>
    <n v="3818.2974999999992"/>
    <n v="8846.1099999999988"/>
  </r>
  <r>
    <x v="1"/>
    <s v="PORTA ASIATACA"/>
    <s v="CHINA"/>
    <s v="STS25M51207"/>
    <s v="FF158-P"/>
    <s v="100% POLYESTER 120 GM/M2"/>
    <s v="WOVEN"/>
    <s v="6203.43.9030"/>
    <n v="110"/>
    <n v="20.111249999999995"/>
    <n v="13.75"/>
    <n v="0.28199999999999997"/>
    <n v="3.8774999999999995"/>
    <n v="7.4999999999999997E-2"/>
    <n v="1.03125"/>
    <n v="7.0000000000000007E-2"/>
    <n v="0.96250000000000013"/>
    <n v="0.49"/>
    <n v="250"/>
    <n v="37"/>
    <n v="0"/>
    <n v="50"/>
    <m/>
    <m/>
    <m/>
    <n v="337"/>
    <n v="27500"/>
    <n v="9570"/>
    <n v="37070"/>
    <n v="5027.8124999999991"/>
    <n v="1431.6162499999998"/>
    <n v="6459.4287499999991"/>
  </r>
  <r>
    <x v="16"/>
    <s v="PORTA ASIATACA"/>
    <s v="CHINA"/>
    <s v="STS25M51100"/>
    <s v="FF398"/>
    <s v="54% TENCEL/40% POLYESTER/6% SPANDEX 178 GM/M2"/>
    <s v="WOVEN"/>
    <s v="6205.30.2073"/>
    <n v="135"/>
    <n v="31.593149999999998"/>
    <n v="21.95"/>
    <n v="0.27200000000000002"/>
    <n v="5.9704000000000006"/>
    <n v="7.4999999999999997E-2"/>
    <n v="1.64625"/>
    <n v="7.0000000000000007E-2"/>
    <n v="1.5365000000000002"/>
    <n v="0.49"/>
    <n v="500"/>
    <n v="618"/>
    <n v="0"/>
    <m/>
    <m/>
    <m/>
    <m/>
    <n v="1118"/>
    <n v="67500"/>
    <n v="83430"/>
    <n v="150930"/>
    <n v="15796.574999999999"/>
    <n v="19524.566699999999"/>
    <n v="35321.1417"/>
  </r>
  <r>
    <x v="1"/>
    <s v="PORTA ASIATACA"/>
    <s v="CHINA"/>
    <s v="STS25M51101"/>
    <s v="FF398"/>
    <s v="54% TENCEL/40% POLYESTER/6% SPANDEX 178 GM/M2"/>
    <s v="WOVEN"/>
    <s v="6203.43.9030"/>
    <n v="135"/>
    <n v="27.888400000000001"/>
    <n v="19.2"/>
    <n v="0.28199999999999997"/>
    <n v="5.4143999999999997"/>
    <n v="7.4999999999999997E-2"/>
    <n v="1.44"/>
    <n v="7.0000000000000007E-2"/>
    <n v="1.3440000000000001"/>
    <n v="0.49"/>
    <n v="500"/>
    <n v="612"/>
    <n v="0"/>
    <m/>
    <m/>
    <m/>
    <m/>
    <n v="1112"/>
    <n v="67500"/>
    <n v="82620"/>
    <n v="150120"/>
    <n v="13944.2"/>
    <n v="17067.700799999999"/>
    <n v="31011.900799999999"/>
  </r>
  <r>
    <x v="16"/>
    <s v="PORTA ASIATACA"/>
    <s v="CHINA"/>
    <s v="STS25M51100"/>
    <s v="FF398"/>
    <s v="54% TENCEL/40% POLYESTER/6% SPANDEX 178 GM/M2"/>
    <s v="WOVEN"/>
    <s v="6205.30.2073"/>
    <n v="135"/>
    <n v="31.593149999999998"/>
    <n v="21.95"/>
    <n v="0.27200000000000002"/>
    <n v="5.9704000000000006"/>
    <n v="7.4999999999999997E-2"/>
    <n v="1.64625"/>
    <n v="7.0000000000000007E-2"/>
    <n v="1.5365000000000002"/>
    <n v="0.49"/>
    <n v="400"/>
    <n v="166"/>
    <n v="0"/>
    <m/>
    <n v="16"/>
    <m/>
    <m/>
    <n v="582"/>
    <n v="54000"/>
    <n v="24570"/>
    <n v="78570"/>
    <n v="12637.259999999998"/>
    <n v="5595.6628999999994"/>
    <n v="18232.922899999998"/>
  </r>
  <r>
    <x v="1"/>
    <s v="PORTA ASIATACA"/>
    <s v="CHINA"/>
    <s v="STS25M51101"/>
    <s v="FF398"/>
    <s v="54% TENCEL/40% POLYESTER/6% SPANDEX 178 GM/M2"/>
    <s v="WOVEN"/>
    <s v="6203.43.9030"/>
    <n v="135"/>
    <n v="27.888400000000001"/>
    <n v="19.2"/>
    <n v="0.28199999999999997"/>
    <n v="5.4143999999999997"/>
    <n v="7.4999999999999997E-2"/>
    <n v="1.44"/>
    <n v="7.0000000000000007E-2"/>
    <n v="1.3440000000000001"/>
    <n v="0.49"/>
    <n v="400"/>
    <n v="160"/>
    <n v="0"/>
    <m/>
    <n v="16"/>
    <m/>
    <m/>
    <n v="576"/>
    <n v="54000"/>
    <n v="23760"/>
    <n v="77760"/>
    <n v="11155.36"/>
    <n v="4769.3440000000001"/>
    <n v="15924.704000000002"/>
  </r>
  <r>
    <x v="4"/>
    <s v="PORTA ASIATACA"/>
    <s v="CHINA"/>
    <s v="STS25M51186"/>
    <s v="FF399"/>
    <s v="98% COTTON/2% SPANDEX 120 GM/M2 200X78/60X60+40D"/>
    <s v="WOVEN"/>
    <s v="6201.30.8051"/>
    <n v="175"/>
    <n v="35.614899999999999"/>
    <n v="28.65"/>
    <n v="8.1000000000000003E-2"/>
    <n v="2.3206500000000001"/>
    <n v="7.4999999999999997E-2"/>
    <n v="2.1487499999999997"/>
    <n v="7.0000000000000007E-2"/>
    <n v="2.0055000000000001"/>
    <n v="0.49"/>
    <n v="400"/>
    <n v="124"/>
    <n v="0"/>
    <m/>
    <n v="16"/>
    <m/>
    <m/>
    <n v="540"/>
    <n v="70000"/>
    <n v="24500"/>
    <n v="94500"/>
    <n v="14245.96"/>
    <n v="4874.6475999999993"/>
    <n v="19120.607599999999"/>
  </r>
  <r>
    <x v="3"/>
    <s v="PORTA ASIATACA"/>
    <s v="CHINA"/>
    <s v="STS25M51187"/>
    <s v="FF399"/>
    <s v="98% COTTON/2% SPANDEX 120 GM/M2 200X78/60X60+40D"/>
    <s v="WOVEN"/>
    <s v="6203.42.4518"/>
    <n v="150"/>
    <n v="30.643000000000001"/>
    <n v="23"/>
    <n v="0.16600000000000001"/>
    <n v="3.8180000000000001"/>
    <n v="7.4999999999999997E-2"/>
    <n v="1.7249999999999999"/>
    <n v="7.0000000000000007E-2"/>
    <n v="1.61"/>
    <n v="0.49"/>
    <n v="400"/>
    <n v="118"/>
    <n v="0"/>
    <m/>
    <n v="16"/>
    <m/>
    <m/>
    <n v="534"/>
    <n v="60000"/>
    <n v="20100"/>
    <n v="80100"/>
    <n v="12257.2"/>
    <n v="3983.8740000000003"/>
    <n v="16241.074000000001"/>
  </r>
  <r>
    <x v="16"/>
    <s v="PORTA ASIATACA"/>
    <s v="CHINA"/>
    <s v="STS25M51113"/>
    <s v="FF399"/>
    <s v="98% COTTON/2% SPANDEX 120 GM/M2 200X78/60X60+40D"/>
    <s v="WOVEN"/>
    <s v="6205.20.2066"/>
    <n v="125"/>
    <n v="26.524799999999995"/>
    <n v="19.399999999999999"/>
    <n v="0.19700000000000001"/>
    <n v="3.8218000000000001"/>
    <n v="7.4999999999999997E-2"/>
    <n v="1.4549999999999998"/>
    <n v="7.0000000000000007E-2"/>
    <n v="1.3580000000000001"/>
    <n v="0.49"/>
    <n v="500"/>
    <n v="201"/>
    <n v="0"/>
    <m/>
    <m/>
    <m/>
    <m/>
    <n v="701"/>
    <n v="62500"/>
    <n v="25125"/>
    <n v="87625"/>
    <n v="13262.399999999998"/>
    <n v="5331.4847999999993"/>
    <n v="18593.884799999996"/>
  </r>
  <r>
    <x v="6"/>
    <s v="PORTA ASIATACA"/>
    <s v="CHINA"/>
    <s v="STS25M51114"/>
    <s v="FF399"/>
    <s v="98% COTTON/2% SPANDEX 120 GM/M2 200X78/60X60+40D"/>
    <s v="WOVEN"/>
    <s v="6203.42.4551"/>
    <n v="110"/>
    <n v="22.449249999999999"/>
    <n v="16.75"/>
    <n v="0.16600000000000001"/>
    <n v="2.7805"/>
    <n v="7.4999999999999997E-2"/>
    <n v="1.2562499999999999"/>
    <n v="7.0000000000000007E-2"/>
    <n v="1.1725000000000001"/>
    <n v="0.49"/>
    <n v="500"/>
    <n v="201"/>
    <n v="0"/>
    <m/>
    <m/>
    <m/>
    <m/>
    <n v="701"/>
    <n v="55000"/>
    <n v="22110"/>
    <n v="77110"/>
    <n v="11224.625"/>
    <n v="4512.29925"/>
    <n v="15736.92425"/>
  </r>
  <r>
    <x v="16"/>
    <s v="PORTA ASIATACA"/>
    <s v="CHINA"/>
    <s v="STS25M51183"/>
    <s v="FF300"/>
    <s v="78% COTTON/22% POLYESTER TERRY 300 GM/M2"/>
    <s v="KNIT"/>
    <s v="6105.10.0010"/>
    <n v="125"/>
    <n v="23.975000000000001"/>
    <n v="17.5"/>
    <n v="0.19700000000000001"/>
    <n v="3.4475000000000002"/>
    <n v="7.4999999999999997E-2"/>
    <n v="1.3125"/>
    <n v="7.0000000000000007E-2"/>
    <n v="1.2250000000000001"/>
    <n v="0.49"/>
    <n v="400"/>
    <n v="231"/>
    <n v="0"/>
    <m/>
    <m/>
    <m/>
    <m/>
    <n v="631"/>
    <n v="50000"/>
    <n v="28875"/>
    <n v="78875"/>
    <n v="9590"/>
    <n v="5538.2250000000004"/>
    <n v="15128.225"/>
  </r>
  <r>
    <x v="1"/>
    <s v="PORTA ASIATACA"/>
    <s v="CHINA"/>
    <s v="STS25M51184"/>
    <s v="FF300"/>
    <s v="78% COTTON/22% POLYESTER TERRY 300 GM/M2"/>
    <s v="KNIT"/>
    <s v="6103.42.1050"/>
    <n v="88"/>
    <n v="17.141499999999997"/>
    <n v="12.75"/>
    <n v="0.161"/>
    <n v="2.0527500000000001"/>
    <n v="7.4999999999999997E-2"/>
    <n v="0.95624999999999993"/>
    <n v="7.0000000000000007E-2"/>
    <n v="0.89250000000000007"/>
    <n v="0.49"/>
    <n v="400"/>
    <n v="225"/>
    <n v="0"/>
    <m/>
    <m/>
    <m/>
    <m/>
    <n v="625"/>
    <n v="35200"/>
    <n v="19800"/>
    <n v="55000"/>
    <n v="6856.5999999999985"/>
    <n v="3856.8374999999992"/>
    <n v="10713.437499999998"/>
  </r>
  <r>
    <x v="16"/>
    <s v="PORTA ASIATACA"/>
    <s v="CHINA"/>
    <s v="STS25M51183"/>
    <s v="FF300"/>
    <s v="78% COTTON/22% POLYESTER TERRY 300 GM/M2"/>
    <s v="KNIT"/>
    <s v="6105.10.0010"/>
    <n v="125"/>
    <n v="23.975000000000001"/>
    <n v="17.5"/>
    <n v="0.19700000000000001"/>
    <n v="3.4475000000000002"/>
    <n v="7.4999999999999997E-2"/>
    <n v="1.3125"/>
    <n v="7.0000000000000007E-2"/>
    <n v="1.2250000000000001"/>
    <n v="0.49"/>
    <n v="350"/>
    <n v="166"/>
    <n v="0"/>
    <m/>
    <m/>
    <m/>
    <m/>
    <n v="516"/>
    <n v="43750"/>
    <n v="20750"/>
    <n v="64500"/>
    <n v="8391.25"/>
    <n v="3979.8500000000004"/>
    <n v="12371.1"/>
  </r>
  <r>
    <x v="6"/>
    <s v="PORTA ASIATACA"/>
    <s v="CHINA"/>
    <s v="STS25M51184"/>
    <s v="FF300"/>
    <s v="78% COTTON/22% POLYESTER TERRY 300 GM/M2"/>
    <s v="KNIT"/>
    <s v="6103.42.1050"/>
    <n v="88"/>
    <n v="17.141499999999997"/>
    <n v="12.75"/>
    <n v="0.161"/>
    <n v="2.0527500000000001"/>
    <n v="7.4999999999999997E-2"/>
    <n v="0.95624999999999993"/>
    <n v="7.0000000000000007E-2"/>
    <n v="0.89250000000000007"/>
    <n v="0.49"/>
    <n v="350"/>
    <n v="160"/>
    <n v="0"/>
    <m/>
    <m/>
    <m/>
    <m/>
    <n v="510"/>
    <n v="30800"/>
    <n v="14080"/>
    <n v="44880"/>
    <n v="5999.5249999999987"/>
    <n v="2742.6399999999994"/>
    <n v="8742.1649999999972"/>
  </r>
  <r>
    <x v="16"/>
    <s v="PORTA ASIATACA"/>
    <s v="CHINA"/>
    <s v="STS25M51183"/>
    <s v="FF300"/>
    <s v="78% COTTON/22% POLYESTER TERRY 300 GM/M2"/>
    <s v="KNIT"/>
    <s v="6105.10.0010"/>
    <n v="125"/>
    <n v="23.975000000000001"/>
    <n v="17.5"/>
    <n v="0.19700000000000001"/>
    <n v="3.4475000000000002"/>
    <n v="7.4999999999999997E-2"/>
    <n v="1.3125"/>
    <n v="7.0000000000000007E-2"/>
    <n v="1.2250000000000001"/>
    <n v="0.49"/>
    <n v="400"/>
    <n v="515"/>
    <n v="0"/>
    <m/>
    <m/>
    <m/>
    <m/>
    <n v="915"/>
    <n v="50000"/>
    <n v="64375"/>
    <n v="114375"/>
    <n v="9590"/>
    <n v="12347.125"/>
    <n v="21937.125"/>
  </r>
  <r>
    <x v="6"/>
    <s v="PORTA ASIATACA"/>
    <s v="CHINA"/>
    <s v="STS25M51184"/>
    <s v="FF300"/>
    <s v="78% COTTON/22% POLYESTER TERRY 300 GM/M2"/>
    <s v="KNIT"/>
    <s v="6103.42.1050"/>
    <n v="88"/>
    <n v="17.141499999999997"/>
    <n v="12.75"/>
    <n v="0.161"/>
    <n v="2.0527500000000001"/>
    <n v="7.4999999999999997E-2"/>
    <n v="0.95624999999999993"/>
    <n v="7.0000000000000007E-2"/>
    <n v="0.89250000000000007"/>
    <n v="0.49"/>
    <n v="400"/>
    <n v="509"/>
    <n v="0"/>
    <m/>
    <m/>
    <m/>
    <m/>
    <n v="909"/>
    <n v="35200"/>
    <n v="44792"/>
    <n v="79992"/>
    <n v="6856.5999999999985"/>
    <n v="8725.0234999999993"/>
    <n v="15581.623499999998"/>
  </r>
  <r>
    <x v="17"/>
    <s v="PORTA ASIATACA"/>
    <s v="CHINA"/>
    <s v="STS25X51226"/>
    <s v="FF300"/>
    <s v="78% COTTON/22% POLYESTER TERRY 300 GM/M2"/>
    <s v="KNIT"/>
    <s v="6505.00.8090"/>
    <n v="58"/>
    <n v="12.305000000000001"/>
    <n v="8.5"/>
    <n v="7.0000000000000007E-2"/>
    <n v="0.59500000000000008"/>
    <n v="0.25"/>
    <n v="2.125"/>
    <n v="7.0000000000000007E-2"/>
    <n v="0.59500000000000008"/>
    <n v="0.49"/>
    <n v="350"/>
    <n v="141"/>
    <n v="0"/>
    <m/>
    <m/>
    <m/>
    <n v="20"/>
    <n v="511"/>
    <n v="20300"/>
    <n v="9338"/>
    <n v="29638"/>
    <n v="4306.7500000000009"/>
    <n v="1905.0050000000001"/>
    <n v="6211.755000000001"/>
  </r>
  <r>
    <x v="17"/>
    <s v="PORTA ASIATACA"/>
    <s v="CHINA"/>
    <s v="STS25X51226"/>
    <s v="FF300"/>
    <s v="78% COTTON/22% POLYESTER TERRY 300 GM/M2"/>
    <s v="KNIT"/>
    <s v="6505.00.8090"/>
    <n v="58"/>
    <n v="12.305000000000001"/>
    <n v="8.5"/>
    <n v="7.0000000000000007E-2"/>
    <n v="0.59500000000000008"/>
    <n v="0.25"/>
    <n v="2.125"/>
    <n v="7.0000000000000007E-2"/>
    <n v="0.59500000000000008"/>
    <n v="0.49"/>
    <n v="250"/>
    <n v="123"/>
    <n v="0"/>
    <m/>
    <m/>
    <m/>
    <n v="5"/>
    <n v="378"/>
    <n v="14500"/>
    <n v="7424"/>
    <n v="21924"/>
    <n v="3076.2500000000005"/>
    <n v="1556.0150000000001"/>
    <n v="4632.2650000000003"/>
  </r>
  <r>
    <x v="17"/>
    <s v="PORTA ASIATACA"/>
    <s v="CHINA"/>
    <s v="STS25X51226"/>
    <s v="FF300"/>
    <s v="78% COTTON/22% POLYESTER TERRY 300 GM/M2"/>
    <s v="KNIT"/>
    <s v="6505.00.8090"/>
    <n v="58"/>
    <n v="12.305000000000001"/>
    <n v="8.5"/>
    <n v="7.0000000000000007E-2"/>
    <n v="0.59500000000000008"/>
    <n v="0.25"/>
    <n v="2.125"/>
    <n v="7.0000000000000007E-2"/>
    <n v="0.59500000000000008"/>
    <n v="0.49"/>
    <n v="350"/>
    <n v="235"/>
    <n v="0"/>
    <m/>
    <m/>
    <m/>
    <n v="5"/>
    <n v="590"/>
    <n v="20300"/>
    <n v="13920"/>
    <n v="34220"/>
    <n v="4306.7500000000009"/>
    <n v="2934.1750000000002"/>
    <n v="7240.9250000000011"/>
  </r>
  <r>
    <x v="2"/>
    <s v="PORTA ASIATACA"/>
    <s v="CHINA"/>
    <s v="STS25M51201"/>
    <s v="FF300"/>
    <s v="78% COTTON/22% POLYESTER TERRY 300 GM/M2"/>
    <s v="KNIT"/>
    <s v="6112.11.0010"/>
    <n v="150"/>
    <n v="28.310999999999996"/>
    <n v="21.5"/>
    <n v="0.14899999999999999"/>
    <n v="3.2035"/>
    <n v="7.4999999999999997E-2"/>
    <n v="1.6125"/>
    <n v="7.0000000000000007E-2"/>
    <n v="1.5050000000000001"/>
    <n v="0.49"/>
    <n v="350"/>
    <n v="166"/>
    <n v="0"/>
    <m/>
    <m/>
    <m/>
    <m/>
    <n v="516"/>
    <n v="52500"/>
    <n v="24900"/>
    <n v="77400"/>
    <n v="9908.8499999999985"/>
    <n v="4699.6259999999993"/>
    <n v="14608.475999999999"/>
  </r>
  <r>
    <x v="3"/>
    <s v="PORTA ASIATACA"/>
    <s v="CHINA"/>
    <s v="STS25M51202"/>
    <s v="FF300"/>
    <s v="78% COTTON/22% POLYESTER TERRY 300 GM/M2"/>
    <s v="KNIT"/>
    <s v="6214.20.0055"/>
    <n v="125"/>
    <n v="26.305299999999995"/>
    <n v="19.95"/>
    <n v="0.14899999999999999"/>
    <n v="2.9725499999999996"/>
    <n v="7.4999999999999997E-2"/>
    <n v="1.4962499999999999"/>
    <n v="7.0000000000000007E-2"/>
    <n v="1.3965000000000001"/>
    <n v="0.49"/>
    <n v="300"/>
    <n v="166"/>
    <n v="40"/>
    <m/>
    <m/>
    <m/>
    <m/>
    <n v="506"/>
    <n v="37500"/>
    <n v="25750"/>
    <n v="63250"/>
    <n v="7891.5899999999983"/>
    <n v="5418.8917999999994"/>
    <n v="13310.481799999998"/>
  </r>
  <r>
    <x v="2"/>
    <s v="PORTA ASIATACA"/>
    <s v="CHINA"/>
    <s v="STS25M51201"/>
    <s v="FF300"/>
    <s v="78% COTTON/22% POLYESTER TERRY 300 GM/M2"/>
    <s v="KNIT"/>
    <s v="6112.11.0010"/>
    <n v="150"/>
    <n v="28.310999999999996"/>
    <n v="21.5"/>
    <n v="0.14899999999999999"/>
    <n v="3.2035"/>
    <n v="7.4999999999999997E-2"/>
    <n v="1.6125"/>
    <n v="7.0000000000000007E-2"/>
    <n v="1.5050000000000001"/>
    <n v="0.49"/>
    <n v="350"/>
    <n v="144"/>
    <n v="0"/>
    <m/>
    <m/>
    <m/>
    <m/>
    <n v="494"/>
    <n v="52500"/>
    <n v="21600"/>
    <n v="74100"/>
    <n v="9908.8499999999985"/>
    <n v="4076.7839999999997"/>
    <n v="13985.633999999998"/>
  </r>
  <r>
    <x v="3"/>
    <s v="PORTA ASIATACA"/>
    <s v="CHINA"/>
    <s v="STS25M51202"/>
    <s v="FF300"/>
    <s v="78% COTTON/22% POLYESTER TERRY 300 GM/M2"/>
    <s v="KNIT"/>
    <s v="6214.20.0055"/>
    <n v="125"/>
    <n v="26.305299999999995"/>
    <n v="19.95"/>
    <n v="0.14899999999999999"/>
    <n v="2.9725499999999996"/>
    <n v="7.4999999999999997E-2"/>
    <n v="1.4962499999999999"/>
    <n v="7.0000000000000007E-2"/>
    <n v="1.3965000000000001"/>
    <n v="0.49"/>
    <n v="300"/>
    <n v="144"/>
    <n v="60"/>
    <m/>
    <m/>
    <m/>
    <m/>
    <n v="504"/>
    <n v="37500"/>
    <n v="25500"/>
    <n v="63000"/>
    <n v="7891.5899999999983"/>
    <n v="5366.2811999999994"/>
    <n v="13257.871199999998"/>
  </r>
  <r>
    <x v="0"/>
    <s v="PORTA ASIATACA"/>
    <s v="CHINA"/>
    <s v="STS25M51185"/>
    <s v="FF300"/>
    <s v="78% COTTON/22% POLYESTER TERRY 300 GM/M2"/>
    <s v="KNIT"/>
    <s v="6105.10.0010"/>
    <n v="125"/>
    <n v="23.303999999999998"/>
    <n v="17"/>
    <n v="0.19700000000000001"/>
    <n v="3.3490000000000002"/>
    <n v="7.4999999999999997E-2"/>
    <n v="1.2749999999999999"/>
    <n v="7.0000000000000007E-2"/>
    <n v="1.1900000000000002"/>
    <n v="0.49"/>
    <n v="400"/>
    <m/>
    <n v="100"/>
    <m/>
    <m/>
    <m/>
    <m/>
    <n v="500"/>
    <n v="50000"/>
    <n v="12500"/>
    <n v="62500"/>
    <n v="9321.5999999999985"/>
    <n v="2330.3999999999996"/>
    <n v="11651.999999999998"/>
  </r>
  <r>
    <x v="6"/>
    <s v="PORTA ASIATACA"/>
    <s v="CHINA"/>
    <s v="STS25M51196"/>
    <s v="FF410"/>
    <s v="78% COTTON/22% POLYESTER TERRY 300 GM/M2"/>
    <s v="KNIT"/>
    <s v="6103.42.1050"/>
    <n v="98"/>
    <n v="19.753499999999995"/>
    <n v="14.75"/>
    <n v="0.161"/>
    <n v="2.3747500000000001"/>
    <n v="7.4999999999999997E-2"/>
    <n v="1.10625"/>
    <n v="7.0000000000000007E-2"/>
    <n v="1.0325000000000002"/>
    <n v="0.49"/>
    <n v="400"/>
    <m/>
    <n v="100"/>
    <m/>
    <m/>
    <m/>
    <m/>
    <n v="500"/>
    <n v="39200"/>
    <n v="9800"/>
    <n v="49000"/>
    <n v="7901.3999999999978"/>
    <n v="1975.3499999999995"/>
    <n v="9876.7499999999964"/>
  </r>
  <r>
    <x v="0"/>
    <s v="PORTA ASIATACA"/>
    <s v="CHINA"/>
    <s v="STS25M51185"/>
    <s v="FF300"/>
    <s v="78% COTTON/22% POLYESTER TERRY 300 GM/M2"/>
    <s v="KNIT"/>
    <s v="6105.10.0010"/>
    <n v="125"/>
    <n v="23.303999999999998"/>
    <n v="17"/>
    <n v="0.19700000000000001"/>
    <n v="3.3490000000000002"/>
    <n v="7.4999999999999997E-2"/>
    <n v="1.2749999999999999"/>
    <n v="7.0000000000000007E-2"/>
    <n v="1.1900000000000002"/>
    <n v="0.49"/>
    <n v="300"/>
    <n v="114"/>
    <n v="100"/>
    <m/>
    <m/>
    <n v="4"/>
    <m/>
    <n v="518"/>
    <n v="37500"/>
    <n v="27250"/>
    <n v="64750"/>
    <n v="6991.2"/>
    <n v="5055.0559999999996"/>
    <n v="12046.255999999999"/>
  </r>
  <r>
    <x v="6"/>
    <s v="PORTA ASIATACA"/>
    <s v="CHINA"/>
    <s v="STS25M51196"/>
    <s v="FF410"/>
    <s v="78% COTTON/22% POLYESTER TERRY 300 GM/M2"/>
    <s v="KNIT"/>
    <s v="6103.42.1050"/>
    <n v="98"/>
    <n v="19.753499999999995"/>
    <n v="14.75"/>
    <n v="0.161"/>
    <n v="2.3747500000000001"/>
    <n v="7.4999999999999997E-2"/>
    <n v="1.10625"/>
    <n v="7.0000000000000007E-2"/>
    <n v="1.0325000000000002"/>
    <n v="0.49"/>
    <n v="300"/>
    <n v="114"/>
    <n v="100"/>
    <m/>
    <m/>
    <n v="4"/>
    <m/>
    <n v="518"/>
    <n v="29400"/>
    <n v="21364"/>
    <n v="50764"/>
    <n v="5926.0499999999984"/>
    <n v="4286.2489999999989"/>
    <n v="10212.298999999997"/>
  </r>
  <r>
    <x v="7"/>
    <s v="GATESWEAR"/>
    <s v="INDIA"/>
    <s v="STS25M51412"/>
    <s v="FF155-G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700"/>
    <m/>
    <n v="0"/>
    <m/>
    <m/>
    <m/>
    <m/>
    <n v="700"/>
    <n v="29400"/>
    <n v="0"/>
    <n v="29400"/>
    <n v="4881.625"/>
    <n v="0"/>
    <n v="4881.625"/>
  </r>
  <r>
    <x v="7"/>
    <s v="GATESWEAR"/>
    <s v="INDIA"/>
    <s v="STS25M51412"/>
    <s v="FF155-G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700"/>
    <m/>
    <n v="0"/>
    <m/>
    <m/>
    <m/>
    <m/>
    <n v="700"/>
    <n v="29400"/>
    <n v="0"/>
    <n v="29400"/>
    <n v="4881.625"/>
    <n v="0"/>
    <n v="4881.625"/>
  </r>
  <r>
    <x v="7"/>
    <s v="GATESWEAR"/>
    <s v="INDIA"/>
    <s v="STS25M51412"/>
    <s v="FF155-G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1000"/>
    <m/>
    <n v="0"/>
    <m/>
    <m/>
    <m/>
    <m/>
    <n v="1000"/>
    <n v="42000"/>
    <n v="0"/>
    <n v="42000"/>
    <n v="6973.75"/>
    <n v="0"/>
    <n v="6973.75"/>
  </r>
  <r>
    <x v="7"/>
    <s v="GATESWEAR"/>
    <s v="INDIA"/>
    <s v="STS25M51412"/>
    <s v="FF155-G"/>
    <s v="100% COTTON JERSEY 180 GM/M2"/>
    <s v="KNIT"/>
    <s v="6109.10.0012"/>
    <n v="42"/>
    <n v="6.9737499999999999"/>
    <n v="5.25"/>
    <n v="0.16500000000000001"/>
    <n v="0.86625000000000008"/>
    <m/>
    <m/>
    <n v="7.0000000000000007E-2"/>
    <n v="0.36750000000000005"/>
    <n v="0.49"/>
    <n v="1000"/>
    <m/>
    <n v="0"/>
    <m/>
    <m/>
    <m/>
    <m/>
    <n v="1000"/>
    <n v="42000"/>
    <n v="0"/>
    <n v="42000"/>
    <n v="6973.75"/>
    <n v="0"/>
    <n v="6973.75"/>
  </r>
  <r>
    <x v="7"/>
    <s v="GATESWEAR"/>
    <s v="INDIA"/>
    <s v="STS25M51411"/>
    <s v="FF155-G"/>
    <s v="100% COTTON JERSEY 180 GM/M2"/>
    <s v="KNIT"/>
    <s v="6109.10.0012"/>
    <n v="42"/>
    <n v="7.0972499999999998"/>
    <n v="5.35"/>
    <n v="0.16500000000000001"/>
    <n v="0.88275000000000003"/>
    <m/>
    <m/>
    <n v="7.0000000000000007E-2"/>
    <n v="0.3745"/>
    <n v="0.49"/>
    <n v="700"/>
    <m/>
    <n v="0"/>
    <m/>
    <m/>
    <m/>
    <m/>
    <n v="700"/>
    <n v="29400"/>
    <n v="0"/>
    <n v="29400"/>
    <n v="4968.0749999999998"/>
    <n v="0"/>
    <n v="4968.0749999999998"/>
  </r>
  <r>
    <x v="7"/>
    <s v="GATESWEAR"/>
    <s v="INDIA"/>
    <s v="STS25M51411"/>
    <s v="FF155-G"/>
    <s v="100% COTTON JERSEY 180 GM/M2"/>
    <s v="KNIT"/>
    <s v="6109.10.0012"/>
    <n v="42"/>
    <n v="7.0972499999999998"/>
    <n v="5.35"/>
    <n v="0.16500000000000001"/>
    <n v="0.88275000000000003"/>
    <m/>
    <m/>
    <n v="7.0000000000000007E-2"/>
    <n v="0.3745"/>
    <n v="0.49"/>
    <n v="800"/>
    <m/>
    <n v="0"/>
    <m/>
    <m/>
    <m/>
    <m/>
    <n v="800"/>
    <n v="33600"/>
    <n v="0"/>
    <n v="33600"/>
    <n v="5677.8"/>
    <n v="0"/>
    <n v="5677.8"/>
  </r>
  <r>
    <x v="7"/>
    <s v="GATESWEAR"/>
    <s v="INDIA"/>
    <s v="STS25M51411"/>
    <s v="FF155-G"/>
    <s v="100% COTTON JERSEY 180 GM/M2"/>
    <s v="KNIT"/>
    <s v="6109.10.0012"/>
    <n v="42"/>
    <n v="7.0972499999999998"/>
    <n v="5.35"/>
    <n v="0.16500000000000001"/>
    <n v="0.88275000000000003"/>
    <m/>
    <m/>
    <n v="7.0000000000000007E-2"/>
    <n v="0.3745"/>
    <n v="0.49"/>
    <n v="700"/>
    <m/>
    <n v="0"/>
    <m/>
    <m/>
    <m/>
    <m/>
    <n v="700"/>
    <n v="29400"/>
    <n v="0"/>
    <n v="29400"/>
    <n v="4968.0749999999998"/>
    <n v="0"/>
    <n v="4968.0749999999998"/>
  </r>
  <r>
    <x v="7"/>
    <s v="GATESWEAR"/>
    <s v="INDIA"/>
    <s v="STS25M51411"/>
    <s v="FF155-G"/>
    <s v="100% COTTON JERSEY 180 GM/M2"/>
    <s v="KNIT"/>
    <s v="6109.10.0012"/>
    <n v="42"/>
    <n v="7.0972499999999998"/>
    <n v="5.35"/>
    <n v="0.16500000000000001"/>
    <n v="0.88275000000000003"/>
    <m/>
    <m/>
    <n v="7.0000000000000007E-2"/>
    <n v="0.3745"/>
    <n v="0.49"/>
    <n v="800"/>
    <m/>
    <n v="0"/>
    <m/>
    <m/>
    <m/>
    <m/>
    <n v="800"/>
    <n v="33600"/>
    <n v="0"/>
    <n v="33600"/>
    <n v="5677.8"/>
    <n v="0"/>
    <n v="5677.8"/>
  </r>
  <r>
    <x v="6"/>
    <s v="GATESWEAR"/>
    <s v="INDIA"/>
    <s v="STS25M51413"/>
    <s v="FF042-G"/>
    <s v="100% COTTON FRENCH TERRY 360 GM/M2"/>
    <s v="KNIT"/>
    <s v="6103.42.1050"/>
    <n v="68"/>
    <n v="10.953500000000002"/>
    <n v="8.5"/>
    <n v="0.161"/>
    <n v="1.3685"/>
    <m/>
    <m/>
    <n v="7.0000000000000007E-2"/>
    <n v="0.59500000000000008"/>
    <n v="0.49"/>
    <n v="700"/>
    <m/>
    <n v="0"/>
    <m/>
    <m/>
    <m/>
    <m/>
    <n v="700"/>
    <n v="47600"/>
    <n v="0"/>
    <n v="47600"/>
    <n v="7667.4500000000016"/>
    <n v="0"/>
    <n v="7667.4500000000016"/>
  </r>
  <r>
    <x v="6"/>
    <s v="GATESWEAR"/>
    <s v="INDIA"/>
    <s v="STS25M51413"/>
    <s v="FF042-G"/>
    <s v="100% COTTON FRENCH TERRY 360 GM/M2"/>
    <s v="KNIT"/>
    <s v="6103.42.1050"/>
    <n v="68"/>
    <n v="10.953500000000002"/>
    <n v="8.5"/>
    <n v="0.161"/>
    <n v="1.3685"/>
    <m/>
    <m/>
    <n v="7.0000000000000007E-2"/>
    <n v="0.59500000000000008"/>
    <n v="0.49"/>
    <n v="700"/>
    <m/>
    <n v="0"/>
    <m/>
    <m/>
    <m/>
    <m/>
    <n v="700"/>
    <n v="47600"/>
    <n v="0"/>
    <n v="47600"/>
    <n v="7667.4500000000016"/>
    <n v="0"/>
    <n v="7667.4500000000016"/>
  </r>
  <r>
    <x v="6"/>
    <s v="GATESWEAR"/>
    <s v="INDIA"/>
    <s v="STS25M51413"/>
    <s v="FF042-G"/>
    <s v="100% COTTON FRENCH TERRY 360 GM/M2"/>
    <s v="KNIT"/>
    <s v="6103.42.1050"/>
    <n v="68"/>
    <n v="10.953500000000002"/>
    <n v="8.5"/>
    <n v="0.161"/>
    <n v="1.3685"/>
    <m/>
    <m/>
    <n v="7.0000000000000007E-2"/>
    <n v="0.59500000000000008"/>
    <n v="0.49"/>
    <n v="900"/>
    <m/>
    <n v="0"/>
    <m/>
    <m/>
    <m/>
    <m/>
    <n v="900"/>
    <n v="61200"/>
    <n v="0"/>
    <n v="61200"/>
    <n v="9858.1500000000015"/>
    <n v="0"/>
    <n v="9858.1500000000015"/>
  </r>
  <r>
    <x v="6"/>
    <s v="GATESWEAR"/>
    <s v="INDIA"/>
    <s v="STS25M51413"/>
    <s v="FF042-G"/>
    <s v="100% COTTON FRENCH TERRY 360 GM/M2"/>
    <s v="KNIT"/>
    <s v="6103.42.1050"/>
    <n v="68"/>
    <n v="10.953500000000002"/>
    <n v="8.5"/>
    <n v="0.161"/>
    <n v="1.3685"/>
    <m/>
    <m/>
    <n v="7.0000000000000007E-2"/>
    <n v="0.59500000000000008"/>
    <n v="0.49"/>
    <n v="900"/>
    <m/>
    <n v="0"/>
    <m/>
    <m/>
    <m/>
    <m/>
    <n v="900"/>
    <n v="61200"/>
    <n v="0"/>
    <n v="61200"/>
    <n v="9858.1500000000015"/>
    <n v="0"/>
    <n v="9858.1500000000015"/>
  </r>
  <r>
    <x v="18"/>
    <s v="FYNEX"/>
    <s v="CHINA"/>
    <s v="STS25M51078"/>
    <s v="FF450-F                        (SC-1271)"/>
    <s v="54% NYLON/34% POLYESTER/12% SPANDEX 180 GM/M2** WICKING ** "/>
    <s v="KNIT"/>
    <s v="6109.90.1007"/>
    <n v="48"/>
    <n v="11.11125"/>
    <n v="7.25"/>
    <n v="0.32"/>
    <n v="2.3199999999999998"/>
    <n v="7.4999999999999997E-2"/>
    <n v="0.54374999999999996"/>
    <n v="7.0000000000000007E-2"/>
    <n v="0.50750000000000006"/>
    <n v="0.49"/>
    <n v="400"/>
    <m/>
    <n v="0"/>
    <m/>
    <m/>
    <m/>
    <m/>
    <n v="400"/>
    <n v="19200"/>
    <n v="0"/>
    <n v="19200"/>
    <n v="4444.5"/>
    <n v="0"/>
    <n v="4444.5"/>
  </r>
  <r>
    <x v="18"/>
    <s v="FYNEX"/>
    <s v="CHINA"/>
    <s v="STS25M51078"/>
    <s v="FF450-F                        (SC-1271)"/>
    <s v="54% NYLON/34% POLYESTER/12% SPANDEX 180 GM/M2** WICKING ** "/>
    <s v="KNIT"/>
    <s v="6109.90.1007"/>
    <n v="48"/>
    <n v="11.11125"/>
    <n v="7.25"/>
    <n v="0.32"/>
    <n v="2.3199999999999998"/>
    <n v="7.4999999999999997E-2"/>
    <n v="0.54374999999999996"/>
    <n v="7.0000000000000007E-2"/>
    <n v="0.50750000000000006"/>
    <n v="0.49"/>
    <n v="500"/>
    <m/>
    <n v="0"/>
    <m/>
    <m/>
    <m/>
    <m/>
    <n v="500"/>
    <n v="24000"/>
    <n v="0"/>
    <n v="24000"/>
    <n v="5555.625"/>
    <n v="0"/>
    <n v="5555.625"/>
  </r>
  <r>
    <x v="1"/>
    <s v="FYNEX"/>
    <s v="CHINA"/>
    <s v="STS25M51074"/>
    <s v="FF466 -F (DA1103-N)                 FF467-F (BEF009)"/>
    <s v="90% POLYESTER/10% SPANDEX POPLIN 140 GM/M2** WATER REPELLANT **                                              (LINER 88% POLYESTER/12% SPANDEX 170 GM/M2)"/>
    <s v="WOVEN"/>
    <s v="6203.43.9030"/>
    <n v="78"/>
    <n v="16.154"/>
    <n v="11"/>
    <n v="0.27900000000000003"/>
    <n v="3.0690000000000004"/>
    <n v="7.4999999999999997E-2"/>
    <n v="0.82499999999999996"/>
    <n v="7.0000000000000007E-2"/>
    <n v="0.77"/>
    <n v="0.49"/>
    <n v="400"/>
    <m/>
    <n v="0"/>
    <m/>
    <m/>
    <m/>
    <n v="10"/>
    <n v="410"/>
    <n v="31200"/>
    <n v="780"/>
    <n v="31980"/>
    <n v="6461.6"/>
    <n v="110"/>
    <n v="6571.6"/>
  </r>
  <r>
    <x v="1"/>
    <s v="FYNEX"/>
    <s v="CHINA"/>
    <s v="STS25M51074"/>
    <s v="FF466 -F (DA1103-N)                 FF467-F (BEF009)"/>
    <s v="90% POLYESTER/10% SPANDEX POPLIN 140 GM/M2** WATER REPELLANT **                                              (LINER 88% POLYESTER/12% SPANDEX 170 GM/M2)"/>
    <s v="WOVEN"/>
    <s v="6203.43.9030"/>
    <n v="78"/>
    <n v="16.154"/>
    <n v="11"/>
    <n v="0.27900000000000003"/>
    <n v="3.0690000000000004"/>
    <n v="7.4999999999999997E-2"/>
    <n v="0.82499999999999996"/>
    <n v="7.0000000000000007E-2"/>
    <n v="0.77"/>
    <n v="0.49"/>
    <n v="500"/>
    <m/>
    <n v="0"/>
    <m/>
    <m/>
    <m/>
    <n v="10"/>
    <n v="510"/>
    <n v="39000"/>
    <n v="780"/>
    <n v="39780"/>
    <n v="8077"/>
    <n v="110"/>
    <n v="8187"/>
  </r>
  <r>
    <x v="19"/>
    <s v="FYNEX"/>
    <s v="CHINA"/>
    <s v="STS25M51075"/>
    <s v="FF468-F (MTZ/SN0005)"/>
    <s v="75% NYLON/25% SPANDEX 230 GM/M2** WICKING ** "/>
    <s v="KNIT"/>
    <s v="6109.90.1007"/>
    <n v="125"/>
    <n v="25.395"/>
    <n v="17"/>
    <n v="0.32"/>
    <n v="5.44"/>
    <n v="7.4999999999999997E-2"/>
    <n v="1.2749999999999999"/>
    <n v="7.0000000000000007E-2"/>
    <n v="1.1900000000000002"/>
    <n v="0.49"/>
    <n v="300"/>
    <n v="8"/>
    <n v="0"/>
    <m/>
    <m/>
    <m/>
    <n v="10"/>
    <n v="318"/>
    <n v="37500"/>
    <n v="2250"/>
    <n v="39750"/>
    <n v="7618.5"/>
    <n v="373.15999999999997"/>
    <n v="7991.66"/>
  </r>
  <r>
    <x v="19"/>
    <s v="FYNEX"/>
    <s v="CHINA"/>
    <s v="STS25M51075"/>
    <s v="FF468-F (MTZ/SN0005)"/>
    <s v="75% NYLON/25% SPANDEX 230 GM/M2** WICKING ** "/>
    <s v="KNIT"/>
    <s v="6109.90.1007"/>
    <n v="125"/>
    <n v="25.395"/>
    <n v="17"/>
    <n v="0.32"/>
    <n v="5.44"/>
    <n v="7.4999999999999997E-2"/>
    <n v="1.2749999999999999"/>
    <n v="7.0000000000000007E-2"/>
    <n v="1.1900000000000002"/>
    <n v="0.49"/>
    <n v="400"/>
    <m/>
    <n v="0"/>
    <m/>
    <m/>
    <m/>
    <n v="10"/>
    <n v="410"/>
    <n v="50000"/>
    <n v="1250"/>
    <n v="51250"/>
    <n v="10158"/>
    <n v="170"/>
    <n v="10328"/>
  </r>
  <r>
    <x v="7"/>
    <s v="FYNEX"/>
    <s v="CHINA"/>
    <s v="STS25M51077"/>
    <s v="FF450-F                        (SC-1271)"/>
    <s v="54% NYLON/34% POLYESTER/12% SPANDEX 180 GM/M2** WICKING ** "/>
    <s v="KNIT"/>
    <s v="6109.90.1007"/>
    <n v="58"/>
    <n v="11.477500000000001"/>
    <n v="7.5"/>
    <n v="0.32"/>
    <n v="2.4"/>
    <n v="7.4999999999999997E-2"/>
    <n v="0.5625"/>
    <n v="7.0000000000000007E-2"/>
    <n v="0.52500000000000002"/>
    <n v="0.49"/>
    <n v="500"/>
    <n v="10"/>
    <n v="0"/>
    <m/>
    <m/>
    <m/>
    <n v="10"/>
    <n v="520"/>
    <n v="29000"/>
    <n v="1160"/>
    <n v="30160"/>
    <n v="5738.7500000000009"/>
    <n v="189.77500000000001"/>
    <n v="5928.5250000000005"/>
  </r>
  <r>
    <x v="7"/>
    <s v="FYNEX"/>
    <s v="CHINA"/>
    <s v="STS25M51077"/>
    <s v="FF450-F                        (SC-1271)"/>
    <s v="54% NYLON/34% POLYESTER/12% SPANDEX 180 GM/M2** WICKING ** "/>
    <s v="KNIT"/>
    <s v="6109.90.1007"/>
    <n v="58"/>
    <n v="11.477500000000001"/>
    <n v="7.5"/>
    <n v="0.32"/>
    <n v="2.4"/>
    <n v="7.4999999999999997E-2"/>
    <n v="0.5625"/>
    <n v="7.0000000000000007E-2"/>
    <n v="0.52500000000000002"/>
    <n v="0.49"/>
    <n v="500"/>
    <n v="10"/>
    <n v="0"/>
    <m/>
    <m/>
    <m/>
    <n v="10"/>
    <n v="520"/>
    <n v="29000"/>
    <n v="1160"/>
    <n v="30160"/>
    <n v="5738.7500000000009"/>
    <n v="189.77500000000001"/>
    <n v="5928.5250000000005"/>
  </r>
  <r>
    <x v="1"/>
    <s v="FYNEX"/>
    <s v="CHINA"/>
    <s v="STS25M51079"/>
    <s v="FF466-F (DA1103-N)               "/>
    <s v="90% POLYESTER/10% SPANDEX POPLIN 140 GM/M2** WATER REPELLANT **      "/>
    <s v="WOVEN"/>
    <s v="6203.43.9030"/>
    <n v="68"/>
    <n v="14.729999999999999"/>
    <n v="10"/>
    <n v="0.27900000000000003"/>
    <n v="2.79"/>
    <n v="7.4999999999999997E-2"/>
    <n v="0.75"/>
    <n v="7.0000000000000007E-2"/>
    <n v="0.70000000000000007"/>
    <n v="0.49"/>
    <n v="400"/>
    <n v="10"/>
    <n v="0"/>
    <m/>
    <m/>
    <m/>
    <n v="30"/>
    <n v="440"/>
    <n v="27200"/>
    <n v="2720"/>
    <n v="29920"/>
    <n v="5891.9999999999991"/>
    <n v="447.29999999999995"/>
    <n v="6339.2999999999993"/>
  </r>
  <r>
    <x v="1"/>
    <s v="FYNEX"/>
    <s v="CHINA"/>
    <s v="STS25M51079"/>
    <s v="FF466-F (DA1103-N)               "/>
    <s v="90% POLYESTER/10% SPANDEX POPLIN 140 GM/M2** WATER REPELLANT **      "/>
    <s v="WOVEN"/>
    <s v="6203.43.9030"/>
    <n v="68"/>
    <n v="14.729999999999999"/>
    <n v="10"/>
    <n v="0.27900000000000003"/>
    <n v="2.79"/>
    <n v="7.4999999999999997E-2"/>
    <n v="0.75"/>
    <n v="7.0000000000000007E-2"/>
    <n v="0.70000000000000007"/>
    <n v="0.49"/>
    <n v="400"/>
    <n v="8"/>
    <n v="0"/>
    <m/>
    <m/>
    <m/>
    <n v="30"/>
    <n v="438"/>
    <n v="27200"/>
    <n v="2584"/>
    <n v="29784"/>
    <n v="5891.9999999999991"/>
    <n v="417.84"/>
    <n v="6309.8399999999992"/>
  </r>
  <r>
    <x v="2"/>
    <s v="BBUK"/>
    <s v="CHINA"/>
    <s v="UKS25M12162"/>
    <m/>
    <s v="80% COTTON/20% POLYESTER VELOUR 280 GM/M2"/>
    <s v="KNIT"/>
    <s v="6112.11.0010"/>
    <n v="150"/>
    <n v="31.869500000000002"/>
    <n v="24.25"/>
    <n v="0.14899999999999999"/>
    <n v="3.6132499999999999"/>
    <n v="7.4999999999999997E-2"/>
    <n v="1.8187499999999999"/>
    <n v="7.0000000000000007E-2"/>
    <n v="1.6975000000000002"/>
    <n v="0.49"/>
    <n v="600"/>
    <n v="9"/>
    <n v="0"/>
    <m/>
    <m/>
    <m/>
    <m/>
    <n v="609"/>
    <n v="90000"/>
    <n v="1350"/>
    <n v="91350"/>
    <n v="19121.7"/>
    <n v="286.82550000000003"/>
    <n v="19408.5255"/>
  </r>
  <r>
    <x v="3"/>
    <s v="BBUK"/>
    <s v="CHINA"/>
    <s v="UKS25M12163"/>
    <m/>
    <s v="80% COTTON/20% POLYESTER VELOUR 280 GM/M2"/>
    <s v="KNIT"/>
    <s v="6214.20.0055"/>
    <n v="125"/>
    <n v="26.758199999999999"/>
    <n v="20.3"/>
    <n v="0.14899999999999999"/>
    <n v="3.0247000000000002"/>
    <n v="7.4999999999999997E-2"/>
    <n v="1.5225"/>
    <n v="7.0000000000000007E-2"/>
    <n v="1.4210000000000003"/>
    <n v="0.49"/>
    <n v="500"/>
    <n v="9"/>
    <n v="0"/>
    <m/>
    <m/>
    <m/>
    <m/>
    <n v="509"/>
    <n v="62500"/>
    <n v="1125"/>
    <n v="63625"/>
    <n v="13379.099999999999"/>
    <n v="240.82379999999998"/>
    <n v="13619.923799999999"/>
  </r>
  <r>
    <x v="7"/>
    <s v="BBUK"/>
    <s v="CHINA"/>
    <s v="UKS25M12122"/>
    <m/>
    <s v="80% COTTON/20% POLYESTER VELOUR 280 GM/M2"/>
    <s v="KNIT"/>
    <s v="6109.10.0012"/>
    <n v="88"/>
    <n v="16.864999999999998"/>
    <n v="12.5"/>
    <n v="0.16500000000000001"/>
    <n v="2.0625"/>
    <n v="7.4999999999999997E-2"/>
    <n v="0.9375"/>
    <n v="7.0000000000000007E-2"/>
    <n v="0.87500000000000011"/>
    <n v="0.49"/>
    <n v="500"/>
    <n v="8"/>
    <n v="0"/>
    <m/>
    <m/>
    <m/>
    <m/>
    <n v="508"/>
    <n v="44000"/>
    <n v="704"/>
    <n v="44704"/>
    <n v="8432.5"/>
    <n v="134.91999999999999"/>
    <n v="8567.42"/>
  </r>
  <r>
    <x v="6"/>
    <s v="BBUK"/>
    <s v="CHINA"/>
    <s v="UKS25M12164"/>
    <m/>
    <s v="80% COTTON/20% POLYESTER VELOUR 280 GM/M2"/>
    <s v="KNIT"/>
    <s v="6103.42.1050"/>
    <n v="88"/>
    <n v="20.471800000000002"/>
    <n v="15.3"/>
    <n v="0.161"/>
    <n v="2.4633000000000003"/>
    <n v="7.4999999999999997E-2"/>
    <n v="1.1475"/>
    <n v="7.0000000000000007E-2"/>
    <n v="1.0710000000000002"/>
    <n v="0.49"/>
    <n v="400"/>
    <n v="9"/>
    <n v="99"/>
    <m/>
    <m/>
    <m/>
    <m/>
    <n v="508"/>
    <n v="35200"/>
    <n v="9504"/>
    <n v="44704"/>
    <n v="8188.7200000000012"/>
    <n v="2210.9544000000001"/>
    <n v="10399.674400000002"/>
  </r>
  <r>
    <x v="14"/>
    <s v="BBUK"/>
    <s v="INDIA"/>
    <s v="UKS25M12123"/>
    <m/>
    <s v="100% COTTON 2/30'S 2 END 12 GAUGE"/>
    <s v="SWEATER"/>
    <s v="6105.10.0010"/>
    <n v="98"/>
    <n v="21.268799999999995"/>
    <n v="16.399999999999999"/>
    <n v="0.19700000000000001"/>
    <n v="3.2307999999999999"/>
    <m/>
    <m/>
    <n v="7.0000000000000007E-2"/>
    <n v="1.1479999999999999"/>
    <n v="0.49"/>
    <n v="300"/>
    <n v="9"/>
    <n v="200"/>
    <m/>
    <m/>
    <m/>
    <m/>
    <n v="509"/>
    <n v="29400"/>
    <n v="20482"/>
    <n v="49882"/>
    <n v="6380.6399999999985"/>
    <n v="4445.1791999999987"/>
    <n v="10825.819199999998"/>
  </r>
  <r>
    <x v="2"/>
    <s v="BBUK"/>
    <s v="CHINA"/>
    <s v="UKS25M12162"/>
    <m/>
    <s v="80% COTTON/20% POLYESTER VELOUR 280 GM/M2"/>
    <s v="KNIT"/>
    <s v="6112.11.0010"/>
    <n v="150"/>
    <n v="31.869500000000002"/>
    <n v="24.25"/>
    <n v="0.14899999999999999"/>
    <n v="3.6132499999999999"/>
    <n v="7.4999999999999997E-2"/>
    <n v="1.8187499999999999"/>
    <n v="7.0000000000000007E-2"/>
    <n v="1.6975000000000002"/>
    <n v="0.49"/>
    <n v="500"/>
    <n v="9"/>
    <n v="0"/>
    <m/>
    <m/>
    <m/>
    <m/>
    <n v="509"/>
    <n v="75000"/>
    <n v="1350"/>
    <n v="76350"/>
    <n v="15934.750000000002"/>
    <n v="286.82550000000003"/>
    <n v="16221.575500000003"/>
  </r>
  <r>
    <x v="3"/>
    <s v="BBUK"/>
    <s v="CHINA"/>
    <s v="UKS25M12163"/>
    <m/>
    <s v="80% COTTON/20% POLYESTER VELOUR 280 GM/M2"/>
    <s v="KNIT"/>
    <s v="6214.20.0055"/>
    <n v="125"/>
    <n v="26.758199999999999"/>
    <n v="20.3"/>
    <n v="0.14899999999999999"/>
    <n v="3.0247000000000002"/>
    <n v="7.4999999999999997E-2"/>
    <n v="1.5225"/>
    <n v="7.0000000000000007E-2"/>
    <n v="1.4210000000000003"/>
    <n v="0.49"/>
    <n v="400"/>
    <n v="9"/>
    <n v="100"/>
    <m/>
    <m/>
    <m/>
    <m/>
    <n v="509"/>
    <n v="50000"/>
    <n v="13625"/>
    <n v="63625"/>
    <n v="10703.279999999999"/>
    <n v="2916.6437999999998"/>
    <n v="13619.923799999999"/>
  </r>
  <r>
    <x v="7"/>
    <s v="BBUK"/>
    <s v="CHINA"/>
    <s v="UKS25M12122"/>
    <m/>
    <s v="80% COTTON/20% POLYESTER VELOUR 280 GM/M2"/>
    <s v="KNIT"/>
    <s v="6109.10.0012"/>
    <n v="88"/>
    <n v="16.864999999999998"/>
    <n v="12.5"/>
    <n v="0.16500000000000001"/>
    <n v="2.0625"/>
    <n v="7.4999999999999997E-2"/>
    <n v="0.9375"/>
    <n v="7.0000000000000007E-2"/>
    <n v="0.87500000000000011"/>
    <n v="0.49"/>
    <n v="500"/>
    <n v="8"/>
    <n v="0"/>
    <m/>
    <m/>
    <m/>
    <m/>
    <n v="508"/>
    <n v="44000"/>
    <n v="704"/>
    <n v="44704"/>
    <n v="8432.5"/>
    <n v="134.91999999999999"/>
    <n v="8567.42"/>
  </r>
  <r>
    <x v="6"/>
    <s v="BBUK"/>
    <s v="CHINA"/>
    <s v="UKS25M12164"/>
    <m/>
    <s v="80% COTTON/20% POLYESTER VELOUR 280 GM/M2"/>
    <s v="KNIT"/>
    <s v="6103.42.1050"/>
    <n v="88"/>
    <n v="20.471800000000002"/>
    <n v="15.3"/>
    <n v="0.161"/>
    <n v="2.4633000000000003"/>
    <n v="7.4999999999999997E-2"/>
    <n v="1.1475"/>
    <n v="7.0000000000000007E-2"/>
    <n v="1.0710000000000002"/>
    <n v="0.49"/>
    <n v="400"/>
    <n v="9"/>
    <n v="99"/>
    <m/>
    <m/>
    <m/>
    <m/>
    <n v="508"/>
    <n v="35200"/>
    <n v="9504"/>
    <n v="44704"/>
    <n v="8188.7200000000012"/>
    <n v="2210.9544000000001"/>
    <n v="10399.674400000002"/>
  </r>
  <r>
    <x v="14"/>
    <s v="BBUK"/>
    <s v="INDIA"/>
    <s v="UKS25M12123"/>
    <m/>
    <s v="100% COTTON 2/30'S 2 END 12 GAUGE"/>
    <s v="SWEATER"/>
    <s v="6105.10.0010"/>
    <n v="98"/>
    <n v="21.268799999999995"/>
    <n v="16.399999999999999"/>
    <n v="0.19700000000000001"/>
    <n v="3.2307999999999999"/>
    <m/>
    <m/>
    <n v="7.0000000000000007E-2"/>
    <n v="1.1479999999999999"/>
    <n v="0.49"/>
    <n v="300"/>
    <n v="9"/>
    <n v="200"/>
    <m/>
    <m/>
    <m/>
    <m/>
    <n v="509"/>
    <n v="29400"/>
    <n v="20482"/>
    <n v="49882"/>
    <n v="6380.6399999999985"/>
    <n v="4445.1791999999987"/>
    <n v="10825.819199999998"/>
  </r>
  <r>
    <x v="2"/>
    <s v="BBUK"/>
    <s v="CHINA"/>
    <s v="UKS24M16204"/>
    <m/>
    <s v="60% POLYESTER/40% COTTON DOUBLE FACE KNIT 320 GM/M2"/>
    <s v="KNIT"/>
    <s v="6112.12.0010"/>
    <n v="140"/>
    <n v="26.604099999999995"/>
    <n v="18.3"/>
    <n v="0.28199999999999997"/>
    <n v="5.1605999999999996"/>
    <n v="7.4999999999999997E-2"/>
    <n v="1.3725000000000001"/>
    <n v="7.0000000000000007E-2"/>
    <n v="1.2810000000000001"/>
    <n v="0.49"/>
    <n v="1000"/>
    <m/>
    <n v="0"/>
    <m/>
    <m/>
    <m/>
    <m/>
    <n v="1000"/>
    <n v="140000"/>
    <n v="0"/>
    <n v="140000"/>
    <n v="26604.099999999995"/>
    <n v="0"/>
    <n v="26604.099999999995"/>
  </r>
  <r>
    <x v="3"/>
    <s v="BBUK"/>
    <s v="CHINA"/>
    <s v="UKS24M16248"/>
    <m/>
    <s v="60% POLYESTER/40% COTTON DOUBLE FACE KNIT 320 GM/M2"/>
    <s v="KNIT"/>
    <s v="6112.12.0050"/>
    <n v="125"/>
    <n v="21.538249999999998"/>
    <n v="14.75"/>
    <n v="0.28199999999999997"/>
    <n v="4.1594999999999995"/>
    <n v="7.4999999999999997E-2"/>
    <n v="1.10625"/>
    <n v="7.0000000000000007E-2"/>
    <n v="1.0325000000000002"/>
    <n v="0.49"/>
    <n v="900"/>
    <m/>
    <n v="0"/>
    <m/>
    <m/>
    <m/>
    <m/>
    <n v="900"/>
    <n v="112500"/>
    <n v="0"/>
    <n v="112500"/>
    <n v="19384.424999999999"/>
    <n v="0"/>
    <n v="19384.424999999999"/>
  </r>
  <r>
    <x v="2"/>
    <s v="BBUK"/>
    <s v="CHINA"/>
    <s v="UKS25M16204"/>
    <m/>
    <s v="60% POLYESTER/40% COTTON DOUBLE FACE KNIT 320 GM/M2"/>
    <s v="KNIT"/>
    <s v="6112.12.0010"/>
    <n v="140"/>
    <n v="26.604099999999995"/>
    <n v="18.3"/>
    <n v="0.28199999999999997"/>
    <n v="5.1605999999999996"/>
    <n v="7.4999999999999997E-2"/>
    <n v="1.3725000000000001"/>
    <n v="7.0000000000000007E-2"/>
    <n v="1.2810000000000001"/>
    <n v="0.49"/>
    <n v="800"/>
    <m/>
    <n v="0"/>
    <m/>
    <m/>
    <m/>
    <m/>
    <n v="800"/>
    <n v="112000"/>
    <n v="0"/>
    <n v="112000"/>
    <n v="21283.279999999995"/>
    <n v="0"/>
    <n v="21283.279999999995"/>
  </r>
  <r>
    <x v="3"/>
    <s v="BBUK"/>
    <s v="CHINA"/>
    <s v="UKS25M16248"/>
    <m/>
    <s v="60% POLYESTER/40% COTTON DOUBLE FACE KNIT 320 GM/M2"/>
    <s v="KNIT"/>
    <s v="6112.12.0050"/>
    <n v="125"/>
    <n v="21.538249999999998"/>
    <n v="14.75"/>
    <n v="0.28199999999999997"/>
    <n v="4.1594999999999995"/>
    <n v="7.4999999999999997E-2"/>
    <n v="1.10625"/>
    <n v="7.0000000000000007E-2"/>
    <n v="1.0325000000000002"/>
    <n v="0.49"/>
    <n v="700"/>
    <m/>
    <n v="0"/>
    <m/>
    <m/>
    <m/>
    <m/>
    <n v="700"/>
    <n v="87500"/>
    <n v="0"/>
    <n v="87500"/>
    <n v="15076.774999999998"/>
    <n v="0"/>
    <n v="15076.774999999998"/>
  </r>
  <r>
    <x v="2"/>
    <s v="BBUK"/>
    <s v="CHINA"/>
    <s v="UKS24M27300"/>
    <m/>
    <s v="60% POLYESTER/40% COTTON DOUBLE FACE KNIT 320 GM/M2"/>
    <s v="KNIT"/>
    <s v="6112.12.0010"/>
    <n v="140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1000"/>
    <m/>
    <n v="0"/>
    <m/>
    <m/>
    <m/>
    <m/>
    <n v="1000"/>
    <n v="140000"/>
    <n v="0"/>
    <n v="140000"/>
    <n v="29743.499999999996"/>
    <n v="0"/>
    <n v="29743.499999999996"/>
  </r>
  <r>
    <x v="3"/>
    <s v="BBUK"/>
    <s v="CHINA"/>
    <s v="UKS24M27301"/>
    <m/>
    <s v="60% POLYESTER/40% COTTON DOUBLE FACE KNIT 320 GM/M2"/>
    <s v="KNIT"/>
    <s v="6112.12.0050"/>
    <n v="125"/>
    <n v="25.177099999999996"/>
    <n v="17.3"/>
    <n v="0.28199999999999997"/>
    <n v="4.8785999999999996"/>
    <n v="7.4999999999999997E-2"/>
    <n v="1.2975000000000001"/>
    <n v="7.0000000000000007E-2"/>
    <n v="1.2110000000000001"/>
    <n v="0.49"/>
    <n v="900"/>
    <m/>
    <n v="0"/>
    <m/>
    <m/>
    <m/>
    <m/>
    <n v="900"/>
    <n v="112500"/>
    <n v="0"/>
    <n v="112500"/>
    <n v="22659.389999999996"/>
    <n v="0"/>
    <n v="22659.389999999996"/>
  </r>
  <r>
    <x v="2"/>
    <s v="BBUK"/>
    <s v="CHINA"/>
    <s v="UKS25M27300"/>
    <m/>
    <s v="60% POLYESTER/40% COTTON DOUBLE FACE KNIT 320 GM/M2"/>
    <s v="KNIT"/>
    <s v="6112.12.0010"/>
    <n v="140"/>
    <n v="29.743499999999997"/>
    <n v="20.5"/>
    <n v="0.28199999999999997"/>
    <n v="5.7809999999999997"/>
    <n v="7.4999999999999997E-2"/>
    <n v="1.5374999999999999"/>
    <n v="7.0000000000000007E-2"/>
    <n v="1.4350000000000001"/>
    <n v="0.49"/>
    <n v="800"/>
    <m/>
    <n v="0"/>
    <m/>
    <m/>
    <m/>
    <m/>
    <n v="800"/>
    <n v="112000"/>
    <n v="0"/>
    <n v="112000"/>
    <n v="23794.799999999999"/>
    <n v="0"/>
    <n v="23794.799999999999"/>
  </r>
  <r>
    <x v="3"/>
    <s v="BBUK"/>
    <s v="CHINA"/>
    <s v="UKS25M27301"/>
    <m/>
    <s v="60% POLYESTER/40% COTTON DOUBLE FACE KNIT 320 GM/M2"/>
    <s v="KNIT"/>
    <s v="6112.12.0050"/>
    <n v="125"/>
    <n v="25.177099999999996"/>
    <n v="17.3"/>
    <n v="0.28199999999999997"/>
    <n v="4.8785999999999996"/>
    <n v="7.4999999999999997E-2"/>
    <n v="1.2975000000000001"/>
    <n v="7.0000000000000007E-2"/>
    <n v="1.2110000000000001"/>
    <n v="0.49"/>
    <n v="700"/>
    <m/>
    <n v="0"/>
    <m/>
    <m/>
    <m/>
    <m/>
    <n v="700"/>
    <n v="87500"/>
    <n v="0"/>
    <n v="87500"/>
    <n v="17623.969999999998"/>
    <n v="0"/>
    <n v="17623.969999999998"/>
  </r>
  <r>
    <x v="2"/>
    <s v="BBUK"/>
    <s v="CHINA "/>
    <s v="UKS25M12128"/>
    <m/>
    <s v="100% POLYESTER MESH 185 GM/M2"/>
    <s v="KNIT"/>
    <s v="6112.12.0010"/>
    <n v="150"/>
    <n v="29.814850000000003"/>
    <n v="20.55"/>
    <n v="0.28199999999999997"/>
    <n v="5.7950999999999997"/>
    <n v="7.4999999999999997E-2"/>
    <n v="1.54125"/>
    <n v="7.0000000000000007E-2"/>
    <n v="1.4385000000000001"/>
    <n v="0.49"/>
    <n v="400"/>
    <m/>
    <n v="100"/>
    <m/>
    <m/>
    <m/>
    <m/>
    <n v="500"/>
    <n v="60000"/>
    <n v="15000"/>
    <n v="75000"/>
    <n v="11925.94"/>
    <n v="2981.4850000000001"/>
    <n v="14907.425000000001"/>
  </r>
  <r>
    <x v="7"/>
    <s v="BBUK"/>
    <s v="CHINA "/>
    <s v="UKS25M12127"/>
    <m/>
    <s v="100% POLYESTER MESH 185 GM/M2"/>
    <s v="KNIT"/>
    <s v="6109.90.1007"/>
    <n v="68"/>
    <n v="14.0266"/>
    <n v="9.24"/>
    <n v="0.32"/>
    <n v="2.9568000000000003"/>
    <n v="7.4999999999999997E-2"/>
    <n v="0.69299999999999995"/>
    <n v="7.0000000000000007E-2"/>
    <n v="0.64680000000000004"/>
    <n v="0.49"/>
    <n v="500"/>
    <m/>
    <n v="0"/>
    <m/>
    <m/>
    <m/>
    <m/>
    <n v="500"/>
    <n v="34000"/>
    <n v="0"/>
    <n v="34000"/>
    <n v="7013.3"/>
    <n v="0"/>
    <n v="7013.3"/>
  </r>
  <r>
    <x v="6"/>
    <s v="BBUK"/>
    <s v="CHINA "/>
    <s v="UKS25M12129"/>
    <m/>
    <s v="100% POLYESTER MESH 185 GM/M2"/>
    <s v="KNIT"/>
    <s v="6103.43.1550"/>
    <n v="88"/>
    <n v="17.756699999999999"/>
    <n v="12.1"/>
    <n v="0.28199999999999997"/>
    <n v="3.4121999999999995"/>
    <n v="7.4999999999999997E-2"/>
    <n v="0.90749999999999997"/>
    <n v="7.0000000000000007E-2"/>
    <n v="0.84700000000000009"/>
    <n v="0.49"/>
    <n v="500"/>
    <m/>
    <n v="0"/>
    <m/>
    <m/>
    <m/>
    <m/>
    <n v="500"/>
    <n v="44000"/>
    <n v="0"/>
    <n v="44000"/>
    <n v="8878.3499999999985"/>
    <n v="0"/>
    <n v="8878.3499999999985"/>
  </r>
  <r>
    <x v="2"/>
    <s v="BBUK"/>
    <s v="CHINA "/>
    <s v="UKS25M12128"/>
    <m/>
    <s v="100% POLYESTER MESH 185 GM/M2"/>
    <s v="KNIT"/>
    <s v="6112.12.0010"/>
    <n v="150"/>
    <n v="29.814850000000003"/>
    <n v="20.55"/>
    <n v="0.28199999999999997"/>
    <n v="5.7950999999999997"/>
    <n v="7.4999999999999997E-2"/>
    <n v="1.54125"/>
    <n v="7.0000000000000007E-2"/>
    <n v="1.4385000000000001"/>
    <n v="0.49"/>
    <n v="400"/>
    <m/>
    <n v="100"/>
    <m/>
    <m/>
    <m/>
    <m/>
    <n v="500"/>
    <n v="60000"/>
    <n v="15000"/>
    <n v="75000"/>
    <n v="11925.94"/>
    <n v="2981.4850000000001"/>
    <n v="14907.425000000001"/>
  </r>
  <r>
    <x v="7"/>
    <s v="BBUK"/>
    <s v="CHINA "/>
    <s v="UKS25M12127"/>
    <m/>
    <s v="100% POLYESTER MESH 185 GM/M2"/>
    <s v="KNIT"/>
    <s v="6109.90.1007"/>
    <n v="68"/>
    <n v="14.0266"/>
    <n v="9.24"/>
    <n v="0.32"/>
    <n v="2.9568000000000003"/>
    <n v="7.4999999999999997E-2"/>
    <n v="0.69299999999999995"/>
    <n v="7.0000000000000007E-2"/>
    <n v="0.64680000000000004"/>
    <n v="0.49"/>
    <n v="500"/>
    <m/>
    <n v="0"/>
    <m/>
    <m/>
    <m/>
    <m/>
    <n v="500"/>
    <n v="34000"/>
    <n v="0"/>
    <n v="34000"/>
    <n v="7013.3"/>
    <n v="0"/>
    <n v="7013.3"/>
  </r>
  <r>
    <x v="6"/>
    <s v="BBUK"/>
    <s v="CHINA "/>
    <s v="UKS25M12129"/>
    <m/>
    <s v="100% POLYESTER MESH 185 GM/M2"/>
    <s v="KNIT"/>
    <s v="6103.43.1550"/>
    <n v="88"/>
    <n v="17.756699999999999"/>
    <n v="12.1"/>
    <n v="0.28199999999999997"/>
    <n v="3.4121999999999995"/>
    <n v="7.4999999999999997E-2"/>
    <n v="0.90749999999999997"/>
    <n v="7.0000000000000007E-2"/>
    <n v="0.84700000000000009"/>
    <n v="0.49"/>
    <n v="500"/>
    <m/>
    <n v="0"/>
    <m/>
    <m/>
    <m/>
    <m/>
    <n v="500"/>
    <n v="44000"/>
    <n v="0"/>
    <n v="44000"/>
    <n v="8878.3499999999985"/>
    <n v="0"/>
    <n v="8878.3499999999985"/>
  </r>
  <r>
    <x v="2"/>
    <s v="BBUK"/>
    <s v="CHINA "/>
    <s v="UKS25M12124"/>
    <m/>
    <s v="60% POLYESTER/40% COTTON DOUBLE KNIT 280 GM/M2"/>
    <s v="KNIT"/>
    <s v="6112.12.0010"/>
    <n v="14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600"/>
    <n v="16"/>
    <n v="0"/>
    <m/>
    <m/>
    <m/>
    <m/>
    <n v="616"/>
    <n v="87000"/>
    <n v="2320"/>
    <n v="89320"/>
    <n v="15919.649999999998"/>
    <n v="424.52399999999994"/>
    <n v="16344.173999999997"/>
  </r>
  <r>
    <x v="3"/>
    <s v="BBUK"/>
    <s v="CHINA "/>
    <s v="UKS25M14595"/>
    <m/>
    <s v="60% POLYESTER/40% COTTON DOUBLE KNIT 280 GM/M2"/>
    <s v="KNIT"/>
    <s v="6112.12.0050"/>
    <n v="12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500"/>
    <n v="16"/>
    <n v="0"/>
    <m/>
    <m/>
    <m/>
    <m/>
    <n v="516"/>
    <n v="62500"/>
    <n v="2000"/>
    <n v="64500"/>
    <n v="10590.749999999998"/>
    <n v="338.90399999999994"/>
    <n v="10929.653999999999"/>
  </r>
  <r>
    <x v="7"/>
    <s v="BBUK"/>
    <s v="INDIA  "/>
    <s v="UKS25M12125"/>
    <m/>
    <s v="100% COTTON JERSEY 190 GM/M2"/>
    <s v="KNIT"/>
    <s v="6109.10.0012"/>
    <n v="48"/>
    <n v="8.1470000000000002"/>
    <n v="6.2"/>
    <n v="0.16500000000000001"/>
    <n v="1.0230000000000001"/>
    <m/>
    <m/>
    <n v="7.0000000000000007E-2"/>
    <n v="0.43400000000000005"/>
    <n v="0.49"/>
    <n v="700"/>
    <n v="447"/>
    <n v="0"/>
    <m/>
    <m/>
    <m/>
    <m/>
    <n v="1147"/>
    <n v="33600"/>
    <n v="21456"/>
    <n v="55056"/>
    <n v="5702.9000000000005"/>
    <n v="3641.7090000000003"/>
    <n v="9344.6090000000004"/>
  </r>
  <r>
    <x v="6"/>
    <s v="BBUK"/>
    <s v="CHINA "/>
    <s v="UKS25M12137"/>
    <m/>
    <s v="60% POLYESTER/40% COTTON DOUBLE KNIT 280 GM/M2"/>
    <s v="KNIT"/>
    <s v="6103.43.1550"/>
    <n v="78"/>
    <n v="16.401049999999998"/>
    <n v="11.15"/>
    <n v="0.28199999999999997"/>
    <n v="3.1442999999999999"/>
    <n v="7.4999999999999997E-2"/>
    <n v="0.83625000000000005"/>
    <n v="7.0000000000000007E-2"/>
    <n v="0.78050000000000008"/>
    <n v="0.49"/>
    <n v="700"/>
    <n v="407"/>
    <n v="0"/>
    <m/>
    <m/>
    <m/>
    <m/>
    <n v="1107"/>
    <n v="54600"/>
    <n v="31746"/>
    <n v="86346"/>
    <n v="11480.734999999999"/>
    <n v="6675.2273499999992"/>
    <n v="18155.962349999998"/>
  </r>
  <r>
    <x v="2"/>
    <s v="BBUK"/>
    <s v="CHINA "/>
    <s v="UKS25M12124"/>
    <m/>
    <s v="60% POLYESTER/40% COTTON DOUBLE KNIT 280 GM/M2"/>
    <s v="KNIT"/>
    <s v="6112.12.0010"/>
    <n v="145"/>
    <n v="26.532749999999997"/>
    <n v="18.25"/>
    <n v="0.28199999999999997"/>
    <n v="5.1464999999999996"/>
    <n v="7.4999999999999997E-2"/>
    <n v="1.3687499999999999"/>
    <n v="7.0000000000000007E-2"/>
    <n v="1.2775000000000001"/>
    <n v="0.49"/>
    <n v="500"/>
    <n v="157"/>
    <n v="0"/>
    <m/>
    <m/>
    <m/>
    <m/>
    <n v="657"/>
    <n v="72500"/>
    <n v="22765"/>
    <n v="95265"/>
    <n v="13266.374999999998"/>
    <n v="4165.6417499999998"/>
    <n v="17432.016749999999"/>
  </r>
  <r>
    <x v="3"/>
    <s v="BBUK"/>
    <s v="CHINA "/>
    <s v="UKS25M14595"/>
    <m/>
    <s v="60% POLYESTER/40% COTTON DOUBLE KNIT 280 GM/M2"/>
    <s v="KNIT"/>
    <s v="6112.12.0050"/>
    <n v="12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500"/>
    <n v="157"/>
    <n v="0"/>
    <m/>
    <m/>
    <m/>
    <m/>
    <n v="657"/>
    <n v="62500"/>
    <n v="19625"/>
    <n v="82125"/>
    <n v="10590.749999999998"/>
    <n v="3325.4954999999995"/>
    <n v="13916.245499999997"/>
  </r>
  <r>
    <x v="7"/>
    <s v="BBUK"/>
    <s v="INDIA  "/>
    <s v="UKS25M12125"/>
    <m/>
    <s v="100% COTTON JERSEY 190 GM/M2"/>
    <s v="KNIT"/>
    <s v="6109.10.0012"/>
    <n v="48"/>
    <n v="8.1470000000000002"/>
    <n v="6.2"/>
    <n v="0.16500000000000001"/>
    <n v="1.0230000000000001"/>
    <m/>
    <m/>
    <n v="7.0000000000000007E-2"/>
    <n v="0.43400000000000005"/>
    <n v="0.49"/>
    <n v="600"/>
    <n v="299"/>
    <n v="0"/>
    <m/>
    <m/>
    <m/>
    <m/>
    <n v="899"/>
    <n v="28800"/>
    <n v="14352"/>
    <n v="43152"/>
    <n v="4888.2"/>
    <n v="2435.953"/>
    <n v="7324.1530000000002"/>
  </r>
  <r>
    <x v="6"/>
    <s v="BBUK"/>
    <s v="CHINA "/>
    <s v="UKS25M12137"/>
    <m/>
    <s v="60% POLYESTER/40% COTTON DOUBLE KNIT 280 GM/M2"/>
    <s v="KNIT"/>
    <s v="6103.43.1550"/>
    <n v="78"/>
    <n v="16.401049999999998"/>
    <n v="11.15"/>
    <n v="0.28199999999999997"/>
    <n v="3.1442999999999999"/>
    <n v="7.4999999999999997E-2"/>
    <n v="0.83625000000000005"/>
    <n v="7.0000000000000007E-2"/>
    <n v="0.78050000000000008"/>
    <n v="0.49"/>
    <n v="600"/>
    <n v="232"/>
    <n v="0"/>
    <m/>
    <m/>
    <m/>
    <m/>
    <n v="832"/>
    <n v="46800"/>
    <n v="18096"/>
    <n v="64896"/>
    <n v="9840.6299999999992"/>
    <n v="3805.0435999999995"/>
    <n v="13645.673599999998"/>
  </r>
  <r>
    <x v="2"/>
    <s v="HESRRO"/>
    <s v="CHINA"/>
    <s v="STS25W51058"/>
    <s v="FF331"/>
    <s v="60% POLYESTER/40% COTTON DOUBLE KNIT 280 GM/M2"/>
    <s v="KNIT"/>
    <s v="6112.12.0020"/>
    <n v="135"/>
    <n v="21.466899999999995"/>
    <n v="14.7"/>
    <n v="0.28199999999999997"/>
    <n v="4.1453999999999995"/>
    <n v="7.4999999999999997E-2"/>
    <n v="1.1024999999999998"/>
    <n v="7.0000000000000007E-2"/>
    <n v="1.0290000000000001"/>
    <n v="0.49"/>
    <n v="250"/>
    <n v="119"/>
    <m/>
    <m/>
    <m/>
    <m/>
    <m/>
    <n v="369"/>
    <n v="33750"/>
    <n v="16065"/>
    <n v="49815"/>
    <n v="5366.7249999999985"/>
    <n v="2554.5610999999994"/>
    <n v="7921.2860999999975"/>
  </r>
  <r>
    <x v="3"/>
    <s v="HESRRO"/>
    <s v="CHINA"/>
    <s v="STS25W51059"/>
    <s v="FF331"/>
    <s v="60% POLYESTER/40% COTTON DOUBLE KNIT 280 GM/M2"/>
    <s v="KNIT"/>
    <s v="6112.12.0060"/>
    <n v="110"/>
    <n v="20.468"/>
    <n v="14"/>
    <n v="0.28199999999999997"/>
    <n v="3.9479999999999995"/>
    <n v="7.4999999999999997E-2"/>
    <n v="1.05"/>
    <n v="7.0000000000000007E-2"/>
    <n v="0.98000000000000009"/>
    <n v="0.49"/>
    <n v="250"/>
    <n v="119"/>
    <m/>
    <m/>
    <m/>
    <m/>
    <m/>
    <n v="369"/>
    <n v="27500"/>
    <n v="13090"/>
    <n v="40590"/>
    <n v="5117"/>
    <n v="2435.692"/>
    <n v="7552.692"/>
  </r>
  <r>
    <x v="2"/>
    <s v="HESRRO"/>
    <s v="CHINA"/>
    <s v="STS25W51058"/>
    <s v="FF331"/>
    <s v="60% POLYESTER/40% COTTON DOUBLE KNIT 280 GM/M2"/>
    <s v="KNIT"/>
    <s v="6112.12.0020"/>
    <n v="135"/>
    <n v="21.466899999999995"/>
    <n v="14.7"/>
    <n v="0.28199999999999997"/>
    <n v="4.1453999999999995"/>
    <n v="7.4999999999999997E-2"/>
    <n v="1.1024999999999998"/>
    <n v="7.0000000000000007E-2"/>
    <n v="1.0290000000000001"/>
    <n v="0.49"/>
    <n v="250"/>
    <n v="10"/>
    <m/>
    <m/>
    <m/>
    <m/>
    <m/>
    <n v="260"/>
    <n v="33750"/>
    <n v="1350"/>
    <n v="35100"/>
    <n v="5366.7249999999985"/>
    <n v="214.66899999999995"/>
    <n v="5581.3939999999984"/>
  </r>
  <r>
    <x v="3"/>
    <s v="HESRRO"/>
    <s v="CHINA"/>
    <s v="STS25W51059"/>
    <s v="FF331"/>
    <s v="60% POLYESTER/40% COTTON DOUBLE KNIT 280 GM/M2"/>
    <s v="KNIT"/>
    <s v="6112.12.0060"/>
    <n v="110"/>
    <n v="20.468"/>
    <n v="14"/>
    <n v="0.28199999999999997"/>
    <n v="3.9479999999999995"/>
    <n v="7.4999999999999997E-2"/>
    <n v="1.05"/>
    <n v="7.0000000000000007E-2"/>
    <n v="0.98000000000000009"/>
    <n v="0.49"/>
    <n v="250"/>
    <n v="10"/>
    <m/>
    <m/>
    <m/>
    <m/>
    <m/>
    <n v="260"/>
    <n v="27500"/>
    <n v="1100"/>
    <n v="28600"/>
    <n v="5117"/>
    <n v="204.68"/>
    <n v="5321.68"/>
  </r>
  <r>
    <x v="2"/>
    <s v="HESRRO"/>
    <s v="CHINA"/>
    <s v="STS25W50887"/>
    <s v="FF331"/>
    <s v="60% POLYESTER/40% COTTON DOUBLE KNIT 280 GM/M2"/>
    <s v="KNIT"/>
    <s v="6112.12.002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250"/>
    <n v="101"/>
    <m/>
    <m/>
    <m/>
    <m/>
    <m/>
    <n v="351"/>
    <n v="31250"/>
    <n v="12625"/>
    <n v="43875"/>
    <n v="5652.125"/>
    <n v="2283.4584999999997"/>
    <n v="7935.5834999999997"/>
  </r>
  <r>
    <x v="3"/>
    <s v="HESRRO"/>
    <s v="CHINA"/>
    <s v="STS25W50888"/>
    <s v="FF331"/>
    <s v="60% POLYESTER/40% COTTON DOUBLE KNIT 280 GM/M2"/>
    <s v="KNIT"/>
    <s v="6112.12.0060"/>
    <n v="110"/>
    <n v="21.895"/>
    <n v="15"/>
    <n v="0.28199999999999997"/>
    <n v="4.2299999999999995"/>
    <n v="7.4999999999999997E-2"/>
    <n v="1.125"/>
    <n v="7.0000000000000007E-2"/>
    <n v="1.05"/>
    <n v="0.49"/>
    <n v="250"/>
    <n v="101"/>
    <m/>
    <m/>
    <m/>
    <m/>
    <m/>
    <n v="351"/>
    <n v="27500"/>
    <n v="11110"/>
    <n v="38610"/>
    <n v="5473.75"/>
    <n v="2211.395"/>
    <n v="7685.1450000000004"/>
  </r>
  <r>
    <x v="2"/>
    <s v="HESRRO"/>
    <s v="CHINA"/>
    <s v="STS25W50887"/>
    <s v="FF331"/>
    <s v="60% POLYESTER/40% COTTON DOUBLE KNIT 280 GM/M2"/>
    <s v="KNIT"/>
    <s v="6112.12.0020"/>
    <n v="125"/>
    <n v="22.608499999999999"/>
    <n v="15.5"/>
    <n v="0.28199999999999997"/>
    <n v="4.3709999999999996"/>
    <n v="7.4999999999999997E-2"/>
    <n v="1.1624999999999999"/>
    <n v="7.0000000000000007E-2"/>
    <n v="1.0850000000000002"/>
    <n v="0.49"/>
    <n v="250"/>
    <n v="175"/>
    <m/>
    <m/>
    <m/>
    <m/>
    <m/>
    <n v="425"/>
    <n v="31250"/>
    <n v="21875"/>
    <n v="53125"/>
    <n v="5652.125"/>
    <n v="3956.4874999999997"/>
    <n v="9608.6124999999993"/>
  </r>
  <r>
    <x v="3"/>
    <s v="HESRRO"/>
    <s v="CHINA"/>
    <s v="STS25W50888"/>
    <s v="FF331"/>
    <s v="60% POLYESTER/40% COTTON DOUBLE KNIT 280 GM/M2"/>
    <s v="KNIT"/>
    <s v="6112.12.0060"/>
    <n v="110"/>
    <n v="21.895"/>
    <n v="15"/>
    <n v="0.28199999999999997"/>
    <n v="4.2299999999999995"/>
    <n v="7.4999999999999997E-2"/>
    <n v="1.125"/>
    <n v="7.0000000000000007E-2"/>
    <n v="1.05"/>
    <n v="0.49"/>
    <n v="250"/>
    <n v="175"/>
    <m/>
    <m/>
    <m/>
    <m/>
    <m/>
    <n v="425"/>
    <n v="27500"/>
    <n v="19250"/>
    <n v="46750"/>
    <n v="5473.75"/>
    <n v="3831.625"/>
    <n v="9305.375"/>
  </r>
  <r>
    <x v="2"/>
    <s v="HESRRO"/>
    <s v="CHINA"/>
    <s v="STS25W51199"/>
    <s v="FF358"/>
    <s v="100% POLYESTER MESH 128 GM/M2"/>
    <s v="WOVEN"/>
    <s v="6202.40.7511"/>
    <n v="145"/>
    <n v="24.1663"/>
    <n v="16.649999999999999"/>
    <n v="0.27700000000000002"/>
    <n v="4.61205"/>
    <n v="7.4999999999999997E-2"/>
    <n v="1.2487499999999998"/>
    <n v="7.0000000000000007E-2"/>
    <n v="1.1655"/>
    <n v="0.49"/>
    <n v="200"/>
    <m/>
    <m/>
    <m/>
    <m/>
    <m/>
    <m/>
    <n v="200"/>
    <n v="29000"/>
    <n v="0"/>
    <n v="29000"/>
    <n v="4833.26"/>
    <n v="0"/>
    <n v="4833.26"/>
  </r>
  <r>
    <x v="3"/>
    <s v="HESRRO"/>
    <s v="CHINA"/>
    <s v="STS25W51200"/>
    <s v="FF358"/>
    <s v="100% POLYESTER MESH 128 GM/M2"/>
    <s v="WOVEN"/>
    <s v="6204.63.9011"/>
    <n v="110"/>
    <n v="18.906969999999998"/>
    <n v="12.87"/>
    <n v="0.28599999999999998"/>
    <n v="3.6808199999999993"/>
    <n v="7.4999999999999997E-2"/>
    <n v="0.96524999999999994"/>
    <n v="7.0000000000000007E-2"/>
    <n v="0.90090000000000003"/>
    <n v="0.49"/>
    <n v="200"/>
    <m/>
    <m/>
    <m/>
    <m/>
    <m/>
    <n v="4"/>
    <n v="204"/>
    <n v="22000"/>
    <n v="440"/>
    <n v="22440"/>
    <n v="3781.3939999999993"/>
    <n v="51.48"/>
    <n v="3832.8739999999993"/>
  </r>
  <r>
    <x v="2"/>
    <s v="HESRRO"/>
    <s v="CHINA"/>
    <s v="STS25W51199"/>
    <s v="FF358"/>
    <s v="100% POLYESTER MESH 128 GM/M2"/>
    <s v="WOVEN"/>
    <s v="6202.40.7511"/>
    <n v="145"/>
    <n v="24.1663"/>
    <n v="16.649999999999999"/>
    <n v="0.27700000000000002"/>
    <n v="4.61205"/>
    <n v="7.4999999999999997E-2"/>
    <n v="1.2487499999999998"/>
    <n v="7.0000000000000007E-2"/>
    <n v="1.1655"/>
    <n v="0.49"/>
    <n v="200"/>
    <n v="253"/>
    <m/>
    <m/>
    <m/>
    <m/>
    <n v="4"/>
    <n v="457"/>
    <n v="29000"/>
    <n v="37265"/>
    <n v="66265"/>
    <n v="4833.26"/>
    <n v="6180.6739000000007"/>
    <n v="11013.9339"/>
  </r>
  <r>
    <x v="3"/>
    <s v="HESRRO"/>
    <s v="CHINA"/>
    <s v="STS25W51200"/>
    <s v="FF358"/>
    <s v="100% POLYESTER MESH 128 GM/M2"/>
    <s v="WOVEN"/>
    <s v="6204.63.9011"/>
    <n v="110"/>
    <n v="18.906969999999998"/>
    <n v="12.87"/>
    <n v="0.28599999999999998"/>
    <n v="3.6808199999999993"/>
    <n v="7.4999999999999997E-2"/>
    <n v="0.96524999999999994"/>
    <n v="7.0000000000000007E-2"/>
    <n v="0.90090000000000003"/>
    <n v="0.49"/>
    <n v="200"/>
    <n v="283"/>
    <m/>
    <m/>
    <m/>
    <m/>
    <n v="4"/>
    <n v="487"/>
    <n v="22000"/>
    <n v="31570"/>
    <n v="53570"/>
    <n v="3781.3939999999993"/>
    <n v="5402.152509999999"/>
    <n v="9183.5465099999983"/>
  </r>
  <r>
    <x v="2"/>
    <s v="HESRRO"/>
    <s v="CHINA"/>
    <s v="STS25W51088"/>
    <s v="FF359"/>
    <s v="85% POLYESTER/15% NYLON PEACHED 140 GM/M2"/>
    <s v="WOVEN"/>
    <s v="6202.40.7511"/>
    <n v="135"/>
    <n v="27.365799999999997"/>
    <n v="18.899999999999999"/>
    <n v="0.27700000000000002"/>
    <n v="5.2352999999999996"/>
    <n v="7.4999999999999997E-2"/>
    <n v="1.4174999999999998"/>
    <n v="7.0000000000000007E-2"/>
    <n v="1.323"/>
    <n v="0.49"/>
    <n v="250"/>
    <n v="8"/>
    <m/>
    <m/>
    <m/>
    <m/>
    <n v="4"/>
    <n v="262"/>
    <n v="33750"/>
    <n v="1620"/>
    <n v="35370"/>
    <n v="6841.4499999999989"/>
    <n v="294.52639999999997"/>
    <n v="7135.9763999999986"/>
  </r>
  <r>
    <x v="20"/>
    <s v="HESRRO"/>
    <s v="CHINA"/>
    <s v="STS25W51089"/>
    <s v="FF359"/>
    <s v="85% POLYESTER/15% NYLON PEACHED 140 GM/M2"/>
    <s v="WOVEN"/>
    <s v="6204.63.9032"/>
    <n v="88"/>
    <n v="18.663699999999999"/>
    <n v="12.7"/>
    <n v="0.28599999999999998"/>
    <n v="3.6321999999999997"/>
    <n v="7.4999999999999997E-2"/>
    <n v="0.9524999999999999"/>
    <n v="7.0000000000000007E-2"/>
    <n v="0.88900000000000001"/>
    <n v="0.49"/>
    <n v="250"/>
    <n v="8"/>
    <m/>
    <m/>
    <m/>
    <m/>
    <n v="6"/>
    <n v="264"/>
    <n v="22000"/>
    <n v="1232"/>
    <n v="23232"/>
    <n v="4665.9249999999993"/>
    <n v="225.50959999999998"/>
    <n v="4891.4345999999996"/>
  </r>
  <r>
    <x v="2"/>
    <s v="HESRRO"/>
    <s v="CHINA"/>
    <s v="STS25W51088"/>
    <s v="FF359"/>
    <s v="85% POLYESTER/15% NYLON PEACHED 140 GM/M2"/>
    <s v="WOVEN"/>
    <s v="6202.40.7511"/>
    <n v="135"/>
    <n v="27.365799999999997"/>
    <n v="18.899999999999999"/>
    <n v="0.27700000000000002"/>
    <n v="5.2352999999999996"/>
    <n v="7.4999999999999997E-2"/>
    <n v="1.4174999999999998"/>
    <n v="7.0000000000000007E-2"/>
    <n v="1.323"/>
    <n v="0.49"/>
    <n v="200"/>
    <n v="101"/>
    <m/>
    <m/>
    <m/>
    <m/>
    <n v="6"/>
    <n v="307"/>
    <n v="27000"/>
    <n v="14445"/>
    <n v="41445"/>
    <n v="5473.1599999999989"/>
    <n v="2877.3457999999996"/>
    <n v="8350.505799999999"/>
  </r>
  <r>
    <x v="20"/>
    <s v="HESRRO"/>
    <s v="CHINA"/>
    <s v="STS25W51089"/>
    <s v="FF359"/>
    <s v="85% POLYESTER/15% NYLON PEACHED 140 GM/M2"/>
    <s v="WOVEN"/>
    <s v="6204.63.9032"/>
    <n v="88"/>
    <n v="18.663699999999999"/>
    <n v="12.7"/>
    <n v="0.28599999999999998"/>
    <n v="3.6321999999999997"/>
    <n v="7.4999999999999997E-2"/>
    <n v="0.9524999999999999"/>
    <n v="7.0000000000000007E-2"/>
    <n v="0.88900000000000001"/>
    <n v="0.49"/>
    <n v="200"/>
    <n v="101"/>
    <m/>
    <m/>
    <m/>
    <m/>
    <n v="10"/>
    <n v="311"/>
    <n v="17600"/>
    <n v="9768"/>
    <n v="27368"/>
    <n v="3732.74"/>
    <n v="2012.0337"/>
    <n v="5744.7736999999997"/>
  </r>
  <r>
    <x v="21"/>
    <s v="HESRRO"/>
    <s v="CHINA"/>
    <s v="STS25W51090"/>
    <s v="FF367-H"/>
    <s v="100% POLYESTER 195 GM/M2"/>
    <s v="WOVEN"/>
    <s v="6206.40.3035"/>
    <n v="88"/>
    <n v="14.96936"/>
    <n v="10.24"/>
    <n v="0.26900000000000002"/>
    <n v="2.7545600000000001"/>
    <n v="7.4999999999999997E-2"/>
    <n v="0.76800000000000002"/>
    <n v="7.0000000000000007E-2"/>
    <n v="0.7168000000000001"/>
    <n v="0.49"/>
    <n v="200"/>
    <n v="123"/>
    <m/>
    <m/>
    <m/>
    <m/>
    <m/>
    <n v="323"/>
    <n v="17600"/>
    <n v="10824"/>
    <n v="28424"/>
    <n v="2993.8719999999998"/>
    <n v="1841.23128"/>
    <n v="4835.1032799999994"/>
  </r>
  <r>
    <x v="3"/>
    <s v="HESRRO"/>
    <s v="CHINA"/>
    <s v="STS25W51091"/>
    <s v="FF367-H"/>
    <s v="100% POLYESTER 195 GM/M2"/>
    <s v="WOVEN"/>
    <s v="6204.63.9011"/>
    <n v="88"/>
    <n v="19.379199999999994"/>
    <n v="13.2"/>
    <n v="0.28599999999999998"/>
    <n v="3.7751999999999994"/>
    <n v="7.4999999999999997E-2"/>
    <n v="0.98999999999999988"/>
    <n v="7.0000000000000007E-2"/>
    <n v="0.92400000000000004"/>
    <n v="0.49"/>
    <n v="200"/>
    <n v="123"/>
    <m/>
    <m/>
    <m/>
    <m/>
    <m/>
    <n v="323"/>
    <n v="17600"/>
    <n v="10824"/>
    <n v="28424"/>
    <n v="3875.8399999999988"/>
    <n v="2383.641599999999"/>
    <n v="6259.4815999999973"/>
  </r>
  <r>
    <x v="21"/>
    <s v="HESRRO"/>
    <s v="CHINA"/>
    <s v="STS25W51090"/>
    <s v="FF367-H"/>
    <s v="100% POLYESTER 195 GM/M2"/>
    <s v="WOVEN"/>
    <s v="6206.40.3035"/>
    <n v="88"/>
    <n v="14.96936"/>
    <n v="10.24"/>
    <n v="0.26900000000000002"/>
    <n v="2.7545600000000001"/>
    <n v="7.4999999999999997E-2"/>
    <n v="0.76800000000000002"/>
    <n v="7.0000000000000007E-2"/>
    <n v="0.7168000000000001"/>
    <n v="0.49"/>
    <n v="250"/>
    <m/>
    <m/>
    <m/>
    <m/>
    <m/>
    <m/>
    <n v="250"/>
    <n v="22000"/>
    <n v="0"/>
    <n v="22000"/>
    <n v="3742.34"/>
    <n v="0"/>
    <n v="3742.34"/>
  </r>
  <r>
    <x v="3"/>
    <s v="HESRRO"/>
    <s v="CHINA"/>
    <s v="STS25W51091"/>
    <s v="FF367-H"/>
    <s v="100% POLYESTER 195 GM/M2"/>
    <s v="WOVEN"/>
    <s v="6204.63.9011"/>
    <n v="88"/>
    <n v="19.379199999999994"/>
    <n v="13.2"/>
    <n v="0.28599999999999998"/>
    <n v="3.7751999999999994"/>
    <n v="7.4999999999999997E-2"/>
    <n v="0.98999999999999988"/>
    <n v="7.0000000000000007E-2"/>
    <n v="0.92400000000000004"/>
    <n v="0.49"/>
    <n v="250"/>
    <m/>
    <m/>
    <m/>
    <m/>
    <m/>
    <m/>
    <n v="250"/>
    <n v="22000"/>
    <n v="0"/>
    <n v="22000"/>
    <n v="4844.7999999999984"/>
    <n v="0"/>
    <n v="4844.7999999999984"/>
  </r>
  <r>
    <x v="2"/>
    <s v="HESRRO"/>
    <s v="CHINA"/>
    <s v="STS25W51092"/>
    <s v="FF302-H"/>
    <s v="72% COTTON/25% RECYCLED POLYESTER/3% SPANDEX 190 GM/M2"/>
    <s v="WOVEN"/>
    <s v="6211.32.9050"/>
    <n v="125"/>
    <n v="21.12358"/>
    <n v="16.829999999999998"/>
    <n v="8.1000000000000003E-2"/>
    <n v="1.3632299999999999"/>
    <n v="7.4999999999999997E-2"/>
    <n v="1.2622499999999999"/>
    <n v="7.0000000000000007E-2"/>
    <n v="1.1780999999999999"/>
    <n v="0.49"/>
    <n v="200"/>
    <n v="115"/>
    <m/>
    <m/>
    <m/>
    <m/>
    <m/>
    <n v="315"/>
    <n v="25000"/>
    <n v="14375"/>
    <n v="39375"/>
    <n v="4224.7160000000003"/>
    <n v="2429.2116999999998"/>
    <n v="6653.9277000000002"/>
  </r>
  <r>
    <x v="22"/>
    <s v="HESRRO"/>
    <s v="CHINA"/>
    <s v="STS25W51093"/>
    <s v="FF302-H"/>
    <s v="72% COTTON/25% RECYCLED POLYESTER/3% SPANDEX 190 GM/M2"/>
    <s v="WOVEN"/>
    <s v="6204.52.2070"/>
    <n v="78"/>
    <n v="11.667969999999999"/>
    <n v="9.11"/>
    <n v="8.2000000000000003E-2"/>
    <n v="0.74702000000000002"/>
    <n v="7.4999999999999997E-2"/>
    <n v="0.68324999999999991"/>
    <n v="7.0000000000000007E-2"/>
    <n v="0.63770000000000004"/>
    <n v="0.49"/>
    <n v="200"/>
    <n v="115"/>
    <m/>
    <m/>
    <m/>
    <m/>
    <m/>
    <n v="315"/>
    <n v="15600"/>
    <n v="8970"/>
    <n v="24570"/>
    <n v="2333.5939999999996"/>
    <n v="1341.8165499999998"/>
    <n v="3675.4105499999996"/>
  </r>
  <r>
    <x v="2"/>
    <s v="HESRRO"/>
    <s v="CHINA"/>
    <s v="STS25W51092"/>
    <s v="FF302-H"/>
    <s v="72% COTTON/25% RECYCLED POLYESTER/3% SPANDEX 190 GM/M2"/>
    <s v="WOVEN"/>
    <s v="6211.32.9050"/>
    <n v="125"/>
    <n v="21.12358"/>
    <n v="16.829999999999998"/>
    <n v="8.1000000000000003E-2"/>
    <n v="1.3632299999999999"/>
    <n v="7.4999999999999997E-2"/>
    <n v="1.2622499999999999"/>
    <n v="7.0000000000000007E-2"/>
    <n v="1.1780999999999999"/>
    <n v="0.49"/>
    <n v="250"/>
    <n v="131"/>
    <m/>
    <m/>
    <m/>
    <m/>
    <m/>
    <n v="381"/>
    <n v="31250"/>
    <n v="16375"/>
    <n v="47625"/>
    <n v="5280.8950000000004"/>
    <n v="2767.1889799999999"/>
    <n v="8048.0839800000003"/>
  </r>
  <r>
    <x v="23"/>
    <s v="HESRRO"/>
    <s v="CHINA"/>
    <s v="STS25W51093"/>
    <s v="FF302-H"/>
    <s v="72% COTTON/25% RECYCLED POLYESTER/3% SPANDEX 190 GM/M2"/>
    <s v="WOVEN"/>
    <s v="6204.52.2070"/>
    <n v="78"/>
    <n v="11.667969999999999"/>
    <n v="9.11"/>
    <n v="8.2000000000000003E-2"/>
    <n v="0.74702000000000002"/>
    <n v="7.4999999999999997E-2"/>
    <n v="0.68324999999999991"/>
    <n v="7.0000000000000007E-2"/>
    <n v="0.63770000000000004"/>
    <n v="0.49"/>
    <n v="250"/>
    <n v="131"/>
    <m/>
    <m/>
    <m/>
    <m/>
    <m/>
    <n v="381"/>
    <n v="19500"/>
    <n v="10218"/>
    <n v="29718"/>
    <n v="2916.9924999999998"/>
    <n v="1528.5040699999997"/>
    <n v="4445.4965699999993"/>
  </r>
  <r>
    <x v="24"/>
    <s v="SARA"/>
    <s v="BANGLADESH"/>
    <s v="STS25W51160"/>
    <s v="FF325-S"/>
    <s v="100% COTTON 250 GM/M2"/>
    <s v="KNIT"/>
    <s v="6109.10.0012"/>
    <n v="42"/>
    <n v="7.3442499999999997"/>
    <n v="5.55"/>
    <n v="0.16500000000000001"/>
    <n v="0.91575000000000006"/>
    <m/>
    <m/>
    <n v="7.0000000000000007E-2"/>
    <n v="0.38850000000000001"/>
    <n v="0.49"/>
    <n v="200"/>
    <n v="311"/>
    <m/>
    <n v="100"/>
    <m/>
    <m/>
    <n v="6"/>
    <n v="617"/>
    <n v="8400"/>
    <n v="17514"/>
    <n v="25914"/>
    <n v="1468.85"/>
    <n v="2872.36175"/>
    <n v="4341.2117500000004"/>
  </r>
  <r>
    <x v="25"/>
    <s v="SARA"/>
    <s v="BANGLADESH"/>
    <s v="STS25W51217"/>
    <s v="FF042-S"/>
    <s v="100% COTTON FRENCH TERRY 360 GM/M2"/>
    <s v="KNIT"/>
    <s v="6110.20.2035"/>
    <n v="58"/>
    <n v="8.2087500000000002"/>
    <n v="6.25"/>
    <n v="0.16500000000000001"/>
    <n v="1.03125"/>
    <m/>
    <m/>
    <n v="7.0000000000000007E-2"/>
    <n v="0.43750000000000006"/>
    <n v="0.49"/>
    <n v="250"/>
    <n v="195"/>
    <m/>
    <m/>
    <m/>
    <m/>
    <m/>
    <n v="445"/>
    <n v="14500"/>
    <n v="11310"/>
    <n v="25810"/>
    <n v="2052.1875"/>
    <n v="1600.70625"/>
    <n v="3652.8937500000002"/>
  </r>
  <r>
    <x v="26"/>
    <s v="SARA"/>
    <s v="BANGLADESH"/>
    <s v="STS25W51218"/>
    <s v="FF042-S"/>
    <s v="100% COTTON FRENCH TERRY 360 GM/M2"/>
    <s v="KNIT"/>
    <s v="6104.52.0010"/>
    <n v="68"/>
    <n v="11.155250000000001"/>
    <n v="9.25"/>
    <n v="8.3000000000000004E-2"/>
    <n v="0.76775000000000004"/>
    <m/>
    <m/>
    <n v="7.0000000000000007E-2"/>
    <n v="0.64750000000000008"/>
    <n v="0.49"/>
    <n v="250"/>
    <n v="192"/>
    <m/>
    <m/>
    <m/>
    <m/>
    <n v="6"/>
    <n v="448"/>
    <n v="17000"/>
    <n v="13464"/>
    <n v="30464"/>
    <n v="2788.8125"/>
    <n v="2197.308"/>
    <n v="4986.1205"/>
  </r>
  <r>
    <x v="25"/>
    <s v="SARA"/>
    <s v="BANGLADESH"/>
    <s v="STS25W51217"/>
    <s v="FF042-S"/>
    <s v="100% COTTON FRENCH TERRY 360 GM/M2"/>
    <s v="KNIT"/>
    <s v="6110.20.2035"/>
    <n v="58"/>
    <n v="8.2087500000000002"/>
    <n v="6.25"/>
    <n v="0.16500000000000001"/>
    <n v="1.03125"/>
    <m/>
    <m/>
    <n v="7.0000000000000007E-2"/>
    <n v="0.43750000000000006"/>
    <n v="0.49"/>
    <n v="200"/>
    <n v="395"/>
    <m/>
    <m/>
    <m/>
    <m/>
    <m/>
    <n v="595"/>
    <n v="11600"/>
    <n v="22910"/>
    <n v="34510"/>
    <n v="1641.75"/>
    <n v="3242.4562500000002"/>
    <n v="4884.2062500000002"/>
  </r>
  <r>
    <x v="26"/>
    <s v="SARA"/>
    <s v="BANGLADESH"/>
    <s v="STS25W51218"/>
    <s v="FF042-S"/>
    <s v="100% COTTON FRENCH TERRY 360 GM/M2"/>
    <s v="KNIT"/>
    <s v="6104.52.0010"/>
    <n v="68"/>
    <n v="11.155250000000001"/>
    <n v="9.25"/>
    <n v="8.3000000000000004E-2"/>
    <n v="0.76775000000000004"/>
    <m/>
    <m/>
    <n v="7.0000000000000007E-2"/>
    <n v="0.64750000000000008"/>
    <n v="0.49"/>
    <n v="200"/>
    <n v="392"/>
    <m/>
    <m/>
    <m/>
    <m/>
    <n v="6"/>
    <n v="598"/>
    <n v="13600"/>
    <n v="27064"/>
    <n v="40664"/>
    <n v="2231.0500000000002"/>
    <n v="4428.3580000000002"/>
    <n v="6659.4080000000004"/>
  </r>
  <r>
    <x v="0"/>
    <s v="SARA"/>
    <s v="BANGLADESH"/>
    <s v="STS25W51212"/>
    <s v="FF042-S"/>
    <s v="100% COTTON FRENCH TERRY 360 GM/M2"/>
    <s v="KNIT"/>
    <s v="6106.10.0010"/>
    <n v="78"/>
    <n v="14.427"/>
    <n v="11"/>
    <n v="0.19700000000000001"/>
    <n v="2.1670000000000003"/>
    <m/>
    <m/>
    <n v="7.0000000000000007E-2"/>
    <n v="0.77"/>
    <n v="0.49"/>
    <n v="200"/>
    <n v="143"/>
    <m/>
    <m/>
    <m/>
    <m/>
    <m/>
    <n v="343"/>
    <n v="15600"/>
    <n v="11154"/>
    <n v="26754"/>
    <n v="2885.4"/>
    <n v="2063.0610000000001"/>
    <n v="4948.4610000000002"/>
  </r>
  <r>
    <x v="27"/>
    <s v="SARA"/>
    <s v="BANGLADESH"/>
    <s v="STS25W51213"/>
    <s v="FF042-S"/>
    <s v="100% COTTON FRENCH TERRY 360 GM/M2"/>
    <s v="KNIT"/>
    <s v="6104.62.2011"/>
    <n v="78"/>
    <n v="15.727500000000001"/>
    <n v="12.5"/>
    <n v="0.14899999999999999"/>
    <n v="1.8624999999999998"/>
    <m/>
    <m/>
    <n v="7.0000000000000007E-2"/>
    <n v="0.87500000000000011"/>
    <n v="0.49"/>
    <n v="200"/>
    <n v="143"/>
    <m/>
    <m/>
    <m/>
    <m/>
    <m/>
    <n v="343"/>
    <n v="15600"/>
    <n v="11154"/>
    <n v="26754"/>
    <n v="3145.5"/>
    <n v="2249.0325000000003"/>
    <n v="5394.5325000000003"/>
  </r>
  <r>
    <x v="0"/>
    <s v="SARA"/>
    <s v="BANGLADESH"/>
    <s v="STS25W51212"/>
    <s v="FF042-S"/>
    <s v="100% COTTON FRENCH TERRY 360 GM/M2"/>
    <s v="KNIT"/>
    <s v="6106.10.0010"/>
    <n v="78"/>
    <n v="14.427"/>
    <n v="11"/>
    <n v="0.19700000000000001"/>
    <n v="2.1670000000000003"/>
    <m/>
    <m/>
    <n v="7.0000000000000007E-2"/>
    <n v="0.77"/>
    <n v="0.49"/>
    <n v="200"/>
    <n v="133"/>
    <m/>
    <m/>
    <m/>
    <m/>
    <m/>
    <n v="333"/>
    <n v="15600"/>
    <n v="10374"/>
    <n v="25974"/>
    <n v="2885.4"/>
    <n v="1918.7909999999999"/>
    <n v="4804.1909999999998"/>
  </r>
  <r>
    <x v="27"/>
    <s v="SARA"/>
    <s v="BANGLADESH"/>
    <s v="STS25W51213"/>
    <s v="FF042-S"/>
    <s v="100% COTTON FRENCH TERRY 360 GM/M2"/>
    <s v="KNIT"/>
    <s v="6104.62.2011"/>
    <n v="78"/>
    <n v="15.727500000000001"/>
    <n v="12.5"/>
    <n v="0.14899999999999999"/>
    <n v="1.8624999999999998"/>
    <m/>
    <m/>
    <n v="7.0000000000000007E-2"/>
    <n v="0.87500000000000011"/>
    <n v="0.49"/>
    <n v="200"/>
    <n v="133"/>
    <m/>
    <m/>
    <m/>
    <m/>
    <m/>
    <n v="333"/>
    <n v="15600"/>
    <n v="10374"/>
    <n v="25974"/>
    <n v="3145.5"/>
    <n v="2091.7575000000002"/>
    <n v="5237.2574999999997"/>
  </r>
  <r>
    <x v="10"/>
    <s v="SARA"/>
    <s v="BANGLADESH"/>
    <s v="STS25W51216"/>
    <s v="FF042-S"/>
    <s v="100% COTTON FRENCH TERRY 360 GM/M2"/>
    <s v="KNIT"/>
    <s v="6110.20.2079"/>
    <n v="88"/>
    <n v="16.544999999999998"/>
    <n v="13"/>
    <n v="0.16500000000000001"/>
    <n v="2.145"/>
    <m/>
    <m/>
    <n v="7.0000000000000007E-2"/>
    <n v="0.91000000000000014"/>
    <n v="0.49"/>
    <n v="200"/>
    <n v="262"/>
    <m/>
    <m/>
    <m/>
    <m/>
    <m/>
    <n v="462"/>
    <n v="17600"/>
    <n v="23056"/>
    <n v="40656"/>
    <n v="3308.9999999999995"/>
    <n v="4334.79"/>
    <n v="7643.7899999999991"/>
  </r>
  <r>
    <x v="24"/>
    <s v="SARA"/>
    <s v="BANGLADESH"/>
    <s v="STS25W51159"/>
    <s v="FF387"/>
    <s v="65% COTTON/30% POLYESTER/5% ELASTANE PIQUE 160 GM/M2 "/>
    <s v="KNIT"/>
    <s v="6109.10.0012"/>
    <n v="42"/>
    <n v="6.8502500000000008"/>
    <n v="5.15"/>
    <n v="0.16500000000000001"/>
    <n v="0.84975000000000012"/>
    <m/>
    <m/>
    <n v="7.0000000000000007E-2"/>
    <n v="0.36050000000000004"/>
    <n v="0.49"/>
    <n v="200"/>
    <m/>
    <m/>
    <m/>
    <m/>
    <m/>
    <n v="10"/>
    <n v="210"/>
    <n v="8400"/>
    <n v="420"/>
    <n v="8820"/>
    <n v="1370.0500000000002"/>
    <n v="51.5"/>
    <n v="1421.5500000000002"/>
  </r>
  <r>
    <x v="24"/>
    <s v="SARA"/>
    <s v="BANGLADESH"/>
    <s v="STS25W51159"/>
    <s v="FF387"/>
    <s v="65% COTTON/30% POLYESTER/5% ELASTANE PIQUE 160 GM/M2 "/>
    <s v="KNIT"/>
    <s v="6109.10.0012"/>
    <n v="42"/>
    <n v="6.8502500000000008"/>
    <n v="5.15"/>
    <n v="0.16500000000000001"/>
    <n v="0.84975000000000012"/>
    <m/>
    <m/>
    <n v="7.0000000000000007E-2"/>
    <n v="0.36050000000000004"/>
    <n v="0.49"/>
    <n v="200"/>
    <m/>
    <m/>
    <m/>
    <m/>
    <m/>
    <n v="10"/>
    <n v="210"/>
    <n v="8400"/>
    <n v="420"/>
    <n v="8820"/>
    <n v="1370.0500000000002"/>
    <n v="51.5"/>
    <n v="1421.5500000000002"/>
  </r>
  <r>
    <x v="7"/>
    <s v="SARA"/>
    <s v="BANGLADESH"/>
    <s v="STS25W51209"/>
    <s v="FF388"/>
    <s v="94% POLYESTER/6% ELASTANE 190 GM/M2"/>
    <s v="KNIT"/>
    <s v="6109.90.1050"/>
    <n v="58"/>
    <n v="9.8725000000000005"/>
    <n v="6.75"/>
    <n v="0.32"/>
    <n v="2.16"/>
    <m/>
    <m/>
    <n v="7.0000000000000007E-2"/>
    <n v="0.47250000000000003"/>
    <n v="0.49"/>
    <n v="200"/>
    <n v="108"/>
    <m/>
    <m/>
    <m/>
    <m/>
    <m/>
    <n v="308"/>
    <n v="11600"/>
    <n v="6264"/>
    <n v="17864"/>
    <n v="1974.5"/>
    <n v="1066.23"/>
    <n v="3040.73"/>
  </r>
  <r>
    <x v="6"/>
    <s v="SARA"/>
    <s v="BANGLADESH"/>
    <s v="STS25W51211"/>
    <s v="FF042-S"/>
    <s v="100% COTTON FRENCH TERRY 360 GM/M2"/>
    <s v="KNIT"/>
    <s v="6104.62.2030"/>
    <n v="78"/>
    <n v="11.156250000000002"/>
    <n v="8.75"/>
    <n v="0.14899999999999999"/>
    <n v="1.30375"/>
    <m/>
    <m/>
    <n v="7.0000000000000007E-2"/>
    <n v="0.61250000000000004"/>
    <n v="0.49"/>
    <n v="200"/>
    <n v="120"/>
    <m/>
    <m/>
    <m/>
    <m/>
    <n v="4"/>
    <n v="324"/>
    <n v="15600"/>
    <n v="9672"/>
    <n v="25272"/>
    <n v="2231.2500000000005"/>
    <n v="1373.7500000000002"/>
    <n v="3605.0000000000009"/>
  </r>
  <r>
    <x v="28"/>
    <s v="SARA"/>
    <s v="BANGLADESH"/>
    <s v="STS25W51210"/>
    <s v="FF042-S"/>
    <s v="100% COTTON FRENCH TERRY 360 GM/M2"/>
    <s v="KNIT"/>
    <s v="6106.10.0010"/>
    <n v="125"/>
    <n v="25.83"/>
    <n v="20"/>
    <n v="0.19700000000000001"/>
    <n v="3.9400000000000004"/>
    <m/>
    <m/>
    <n v="7.0000000000000007E-2"/>
    <n v="1.4000000000000001"/>
    <n v="0.49"/>
    <n v="200"/>
    <n v="130"/>
    <m/>
    <m/>
    <m/>
    <m/>
    <m/>
    <n v="330"/>
    <n v="25000"/>
    <n v="16250"/>
    <n v="41250"/>
    <n v="5166"/>
    <n v="3357.8999999999996"/>
    <n v="8523.9"/>
  </r>
  <r>
    <x v="7"/>
    <s v="SARA"/>
    <s v="BANGLADESH"/>
    <s v="STS25W51141"/>
    <s v="FF325-S"/>
    <s v="100% COTTON JERSEY 250 GM/M2"/>
    <s v="KNIT"/>
    <s v="6109.10.0012"/>
    <n v="42"/>
    <n v="7.2824999999999998"/>
    <n v="5.5"/>
    <n v="0.16500000000000001"/>
    <n v="0.90750000000000008"/>
    <m/>
    <m/>
    <n v="7.0000000000000007E-2"/>
    <n v="0.38500000000000001"/>
    <n v="0.49"/>
    <n v="250"/>
    <n v="203"/>
    <m/>
    <m/>
    <m/>
    <m/>
    <n v="10"/>
    <n v="463"/>
    <n v="10500"/>
    <n v="8946"/>
    <n v="19446"/>
    <n v="1820.625"/>
    <n v="1533.3474999999999"/>
    <n v="3353.9724999999999"/>
  </r>
  <r>
    <x v="29"/>
    <s v="SARA"/>
    <s v="BANGLADESH"/>
    <s v="STS25W51208"/>
    <s v="FF388"/>
    <s v="94% POLYESTER/6% ELASTANE 190 GM/M2"/>
    <s v="KNIT"/>
    <s v="6212.10.9020"/>
    <n v="48"/>
    <n v="6.9947499999999998"/>
    <n v="5.25"/>
    <n v="0.16900000000000001"/>
    <n v="0.88725000000000009"/>
    <m/>
    <m/>
    <n v="7.0000000000000007E-2"/>
    <n v="0.36750000000000005"/>
    <n v="0.49"/>
    <n v="250"/>
    <m/>
    <m/>
    <m/>
    <m/>
    <m/>
    <m/>
    <n v="250"/>
    <n v="12000"/>
    <n v="0"/>
    <n v="12000"/>
    <n v="1748.6875"/>
    <n v="0"/>
    <n v="1748.6875"/>
  </r>
  <r>
    <x v="24"/>
    <s v="PORTA ASIATACA"/>
    <s v="CHINA"/>
    <s v="STS25W51068"/>
    <s v="FF394-P"/>
    <s v="92% POLYESTER/8% SPANDEX 170 GM/M2"/>
    <s v="KNIT"/>
    <s v="6109.90.1050"/>
    <n v="68"/>
    <n v="14.407500000000001"/>
    <n v="9.5"/>
    <n v="0.32"/>
    <n v="3.04"/>
    <n v="7.4999999999999997E-2"/>
    <n v="0.71250000000000002"/>
    <n v="7.0000000000000007E-2"/>
    <n v="0.66500000000000004"/>
    <n v="0.49"/>
    <n v="250"/>
    <n v="270"/>
    <m/>
    <m/>
    <m/>
    <m/>
    <n v="10"/>
    <n v="530"/>
    <n v="17000"/>
    <n v="19040"/>
    <n v="36040"/>
    <n v="3601.875"/>
    <n v="3985.0250000000001"/>
    <n v="7586.9"/>
  </r>
  <r>
    <x v="26"/>
    <s v="PORTA ASIATACA"/>
    <s v="CHINA"/>
    <s v="STS25W51069"/>
    <s v="FF401"/>
    <s v="86% POLYESTER/14% SPANDEX 160 GM/M2"/>
    <s v="KNIT"/>
    <s v="6104.53.2010"/>
    <n v="98"/>
    <n v="22.609749999999995"/>
    <n v="16.95"/>
    <n v="0.16"/>
    <n v="2.7119999999999997"/>
    <n v="7.4999999999999997E-2"/>
    <n v="1.27125"/>
    <n v="7.0000000000000007E-2"/>
    <n v="1.1865000000000001"/>
    <n v="0.49"/>
    <n v="250"/>
    <n v="343"/>
    <m/>
    <m/>
    <m/>
    <m/>
    <n v="30"/>
    <n v="623"/>
    <n v="24500"/>
    <n v="36554"/>
    <n v="61054"/>
    <n v="5652.4374999999991"/>
    <n v="8263.6442499999976"/>
    <n v="13916.081749999998"/>
  </r>
  <r>
    <x v="24"/>
    <s v="PORTA ASIATACA"/>
    <s v="CHINA"/>
    <s v="STS25W51068"/>
    <s v="FF394-P"/>
    <s v="92% POLYESTER/8% SPANDEX 170 GM/M2"/>
    <s v="KNIT"/>
    <s v="6109.90.1050"/>
    <n v="68"/>
    <n v="14.407500000000001"/>
    <n v="9.5"/>
    <n v="0.32"/>
    <n v="3.04"/>
    <n v="7.4999999999999997E-2"/>
    <n v="0.71250000000000002"/>
    <n v="7.0000000000000007E-2"/>
    <n v="0.66500000000000004"/>
    <n v="0.49"/>
    <n v="250"/>
    <n v="229"/>
    <m/>
    <m/>
    <m/>
    <m/>
    <n v="10"/>
    <n v="489"/>
    <n v="17000"/>
    <n v="16252"/>
    <n v="33252"/>
    <n v="3601.875"/>
    <n v="3394.3175000000001"/>
    <n v="6996.1925000000001"/>
  </r>
  <r>
    <x v="26"/>
    <s v="PORTA ASIATACA"/>
    <s v="CHINA"/>
    <s v="STS25W51069"/>
    <s v="FF401"/>
    <s v="86% POLYESTER/14% SPANDEX 160 GM/M2"/>
    <s v="KNIT"/>
    <s v="6104.53.2010"/>
    <n v="98"/>
    <n v="22.609749999999995"/>
    <n v="16.95"/>
    <n v="0.16"/>
    <n v="2.7119999999999997"/>
    <n v="7.4999999999999997E-2"/>
    <n v="1.27125"/>
    <n v="7.0000000000000007E-2"/>
    <n v="1.1865000000000001"/>
    <n v="0.49"/>
    <n v="250"/>
    <n v="226"/>
    <m/>
    <m/>
    <m/>
    <m/>
    <n v="20"/>
    <n v="496"/>
    <n v="24500"/>
    <n v="24108"/>
    <n v="48608"/>
    <n v="5652.4374999999991"/>
    <n v="5448.8034999999991"/>
    <n v="11101.240999999998"/>
  </r>
  <r>
    <x v="30"/>
    <s v="PORTA ASIATACA"/>
    <s v="CHINA"/>
    <s v="STS25W51118"/>
    <s v="FF403-P"/>
    <s v="82% NYLON/18% SPANDEX 220 GM/M2"/>
    <s v="KNIT"/>
    <s v="6104.43.2010"/>
    <n v="110"/>
    <n v="22.674999999999997"/>
    <n v="17"/>
    <n v="0.16"/>
    <n v="2.72"/>
    <n v="7.4999999999999997E-2"/>
    <n v="1.2749999999999999"/>
    <n v="7.0000000000000007E-2"/>
    <n v="1.1900000000000002"/>
    <n v="0.49"/>
    <n v="302"/>
    <m/>
    <m/>
    <m/>
    <m/>
    <m/>
    <n v="4"/>
    <n v="306"/>
    <n v="33220"/>
    <n v="440"/>
    <n v="33660"/>
    <n v="6847.8499999999995"/>
    <n v="68"/>
    <n v="6915.8499999999995"/>
  </r>
  <r>
    <x v="30"/>
    <s v="PORTA ASIATACA"/>
    <s v="CHINA"/>
    <s v="STS25W51118"/>
    <s v="FF403-P"/>
    <s v="82% NYLON/18% SPANDEX 220 GM/M2"/>
    <s v="KNIT"/>
    <s v="6104.43.2010"/>
    <n v="110"/>
    <n v="22.674999999999997"/>
    <n v="17"/>
    <n v="0.16"/>
    <n v="2.72"/>
    <n v="7.4999999999999997E-2"/>
    <n v="1.2749999999999999"/>
    <n v="7.0000000000000007E-2"/>
    <n v="1.1900000000000002"/>
    <n v="0.49"/>
    <n v="265"/>
    <m/>
    <m/>
    <m/>
    <m/>
    <m/>
    <n v="4"/>
    <n v="269"/>
    <n v="29150"/>
    <n v="440"/>
    <n v="29590"/>
    <n v="6008.8749999999991"/>
    <n v="68"/>
    <n v="6076.8749999999991"/>
  </r>
  <r>
    <x v="30"/>
    <s v="PORTA ASIATACA"/>
    <s v="CHINA"/>
    <s v="STS25W51118"/>
    <s v="FF403-P"/>
    <s v="82% NYLON/18% SPANDEX 220 GM/M2"/>
    <s v="KNIT"/>
    <s v="6104.43.2010"/>
    <n v="110"/>
    <n v="22.674999999999997"/>
    <n v="17"/>
    <n v="0.16"/>
    <n v="2.72"/>
    <n v="7.4999999999999997E-2"/>
    <n v="1.2749999999999999"/>
    <n v="7.0000000000000007E-2"/>
    <n v="1.1900000000000002"/>
    <n v="0.49"/>
    <n v="367"/>
    <m/>
    <m/>
    <m/>
    <m/>
    <m/>
    <n v="4"/>
    <n v="371"/>
    <n v="40370"/>
    <n v="440"/>
    <n v="40810"/>
    <n v="8321.7249999999985"/>
    <n v="68"/>
    <n v="8389.7249999999985"/>
  </r>
  <r>
    <x v="30"/>
    <s v="PORTA ASIATACA"/>
    <s v="CHINA"/>
    <s v="STS25W51071"/>
    <s v="FF395-K"/>
    <s v="82% NYLON/18% SPANDEX 220 GM/M2"/>
    <s v="KNIT"/>
    <s v="6104.43.2010"/>
    <n v="110"/>
    <n v="19.216750000000001"/>
    <n v="14.35"/>
    <n v="0.16"/>
    <n v="2.2959999999999998"/>
    <n v="7.4999999999999997E-2"/>
    <n v="1.0762499999999999"/>
    <n v="7.0000000000000007E-2"/>
    <n v="1.0045000000000002"/>
    <n v="0.49"/>
    <n v="261"/>
    <n v="180"/>
    <m/>
    <m/>
    <m/>
    <m/>
    <m/>
    <n v="441"/>
    <n v="28710"/>
    <n v="19800"/>
    <n v="48510"/>
    <n v="5015.5717500000001"/>
    <n v="3459.0150000000003"/>
    <n v="8474.5867500000004"/>
  </r>
  <r>
    <x v="25"/>
    <s v="PORTA ASIATACA"/>
    <s v="CHINA"/>
    <s v="STS25W51072"/>
    <s v="FF394-P"/>
    <s v="92% POLYESTER/8% SPANDEX 170 GM/M2"/>
    <s v="KNIT"/>
    <s v="6109.90.1065"/>
    <n v="68"/>
    <n v="14.407500000000001"/>
    <n v="9.5"/>
    <n v="0.32"/>
    <n v="3.04"/>
    <n v="7.4999999999999997E-2"/>
    <n v="0.71250000000000002"/>
    <n v="7.0000000000000007E-2"/>
    <n v="0.66500000000000004"/>
    <n v="0.49"/>
    <n v="250"/>
    <n v="125"/>
    <m/>
    <m/>
    <m/>
    <m/>
    <m/>
    <n v="375"/>
    <n v="17000"/>
    <n v="8500"/>
    <n v="25500"/>
    <n v="3601.875"/>
    <n v="1800.9375"/>
    <n v="5402.8125"/>
  </r>
  <r>
    <x v="26"/>
    <s v="PORTA ASIATACA"/>
    <s v="CHINA"/>
    <s v="STS25W51073"/>
    <s v="FF384-P"/>
    <s v="92% POLYESTER/8% SPANDEX 170 GM/M2"/>
    <s v="KNIT"/>
    <s v="6104.53.2010"/>
    <n v="88"/>
    <n v="22.609749999999995"/>
    <n v="16.95"/>
    <n v="0.16"/>
    <n v="2.7119999999999997"/>
    <n v="7.4999999999999997E-2"/>
    <n v="1.27125"/>
    <n v="7.0000000000000007E-2"/>
    <n v="1.1865000000000001"/>
    <n v="0.49"/>
    <n v="200"/>
    <n v="123"/>
    <m/>
    <m/>
    <m/>
    <m/>
    <n v="20"/>
    <n v="343"/>
    <n v="17600"/>
    <n v="12584"/>
    <n v="30184"/>
    <n v="4521.9499999999989"/>
    <n v="3119.9992499999994"/>
    <n v="7641.9492499999978"/>
  </r>
  <r>
    <x v="25"/>
    <s v="PORTA ASIATACA"/>
    <s v="CHINA"/>
    <s v="STS25W51072"/>
    <s v="FF394-P"/>
    <s v="92% POLYESTER/8% SPANDEX 170 GM/M2"/>
    <s v="KNIT"/>
    <s v="6109.90.1065"/>
    <n v="68"/>
    <n v="14.407500000000001"/>
    <n v="9.5"/>
    <n v="0.32"/>
    <n v="3.04"/>
    <n v="7.4999999999999997E-2"/>
    <n v="0.71250000000000002"/>
    <n v="7.0000000000000007E-2"/>
    <n v="0.66500000000000004"/>
    <n v="0.49"/>
    <n v="200"/>
    <n v="130"/>
    <m/>
    <m/>
    <m/>
    <m/>
    <m/>
    <n v="330"/>
    <n v="13600"/>
    <n v="8840"/>
    <n v="22440"/>
    <n v="2881.5"/>
    <n v="1872.9750000000001"/>
    <n v="4754.4750000000004"/>
  </r>
  <r>
    <x v="26"/>
    <s v="PORTA ASIATACA"/>
    <s v="CHINA"/>
    <s v="STS25W51073"/>
    <s v="FF384-P"/>
    <s v="92% POLYESTER/8% SPANDEX 170 GM/M2"/>
    <s v="KNIT"/>
    <s v="6104.53.2010"/>
    <n v="88"/>
    <n v="22.609749999999995"/>
    <n v="16.95"/>
    <n v="0.16"/>
    <n v="2.7119999999999997"/>
    <n v="7.4999999999999997E-2"/>
    <n v="1.27125"/>
    <n v="7.0000000000000007E-2"/>
    <n v="1.1865000000000001"/>
    <n v="0.49"/>
    <n v="250"/>
    <n v="128"/>
    <m/>
    <m/>
    <m/>
    <m/>
    <n v="20"/>
    <n v="398"/>
    <n v="22000"/>
    <n v="13024"/>
    <n v="35024"/>
    <n v="5652.4374999999991"/>
    <n v="3233.0479999999993"/>
    <n v="8885.4854999999989"/>
  </r>
  <r>
    <x v="25"/>
    <s v="PORTA ASIATACA"/>
    <s v="CHINA"/>
    <s v="STS25W51072"/>
    <s v="FF394-P"/>
    <s v="92% POLYESTER/8% SPANDEX 170 GM/M2"/>
    <s v="KNIT"/>
    <s v="6109.90.1065"/>
    <n v="68"/>
    <n v="14.407500000000001"/>
    <n v="9.5"/>
    <n v="0.32"/>
    <n v="3.04"/>
    <n v="7.4999999999999997E-2"/>
    <n v="0.71250000000000002"/>
    <n v="7.0000000000000007E-2"/>
    <n v="0.66500000000000004"/>
    <n v="0.49"/>
    <n v="250"/>
    <n v="302"/>
    <m/>
    <m/>
    <m/>
    <m/>
    <m/>
    <n v="552"/>
    <n v="17000"/>
    <n v="20536"/>
    <n v="37536"/>
    <n v="3601.875"/>
    <n v="4351.0650000000005"/>
    <n v="7952.9400000000005"/>
  </r>
  <r>
    <x v="26"/>
    <s v="PORTA ASIATACA"/>
    <s v="CHINA"/>
    <s v="STS25W51073"/>
    <s v="FF384-P"/>
    <s v="92% POLYESTER/8% SPANDEX 170 GM/M2"/>
    <s v="KNIT"/>
    <s v="6104.53.2010"/>
    <n v="88"/>
    <n v="22.609749999999995"/>
    <n v="16.95"/>
    <n v="0.16"/>
    <n v="2.7119999999999997"/>
    <n v="7.4999999999999997E-2"/>
    <n v="1.27125"/>
    <n v="7.0000000000000007E-2"/>
    <n v="1.1865000000000001"/>
    <n v="0.49"/>
    <n v="250"/>
    <n v="285"/>
    <m/>
    <m/>
    <m/>
    <m/>
    <n v="20"/>
    <n v="555"/>
    <n v="22000"/>
    <n v="26840"/>
    <n v="48840"/>
    <n v="5652.4374999999991"/>
    <n v="6782.7787499999986"/>
    <n v="12435.216249999998"/>
  </r>
  <r>
    <x v="25"/>
    <s v="PORTA ASIATACA"/>
    <s v="CHINA"/>
    <s v="STS25W51116"/>
    <s v="FF392-P"/>
    <s v="87% NYLON/13% SPANDEX PIQUE 170 GM/M2"/>
    <s v="KNIT"/>
    <s v="6109.90.1065"/>
    <n v="68"/>
    <n v="14.773750000000001"/>
    <n v="9.75"/>
    <n v="0.32"/>
    <n v="3.12"/>
    <n v="7.4999999999999997E-2"/>
    <n v="0.73124999999999996"/>
    <n v="7.0000000000000007E-2"/>
    <n v="0.68250000000000011"/>
    <n v="0.49"/>
    <n v="200"/>
    <n v="106"/>
    <m/>
    <m/>
    <m/>
    <m/>
    <m/>
    <n v="306"/>
    <n v="13600"/>
    <n v="7208"/>
    <n v="20808"/>
    <n v="2954.7500000000005"/>
    <n v="1566.0175000000002"/>
    <n v="4520.7675000000008"/>
  </r>
  <r>
    <x v="6"/>
    <s v="PORTA ASIATACA"/>
    <s v="CHINA"/>
    <s v="STS25W51117"/>
    <s v="FF392-P"/>
    <s v="87% NYLON/13% SPANDEX PIQUE 170 GM/M2"/>
    <s v="KNIT"/>
    <s v="6104.63.2030"/>
    <n v="78"/>
    <n v="19.754499999999997"/>
    <n v="13.5"/>
    <n v="0.28199999999999997"/>
    <n v="3.8069999999999995"/>
    <n v="7.4999999999999997E-2"/>
    <n v="1.0125"/>
    <n v="7.0000000000000007E-2"/>
    <n v="0.94500000000000006"/>
    <n v="0.49"/>
    <n v="200"/>
    <n v="106"/>
    <m/>
    <m/>
    <m/>
    <m/>
    <n v="4"/>
    <n v="310"/>
    <n v="15600"/>
    <n v="8580"/>
    <n v="24180"/>
    <n v="3950.8999999999992"/>
    <n v="2147.9769999999999"/>
    <n v="6098.8769999999986"/>
  </r>
  <r>
    <x v="25"/>
    <s v="PORTA ASIATACA"/>
    <s v="CHINA"/>
    <s v="STS25W51116"/>
    <s v="FF392-P"/>
    <s v="87% NYLON/13% SPANDEX PIQUE 170 GM/M2"/>
    <s v="KNIT"/>
    <s v="6109.90.1065"/>
    <n v="68"/>
    <n v="14.773750000000001"/>
    <n v="9.75"/>
    <n v="0.32"/>
    <n v="3.12"/>
    <n v="7.4999999999999997E-2"/>
    <n v="0.73124999999999996"/>
    <n v="7.0000000000000007E-2"/>
    <n v="0.68250000000000011"/>
    <n v="0.49"/>
    <n v="200"/>
    <m/>
    <m/>
    <m/>
    <m/>
    <m/>
    <m/>
    <n v="200"/>
    <n v="13600"/>
    <n v="0"/>
    <n v="13600"/>
    <n v="2954.7500000000005"/>
    <n v="0"/>
    <n v="2954.7500000000005"/>
  </r>
  <r>
    <x v="6"/>
    <s v="PORTA ASIATACA"/>
    <s v="CHINA"/>
    <s v="STS25W51117"/>
    <s v="FF392-P"/>
    <s v="87% NYLON/13% SPANDEX PIQUE 170 GM/M2"/>
    <s v="KNIT"/>
    <s v="6104.63.2030"/>
    <n v="78"/>
    <n v="19.754499999999997"/>
    <n v="13.5"/>
    <n v="0.28199999999999997"/>
    <n v="3.8069999999999995"/>
    <n v="7.4999999999999997E-2"/>
    <n v="1.0125"/>
    <n v="7.0000000000000007E-2"/>
    <n v="0.94500000000000006"/>
    <n v="0.49"/>
    <n v="200"/>
    <m/>
    <m/>
    <m/>
    <m/>
    <m/>
    <n v="10"/>
    <n v="210"/>
    <n v="15600"/>
    <n v="780"/>
    <n v="16380"/>
    <n v="3950.8999999999992"/>
    <n v="135"/>
    <n v="4085.8999999999992"/>
  </r>
  <r>
    <x v="29"/>
    <s v="PORTA ASIATACA"/>
    <s v="CHINA"/>
    <s v="STS25W51097"/>
    <s v="FF403-P"/>
    <s v="82% NYLON/18% SPANDEX 220 GM/M2"/>
    <s v="KNIT"/>
    <s v="6212.10.9020"/>
    <n v="68"/>
    <n v="16.231719999999999"/>
    <n v="11.98"/>
    <n v="0.16900000000000001"/>
    <n v="2.0246200000000001"/>
    <n v="7.4999999999999997E-2"/>
    <n v="0.89849999999999997"/>
    <n v="7.0000000000000007E-2"/>
    <n v="0.83860000000000012"/>
    <n v="0.49"/>
    <n v="350"/>
    <n v="12"/>
    <m/>
    <m/>
    <m/>
    <m/>
    <m/>
    <n v="362"/>
    <n v="23800"/>
    <n v="816"/>
    <n v="24616"/>
    <n v="5681.1019999999999"/>
    <n v="194.78064000000001"/>
    <n v="5875.8826399999998"/>
  </r>
  <r>
    <x v="31"/>
    <s v="PORTA ASIATACA"/>
    <s v="CHINA"/>
    <s v="STS25W51096"/>
    <s v="FF403-P"/>
    <s v="82% NYLON/18% SPANDEX 220 GM/M2"/>
    <s v="KNIT"/>
    <s v="6104.63.2011"/>
    <n v="110"/>
    <n v="20.468"/>
    <n v="14"/>
    <n v="0.28199999999999997"/>
    <n v="3.9479999999999995"/>
    <n v="7.4999999999999997E-2"/>
    <n v="1.05"/>
    <n v="7.0000000000000007E-2"/>
    <n v="0.98000000000000009"/>
    <n v="0.49"/>
    <n v="350"/>
    <n v="12"/>
    <m/>
    <m/>
    <m/>
    <m/>
    <m/>
    <n v="362"/>
    <n v="38500"/>
    <n v="1320"/>
    <n v="39820"/>
    <n v="7163.8"/>
    <n v="245.61599999999999"/>
    <n v="7409.4160000000002"/>
  </r>
  <r>
    <x v="29"/>
    <s v="PORTA ASIATACA"/>
    <s v="CHINA"/>
    <s v="STS25W51097"/>
    <s v="FF403-P"/>
    <s v="82% NYLON/18% SPANDEX 220 GM/M2"/>
    <s v="KNIT"/>
    <s v="6212.10.9020"/>
    <n v="68"/>
    <n v="16.231719999999999"/>
    <n v="11.98"/>
    <n v="0.16900000000000001"/>
    <n v="2.0246200000000001"/>
    <n v="7.4999999999999997E-2"/>
    <n v="0.89849999999999997"/>
    <n v="7.0000000000000007E-2"/>
    <n v="0.83860000000000012"/>
    <n v="0.49"/>
    <n v="350"/>
    <n v="16"/>
    <m/>
    <m/>
    <m/>
    <m/>
    <m/>
    <n v="366"/>
    <n v="23800"/>
    <n v="1088"/>
    <n v="24888"/>
    <n v="5681.1019999999999"/>
    <n v="259.70751999999999"/>
    <n v="5940.8095199999998"/>
  </r>
  <r>
    <x v="31"/>
    <s v="PORTA ASIATACA"/>
    <s v="CHINA"/>
    <s v="STS25W51096"/>
    <s v="FF403-P"/>
    <s v="82% NYLON/18% SPANDEX 220 GM/M2"/>
    <s v="KNIT"/>
    <s v="6104.63.2011"/>
    <n v="110"/>
    <n v="20.468"/>
    <n v="14"/>
    <n v="0.28199999999999997"/>
    <n v="3.9479999999999995"/>
    <n v="7.4999999999999997E-2"/>
    <n v="1.05"/>
    <n v="7.0000000000000007E-2"/>
    <n v="0.98000000000000009"/>
    <n v="0.49"/>
    <n v="350"/>
    <n v="16"/>
    <m/>
    <m/>
    <m/>
    <m/>
    <m/>
    <n v="366"/>
    <n v="38500"/>
    <n v="1760"/>
    <n v="40260"/>
    <n v="7163.8"/>
    <n v="327.488"/>
    <n v="7491.2880000000005"/>
  </r>
  <r>
    <x v="29"/>
    <s v="PORTA ASIATACA"/>
    <s v="CHINA"/>
    <s v="STS25W51097"/>
    <s v="FF403-P"/>
    <s v="82% NYLON/18% SPANDEX 220 GM/M2"/>
    <s v="KNIT"/>
    <s v="6104.63.2030"/>
    <n v="68"/>
    <n v="16.231719999999999"/>
    <n v="11.98"/>
    <n v="0.16900000000000001"/>
    <n v="2.0246200000000001"/>
    <n v="7.4999999999999997E-2"/>
    <n v="0.89849999999999997"/>
    <n v="7.0000000000000007E-2"/>
    <n v="0.83860000000000012"/>
    <n v="0.49"/>
    <n v="350"/>
    <m/>
    <m/>
    <m/>
    <m/>
    <m/>
    <m/>
    <n v="350"/>
    <n v="23800"/>
    <n v="0"/>
    <n v="23800"/>
    <n v="5681.1019999999999"/>
    <n v="0"/>
    <n v="5681.1019999999999"/>
  </r>
  <r>
    <x v="31"/>
    <s v="PORTA ASIATACA"/>
    <s v="CHINA"/>
    <s v="STS25W51096"/>
    <s v="FF403-P"/>
    <s v="82% NYLON/18% SPANDEX 220 GM/M2"/>
    <s v="KNIT"/>
    <s v="6104.63.2030"/>
    <n v="110"/>
    <n v="20.468"/>
    <n v="14"/>
    <n v="0.28199999999999997"/>
    <n v="3.9479999999999995"/>
    <n v="7.4999999999999997E-2"/>
    <n v="1.05"/>
    <n v="7.0000000000000007E-2"/>
    <n v="0.98000000000000009"/>
    <n v="0.49"/>
    <n v="350"/>
    <m/>
    <m/>
    <m/>
    <m/>
    <m/>
    <m/>
    <n v="350"/>
    <n v="38500"/>
    <n v="0"/>
    <n v="38500"/>
    <n v="7163.8"/>
    <n v="0"/>
    <n v="7163.8"/>
  </r>
  <r>
    <x v="30"/>
    <s v="PORTA ASIATACA"/>
    <s v="CHINA"/>
    <s v="STS25W51095"/>
    <s v="FF403-P"/>
    <s v="82% NYLON/18% SPANDEX 220 GM/M2"/>
    <s v="KNIT"/>
    <s v="6104.43.2010"/>
    <n v="125"/>
    <n v="22.609749999999995"/>
    <n v="16.95"/>
    <n v="0.16"/>
    <n v="2.7119999999999997"/>
    <n v="7.4999999999999997E-2"/>
    <n v="1.27125"/>
    <n v="7.0000000000000007E-2"/>
    <n v="1.1865000000000001"/>
    <n v="0.49"/>
    <n v="200"/>
    <n v="114"/>
    <m/>
    <m/>
    <m/>
    <m/>
    <m/>
    <n v="314"/>
    <n v="25000"/>
    <n v="14250"/>
    <n v="39250"/>
    <n v="4521.9499999999989"/>
    <n v="2577.5114999999996"/>
    <n v="7099.4614999999985"/>
  </r>
  <r>
    <x v="30"/>
    <s v="PORTA ASIATACA"/>
    <s v="CHINA"/>
    <s v="STS25W51095"/>
    <s v="FF403-P"/>
    <s v="82% NYLON/18% SPANDEX 220 GM/M2"/>
    <s v="KNIT"/>
    <s v="6104.43.2010"/>
    <n v="125"/>
    <n v="22.609749999999995"/>
    <n v="16.95"/>
    <n v="0.16"/>
    <n v="2.7119999999999997"/>
    <n v="7.4999999999999997E-2"/>
    <n v="1.27125"/>
    <n v="7.0000000000000007E-2"/>
    <n v="1.1865000000000001"/>
    <n v="0.49"/>
    <n v="200"/>
    <n v="202"/>
    <m/>
    <m/>
    <m/>
    <m/>
    <m/>
    <n v="402"/>
    <n v="25000"/>
    <n v="25250"/>
    <n v="50250"/>
    <n v="4521.9499999999989"/>
    <n v="4567.1694999999991"/>
    <n v="9089.1194999999971"/>
  </r>
  <r>
    <x v="29"/>
    <s v="PORTA ASIATACA"/>
    <s v="CHINA"/>
    <s v="STS25W51098"/>
    <s v="FF414"/>
    <s v="73% NYLON/27% SPANDEX 250 GM/MW"/>
    <s v="KNIT"/>
    <s v="6212.10.9020"/>
    <n v="68"/>
    <n v="16.586499999999997"/>
    <n v="12.25"/>
    <n v="0.16900000000000001"/>
    <n v="2.0702500000000001"/>
    <n v="7.4999999999999997E-2"/>
    <n v="0.91874999999999996"/>
    <n v="7.0000000000000007E-2"/>
    <n v="0.85750000000000004"/>
    <n v="0.49"/>
    <n v="300"/>
    <m/>
    <m/>
    <m/>
    <m/>
    <m/>
    <m/>
    <n v="300"/>
    <n v="20400"/>
    <n v="0"/>
    <n v="20400"/>
    <n v="4975.9499999999989"/>
    <n v="0"/>
    <n v="4975.9499999999989"/>
  </r>
  <r>
    <x v="31"/>
    <s v="PORTA ASIATACA"/>
    <s v="CHINA"/>
    <s v="STS25W51099"/>
    <s v="FF414"/>
    <s v="73% NYLON/27% SPANDEX 250 GM/MW"/>
    <s v="KNIT"/>
    <s v="6104.63.2011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300"/>
    <m/>
    <m/>
    <m/>
    <m/>
    <m/>
    <m/>
    <n v="300"/>
    <n v="33000"/>
    <n v="0"/>
    <n v="33000"/>
    <n v="6354.4499999999989"/>
    <n v="0"/>
    <n v="6354.4499999999989"/>
  </r>
  <r>
    <x v="29"/>
    <s v="PORTA ASIATACA"/>
    <s v="CHINA"/>
    <s v="STS25W51098"/>
    <s v="FF414"/>
    <s v="73% NYLON/27% SPANDEX 250 GM/MW"/>
    <s v="KNIT"/>
    <s v="6212.10.9020"/>
    <n v="68"/>
    <n v="16.586499999999997"/>
    <n v="12.25"/>
    <n v="0.16900000000000001"/>
    <n v="2.0702500000000001"/>
    <n v="7.4999999999999997E-2"/>
    <n v="0.91874999999999996"/>
    <n v="7.0000000000000007E-2"/>
    <n v="0.85750000000000004"/>
    <n v="0.49"/>
    <n v="300"/>
    <n v="12"/>
    <m/>
    <m/>
    <m/>
    <m/>
    <m/>
    <n v="312"/>
    <n v="20400"/>
    <n v="816"/>
    <n v="21216"/>
    <n v="4975.9499999999989"/>
    <n v="199.03799999999995"/>
    <n v="5174.9879999999985"/>
  </r>
  <r>
    <x v="31"/>
    <s v="PORTA ASIATACA"/>
    <s v="CHINA"/>
    <s v="STS25W51099"/>
    <s v="FF414"/>
    <s v="73% NYLON/27% SPANDEX 250 GM/MW"/>
    <s v="KNIT"/>
    <s v="6104.63.2011"/>
    <n v="110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300"/>
    <n v="12"/>
    <m/>
    <m/>
    <m/>
    <m/>
    <m/>
    <n v="312"/>
    <n v="33000"/>
    <n v="1320"/>
    <n v="34320"/>
    <n v="6354.4499999999989"/>
    <n v="254.17799999999994"/>
    <n v="6608.6279999999988"/>
  </r>
  <r>
    <x v="30"/>
    <s v="PORTA ASIATACA"/>
    <s v="CHINA"/>
    <s v="STS25W51094"/>
    <s v="FF414"/>
    <s v="73% NYLON/27% SPANDEX 250 GM/MW"/>
    <s v="KNIT"/>
    <s v="6104.43.2010"/>
    <n v="125"/>
    <n v="25.285"/>
    <n v="19"/>
    <n v="0.16"/>
    <n v="3.04"/>
    <n v="7.4999999999999997E-2"/>
    <n v="1.425"/>
    <n v="7.0000000000000007E-2"/>
    <n v="1.33"/>
    <n v="0.49"/>
    <n v="250"/>
    <n v="185"/>
    <m/>
    <m/>
    <m/>
    <m/>
    <m/>
    <n v="435"/>
    <n v="31250"/>
    <n v="23125"/>
    <n v="54375"/>
    <n v="6321.25"/>
    <n v="4677.7250000000004"/>
    <n v="10998.975"/>
  </r>
  <r>
    <x v="30"/>
    <s v="PORTA ASIATACA"/>
    <s v="CHINA"/>
    <s v="STS25W51094"/>
    <s v="FF414"/>
    <s v="73% NYLON/27% SPANDEX 250 GM/MW"/>
    <s v="KNIT"/>
    <s v="6104.43.2010"/>
    <n v="125"/>
    <n v="25.285"/>
    <n v="19"/>
    <n v="0.16"/>
    <n v="3.04"/>
    <n v="7.4999999999999997E-2"/>
    <n v="1.425"/>
    <n v="7.0000000000000007E-2"/>
    <n v="1.33"/>
    <n v="0.49"/>
    <n v="250"/>
    <n v="128"/>
    <m/>
    <m/>
    <m/>
    <m/>
    <m/>
    <n v="378"/>
    <n v="31250"/>
    <n v="16000"/>
    <n v="47250"/>
    <n v="6321.25"/>
    <n v="3236.48"/>
    <n v="9557.73"/>
  </r>
  <r>
    <x v="32"/>
    <s v="PORTA ASIATACA"/>
    <s v="CHINA"/>
    <s v="STS24W51108"/>
    <s v="FF403-P"/>
    <s v="82% NYLON/18% SPANDEX 22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00"/>
    <n v="105"/>
    <m/>
    <m/>
    <m/>
    <m/>
    <n v="4"/>
    <n v="409"/>
    <n v="37500"/>
    <n v="13625"/>
    <n v="51125"/>
    <n v="7852.8"/>
    <n v="2820.48"/>
    <n v="10673.28"/>
  </r>
  <r>
    <x v="31"/>
    <s v="PORTA ASIATACA"/>
    <s v="CHINA"/>
    <s v="STS25W51109"/>
    <s v="FF403-P"/>
    <s v="82% NYLON/18% SPANDEX 220 GM/M2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300"/>
    <n v="101"/>
    <m/>
    <m/>
    <m/>
    <m/>
    <m/>
    <n v="401"/>
    <n v="35400"/>
    <n v="11918"/>
    <n v="47318"/>
    <n v="6354.4499999999989"/>
    <n v="2139.3314999999998"/>
    <n v="8493.7814999999991"/>
  </r>
  <r>
    <x v="32"/>
    <s v="PORTA ASIATACA"/>
    <s v="CHINA"/>
    <s v="STS24W51108"/>
    <s v="FF403-P"/>
    <s v="82% NYLON/18% SPANDEX 220 GM/M2"/>
    <s v="KNIT"/>
    <s v="6112.12.0020"/>
    <n v="125"/>
    <n v="26.176000000000002"/>
    <n v="18"/>
    <n v="0.28199999999999997"/>
    <n v="5.0759999999999996"/>
    <n v="7.4999999999999997E-2"/>
    <n v="1.3499999999999999"/>
    <n v="7.0000000000000007E-2"/>
    <n v="1.2600000000000002"/>
    <n v="0.49"/>
    <n v="300"/>
    <n v="286"/>
    <m/>
    <m/>
    <m/>
    <m/>
    <n v="4"/>
    <n v="590"/>
    <n v="37500"/>
    <n v="36250"/>
    <n v="73750"/>
    <n v="7852.8"/>
    <n v="7558.3360000000002"/>
    <n v="15411.136"/>
  </r>
  <r>
    <x v="31"/>
    <s v="PORTA ASIATACA"/>
    <s v="CHINA"/>
    <s v="STS25W51109"/>
    <s v="FF403-P"/>
    <s v="82% NYLON/18% SPANDEX 220 GM/M2"/>
    <s v="KNIT"/>
    <s v="6104.63.2011"/>
    <n v="118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300"/>
    <n v="168"/>
    <m/>
    <m/>
    <m/>
    <m/>
    <m/>
    <n v="468"/>
    <n v="35400"/>
    <n v="19824"/>
    <n v="55224"/>
    <n v="6354.4499999999989"/>
    <n v="3558.4919999999993"/>
    <n v="9912.9419999999991"/>
  </r>
  <r>
    <x v="2"/>
    <s v="PORTA ASIATACA"/>
    <s v="CHINA"/>
    <s v="STS25W51056"/>
    <s v="FF141"/>
    <s v="93% POLYESTER/7% SPANDEX 300 GM/M2 VELOUR"/>
    <s v="KNIT"/>
    <s v="6112.12.0020"/>
    <n v="150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250"/>
    <n v="110"/>
    <m/>
    <m/>
    <m/>
    <m/>
    <m/>
    <n v="360"/>
    <n v="37500"/>
    <n v="16500"/>
    <n v="54000"/>
    <n v="7079.1249999999982"/>
    <n v="3114.8149999999991"/>
    <n v="10193.939999999997"/>
  </r>
  <r>
    <x v="3"/>
    <s v="PORTA ASIATACA"/>
    <s v="CHINA"/>
    <s v="STS25W51057"/>
    <s v="FF141"/>
    <s v="93% POLYESTER/7% SPANDEX 300 GM/M2 VELOUR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250"/>
    <n v="110"/>
    <m/>
    <m/>
    <m/>
    <m/>
    <m/>
    <n v="360"/>
    <n v="31250"/>
    <n v="13750"/>
    <n v="45000"/>
    <n v="6187.25"/>
    <n v="2722.39"/>
    <n v="8909.64"/>
  </r>
  <r>
    <x v="2"/>
    <s v="PORTA ASIATACA"/>
    <s v="CHINA"/>
    <s v="STS25W51056"/>
    <s v="FF141"/>
    <s v="93% POLYESTER/7% SPANDEX 300 GM/M2 VELOUR"/>
    <s v="KNIT"/>
    <s v="6112.12.0020"/>
    <n v="150"/>
    <n v="28.316499999999994"/>
    <n v="19.5"/>
    <n v="0.28199999999999997"/>
    <n v="5.4989999999999997"/>
    <n v="7.4999999999999997E-2"/>
    <n v="1.4624999999999999"/>
    <n v="7.0000000000000007E-2"/>
    <n v="1.3650000000000002"/>
    <n v="0.49"/>
    <n v="300"/>
    <n v="122"/>
    <m/>
    <m/>
    <m/>
    <m/>
    <m/>
    <n v="422"/>
    <n v="45000"/>
    <n v="18300"/>
    <n v="63300"/>
    <n v="8494.9499999999989"/>
    <n v="3454.6129999999994"/>
    <n v="11949.562999999998"/>
  </r>
  <r>
    <x v="3"/>
    <s v="PORTA ASIATACA"/>
    <s v="CHINA"/>
    <s v="STS25W51057"/>
    <s v="FF141"/>
    <s v="93% POLYESTER/7% SPANDEX 300 GM/M2 VELOUR"/>
    <s v="KNIT"/>
    <s v="6112.12.0060"/>
    <n v="125"/>
    <n v="24.748999999999999"/>
    <n v="17"/>
    <n v="0.28199999999999997"/>
    <n v="4.7939999999999996"/>
    <n v="7.4999999999999997E-2"/>
    <n v="1.2749999999999999"/>
    <n v="7.0000000000000007E-2"/>
    <n v="1.1900000000000002"/>
    <n v="0.49"/>
    <n v="300"/>
    <n v="122"/>
    <m/>
    <m/>
    <m/>
    <m/>
    <m/>
    <n v="422"/>
    <n v="37500"/>
    <n v="15250"/>
    <n v="52750"/>
    <n v="7424.7"/>
    <n v="3019.3779999999997"/>
    <n v="10444.078"/>
  </r>
  <r>
    <x v="24"/>
    <s v="PORTA ASIATACA"/>
    <s v="CHINA"/>
    <s v="STS25W51055"/>
    <s v="FF141"/>
    <s v="93% POLYESTER/7% SPANDEX 300 GM/M2 VELOUR"/>
    <s v="KNIT"/>
    <s v="6109.90.1050"/>
    <n v="88"/>
    <n v="17.703749999999999"/>
    <n v="11.75"/>
    <n v="0.32"/>
    <n v="3.7600000000000002"/>
    <n v="7.4999999999999997E-2"/>
    <n v="0.88124999999999998"/>
    <n v="7.0000000000000007E-2"/>
    <n v="0.82250000000000012"/>
    <n v="0.49"/>
    <n v="250"/>
    <n v="122"/>
    <m/>
    <m/>
    <m/>
    <m/>
    <n v="10"/>
    <n v="382"/>
    <n v="22000"/>
    <n v="11616"/>
    <n v="33616"/>
    <n v="4425.9375"/>
    <n v="2277.3575000000001"/>
    <n v="6703.2950000000001"/>
  </r>
  <r>
    <x v="24"/>
    <s v="PORTA ASIATACA"/>
    <s v="CHINA"/>
    <s v="STS25W51055"/>
    <s v="FF141"/>
    <s v="93% POLYESTER/7% SPANDEX 300 GM/M2 VELOUR"/>
    <s v="KNIT"/>
    <s v="6109.90.1050"/>
    <n v="88"/>
    <n v="17.703749999999999"/>
    <n v="11.75"/>
    <n v="0.32"/>
    <n v="3.7600000000000002"/>
    <n v="7.4999999999999997E-2"/>
    <n v="0.88124999999999998"/>
    <n v="7.0000000000000007E-2"/>
    <n v="0.82250000000000012"/>
    <n v="0.49"/>
    <n v="250"/>
    <n v="107"/>
    <m/>
    <m/>
    <m/>
    <m/>
    <n v="10"/>
    <n v="367"/>
    <n v="22000"/>
    <n v="10296"/>
    <n v="32296"/>
    <n v="4425.9375"/>
    <n v="2011.80125"/>
    <n v="6437.7387500000004"/>
  </r>
  <r>
    <x v="23"/>
    <s v="PORTA ASIATACA"/>
    <s v="CHINA"/>
    <s v="STS25W51054"/>
    <s v="FF141"/>
    <s v="93% POLYESTER/7% SPANDEX 300 GM/M2 VELOUR"/>
    <s v="KNIT"/>
    <s v="6104.53.2010"/>
    <n v="88"/>
    <n v="21.043749999999996"/>
    <n v="15.75"/>
    <n v="0.16"/>
    <n v="2.52"/>
    <n v="7.4999999999999997E-2"/>
    <n v="1.1812499999999999"/>
    <n v="7.0000000000000007E-2"/>
    <n v="1.1025"/>
    <n v="0.49"/>
    <n v="200"/>
    <n v="101"/>
    <m/>
    <m/>
    <m/>
    <m/>
    <n v="20"/>
    <n v="321"/>
    <n v="17600"/>
    <n v="10648"/>
    <n v="28248"/>
    <n v="4208.7499999999991"/>
    <n v="2440.4187499999994"/>
    <n v="6649.1687499999989"/>
  </r>
  <r>
    <x v="0"/>
    <s v="PORTA ASIATACA"/>
    <s v="CHINA"/>
    <s v="STS25W51052"/>
    <s v="FF141"/>
    <s v="93% POLYESTER/7% SPANDEX 300 GM/M2 VELOUR"/>
    <s v="KNIT"/>
    <s v="6109.90.1065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00"/>
    <n v="120"/>
    <m/>
    <m/>
    <m/>
    <m/>
    <n v="10"/>
    <n v="330"/>
    <n v="19600"/>
    <n v="12740"/>
    <n v="32340"/>
    <n v="3892.3500000000004"/>
    <n v="2464.9100000000003"/>
    <n v="6357.26"/>
  </r>
  <r>
    <x v="1"/>
    <s v="PORTA ASIATACA"/>
    <s v="CHINA"/>
    <s v="STS25W51053"/>
    <s v="FF141"/>
    <s v="93% POLYESTER/7% SPANDEX 300 GM/M2 VELOUR"/>
    <s v="KNIT"/>
    <s v="6104.63.2030"/>
    <n v="88"/>
    <n v="18.327499999999997"/>
    <n v="12.5"/>
    <n v="0.28199999999999997"/>
    <n v="3.5249999999999995"/>
    <n v="7.4999999999999997E-2"/>
    <n v="0.9375"/>
    <n v="7.0000000000000007E-2"/>
    <n v="0.87500000000000011"/>
    <n v="0.49"/>
    <n v="200"/>
    <n v="138"/>
    <m/>
    <m/>
    <m/>
    <m/>
    <n v="10"/>
    <n v="348"/>
    <n v="17600"/>
    <n v="13024"/>
    <n v="30624"/>
    <n v="3665.4999999999995"/>
    <n v="2654.1949999999997"/>
    <n v="6319.6949999999997"/>
  </r>
  <r>
    <x v="0"/>
    <s v="PORTA ASIATACA"/>
    <s v="CHINA"/>
    <s v="STS25W51052"/>
    <s v="FF141"/>
    <s v="93% POLYESTER/7% SPANDEX 300 GM/M2 VELOUR"/>
    <s v="KNIT"/>
    <s v="6109.90.1065"/>
    <n v="98"/>
    <n v="19.461750000000002"/>
    <n v="12.95"/>
    <n v="0.32"/>
    <n v="4.1440000000000001"/>
    <n v="7.4999999999999997E-2"/>
    <n v="0.97124999999999995"/>
    <n v="7.0000000000000007E-2"/>
    <n v="0.90650000000000008"/>
    <n v="0.49"/>
    <n v="200"/>
    <n v="113"/>
    <m/>
    <m/>
    <m/>
    <m/>
    <n v="10"/>
    <n v="323"/>
    <n v="19600"/>
    <n v="12054"/>
    <n v="31654"/>
    <n v="3892.3500000000004"/>
    <n v="2328.6777500000003"/>
    <n v="6221.0277500000011"/>
  </r>
  <r>
    <x v="6"/>
    <s v="PORTA ASIATACA"/>
    <s v="CHINA"/>
    <s v="STS25W51053"/>
    <s v="FF141"/>
    <s v="93% POLYESTER/7% SPANDEX 300 GM/M2 VELOUR"/>
    <s v="KNIT"/>
    <s v="6104.63.2030"/>
    <n v="88"/>
    <n v="18.327499999999997"/>
    <n v="12.5"/>
    <n v="0.28199999999999997"/>
    <n v="3.5249999999999995"/>
    <n v="7.4999999999999997E-2"/>
    <n v="0.9375"/>
    <n v="7.0000000000000007E-2"/>
    <n v="0.87500000000000011"/>
    <n v="0.49"/>
    <n v="200"/>
    <n v="119"/>
    <m/>
    <m/>
    <m/>
    <m/>
    <n v="20"/>
    <n v="339"/>
    <n v="17600"/>
    <n v="12232"/>
    <n v="29832"/>
    <n v="3665.4999999999995"/>
    <n v="2430.9724999999999"/>
    <n v="6096.4724999999999"/>
  </r>
  <r>
    <x v="14"/>
    <s v="PORTA ASIATACA"/>
    <s v="CHINA"/>
    <s v="STS25W51064"/>
    <s v="FF288"/>
    <s v="62% ECOVERO VISCOSE/38% POLYESTER 14GG FULL NEEDLE RIB "/>
    <s v="SWEATER"/>
    <s v="6104.52.0010"/>
    <n v="225"/>
    <n v="43.707499999999996"/>
    <n v="29.5"/>
    <n v="0.32"/>
    <n v="9.44"/>
    <n v="7.4999999999999997E-2"/>
    <n v="2.2124999999999999"/>
    <n v="7.0000000000000007E-2"/>
    <n v="2.0650000000000004"/>
    <n v="0.49"/>
    <n v="200"/>
    <m/>
    <m/>
    <m/>
    <m/>
    <m/>
    <m/>
    <n v="200"/>
    <n v="45000"/>
    <n v="0"/>
    <n v="45000"/>
    <n v="8741.5"/>
    <n v="0"/>
    <n v="8741.5"/>
  </r>
  <r>
    <x v="14"/>
    <s v="PORTA ASIATACA"/>
    <s v="CHINA"/>
    <s v="STS25W51065"/>
    <s v="FF288"/>
    <s v="62% ECOVERO VISCOSE/38% POLYESTER 14GG FULL NEEDLE RIB "/>
    <s v="SWEATER"/>
    <s v="6112.12.0060"/>
    <n v="210"/>
    <n v="44.013500000000001"/>
    <n v="30.5"/>
    <n v="0.28199999999999997"/>
    <n v="8.6009999999999991"/>
    <n v="7.4999999999999997E-2"/>
    <n v="2.2875000000000001"/>
    <n v="7.0000000000000007E-2"/>
    <n v="2.1350000000000002"/>
    <n v="0.49"/>
    <n v="200"/>
    <m/>
    <m/>
    <m/>
    <m/>
    <m/>
    <m/>
    <n v="200"/>
    <n v="42000"/>
    <n v="0"/>
    <n v="42000"/>
    <n v="8802.7000000000007"/>
    <n v="0"/>
    <n v="8802.7000000000007"/>
  </r>
  <r>
    <x v="14"/>
    <s v="PORTA ASIATACA"/>
    <s v="CHINA"/>
    <s v="STS25W51064"/>
    <s v="FF288"/>
    <s v="62% ECOVERO VISCOSE/38% POLYESTER 14GG FULL NEEDLE RIB "/>
    <s v="SWEATER"/>
    <s v="6104.52.0010"/>
    <n v="225"/>
    <n v="43.707499999999996"/>
    <n v="29.5"/>
    <n v="0.32"/>
    <n v="9.44"/>
    <n v="7.4999999999999997E-2"/>
    <n v="2.2124999999999999"/>
    <n v="7.0000000000000007E-2"/>
    <n v="2.0650000000000004"/>
    <n v="0.49"/>
    <n v="200"/>
    <n v="11"/>
    <m/>
    <m/>
    <m/>
    <m/>
    <m/>
    <n v="211"/>
    <n v="45000"/>
    <n v="2475"/>
    <n v="47475"/>
    <n v="8741.5"/>
    <n v="480.78249999999997"/>
    <n v="9222.2824999999993"/>
  </r>
  <r>
    <x v="14"/>
    <s v="PORTA ASIATACA"/>
    <s v="CHINA"/>
    <s v="STS25W51065"/>
    <s v="FF288"/>
    <s v="62% ECOVERO VISCOSE/38% POLYESTER 14GG FULL NEEDLE RIB "/>
    <s v="SWEATER"/>
    <s v="6112.12.0060"/>
    <n v="210"/>
    <n v="44.013500000000001"/>
    <n v="30.5"/>
    <n v="0.28199999999999997"/>
    <n v="8.6009999999999991"/>
    <n v="7.4999999999999997E-2"/>
    <n v="2.2875000000000001"/>
    <n v="7.0000000000000007E-2"/>
    <n v="2.1350000000000002"/>
    <n v="0.49"/>
    <n v="200"/>
    <n v="11"/>
    <m/>
    <m/>
    <m/>
    <m/>
    <m/>
    <n v="211"/>
    <n v="42000"/>
    <n v="2310"/>
    <n v="44310"/>
    <n v="8802.7000000000007"/>
    <n v="484.14850000000001"/>
    <n v="9286.8485000000001"/>
  </r>
  <r>
    <x v="14"/>
    <s v="PORTA ASIATACA"/>
    <s v="CHINA"/>
    <s v="STS25W51066"/>
    <s v="FF343"/>
    <s v="83% DULL VISCOSE/17% ELITE 14GG JACQUARD"/>
    <s v="SWEATER"/>
    <s v="6112.12.0020"/>
    <n v="225"/>
    <n v="46.8675"/>
    <n v="32.5"/>
    <n v="0.28199999999999997"/>
    <n v="9.1649999999999991"/>
    <n v="7.4999999999999997E-2"/>
    <n v="2.4375"/>
    <n v="7.0000000000000007E-2"/>
    <n v="2.2750000000000004"/>
    <n v="0.49"/>
    <n v="150"/>
    <n v="122"/>
    <m/>
    <m/>
    <m/>
    <m/>
    <m/>
    <n v="272"/>
    <n v="33750"/>
    <n v="27450"/>
    <n v="61200"/>
    <n v="7030.125"/>
    <n v="5717.835"/>
    <n v="12747.96"/>
  </r>
  <r>
    <x v="14"/>
    <s v="PORTA ASIATACA"/>
    <s v="CHINA"/>
    <s v="STS25W51067"/>
    <s v="FF343"/>
    <s v="83% DULL VISCOSE/17% ELITE 14GG JACQUARD"/>
    <s v="SWEATER"/>
    <s v="6104.63.2030"/>
    <n v="175"/>
    <n v="41.159500000000001"/>
    <n v="28.5"/>
    <n v="0.28199999999999997"/>
    <n v="8.036999999999999"/>
    <n v="7.4999999999999997E-2"/>
    <n v="2.1374999999999997"/>
    <n v="7.0000000000000007E-2"/>
    <n v="1.9950000000000001"/>
    <n v="0.49"/>
    <n v="150"/>
    <n v="126"/>
    <m/>
    <m/>
    <m/>
    <m/>
    <m/>
    <n v="276"/>
    <n v="26250"/>
    <n v="22050"/>
    <n v="48300"/>
    <n v="6173.9250000000002"/>
    <n v="5186.0969999999998"/>
    <n v="11360.022000000001"/>
  </r>
  <r>
    <x v="14"/>
    <s v="PORTA ASIATACA"/>
    <s v="CHINA"/>
    <s v="STS25W51172"/>
    <s v="FF343 "/>
    <s v="83% MATTE VISCOSE/17% ELITE 14 GG POINTELLE"/>
    <s v="SWEATER"/>
    <s v="6106.20.2010"/>
    <n v="195"/>
    <n v="40.015700000000002"/>
    <n v="26.98"/>
    <n v="0.32"/>
    <n v="8.6335999999999995"/>
    <n v="7.4999999999999997E-2"/>
    <n v="2.0234999999999999"/>
    <n v="7.0000000000000007E-2"/>
    <n v="1.8886000000000003"/>
    <n v="0.49"/>
    <n v="200"/>
    <n v="4"/>
    <m/>
    <m/>
    <m/>
    <m/>
    <m/>
    <n v="204"/>
    <n v="39000"/>
    <n v="780"/>
    <n v="39780"/>
    <n v="8003.14"/>
    <n v="160.06280000000001"/>
    <n v="8163.2028"/>
  </r>
  <r>
    <x v="14"/>
    <s v="PORTA ASIATACA"/>
    <s v="CHINA"/>
    <s v="STS25W51174"/>
    <s v="FF286"/>
    <s v="100% COTTON HIGH TWIST 12 GG POINTELLE"/>
    <s v="SWEATER"/>
    <s v="6110.20.2035"/>
    <n v="125"/>
    <n v="22.759999999999998"/>
    <n v="17"/>
    <n v="0.16500000000000001"/>
    <n v="2.8050000000000002"/>
    <n v="7.4999999999999997E-2"/>
    <n v="1.2749999999999999"/>
    <n v="7.0000000000000007E-2"/>
    <n v="1.1900000000000002"/>
    <n v="0.49"/>
    <n v="250"/>
    <m/>
    <m/>
    <m/>
    <m/>
    <m/>
    <m/>
    <n v="250"/>
    <n v="31250"/>
    <n v="0"/>
    <n v="31250"/>
    <n v="5689.9999999999991"/>
    <n v="0"/>
    <n v="5689.9999999999991"/>
  </r>
  <r>
    <x v="14"/>
    <s v="PORTA ASIATACA"/>
    <s v="CHINA"/>
    <s v="STS25W51175"/>
    <s v="FF286"/>
    <s v="100% COTTON HIGH TWIST 12 GG POINTELLE"/>
    <s v="SWEATER"/>
    <s v="6104.62.2030"/>
    <n v="125"/>
    <n v="29.604999999999997"/>
    <n v="22.5"/>
    <n v="0.14899999999999999"/>
    <n v="3.3525"/>
    <n v="7.4999999999999997E-2"/>
    <n v="1.6875"/>
    <n v="7.0000000000000007E-2"/>
    <n v="1.5750000000000002"/>
    <n v="0.49"/>
    <n v="250"/>
    <m/>
    <m/>
    <m/>
    <m/>
    <m/>
    <m/>
    <n v="250"/>
    <n v="31250"/>
    <n v="0"/>
    <n v="31250"/>
    <n v="7401.2499999999991"/>
    <n v="0"/>
    <n v="7401.2499999999991"/>
  </r>
  <r>
    <x v="14"/>
    <s v="PORTA ASIATACA"/>
    <s v="CHINA"/>
    <s v="STS25W51174"/>
    <s v="FF286"/>
    <s v="100% COTTON HIGH TWIST 12 GG POINTELLE"/>
    <s v="SWEATER"/>
    <s v="6110.20.2035"/>
    <n v="125"/>
    <n v="22.759999999999998"/>
    <n v="17"/>
    <n v="0.16500000000000001"/>
    <n v="2.8050000000000002"/>
    <n v="7.4999999999999997E-2"/>
    <n v="1.2749999999999999"/>
    <n v="7.0000000000000007E-2"/>
    <n v="1.1900000000000002"/>
    <n v="0.49"/>
    <n v="200"/>
    <m/>
    <m/>
    <m/>
    <m/>
    <m/>
    <m/>
    <n v="200"/>
    <n v="25000"/>
    <n v="0"/>
    <n v="25000"/>
    <n v="4552"/>
    <n v="0"/>
    <n v="4552"/>
  </r>
  <r>
    <x v="14"/>
    <s v="PORTA ASIATACA"/>
    <s v="CHINA"/>
    <s v="STS25W51175"/>
    <s v="FF286"/>
    <s v="100% COTTON HIGH TWIST 12 GG POINTELLE"/>
    <s v="SWEATER"/>
    <s v="6104.62.2030"/>
    <n v="125"/>
    <n v="29.604999999999997"/>
    <n v="22.5"/>
    <n v="0.14899999999999999"/>
    <n v="3.3525"/>
    <n v="7.4999999999999997E-2"/>
    <n v="1.6875"/>
    <n v="7.0000000000000007E-2"/>
    <n v="1.5750000000000002"/>
    <n v="0.49"/>
    <n v="200"/>
    <m/>
    <m/>
    <m/>
    <m/>
    <m/>
    <m/>
    <n v="200"/>
    <n v="25000"/>
    <n v="0"/>
    <n v="25000"/>
    <n v="5920.9999999999991"/>
    <n v="0"/>
    <n v="5920.9999999999991"/>
  </r>
  <r>
    <x v="0"/>
    <s v="PORTA ASIATACA"/>
    <s v="CHINA"/>
    <s v="STS25W51119"/>
    <s v="FF403-P"/>
    <s v="82% NYLON/18% SPANDEX 220 GM/M2"/>
    <s v="KNIT"/>
    <s v="6106.20.2010"/>
    <n v="88"/>
    <n v="16.604999999999997"/>
    <n v="11"/>
    <n v="0.32"/>
    <n v="3.52"/>
    <n v="7.4999999999999997E-2"/>
    <n v="0.82499999999999996"/>
    <n v="7.0000000000000007E-2"/>
    <n v="0.77"/>
    <n v="0.49"/>
    <n v="250"/>
    <n v="164"/>
    <m/>
    <m/>
    <m/>
    <m/>
    <m/>
    <n v="414"/>
    <n v="22000"/>
    <n v="14432"/>
    <n v="36432"/>
    <n v="4151.2499999999991"/>
    <n v="2723.2199999999993"/>
    <n v="6874.4699999999984"/>
  </r>
  <r>
    <x v="26"/>
    <s v="PORTA ASIATACA"/>
    <s v="CHINA"/>
    <s v="STS25W51120"/>
    <s v="FF403-P"/>
    <s v="82% NYLON/18% SPANDEX 220 GM/M2"/>
    <s v="KNIT"/>
    <s v="6104.53.2010"/>
    <n v="88"/>
    <n v="18.107499999999998"/>
    <n v="13.5"/>
    <n v="0.16"/>
    <n v="2.16"/>
    <n v="7.4999999999999997E-2"/>
    <n v="1.0125"/>
    <n v="7.0000000000000007E-2"/>
    <n v="0.94500000000000006"/>
    <n v="0.49"/>
    <n v="250"/>
    <n v="164"/>
    <m/>
    <m/>
    <m/>
    <m/>
    <n v="4"/>
    <n v="418"/>
    <n v="22000"/>
    <n v="14784"/>
    <n v="36784"/>
    <n v="4526.8749999999991"/>
    <n v="3023.6299999999997"/>
    <n v="7550.5049999999992"/>
  </r>
  <r>
    <x v="0"/>
    <s v="PORTA ASIATACA"/>
    <s v="CHINA"/>
    <s v="STS25W51119"/>
    <s v="FF403-P"/>
    <s v="82% NYLON/18% SPANDEX 220 GM/M2"/>
    <s v="KNIT"/>
    <s v="6106.20.2010"/>
    <n v="88"/>
    <n v="16.604999999999997"/>
    <n v="11"/>
    <n v="0.32"/>
    <n v="3.52"/>
    <n v="7.4999999999999997E-2"/>
    <n v="0.82499999999999996"/>
    <n v="7.0000000000000007E-2"/>
    <n v="0.77"/>
    <n v="0.49"/>
    <n v="200"/>
    <n v="160"/>
    <m/>
    <m/>
    <m/>
    <m/>
    <m/>
    <n v="360"/>
    <n v="17600"/>
    <n v="14080"/>
    <n v="31680"/>
    <n v="3320.9999999999995"/>
    <n v="2656.7999999999993"/>
    <n v="5977.7999999999993"/>
  </r>
  <r>
    <x v="26"/>
    <s v="PORTA ASIATACA"/>
    <s v="CHINA"/>
    <s v="STS25W51120"/>
    <s v="FF403-P"/>
    <s v="82% NYLON/18% SPANDEX 220 GM/M2"/>
    <s v="KNIT"/>
    <s v="6104.53.2010"/>
    <n v="88"/>
    <n v="18.107499999999998"/>
    <n v="13.5"/>
    <n v="0.16"/>
    <n v="2.16"/>
    <n v="7.4999999999999997E-2"/>
    <n v="1.0125"/>
    <n v="7.0000000000000007E-2"/>
    <n v="0.94500000000000006"/>
    <n v="0.49"/>
    <n v="200"/>
    <n v="160"/>
    <m/>
    <m/>
    <m/>
    <m/>
    <n v="6"/>
    <n v="366"/>
    <n v="17600"/>
    <n v="14608"/>
    <n v="32208"/>
    <n v="3621.4999999999995"/>
    <n v="2978.2"/>
    <n v="6599.6999999999989"/>
  </r>
  <r>
    <x v="0"/>
    <s v="PORTA ASIATACA"/>
    <s v="CHINA"/>
    <s v="STS25W51119"/>
    <s v="FF403-P"/>
    <s v="82% NYLON/18% SPANDEX 220 GM/M2"/>
    <s v="KNIT"/>
    <s v="6106.20.2010"/>
    <n v="88"/>
    <n v="16.604999999999997"/>
    <n v="11"/>
    <n v="0.32"/>
    <n v="3.52"/>
    <n v="7.4999999999999997E-2"/>
    <n v="0.82499999999999996"/>
    <n v="7.0000000000000007E-2"/>
    <n v="0.77"/>
    <n v="0.49"/>
    <n v="250"/>
    <n v="176"/>
    <m/>
    <m/>
    <m/>
    <m/>
    <m/>
    <n v="426"/>
    <n v="22000"/>
    <n v="15488"/>
    <n v="37488"/>
    <n v="4151.2499999999991"/>
    <n v="2922.4799999999996"/>
    <n v="7073.7299999999987"/>
  </r>
  <r>
    <x v="26"/>
    <s v="PORTA ASIATACA"/>
    <s v="CHINA"/>
    <s v="STS25W51120"/>
    <s v="FF403-P"/>
    <s v="82% NYLON/18% SPANDEX 220 GM/M2"/>
    <s v="KNIT"/>
    <s v="6104.53.2010"/>
    <n v="88"/>
    <n v="18.107499999999998"/>
    <n v="13.5"/>
    <n v="0.16"/>
    <n v="2.16"/>
    <n v="7.4999999999999997E-2"/>
    <n v="1.0125"/>
    <n v="7.0000000000000007E-2"/>
    <n v="0.94500000000000006"/>
    <n v="0.49"/>
    <n v="250"/>
    <n v="176"/>
    <m/>
    <m/>
    <m/>
    <m/>
    <n v="4"/>
    <n v="430"/>
    <n v="22000"/>
    <n v="15840"/>
    <n v="37840"/>
    <n v="4526.8749999999991"/>
    <n v="3240.9199999999996"/>
    <n v="7767.7949999999983"/>
  </r>
  <r>
    <x v="2"/>
    <s v="PORTA ASIATACA"/>
    <s v="CHINA"/>
    <s v="STS25W51121"/>
    <s v="FF401"/>
    <s v="86% POLYESTER/14% SPANDEX MESH 160 GM/M2"/>
    <s v="KNIT"/>
    <s v="6112.12.0020"/>
    <n v="145"/>
    <n v="31.66995"/>
    <n v="21.85"/>
    <n v="0.28199999999999997"/>
    <n v="6.1616999999999997"/>
    <n v="7.4999999999999997E-2"/>
    <n v="1.6387500000000002"/>
    <n v="7.0000000000000007E-2"/>
    <n v="1.5295000000000003"/>
    <n v="0.49"/>
    <n v="200"/>
    <n v="225"/>
    <m/>
    <m/>
    <m/>
    <m/>
    <n v="4"/>
    <n v="429"/>
    <n v="29000"/>
    <n v="33205"/>
    <n v="62205"/>
    <n v="6333.99"/>
    <n v="7213.1387500000001"/>
    <n v="13547.12875"/>
  </r>
  <r>
    <x v="1"/>
    <s v="PORTA ASIATACA"/>
    <s v="CHINA"/>
    <s v="STS25W51124"/>
    <s v="FF401"/>
    <s v="86% POLYESTER/14% SPANDEX MESH 160 GM/M2"/>
    <s v="KNIT"/>
    <s v="6104.63.2030"/>
    <n v="78"/>
    <n v="17.542649999999998"/>
    <n v="11.95"/>
    <n v="0.28199999999999997"/>
    <n v="3.3698999999999995"/>
    <n v="7.4999999999999997E-2"/>
    <n v="0.89624999999999988"/>
    <n v="7.0000000000000007E-2"/>
    <n v="0.83650000000000002"/>
    <n v="0.49"/>
    <n v="200"/>
    <n v="219"/>
    <m/>
    <m/>
    <m/>
    <m/>
    <n v="10"/>
    <n v="429"/>
    <n v="15600"/>
    <n v="17862"/>
    <n v="33462"/>
    <n v="3508.5299999999997"/>
    <n v="3961.3403499999995"/>
    <n v="7469.8703499999992"/>
  </r>
  <r>
    <x v="2"/>
    <s v="PORTA ASIATACA"/>
    <s v="CHINA"/>
    <s v="STS25W51106"/>
    <s v="FF402"/>
    <s v="42% TENCEL/50% POLYESTER/ 8% SPANDEX 250 GM/M2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105"/>
    <m/>
    <m/>
    <m/>
    <m/>
    <m/>
    <n v="305"/>
    <n v="33000"/>
    <n v="17325"/>
    <n v="50325"/>
    <n v="6376.7999999999993"/>
    <n v="3347.8199999999997"/>
    <n v="9724.619999999999"/>
  </r>
  <r>
    <x v="3"/>
    <s v="PORTA ASIATACA"/>
    <s v="CHINA"/>
    <s v="STS25W51107"/>
    <s v="FF402"/>
    <s v="42% TENCEL/50% POLYESTER/ 8% SPANDEX 250 GM/M2"/>
    <s v="KNIT"/>
    <s v="6112.12.0060"/>
    <n v="140"/>
    <n v="29.001459999999998"/>
    <n v="19.98"/>
    <n v="0.28199999999999997"/>
    <n v="5.6343599999999991"/>
    <n v="7.4999999999999997E-2"/>
    <n v="1.4984999999999999"/>
    <n v="7.0000000000000007E-2"/>
    <n v="1.3986000000000001"/>
    <n v="0.49"/>
    <n v="200"/>
    <n v="105"/>
    <m/>
    <m/>
    <m/>
    <m/>
    <m/>
    <n v="305"/>
    <n v="28000"/>
    <n v="14700"/>
    <n v="42700"/>
    <n v="5800.2919999999995"/>
    <n v="3045.1532999999999"/>
    <n v="8845.4452999999994"/>
  </r>
  <r>
    <x v="2"/>
    <s v="PORTA ASIATACA"/>
    <s v="CHINA"/>
    <s v="STS25W51106"/>
    <s v="FF402"/>
    <s v="42% TENCEL/50% POLYESTER/ 8% SPANDEX 250 GM/M2"/>
    <s v="KNIT"/>
    <s v="6112.12.0020"/>
    <n v="165"/>
    <n v="31.883999999999997"/>
    <n v="22"/>
    <n v="0.28199999999999997"/>
    <n v="6.2039999999999997"/>
    <n v="7.4999999999999997E-2"/>
    <n v="1.65"/>
    <n v="7.0000000000000007E-2"/>
    <n v="1.54"/>
    <n v="0.49"/>
    <n v="200"/>
    <n v="241"/>
    <m/>
    <m/>
    <m/>
    <m/>
    <m/>
    <n v="441"/>
    <n v="33000"/>
    <n v="39765"/>
    <n v="72765"/>
    <n v="6376.7999999999993"/>
    <n v="7684.043999999999"/>
    <n v="14060.843999999997"/>
  </r>
  <r>
    <x v="3"/>
    <s v="PORTA ASIATACA"/>
    <s v="CHINA"/>
    <s v="STS25W51107"/>
    <s v="FF402"/>
    <s v="42% TENCEL/50% POLYESTER/ 8% SPANDEX 250 GM/M2"/>
    <s v="KNIT"/>
    <s v="6112.12.0060"/>
    <n v="140"/>
    <n v="29.001459999999998"/>
    <n v="19.98"/>
    <n v="0.28199999999999997"/>
    <n v="5.6343599999999991"/>
    <n v="7.4999999999999997E-2"/>
    <n v="1.4984999999999999"/>
    <n v="7.0000000000000007E-2"/>
    <n v="1.3986000000000001"/>
    <n v="0.49"/>
    <n v="200"/>
    <n v="241"/>
    <m/>
    <m/>
    <m/>
    <m/>
    <m/>
    <n v="441"/>
    <n v="28000"/>
    <n v="33740"/>
    <n v="61740"/>
    <n v="5800.2919999999995"/>
    <n v="6989.3518599999998"/>
    <n v="12789.64386"/>
  </r>
  <r>
    <x v="33"/>
    <s v="PORTA ASIATACA"/>
    <s v="CHINA"/>
    <s v="STS25W51139"/>
    <s v="FF399"/>
    <s v="98% COTTON/2% SPANDEX 120 GM/M2 200X78/60X60+40D"/>
    <s v="WOVEN"/>
    <s v="6206.30.3045"/>
    <n v="110"/>
    <n v="20.624500000000001"/>
    <n v="15.5"/>
    <n v="0.154"/>
    <n v="2.387"/>
    <n v="7.4999999999999997E-2"/>
    <n v="1.1624999999999999"/>
    <n v="7.0000000000000007E-2"/>
    <n v="1.0850000000000002"/>
    <n v="0.49"/>
    <n v="250"/>
    <n v="248"/>
    <m/>
    <n v="40"/>
    <m/>
    <m/>
    <n v="4"/>
    <n v="542"/>
    <n v="27500"/>
    <n v="32120"/>
    <n v="59620"/>
    <n v="5156.125"/>
    <n v="5796.8760000000002"/>
    <n v="10953.001"/>
  </r>
  <r>
    <x v="5"/>
    <s v="PORTA ASIATACA"/>
    <s v="CHINA"/>
    <s v="STS25W51138"/>
    <s v="FF399"/>
    <s v="98% COTTON/2% SPANDEX 120 GM/M2 200X78/60X60+40D"/>
    <s v="WOVEN"/>
    <s v="6204.62.8010"/>
    <n v="135"/>
    <n v="27.365499999999997"/>
    <n v="20.5"/>
    <n v="0.16600000000000001"/>
    <n v="3.403"/>
    <n v="7.4999999999999997E-2"/>
    <n v="1.5374999999999999"/>
    <n v="7.0000000000000007E-2"/>
    <n v="1.4350000000000001"/>
    <n v="0.49"/>
    <n v="200"/>
    <n v="268"/>
    <m/>
    <m/>
    <m/>
    <m/>
    <m/>
    <n v="468"/>
    <n v="27000"/>
    <n v="36180"/>
    <n v="63180"/>
    <n v="5473.0999999999995"/>
    <n v="7333.9539999999997"/>
    <n v="12807.054"/>
  </r>
  <r>
    <x v="23"/>
    <s v="PORTA ASIATACA"/>
    <s v="CHINA"/>
    <s v="STS25W51140"/>
    <s v="FF399"/>
    <s v="98% COTTON/2% SPANDEX 120 GM/M2 200X78/60X60+40D"/>
    <s v="WOVEN"/>
    <s v="6204.52.2070"/>
    <n v="98"/>
    <n v="20.490100000000002"/>
    <n v="16.3"/>
    <n v="8.2000000000000003E-2"/>
    <n v="1.3366"/>
    <n v="7.4999999999999997E-2"/>
    <n v="1.2224999999999999"/>
    <n v="7.0000000000000007E-2"/>
    <n v="1.1410000000000002"/>
    <n v="0.49"/>
    <n v="250"/>
    <n v="272"/>
    <m/>
    <n v="40"/>
    <m/>
    <m/>
    <n v="20"/>
    <n v="582"/>
    <n v="24500"/>
    <n v="32536"/>
    <n v="57036"/>
    <n v="5122.5250000000005"/>
    <n v="6551.3072000000002"/>
    <n v="11673.832200000001"/>
  </r>
  <r>
    <x v="33"/>
    <s v="PORTA ASIATACA"/>
    <s v="CHINA"/>
    <s v="STS25W51214"/>
    <s v="FF398"/>
    <s v="54% TENCEL/40% POLYESTER/6% SPANDEX 178 GM/M2"/>
    <s v="WOVEN"/>
    <s v="6206.40.3035"/>
    <n v="135"/>
    <n v="29.689099999999996"/>
    <n v="20.65"/>
    <n v="0.26900000000000002"/>
    <n v="5.5548500000000001"/>
    <n v="7.4999999999999997E-2"/>
    <n v="1.5487499999999998"/>
    <n v="7.0000000000000007E-2"/>
    <n v="1.4455"/>
    <n v="0.49"/>
    <n v="200"/>
    <n v="134"/>
    <m/>
    <m/>
    <m/>
    <m/>
    <m/>
    <n v="334"/>
    <n v="27000"/>
    <n v="18090"/>
    <n v="45090"/>
    <n v="5937.82"/>
    <n v="3978.3393999999994"/>
    <n v="9916.1593999999986"/>
  </r>
  <r>
    <x v="1"/>
    <s v="PORTA ASIATACA"/>
    <s v="CHINA"/>
    <s v="STS25W51215"/>
    <s v="FF398"/>
    <s v="54% TENCEL/40% POLYESTER/6% SPANDEX 178 GM/M2"/>
    <s v="WOVEN"/>
    <s v="6204.69.2840"/>
    <n v="135"/>
    <n v="27.249699999999997"/>
    <n v="18.7"/>
    <n v="0.28599999999999998"/>
    <n v="5.3481999999999994"/>
    <n v="7.4999999999999997E-2"/>
    <n v="1.4024999999999999"/>
    <n v="7.0000000000000007E-2"/>
    <n v="1.3090000000000002"/>
    <n v="0.49"/>
    <n v="200"/>
    <n v="134"/>
    <m/>
    <m/>
    <m/>
    <m/>
    <m/>
    <n v="334"/>
    <n v="27000"/>
    <n v="18090"/>
    <n v="45090"/>
    <n v="5449.94"/>
    <n v="3651.4597999999996"/>
    <n v="9101.3997999999992"/>
  </r>
  <r>
    <x v="25"/>
    <s v="PORTA ASIATACA"/>
    <s v="CHINA"/>
    <s v="STS25W51188"/>
    <s v="FF300"/>
    <s v="78% COTTON 22% POLYESTER TERRY CLOTH 300 GM/M2"/>
    <s v="KNIT"/>
    <s v="6110.20.2035"/>
    <n v="58"/>
    <n v="9.5945"/>
    <n v="6.95"/>
    <n v="0.16500000000000001"/>
    <n v="1.1467500000000002"/>
    <n v="7.4999999999999997E-2"/>
    <n v="0.52124999999999999"/>
    <n v="7.0000000000000007E-2"/>
    <n v="0.48650000000000004"/>
    <n v="0.49"/>
    <n v="200"/>
    <n v="106"/>
    <m/>
    <n v="40"/>
    <m/>
    <m/>
    <m/>
    <n v="346"/>
    <n v="11600"/>
    <n v="8468"/>
    <n v="20068"/>
    <n v="1918.9"/>
    <n v="1295.0170000000001"/>
    <n v="3213.9170000000004"/>
  </r>
  <r>
    <x v="23"/>
    <s v="PORTA ASIATACA"/>
    <s v="CHINA"/>
    <s v="STS25W51189"/>
    <s v="FF300"/>
    <s v="78% COTTON 22% POLYESTER TERRY CLOTH 300 GM/M2"/>
    <s v="KNIT"/>
    <s v="6104.52.0010"/>
    <n v="58"/>
    <n v="10.928000000000001"/>
    <n v="8.5"/>
    <n v="8.3000000000000004E-2"/>
    <n v="0.70550000000000002"/>
    <n v="7.4999999999999997E-2"/>
    <n v="0.63749999999999996"/>
    <n v="7.0000000000000007E-2"/>
    <n v="0.59500000000000008"/>
    <n v="0.49"/>
    <n v="200"/>
    <n v="106"/>
    <m/>
    <n v="40"/>
    <m/>
    <m/>
    <n v="4"/>
    <n v="350"/>
    <n v="11600"/>
    <n v="8700"/>
    <n v="20300"/>
    <n v="2185.6000000000004"/>
    <n v="1532.3680000000002"/>
    <n v="3717.9680000000008"/>
  </r>
  <r>
    <x v="25"/>
    <s v="PORTA ASIATACA"/>
    <s v="CHINA"/>
    <s v="STS25W51188"/>
    <s v="FF300"/>
    <s v="78% COTTON 22% POLYESTER TERRY CLOTH 300 GM/M2"/>
    <s v="KNIT"/>
    <s v="6110.20.2035"/>
    <n v="58"/>
    <n v="9.5945"/>
    <n v="6.95"/>
    <n v="0.16500000000000001"/>
    <n v="1.1467500000000002"/>
    <n v="7.4999999999999997E-2"/>
    <n v="0.52124999999999999"/>
    <n v="7.0000000000000007E-2"/>
    <n v="0.48650000000000004"/>
    <n v="0.49"/>
    <n v="200"/>
    <n v="183"/>
    <m/>
    <n v="40"/>
    <m/>
    <m/>
    <m/>
    <n v="423"/>
    <n v="11600"/>
    <n v="12934"/>
    <n v="24534"/>
    <n v="1918.9"/>
    <n v="2033.7935"/>
    <n v="3952.6935000000003"/>
  </r>
  <r>
    <x v="23"/>
    <s v="PORTA ASIATACA"/>
    <s v="CHINA"/>
    <s v="STS25W51189"/>
    <s v="FF300"/>
    <s v="78% COTTON 22% POLYESTER TERRY CLOTH 300 GM/M2"/>
    <s v="KNIT"/>
    <s v="6104.52.0010"/>
    <n v="58"/>
    <n v="10.928000000000001"/>
    <n v="8.5"/>
    <n v="8.3000000000000004E-2"/>
    <n v="0.70550000000000002"/>
    <n v="7.4999999999999997E-2"/>
    <n v="0.63749999999999996"/>
    <n v="7.0000000000000007E-2"/>
    <n v="0.59500000000000008"/>
    <n v="0.49"/>
    <n v="200"/>
    <n v="183"/>
    <m/>
    <n v="40"/>
    <m/>
    <m/>
    <n v="20"/>
    <n v="443"/>
    <n v="11600"/>
    <n v="14094"/>
    <n v="25694"/>
    <n v="2185.6000000000004"/>
    <n v="2509.8240000000001"/>
    <n v="4695.4240000000009"/>
  </r>
  <r>
    <x v="30"/>
    <s v="PORTA ASIATACA"/>
    <s v="CHINA"/>
    <s v="STS25W51190"/>
    <s v="FF300"/>
    <s v="78% COTTON 22% POLYESTER TERRY CLOTH 300 GM/M2"/>
    <s v="KNIT"/>
    <s v="6104.42.0010"/>
    <n v="118"/>
    <n v="17.5"/>
    <n v="13.5"/>
    <n v="0.115"/>
    <n v="1.5525"/>
    <n v="7.4999999999999997E-2"/>
    <n v="1.0125"/>
    <n v="7.0000000000000007E-2"/>
    <n v="0.94500000000000006"/>
    <n v="0.49"/>
    <n v="250"/>
    <n v="109"/>
    <m/>
    <m/>
    <m/>
    <m/>
    <m/>
    <n v="359"/>
    <n v="29500"/>
    <n v="12862"/>
    <n v="42362"/>
    <n v="4375"/>
    <n v="1907.5"/>
    <n v="6282.5"/>
  </r>
  <r>
    <x v="33"/>
    <s v="PORTA ASIATACA"/>
    <s v="CHINA"/>
    <s v="STS25W51191"/>
    <s v="FF300"/>
    <s v="78% COTTON 22% POLYESTER TERRY CLOTH 300 GM/M2"/>
    <s v="KNIT"/>
    <s v="6106.10.0010"/>
    <n v="88"/>
    <n v="18.606999999999999"/>
    <n v="13.5"/>
    <n v="0.19700000000000001"/>
    <n v="2.6595"/>
    <n v="7.4999999999999997E-2"/>
    <n v="1.0125"/>
    <n v="7.0000000000000007E-2"/>
    <n v="0.94500000000000006"/>
    <n v="0.49"/>
    <n v="250"/>
    <n v="111"/>
    <m/>
    <n v="40"/>
    <m/>
    <m/>
    <m/>
    <n v="401"/>
    <n v="22000"/>
    <n v="13288"/>
    <n v="35288"/>
    <n v="4651.75"/>
    <n v="2605.377"/>
    <n v="7257.1270000000004"/>
  </r>
  <r>
    <x v="6"/>
    <s v="PORTA ASIATACA"/>
    <s v="CHINA"/>
    <s v="STS25W51192"/>
    <s v="FF300"/>
    <s v="78% COTTON 22% POLYESTER TERRY CLOTH 300 GM/M2"/>
    <s v="KNIT"/>
    <s v="6104.62.2030"/>
    <n v="78"/>
    <n v="16.018000000000001"/>
    <n v="12"/>
    <n v="0.14899999999999999"/>
    <n v="1.7879999999999998"/>
    <n v="7.4999999999999997E-2"/>
    <n v="0.89999999999999991"/>
    <n v="7.0000000000000007E-2"/>
    <n v="0.84000000000000008"/>
    <n v="0.49"/>
    <n v="250"/>
    <n v="111"/>
    <m/>
    <n v="50"/>
    <m/>
    <m/>
    <m/>
    <n v="411"/>
    <n v="19500"/>
    <n v="12558"/>
    <n v="32058"/>
    <n v="4004.5"/>
    <n v="2377.998"/>
    <n v="6382.4979999999996"/>
  </r>
  <r>
    <x v="33"/>
    <s v="PORTA ASIATACA"/>
    <s v="CHINA"/>
    <s v="STS25W51191"/>
    <s v="FF300"/>
    <s v="78% COTTON 22% POLYESTER TERRY CLOTH 300 GM/M2"/>
    <s v="KNIT"/>
    <s v="6106.10.0010"/>
    <n v="88"/>
    <n v="18.512499999999999"/>
    <n v="13.5"/>
    <n v="0.19"/>
    <n v="2.5649999999999999"/>
    <n v="7.4999999999999997E-2"/>
    <n v="1.0125"/>
    <n v="7.0000000000000007E-2"/>
    <n v="0.94500000000000006"/>
    <n v="0.49"/>
    <n v="250"/>
    <n v="192"/>
    <m/>
    <n v="40"/>
    <m/>
    <m/>
    <m/>
    <n v="482"/>
    <n v="22000"/>
    <n v="20416"/>
    <n v="42416"/>
    <n v="4628.125"/>
    <n v="4094.3999999999996"/>
    <n v="8722.5249999999996"/>
  </r>
  <r>
    <x v="6"/>
    <s v="PORTA ASIATACA"/>
    <s v="CHINA"/>
    <s v="STS25W51192"/>
    <s v="FF300"/>
    <s v="78% COTTON 22% POLYESTER TERRY CLOTH 300 GM/M2"/>
    <s v="KNIT"/>
    <s v="6104.62.2030"/>
    <n v="78"/>
    <n v="16.018000000000001"/>
    <n v="12"/>
    <n v="0.14899999999999999"/>
    <n v="1.7879999999999998"/>
    <n v="7.4999999999999997E-2"/>
    <n v="0.89999999999999991"/>
    <n v="7.0000000000000007E-2"/>
    <n v="0.84000000000000008"/>
    <n v="0.49"/>
    <n v="250"/>
    <n v="192"/>
    <m/>
    <n v="50"/>
    <m/>
    <m/>
    <m/>
    <n v="492"/>
    <n v="19500"/>
    <n v="18876"/>
    <n v="38376"/>
    <n v="4004.5"/>
    <n v="3675.4560000000001"/>
    <n v="7679.9560000000001"/>
  </r>
  <r>
    <x v="34"/>
    <s v="FIORIMA"/>
    <s v="PORTUGAL"/>
    <s v="STS25X51034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1000"/>
    <m/>
    <m/>
    <m/>
    <m/>
    <m/>
    <m/>
    <n v="1000"/>
    <n v="18000"/>
    <n v="0"/>
    <n v="18000"/>
    <n v="4044.7500000000005"/>
    <n v="0"/>
    <n v="4044.7500000000005"/>
  </r>
  <r>
    <x v="34"/>
    <s v="FIORIMA"/>
    <s v="PORTUGAL"/>
    <s v="STS25X51034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1000"/>
    <m/>
    <m/>
    <m/>
    <m/>
    <m/>
    <m/>
    <n v="1000"/>
    <n v="18000"/>
    <n v="0"/>
    <n v="18000"/>
    <n v="4044.7500000000005"/>
    <n v="0"/>
    <n v="4044.7500000000005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800"/>
    <m/>
    <m/>
    <m/>
    <m/>
    <m/>
    <m/>
    <n v="800"/>
    <n v="14400"/>
    <n v="0"/>
    <n v="14400"/>
    <n v="3235.8"/>
    <n v="0"/>
    <n v="3235.8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500"/>
    <m/>
    <m/>
    <m/>
    <m/>
    <m/>
    <m/>
    <n v="500"/>
    <n v="9000"/>
    <n v="0"/>
    <n v="9000"/>
    <n v="2022.3750000000002"/>
    <n v="0"/>
    <n v="2022.3750000000002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500"/>
    <m/>
    <m/>
    <m/>
    <m/>
    <m/>
    <m/>
    <n v="500"/>
    <n v="9000"/>
    <n v="0"/>
    <n v="9000"/>
    <n v="2022.3750000000002"/>
    <n v="0"/>
    <n v="2022.3750000000002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500"/>
    <n v="100"/>
    <m/>
    <m/>
    <m/>
    <m/>
    <m/>
    <n v="600"/>
    <n v="9000"/>
    <n v="1800"/>
    <n v="10800"/>
    <n v="2022.3750000000002"/>
    <n v="404.47500000000002"/>
    <n v="2426.8500000000004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500"/>
    <n v="100"/>
    <m/>
    <m/>
    <m/>
    <m/>
    <m/>
    <n v="600"/>
    <n v="9000"/>
    <n v="1800"/>
    <n v="10800"/>
    <n v="2022.3750000000002"/>
    <n v="404.47500000000002"/>
    <n v="2426.8500000000004"/>
  </r>
  <r>
    <x v="34"/>
    <s v="FIORIMA"/>
    <s v="PORTUGAL"/>
    <s v="STS25X51035"/>
    <s v="FF355"/>
    <s v="85% COTTON/13% POLYAMIDE/2% ELASTANE"/>
    <s v="KNIT"/>
    <s v="6115.95.9000"/>
    <n v="18"/>
    <n v="4.0447500000000005"/>
    <n v="2.95"/>
    <n v="0.13500000000000001"/>
    <n v="0.39825000000000005"/>
    <m/>
    <m/>
    <n v="7.0000000000000007E-2"/>
    <n v="0.20650000000000004"/>
    <n v="0.49"/>
    <n v="500"/>
    <n v="100"/>
    <m/>
    <m/>
    <m/>
    <m/>
    <m/>
    <n v="600"/>
    <n v="9000"/>
    <n v="1800"/>
    <n v="10800"/>
    <n v="2022.3750000000002"/>
    <n v="404.47500000000002"/>
    <n v="2426.8500000000004"/>
  </r>
  <r>
    <x v="34"/>
    <s v="FIORIMA"/>
    <s v="PORTUGAL"/>
    <s v="STS22X60089"/>
    <s v="FF355"/>
    <s v="85% COTTON/13% POLYAMIDE/2% ELASTANE"/>
    <s v="KNIT"/>
    <s v="6115.95.9000"/>
    <n v="18"/>
    <n v="4.1050000000000004"/>
    <n v="3"/>
    <n v="0.13500000000000001"/>
    <n v="0.40500000000000003"/>
    <m/>
    <m/>
    <n v="7.0000000000000007E-2"/>
    <n v="0.21000000000000002"/>
    <n v="0.49"/>
    <n v="1100"/>
    <m/>
    <m/>
    <m/>
    <m/>
    <m/>
    <m/>
    <n v="1100"/>
    <n v="19800"/>
    <n v="0"/>
    <n v="19800"/>
    <n v="4515.5000000000009"/>
    <n v="0"/>
    <n v="4515.5000000000009"/>
  </r>
  <r>
    <x v="34"/>
    <s v="FIORIMA"/>
    <s v="PORTUGAL"/>
    <s v="STS25X51396"/>
    <s v="FF355"/>
    <s v="85% COTTON/13% POLYAMIDE/2% ELASTANE"/>
    <s v="KNIT"/>
    <s v="6115.95.9000"/>
    <n v="18"/>
    <n v="4.2014000000000005"/>
    <n v="3.08"/>
    <n v="0.13500000000000001"/>
    <n v="0.41580000000000006"/>
    <m/>
    <m/>
    <n v="7.0000000000000007E-2"/>
    <n v="0.21560000000000001"/>
    <n v="0.49"/>
    <n v="250"/>
    <n v="200"/>
    <m/>
    <m/>
    <m/>
    <m/>
    <m/>
    <n v="450"/>
    <n v="4500"/>
    <n v="3600"/>
    <n v="8100"/>
    <n v="1050.3500000000001"/>
    <n v="840.28000000000009"/>
    <n v="1890.63"/>
  </r>
  <r>
    <x v="34"/>
    <s v="FIORIMA"/>
    <s v="PORTUGAL"/>
    <s v="STS25X51396"/>
    <s v="FF355"/>
    <s v="85% COTTON/13% POLYAMIDE/2% ELASTANE"/>
    <s v="KNIT"/>
    <s v="6115.95.9000"/>
    <n v="18"/>
    <n v="4.2014000000000005"/>
    <n v="3.08"/>
    <n v="0.13500000000000001"/>
    <n v="0.41580000000000006"/>
    <m/>
    <m/>
    <n v="7.0000000000000007E-2"/>
    <n v="0.21560000000000001"/>
    <n v="0.49"/>
    <n v="250"/>
    <n v="200"/>
    <m/>
    <m/>
    <m/>
    <m/>
    <m/>
    <n v="450"/>
    <n v="4500"/>
    <n v="3600"/>
    <n v="8100"/>
    <n v="1050.3500000000001"/>
    <n v="840.28000000000009"/>
    <n v="1890.63"/>
  </r>
  <r>
    <x v="35"/>
    <s v="PORTA ASIATACA"/>
    <s v="CHINA"/>
    <s v="STS25X51415"/>
    <m/>
    <m/>
    <s v="HARDWARE"/>
    <s v="9506.59.8060"/>
    <m/>
    <n v="10.39"/>
    <n v="8.25"/>
    <n v="0.04"/>
    <n v="0.33"/>
    <n v="7.4999999999999997E-2"/>
    <n v="0.74250000000000005"/>
    <n v="7.0000000000000007E-2"/>
    <n v="0.57750000000000001"/>
    <n v="0.49"/>
    <m/>
    <m/>
    <m/>
    <m/>
    <m/>
    <m/>
    <m/>
    <n v="0"/>
    <n v="0"/>
    <n v="0"/>
    <n v="0"/>
    <n v="0"/>
    <n v="0"/>
    <n v="0"/>
  </r>
  <r>
    <x v="35"/>
    <s v="SHANGHAI YUXIU"/>
    <s v="CHINA"/>
    <s v="STS25X51414"/>
    <m/>
    <s v="100% POLYESTER   "/>
    <s v="WOVEN"/>
    <s v="6505.00.8090"/>
    <m/>
    <n v="0.49"/>
    <m/>
    <n v="7.0000000000000007E-2"/>
    <n v="0"/>
    <n v="0.25"/>
    <n v="0"/>
    <n v="7.0000000000000007E-2"/>
    <n v="0"/>
    <n v="0.49"/>
    <m/>
    <m/>
    <m/>
    <m/>
    <m/>
    <m/>
    <m/>
    <n v="0"/>
    <n v="0"/>
    <n v="0"/>
    <n v="0"/>
    <n v="0"/>
    <n v="0"/>
    <n v="0"/>
  </r>
  <r>
    <x v="35"/>
    <s v="BBUK"/>
    <s v="CHINA"/>
    <s v="UKS25X51397"/>
    <m/>
    <s v="100% POLYESTER 290T"/>
    <s v="WOVEN"/>
    <s v="4202.92.3131"/>
    <n v="118"/>
    <n v="25.225999999999999"/>
    <n v="16"/>
    <n v="0.17599999999999999"/>
    <n v="2.8159999999999998"/>
    <n v="0.25"/>
    <n v="4.8"/>
    <n v="7.0000000000000007E-2"/>
    <n v="1.1200000000000001"/>
    <n v="0.49"/>
    <n v="200"/>
    <m/>
    <m/>
    <m/>
    <m/>
    <m/>
    <m/>
    <n v="200"/>
    <n v="23600"/>
    <n v="0"/>
    <n v="23600"/>
    <n v="5045.2"/>
    <n v="0"/>
    <n v="5045.2"/>
  </r>
  <r>
    <x v="35"/>
    <s v="BBUK"/>
    <s v="CHINA"/>
    <s v="UKS25X51398"/>
    <m/>
    <s v="100% POLYESTER 290T"/>
    <s v="WOVEN"/>
    <s v="4202.92.3131"/>
    <n v="88"/>
    <n v="16.722999999999999"/>
    <n v="10.5"/>
    <n v="0.17599999999999999"/>
    <n v="1.8479999999999999"/>
    <n v="0.25"/>
    <n v="3.15"/>
    <n v="7.0000000000000007E-2"/>
    <n v="0.7350000000000001"/>
    <n v="0.49"/>
    <n v="5200"/>
    <m/>
    <m/>
    <m/>
    <m/>
    <m/>
    <m/>
    <n v="5200"/>
    <n v="457600"/>
    <n v="0"/>
    <n v="457600"/>
    <n v="86959.599999999991"/>
    <n v="0"/>
    <n v="86959.599999999991"/>
  </r>
  <r>
    <x v="35"/>
    <s v="BBUK"/>
    <s v="CHINA"/>
    <s v="STS25X51399"/>
    <m/>
    <s v="100% POLYESTER 290T"/>
    <s v="WOVEN"/>
    <s v="4202.92.3131"/>
    <n v="128"/>
    <n v="28.7818"/>
    <n v="18.3"/>
    <n v="0.17599999999999999"/>
    <n v="3.2208000000000001"/>
    <n v="0.25"/>
    <n v="5.49"/>
    <n v="7.0000000000000007E-2"/>
    <n v="1.2810000000000001"/>
    <n v="0.49"/>
    <n v="200"/>
    <m/>
    <m/>
    <m/>
    <m/>
    <m/>
    <m/>
    <n v="200"/>
    <n v="25600"/>
    <n v="0"/>
    <n v="25600"/>
    <n v="5756.36"/>
    <n v="0"/>
    <n v="5756.36"/>
  </r>
  <r>
    <x v="35"/>
    <s v="BBUK"/>
    <s v="CHINA"/>
    <s v="STS25X51400"/>
    <m/>
    <s v="100% POLYESTER 290T"/>
    <s v="WOVEN"/>
    <s v="4202.92.3131"/>
    <n v="68"/>
    <n v="13.167199999999998"/>
    <n v="8.1999999999999993"/>
    <n v="0.17599999999999999"/>
    <n v="1.4431999999999998"/>
    <n v="0.25"/>
    <n v="2.46"/>
    <n v="7.0000000000000007E-2"/>
    <n v="0.57399999999999995"/>
    <n v="0.49"/>
    <n v="200"/>
    <m/>
    <m/>
    <m/>
    <m/>
    <m/>
    <m/>
    <n v="200"/>
    <n v="13600"/>
    <n v="0"/>
    <n v="13600"/>
    <n v="2633.4399999999996"/>
    <n v="0"/>
    <n v="2633.4399999999996"/>
  </r>
  <r>
    <x v="35"/>
    <s v="BBUK"/>
    <s v="CHINA"/>
    <s v="STS25X51401"/>
    <m/>
    <s v="100% POLYESTER 290T"/>
    <s v="WOVEN"/>
    <s v="4202.92.3131"/>
    <n v="58"/>
    <n v="11.311999999999999"/>
    <n v="7"/>
    <n v="0.17599999999999999"/>
    <n v="1.232"/>
    <n v="0.25"/>
    <n v="2.1"/>
    <n v="7.0000000000000007E-2"/>
    <n v="0.49000000000000005"/>
    <n v="0.49"/>
    <n v="200"/>
    <m/>
    <m/>
    <m/>
    <m/>
    <m/>
    <m/>
    <n v="200"/>
    <n v="11600"/>
    <n v="0"/>
    <n v="11600"/>
    <n v="2262.4"/>
    <n v="0"/>
    <n v="2262.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x v="0"/>
    <s v="SARA"/>
    <s v="BANGLADESH"/>
    <s v="STS24M50788"/>
    <m/>
    <s v="100% COTTON JERSEY 180 GM/M2"/>
    <s v="KNIT"/>
    <s v="6109.10.0012"/>
    <n v="48"/>
    <n v="7.0475000000000003"/>
    <n v="5.5"/>
    <n v="0.16500000000000001"/>
    <n v="0.90750000000000008"/>
    <m/>
    <m/>
    <n v="7.0000000000000007E-2"/>
    <n v="0.15"/>
    <n v="0.49"/>
    <n v="200"/>
    <m/>
    <n v="400"/>
    <m/>
    <m/>
    <m/>
    <m/>
    <n v="600"/>
    <n v="9600"/>
    <n v="19200"/>
    <n v="28800"/>
    <n v="1409.5"/>
    <n v="2819"/>
    <n v="4228.5"/>
  </r>
  <r>
    <x v="0"/>
    <s v="SARA"/>
    <s v="BANGLADESH"/>
    <s v="STS24M50788"/>
    <m/>
    <s v="100% COTTON JERSEY 180 GM/M2"/>
    <s v="KNIT"/>
    <s v="6109.10.0012"/>
    <n v="48"/>
    <n v="7.0475000000000003"/>
    <n v="5.5"/>
    <n v="0.16500000000000001"/>
    <n v="0.90750000000000008"/>
    <m/>
    <m/>
    <n v="7.0000000000000007E-2"/>
    <n v="0.15"/>
    <n v="0.49"/>
    <n v="250"/>
    <m/>
    <n v="450"/>
    <m/>
    <m/>
    <m/>
    <m/>
    <n v="700"/>
    <n v="12000"/>
    <n v="21600"/>
    <n v="33600"/>
    <n v="1761.875"/>
    <n v="3171.375"/>
    <n v="4933.25"/>
  </r>
  <r>
    <x v="0"/>
    <s v="SARA"/>
    <s v="BANGLADESH"/>
    <s v="STS24M50788"/>
    <m/>
    <s v="100% COTTON JERSEY 180 GM/M2"/>
    <s v="KNIT"/>
    <s v="6109.10.0012"/>
    <n v="48"/>
    <n v="7.0475000000000003"/>
    <n v="5.5"/>
    <n v="0.16500000000000001"/>
    <n v="0.90750000000000008"/>
    <m/>
    <m/>
    <n v="7.0000000000000007E-2"/>
    <n v="0.15"/>
    <n v="0.49"/>
    <n v="250"/>
    <n v="350"/>
    <n v="250"/>
    <m/>
    <m/>
    <n v="8"/>
    <m/>
    <n v="858"/>
    <n v="12000"/>
    <n v="29184"/>
    <n v="41184"/>
    <n v="1761.875"/>
    <n v="4272.5"/>
    <n v="6034.375"/>
  </r>
  <r>
    <x v="1"/>
    <s v="SARA"/>
    <s v="BANGLADESH"/>
    <s v="STS24M50859"/>
    <m/>
    <s v="100% COTTON FRENCH TERRY 360 GM/M2 PEACHED"/>
    <s v="KNIT"/>
    <s v="6103.42.1050"/>
    <n v="85"/>
    <n v="12.25"/>
    <n v="10"/>
    <n v="0.161"/>
    <n v="1.61"/>
    <m/>
    <m/>
    <n v="7.0000000000000007E-2"/>
    <n v="0.15"/>
    <n v="0.49"/>
    <n v="250"/>
    <n v="350"/>
    <m/>
    <m/>
    <m/>
    <m/>
    <m/>
    <n v="600"/>
    <n v="21250"/>
    <n v="29750"/>
    <n v="51000"/>
    <n v="3062.5"/>
    <n v="4287.5"/>
    <n v="7350"/>
  </r>
  <r>
    <x v="0"/>
    <s v="SARA"/>
    <s v="BANGLADESH"/>
    <s v="STS24M50788"/>
    <m/>
    <s v="100% COTTON JERSEY 180 GM/M2"/>
    <s v="KNIT"/>
    <s v="6109.10.0012"/>
    <n v="48"/>
    <n v="7.0475000000000003"/>
    <n v="5.5"/>
    <n v="0.16500000000000001"/>
    <n v="0.90750000000000008"/>
    <m/>
    <m/>
    <n v="7.0000000000000007E-2"/>
    <n v="0.15"/>
    <n v="0.49"/>
    <n v="250"/>
    <n v="480"/>
    <n v="250"/>
    <m/>
    <m/>
    <n v="41"/>
    <m/>
    <n v="1021"/>
    <n v="12000"/>
    <n v="37008"/>
    <n v="49008"/>
    <n v="1761.875"/>
    <n v="5370.1750000000002"/>
    <n v="7132.05"/>
  </r>
  <r>
    <x v="1"/>
    <s v="SARA"/>
    <s v="BANGLADESH"/>
    <s v="STS24M50859"/>
    <m/>
    <s v="100% COTTON FRENCH TERRY 360 GM/M2 PEACHED"/>
    <s v="KNIT"/>
    <s v="6103.42.1050"/>
    <n v="85"/>
    <n v="12.25"/>
    <n v="10"/>
    <n v="0.161"/>
    <n v="1.61"/>
    <m/>
    <m/>
    <n v="7.0000000000000007E-2"/>
    <n v="0.15"/>
    <n v="0.49"/>
    <n v="250"/>
    <n v="480"/>
    <m/>
    <m/>
    <m/>
    <m/>
    <m/>
    <n v="730"/>
    <n v="21250"/>
    <n v="40800"/>
    <n v="62050"/>
    <n v="3062.5"/>
    <n v="5880"/>
    <n v="8942.5"/>
  </r>
  <r>
    <x v="0"/>
    <s v="SARA"/>
    <s v="BANGLADESH"/>
    <s v="STS24M50788"/>
    <m/>
    <s v="100% COTTON JERSEY 180 GM/M2"/>
    <s v="KNIT"/>
    <s v="6109.10.0012"/>
    <n v="48"/>
    <n v="7.0475000000000003"/>
    <n v="5.5"/>
    <n v="0.16500000000000001"/>
    <n v="0.90750000000000008"/>
    <m/>
    <m/>
    <n v="7.0000000000000007E-2"/>
    <n v="0.15"/>
    <n v="0.49"/>
    <n v="250"/>
    <n v="480"/>
    <n v="250"/>
    <m/>
    <m/>
    <n v="26"/>
    <m/>
    <n v="1006"/>
    <n v="12000"/>
    <n v="36288"/>
    <n v="48288"/>
    <n v="1761.875"/>
    <n v="5287.6750000000002"/>
    <n v="7049.55"/>
  </r>
  <r>
    <x v="1"/>
    <s v="SARA"/>
    <s v="BANGLADESH"/>
    <s v="STS24M50859"/>
    <m/>
    <s v="100% COTTON FRENCH TERRY 360 GM/M2 PEACHED"/>
    <s v="KNIT"/>
    <s v="6103.42.1050"/>
    <n v="85"/>
    <n v="12.25"/>
    <n v="10"/>
    <n v="0.161"/>
    <n v="1.61"/>
    <m/>
    <m/>
    <n v="7.0000000000000007E-2"/>
    <n v="0.15"/>
    <n v="0.49"/>
    <n v="250"/>
    <n v="480"/>
    <m/>
    <m/>
    <m/>
    <m/>
    <m/>
    <n v="730"/>
    <n v="21250"/>
    <n v="40800"/>
    <n v="62050"/>
    <n v="3062.5"/>
    <n v="5880"/>
    <n v="8942.5"/>
  </r>
  <r>
    <x v="2"/>
    <s v="SARA"/>
    <s v="BANGLADESH"/>
    <s v="STS24M50786"/>
    <m/>
    <s v="100% COTTON FRENCH TERRY 360 GM/M2 PEACHED"/>
    <s v="KNIT"/>
    <s v="6110.20.2069"/>
    <n v="110"/>
    <n v="18.744099999999996"/>
    <n v="15.54"/>
    <n v="0.16500000000000001"/>
    <n v="2.5640999999999998"/>
    <m/>
    <m/>
    <n v="7.0000000000000007E-2"/>
    <n v="0.15"/>
    <n v="0.49"/>
    <n v="200"/>
    <n v="150"/>
    <m/>
    <m/>
    <m/>
    <m/>
    <m/>
    <n v="350"/>
    <n v="22000"/>
    <n v="16500"/>
    <n v="38500"/>
    <n v="3748.8199999999993"/>
    <n v="2811.6149999999993"/>
    <n v="6560.4349999999986"/>
  </r>
  <r>
    <x v="2"/>
    <s v="SARA"/>
    <s v="BANGLADESH"/>
    <s v="STS24M50786"/>
    <m/>
    <s v="100% COTTON FRENCH TERRY 360 GM/M2 PEACHED"/>
    <s v="KNIT"/>
    <s v="6110.20.2069"/>
    <n v="110"/>
    <n v="18.744099999999996"/>
    <n v="15.54"/>
    <n v="0.16500000000000001"/>
    <n v="2.5640999999999998"/>
    <m/>
    <m/>
    <n v="7.0000000000000007E-2"/>
    <n v="0.15"/>
    <n v="0.49"/>
    <n v="200"/>
    <n v="150"/>
    <m/>
    <m/>
    <m/>
    <m/>
    <m/>
    <n v="350"/>
    <n v="22000"/>
    <n v="16500"/>
    <n v="38500"/>
    <n v="3748.8199999999993"/>
    <n v="2811.6149999999993"/>
    <n v="6560.4349999999986"/>
  </r>
  <r>
    <x v="0"/>
    <s v="SARA"/>
    <s v="BANGLADESH"/>
    <s v="STS24M50806"/>
    <m/>
    <s v="100% COTTON JERSEY 180 GM/M2"/>
    <s v="KNIT"/>
    <s v="6109.10.0012"/>
    <n v="48"/>
    <n v="6.9892500000000011"/>
    <n v="5.45"/>
    <n v="0.16500000000000001"/>
    <n v="0.8992500000000001"/>
    <m/>
    <m/>
    <n v="7.0000000000000007E-2"/>
    <n v="0.15"/>
    <n v="0.49"/>
    <n v="250"/>
    <n v="240"/>
    <m/>
    <m/>
    <m/>
    <n v="203"/>
    <m/>
    <n v="693"/>
    <n v="12000"/>
    <n v="21264"/>
    <n v="33264"/>
    <n v="1747.3125000000002"/>
    <n v="2783.7700000000004"/>
    <n v="4531.0825000000004"/>
  </r>
  <r>
    <x v="1"/>
    <s v="SARA"/>
    <s v="BANGLADESH"/>
    <s v="STS24M50725"/>
    <m/>
    <s v="100% COTTON FRENCH TERRY 360 GM/M2 PEACHED"/>
    <s v="KNIT"/>
    <s v="6103.42.1050"/>
    <n v="85"/>
    <n v="12.830500000000001"/>
    <n v="10.5"/>
    <n v="0.161"/>
    <n v="1.6905000000000001"/>
    <m/>
    <m/>
    <n v="7.0000000000000007E-2"/>
    <n v="0.15"/>
    <n v="0.49"/>
    <n v="250"/>
    <m/>
    <m/>
    <m/>
    <m/>
    <n v="110"/>
    <m/>
    <n v="360"/>
    <n v="21250"/>
    <n v="9350"/>
    <n v="30600"/>
    <n v="3207.625"/>
    <n v="1155"/>
    <n v="4362.625"/>
  </r>
  <r>
    <x v="0"/>
    <s v="SARA"/>
    <s v="BANGLADESH"/>
    <s v="STS24M50806"/>
    <m/>
    <s v="100% COTTON JERSEY 180 GM/M2"/>
    <s v="KNIT"/>
    <s v="6109.10.0012"/>
    <n v="48"/>
    <n v="6.9892500000000011"/>
    <n v="5.45"/>
    <n v="0.16500000000000001"/>
    <n v="0.8992500000000001"/>
    <m/>
    <m/>
    <n v="7.0000000000000007E-2"/>
    <n v="0.15"/>
    <n v="0.49"/>
    <n v="200"/>
    <n v="600"/>
    <m/>
    <m/>
    <m/>
    <n v="140"/>
    <m/>
    <n v="940"/>
    <n v="9600"/>
    <n v="35520"/>
    <n v="45120"/>
    <n v="1397.8500000000001"/>
    <n v="4956.5500000000011"/>
    <n v="6354.4000000000015"/>
  </r>
  <r>
    <x v="0"/>
    <s v="SARA"/>
    <s v="BANGLADESH"/>
    <s v="STS24M50759"/>
    <m/>
    <s v="100% COTTON JERSEY 180 GM/M2"/>
    <s v="KNIT"/>
    <s v="6109.10.0012"/>
    <n v="54"/>
    <n v="7.0475000000000003"/>
    <n v="5.5"/>
    <n v="0.16500000000000001"/>
    <n v="0.90750000000000008"/>
    <m/>
    <m/>
    <n v="7.0000000000000007E-2"/>
    <n v="0.15"/>
    <n v="0.49"/>
    <n v="250"/>
    <n v="350"/>
    <m/>
    <m/>
    <n v="30"/>
    <n v="229"/>
    <m/>
    <n v="859"/>
    <n v="13500"/>
    <n v="32886"/>
    <n v="46386"/>
    <n v="1761.875"/>
    <n v="3891.125"/>
    <n v="5653"/>
  </r>
  <r>
    <x v="0"/>
    <s v="SARA"/>
    <s v="BANGLADESH"/>
    <s v="STS24M50759"/>
    <m/>
    <s v="100% COTTON JERSEY 180 GM/M2"/>
    <s v="KNIT"/>
    <s v="6109.10.0012"/>
    <n v="54"/>
    <n v="7.0475000000000003"/>
    <n v="5.5"/>
    <n v="0.16500000000000001"/>
    <n v="0.90750000000000008"/>
    <m/>
    <m/>
    <n v="7.0000000000000007E-2"/>
    <n v="0.15"/>
    <n v="0.49"/>
    <n v="250"/>
    <n v="350"/>
    <m/>
    <m/>
    <n v="45"/>
    <n v="7"/>
    <m/>
    <n v="652"/>
    <n v="13500"/>
    <n v="21708"/>
    <n v="35208"/>
    <n v="1761.875"/>
    <n v="2752.625"/>
    <n v="4514.5"/>
  </r>
  <r>
    <x v="0"/>
    <s v="SARA"/>
    <s v="BANGLADESH"/>
    <s v="STS24M50759"/>
    <m/>
    <s v="100% COTTON JERSEY 180 GM/M2"/>
    <s v="KNIT"/>
    <s v="6109.10.0012"/>
    <n v="54"/>
    <n v="7.0475000000000003"/>
    <n v="5.5"/>
    <n v="0.16500000000000001"/>
    <n v="0.90750000000000008"/>
    <m/>
    <m/>
    <n v="7.0000000000000007E-2"/>
    <n v="0.15"/>
    <n v="0.49"/>
    <n v="250"/>
    <n v="250"/>
    <m/>
    <m/>
    <n v="30"/>
    <n v="14"/>
    <m/>
    <n v="544"/>
    <n v="13500"/>
    <n v="15876"/>
    <n v="29376"/>
    <n v="1761.875"/>
    <n v="2003.875"/>
    <n v="3765.75"/>
  </r>
  <r>
    <x v="0"/>
    <s v="SARA"/>
    <s v="BANGLADESH"/>
    <s v="STS24M50759"/>
    <m/>
    <s v="100% COTTON JERSEY 180 GM/M2"/>
    <s v="KNIT"/>
    <s v="6109.10.0012"/>
    <n v="54"/>
    <n v="7.0475000000000003"/>
    <n v="5.5"/>
    <n v="0.16500000000000001"/>
    <n v="0.90750000000000008"/>
    <m/>
    <m/>
    <n v="7.0000000000000007E-2"/>
    <n v="0.15"/>
    <n v="0.49"/>
    <n v="250"/>
    <n v="350"/>
    <m/>
    <m/>
    <m/>
    <n v="177"/>
    <m/>
    <n v="777"/>
    <n v="13500"/>
    <n v="28458"/>
    <n v="41958"/>
    <n v="1761.875"/>
    <n v="3440.125"/>
    <n v="5202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480"/>
    <m/>
    <m/>
    <m/>
    <n v="103"/>
    <m/>
    <n v="783"/>
    <n v="15000"/>
    <n v="43725"/>
    <n v="58725"/>
    <n v="2559.89"/>
    <n v="7055.2860000000001"/>
    <n v="9615.1759999999995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350"/>
    <m/>
    <m/>
    <m/>
    <n v="7"/>
    <m/>
    <n v="557"/>
    <n v="15000"/>
    <n v="26775"/>
    <n v="41775"/>
    <n v="2559.89"/>
    <n v="4541.7574999999997"/>
    <n v="7101.6474999999991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500"/>
    <m/>
    <m/>
    <m/>
    <m/>
    <m/>
    <n v="700"/>
    <n v="15000"/>
    <n v="37500"/>
    <n v="52500"/>
    <n v="2559.89"/>
    <n v="6399.7250000000004"/>
    <n v="8959.6149999999998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480"/>
    <m/>
    <m/>
    <m/>
    <n v="13"/>
    <m/>
    <n v="693"/>
    <n v="15000"/>
    <n v="36975"/>
    <n v="51975"/>
    <n v="2559.89"/>
    <n v="6258.7860000000001"/>
    <n v="8818.6759999999995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m/>
    <n v="482"/>
    <m/>
    <m/>
    <m/>
    <m/>
    <m/>
    <n v="482"/>
    <n v="0"/>
    <n v="36150"/>
    <n v="36150"/>
    <n v="0"/>
    <n v="6169.3348999999998"/>
    <n v="6169.3348999999998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500"/>
    <m/>
    <m/>
    <m/>
    <n v="13"/>
    <m/>
    <n v="713"/>
    <n v="15000"/>
    <n v="38475"/>
    <n v="53475"/>
    <n v="2559.89"/>
    <n v="6514.7750000000005"/>
    <n v="9074.6650000000009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n v="200"/>
    <n v="500"/>
    <m/>
    <m/>
    <m/>
    <n v="104"/>
    <m/>
    <n v="804"/>
    <n v="15000"/>
    <n v="45300"/>
    <n v="60300"/>
    <n v="2559.89"/>
    <n v="7320.125"/>
    <n v="9880.0149999999994"/>
  </r>
  <r>
    <x v="1"/>
    <s v="HESRRO"/>
    <s v="CHINA"/>
    <s v="STS24M50753"/>
    <m/>
    <s v="100% NYLON 48 GM/M2"/>
    <s v="WOVEN"/>
    <s v="6203.43.9030"/>
    <n v="75"/>
    <n v="12.79945"/>
    <n v="8.85"/>
    <n v="0.28199999999999997"/>
    <n v="2.4956999999999998"/>
    <n v="7.4999999999999997E-2"/>
    <n v="0.66374999999999995"/>
    <n v="7.0000000000000007E-2"/>
    <n v="0.3"/>
    <n v="0.49"/>
    <m/>
    <n v="687"/>
    <m/>
    <m/>
    <m/>
    <m/>
    <m/>
    <n v="687"/>
    <n v="0"/>
    <n v="51525"/>
    <n v="51525"/>
    <n v="0"/>
    <n v="8793.2221499999996"/>
    <n v="8793.2221499999996"/>
  </r>
  <r>
    <x v="3"/>
    <s v="PORTA ASIATACA"/>
    <s v="CHINA"/>
    <s v="STS24M50796"/>
    <m/>
    <s v="80% COTTON/20% POLYESTER 260 GM/M2"/>
    <s v="KNIT"/>
    <s v="6110.20.2069"/>
    <n v="135"/>
    <n v="25.457999999999998"/>
    <n v="19.95"/>
    <n v="0.16500000000000001"/>
    <n v="3.29175"/>
    <n v="7.4999999999999997E-2"/>
    <n v="1.4962499999999999"/>
    <n v="7.0000000000000007E-2"/>
    <n v="0.23"/>
    <n v="0.49"/>
    <n v="200"/>
    <n v="105"/>
    <m/>
    <m/>
    <n v="30"/>
    <n v="48"/>
    <m/>
    <n v="383"/>
    <n v="27000"/>
    <n v="24705"/>
    <n v="51705"/>
    <n v="5091.5999999999995"/>
    <n v="4229.1899999999996"/>
    <n v="9320.7899999999991"/>
  </r>
  <r>
    <x v="3"/>
    <s v="PORTA ASIATACA"/>
    <s v="CHINA"/>
    <s v="STS24M50796"/>
    <m/>
    <s v="80% COTTON/20% POLYESTER 260 GM/M2"/>
    <s v="KNIT"/>
    <s v="6110.20.2069"/>
    <n v="135"/>
    <n v="25.457999999999998"/>
    <n v="19.95"/>
    <n v="0.16500000000000001"/>
    <n v="3.29175"/>
    <n v="7.4999999999999997E-2"/>
    <n v="1.4962499999999999"/>
    <n v="7.0000000000000007E-2"/>
    <n v="0.23"/>
    <n v="0.49"/>
    <n v="190"/>
    <n v="235"/>
    <m/>
    <m/>
    <n v="105"/>
    <n v="44"/>
    <m/>
    <n v="574"/>
    <n v="25650"/>
    <n v="51840"/>
    <n v="77490"/>
    <n v="4837.0199999999995"/>
    <n v="8955.1799999999985"/>
    <n v="13792.199999999997"/>
  </r>
  <r>
    <x v="4"/>
    <s v="PORTA ASIATACA"/>
    <s v="CHINA"/>
    <s v="STS24M50766"/>
    <m/>
    <s v="70% COTTON/30% POLYESTER TERRY 230 GM/M2"/>
    <s v="KNIT"/>
    <s v="6112.11.0010"/>
    <n v="145"/>
    <n v="23.975999999999999"/>
    <n v="19"/>
    <n v="0.14899999999999999"/>
    <n v="2.831"/>
    <n v="7.4999999999999997E-2"/>
    <n v="1.425"/>
    <n v="7.0000000000000007E-2"/>
    <n v="0.23"/>
    <n v="0.49"/>
    <n v="350"/>
    <m/>
    <m/>
    <m/>
    <m/>
    <n v="45"/>
    <m/>
    <n v="395"/>
    <n v="50750"/>
    <n v="6525"/>
    <n v="57275"/>
    <n v="8391.6"/>
    <n v="855"/>
    <n v="9246.6"/>
  </r>
  <r>
    <x v="5"/>
    <s v="PORTA ASIATACA"/>
    <s v="CHINA"/>
    <s v="STS24M50871"/>
    <m/>
    <s v="70% COTTON/30% POLYESTER TERRY 230 GM/M2"/>
    <s v="KNIT"/>
    <s v="6114.20.0055"/>
    <n v="120"/>
    <n v="21.466799999999996"/>
    <n v="16.95"/>
    <n v="0.14899999999999999"/>
    <n v="2.52555"/>
    <n v="7.4999999999999997E-2"/>
    <n v="1.27125"/>
    <n v="7.0000000000000007E-2"/>
    <n v="0.23"/>
    <n v="0.49"/>
    <n v="350"/>
    <m/>
    <m/>
    <m/>
    <m/>
    <n v="65"/>
    <m/>
    <n v="415"/>
    <n v="42000"/>
    <n v="7800"/>
    <n v="49800"/>
    <n v="7513.3799999999983"/>
    <n v="1101.75"/>
    <n v="8615.1299999999974"/>
  </r>
  <r>
    <x v="3"/>
    <s v="PORTA ASIATACA"/>
    <s v="CHINA"/>
    <s v="STS24M50767"/>
    <m/>
    <s v="70% COTTON/30% POLYESTER TERRY 230 GM/M2"/>
    <s v="KNIT"/>
    <s v="6112.12.0010"/>
    <n v="118"/>
    <n v="19.799999999999997"/>
    <n v="15"/>
    <n v="0.19700000000000001"/>
    <n v="2.9550000000000001"/>
    <n v="7.4999999999999997E-2"/>
    <n v="1.125"/>
    <n v="7.0000000000000007E-2"/>
    <n v="0.23"/>
    <n v="0.49"/>
    <n v="200"/>
    <n v="360"/>
    <m/>
    <m/>
    <m/>
    <n v="40"/>
    <m/>
    <n v="600"/>
    <n v="23600"/>
    <n v="47200"/>
    <n v="70800"/>
    <n v="3959.9999999999995"/>
    <n v="7727.9999999999991"/>
    <n v="11687.999999999998"/>
  </r>
  <r>
    <x v="1"/>
    <s v="PORTA ASIATACA"/>
    <s v="CHINA"/>
    <s v="STS24M50768"/>
    <m/>
    <s v="70% COTTON/30% POLYESTER TERRY 230 GM/M2"/>
    <s v="KNIT"/>
    <s v="6103.42.1050"/>
    <n v="100"/>
    <n v="16.84"/>
    <n v="13"/>
    <n v="0.16500000000000001"/>
    <n v="2.145"/>
    <n v="7.4999999999999997E-2"/>
    <n v="0.97499999999999998"/>
    <n v="7.0000000000000007E-2"/>
    <n v="0.23"/>
    <n v="0.49"/>
    <n v="200"/>
    <n v="360"/>
    <m/>
    <m/>
    <m/>
    <n v="55"/>
    <m/>
    <n v="615"/>
    <n v="20000"/>
    <n v="41500"/>
    <n v="61500"/>
    <n v="3368"/>
    <n v="6777.4"/>
    <n v="10145.4"/>
  </r>
  <r>
    <x v="4"/>
    <s v="PORTA ASIATACA"/>
    <s v="CHINA"/>
    <s v="STS24M50766"/>
    <m/>
    <s v="70% COTTON/30% POLYESTER TERRY 230 GM/M2"/>
    <s v="KNIT"/>
    <s v="6112.11.0010"/>
    <n v="145"/>
    <n v="23.975999999999999"/>
    <n v="19"/>
    <n v="0.14899999999999999"/>
    <n v="2.831"/>
    <n v="7.4999999999999997E-2"/>
    <n v="1.425"/>
    <n v="7.0000000000000007E-2"/>
    <n v="0.23"/>
    <n v="0.49"/>
    <n v="400"/>
    <m/>
    <m/>
    <m/>
    <m/>
    <n v="16"/>
    <m/>
    <n v="416"/>
    <n v="58000"/>
    <n v="2320"/>
    <n v="60320"/>
    <n v="9590.4"/>
    <n v="304"/>
    <n v="9894.4"/>
  </r>
  <r>
    <x v="5"/>
    <s v="PORTA ASIATACA"/>
    <s v="CHINA"/>
    <s v="STS24M50871"/>
    <m/>
    <s v="70% COTTON/30% POLYESTER TERRY 230 GM/M2"/>
    <s v="KNIT"/>
    <s v="6114.20.0055"/>
    <n v="120"/>
    <n v="21.466799999999996"/>
    <n v="16.95"/>
    <n v="0.14899999999999999"/>
    <n v="2.52555"/>
    <n v="7.4999999999999997E-2"/>
    <n v="1.27125"/>
    <n v="7.0000000000000007E-2"/>
    <n v="0.23"/>
    <n v="0.49"/>
    <n v="400"/>
    <m/>
    <m/>
    <m/>
    <m/>
    <n v="12"/>
    <m/>
    <n v="412"/>
    <n v="48000"/>
    <n v="1440"/>
    <n v="49440"/>
    <n v="8586.7199999999975"/>
    <n v="203.39999999999998"/>
    <n v="8790.1199999999972"/>
  </r>
  <r>
    <x v="3"/>
    <s v="PORTA ASIATACA"/>
    <s v="CHINA"/>
    <s v="STS24M50767"/>
    <m/>
    <s v="70% COTTON/30% POLYESTER TERRY 230 GM/M2"/>
    <s v="KNIT"/>
    <s v="6112.12.0010"/>
    <n v="118"/>
    <n v="19.799999999999997"/>
    <n v="15"/>
    <n v="0.19700000000000001"/>
    <n v="2.9550000000000001"/>
    <n v="7.4999999999999997E-2"/>
    <n v="1.125"/>
    <n v="7.0000000000000007E-2"/>
    <n v="0.23"/>
    <n v="0.49"/>
    <n v="250"/>
    <n v="450"/>
    <m/>
    <m/>
    <m/>
    <n v="30"/>
    <m/>
    <n v="730"/>
    <n v="29500"/>
    <n v="56640"/>
    <n v="86140"/>
    <n v="4949.9999999999991"/>
    <n v="9359.9999999999982"/>
    <n v="14309.999999999996"/>
  </r>
  <r>
    <x v="1"/>
    <s v="PORTA ASIATACA"/>
    <s v="CHINA"/>
    <s v="STS24M50768"/>
    <m/>
    <s v="70% COTTON/30% POLYESTER TERRY 230 GM/M2"/>
    <s v="KNIT"/>
    <s v="6103.42.1050"/>
    <n v="100"/>
    <n v="16.84"/>
    <n v="13"/>
    <n v="0.16500000000000001"/>
    <n v="2.145"/>
    <n v="7.4999999999999997E-2"/>
    <n v="0.97499999999999998"/>
    <n v="7.0000000000000007E-2"/>
    <n v="0.23"/>
    <n v="0.49"/>
    <n v="250"/>
    <n v="450"/>
    <m/>
    <m/>
    <m/>
    <n v="30"/>
    <m/>
    <n v="730"/>
    <n v="25000"/>
    <n v="48000"/>
    <n v="73000"/>
    <n v="4210"/>
    <n v="7968"/>
    <n v="12178"/>
  </r>
  <r>
    <x v="4"/>
    <s v="PORTA ASIATACA"/>
    <s v="CHINA"/>
    <s v="STS24M50766"/>
    <m/>
    <s v="70% COTTON/30% POLYESTER TERRY 230 GM/M2"/>
    <s v="KNIT"/>
    <s v="6112.11.0010"/>
    <n v="145"/>
    <n v="23.975999999999999"/>
    <n v="19"/>
    <n v="0.14899999999999999"/>
    <n v="2.831"/>
    <n v="7.4999999999999997E-2"/>
    <n v="1.425"/>
    <n v="7.0000000000000007E-2"/>
    <n v="0.23"/>
    <n v="0.49"/>
    <n v="400"/>
    <n v="250"/>
    <m/>
    <m/>
    <m/>
    <n v="63"/>
    <m/>
    <n v="713"/>
    <n v="58000"/>
    <n v="45385"/>
    <n v="103385"/>
    <n v="9590.4"/>
    <n v="7191"/>
    <n v="16781.400000000001"/>
  </r>
  <r>
    <x v="5"/>
    <s v="PORTA ASIATACA"/>
    <s v="CHINA"/>
    <s v="STS24M50871"/>
    <m/>
    <s v="70% COTTON/30% POLYESTER TERRY 230 GM/M2"/>
    <s v="KNIT"/>
    <s v="6114.20.0055"/>
    <n v="120"/>
    <n v="21.466799999999996"/>
    <n v="16.95"/>
    <n v="0.14899999999999999"/>
    <n v="2.52555"/>
    <n v="7.4999999999999997E-2"/>
    <n v="1.27125"/>
    <n v="7.0000000000000007E-2"/>
    <n v="0.23"/>
    <n v="0.49"/>
    <n v="400"/>
    <m/>
    <m/>
    <m/>
    <m/>
    <n v="70"/>
    <m/>
    <n v="470"/>
    <n v="48000"/>
    <n v="8400"/>
    <n v="56400"/>
    <n v="8586.7199999999975"/>
    <n v="1186.5"/>
    <n v="9773.2199999999975"/>
  </r>
  <r>
    <x v="3"/>
    <s v="PORTA ASIATACA"/>
    <s v="CHINA"/>
    <s v="STS24M50767"/>
    <m/>
    <s v="70% COTTON/30% POLYESTER TERRY 230 GM/M2"/>
    <s v="KNIT"/>
    <s v="6112.12.0010"/>
    <n v="118"/>
    <n v="19.799999999999997"/>
    <n v="15"/>
    <n v="0.19700000000000001"/>
    <n v="2.9550000000000001"/>
    <n v="7.4999999999999997E-2"/>
    <n v="1.125"/>
    <n v="7.0000000000000007E-2"/>
    <n v="0.23"/>
    <n v="0.49"/>
    <n v="250"/>
    <n v="600"/>
    <m/>
    <m/>
    <m/>
    <n v="37"/>
    <m/>
    <n v="887"/>
    <n v="29500"/>
    <n v="75166"/>
    <n v="104666"/>
    <n v="4949.9999999999991"/>
    <n v="12434.999999999998"/>
    <n v="17384.999999999996"/>
  </r>
  <r>
    <x v="1"/>
    <s v="PORTA ASIATACA"/>
    <s v="CHINA"/>
    <s v="STS24M50768"/>
    <m/>
    <s v="70% COTTON/30% POLYESTER TERRY 230 GM/M2"/>
    <s v="KNIT"/>
    <s v="6103.42.1050"/>
    <n v="100"/>
    <n v="17.459999999999997"/>
    <n v="13.5"/>
    <n v="0.16500000000000001"/>
    <n v="2.2275"/>
    <n v="7.4999999999999997E-2"/>
    <n v="1.0125"/>
    <n v="7.0000000000000007E-2"/>
    <n v="0.23"/>
    <n v="0.49"/>
    <n v="250"/>
    <n v="600"/>
    <m/>
    <m/>
    <m/>
    <n v="37"/>
    <m/>
    <n v="887"/>
    <n v="25000"/>
    <n v="63700"/>
    <n v="88700"/>
    <n v="4364.9999999999991"/>
    <n v="10975.499999999998"/>
    <n v="15340.499999999996"/>
  </r>
  <r>
    <x v="4"/>
    <s v="HESRRO"/>
    <s v="CHINA"/>
    <s v="STS24M50737"/>
    <m/>
    <s v="100% POLYESTER TWILL 220 GM/M2"/>
    <s v="KNIT"/>
    <s v="6112.12.0010"/>
    <n v="140"/>
    <n v="19.109499999999997"/>
    <n v="13.5"/>
    <n v="0.28199999999999997"/>
    <n v="3.8069999999999995"/>
    <n v="7.4999999999999997E-2"/>
    <n v="1.0125"/>
    <n v="7.0000000000000007E-2"/>
    <n v="0.3"/>
    <n v="0.49"/>
    <n v="400"/>
    <n v="360"/>
    <m/>
    <m/>
    <m/>
    <n v="7"/>
    <m/>
    <n v="767"/>
    <n v="56000"/>
    <n v="51380"/>
    <n v="107380"/>
    <n v="7643.7999999999993"/>
    <n v="6973.9199999999992"/>
    <n v="14617.719999999998"/>
  </r>
  <r>
    <x v="5"/>
    <s v="HESRRO"/>
    <s v="CHINA"/>
    <s v="STS24M14552"/>
    <m/>
    <s v="100% POLYESTER TWILL 220 GM/M2"/>
    <s v="KNIT"/>
    <s v="6112.12.0050"/>
    <n v="110"/>
    <n v="16.395500000000002"/>
    <n v="11.5"/>
    <n v="0.28199999999999997"/>
    <n v="3.2429999999999999"/>
    <n v="7.4999999999999997E-2"/>
    <n v="0.86249999999999993"/>
    <n v="7.0000000000000007E-2"/>
    <n v="0.3"/>
    <n v="0.49"/>
    <n v="400"/>
    <n v="360"/>
    <m/>
    <m/>
    <m/>
    <n v="5"/>
    <m/>
    <n v="765"/>
    <n v="44000"/>
    <n v="40150"/>
    <n v="84150"/>
    <n v="6558.2000000000007"/>
    <n v="5959.880000000001"/>
    <n v="12518.080000000002"/>
  </r>
  <r>
    <x v="3"/>
    <s v="SARA"/>
    <s v="BANGLADESH"/>
    <s v="STS24M50459"/>
    <m/>
    <s v="100% COTTON PIQUE 200 GM/M2"/>
    <s v="KNIT"/>
    <s v="6112.12.0010"/>
    <n v="68"/>
    <n v="11.413"/>
    <n v="9"/>
    <n v="0.19700000000000001"/>
    <n v="1.7730000000000001"/>
    <m/>
    <m/>
    <n v="7.0000000000000007E-2"/>
    <n v="0.15"/>
    <n v="0.49"/>
    <n v="250"/>
    <n v="300"/>
    <m/>
    <m/>
    <m/>
    <n v="41"/>
    <m/>
    <n v="591"/>
    <n v="17000"/>
    <n v="23188"/>
    <n v="40188"/>
    <n v="2853.25"/>
    <n v="3792.9"/>
    <n v="6646.15"/>
  </r>
  <r>
    <x v="0"/>
    <s v="SARA"/>
    <s v="BANGLADESH"/>
    <s v="STS24M50458"/>
    <m/>
    <s v="100% COTTON JERSEY 180 GM/M2"/>
    <s v="KNIT"/>
    <s v="6109.10.0012"/>
    <n v="58"/>
    <n v="9.3775000000000013"/>
    <n v="7.5"/>
    <n v="0.16500000000000001"/>
    <n v="1.2375"/>
    <m/>
    <m/>
    <n v="7.0000000000000007E-2"/>
    <n v="0.15"/>
    <n v="0.49"/>
    <n v="300"/>
    <n v="300"/>
    <m/>
    <m/>
    <m/>
    <n v="23"/>
    <m/>
    <n v="623"/>
    <n v="17400"/>
    <n v="18734"/>
    <n v="36134"/>
    <n v="2813.2500000000005"/>
    <n v="2985.7500000000005"/>
    <n v="5799.0000000000009"/>
  </r>
  <r>
    <x v="1"/>
    <s v="HESRRO"/>
    <s v="CHINA"/>
    <s v="STS24M50457"/>
    <m/>
    <s v="100% POLYESTER TWILL 220 GM/M2"/>
    <s v="KNIT"/>
    <s v="6103.43.1550"/>
    <n v="75"/>
    <n v="12.4602"/>
    <n v="8.6"/>
    <n v="0.28199999999999997"/>
    <n v="2.4251999999999998"/>
    <n v="7.4999999999999997E-2"/>
    <n v="0.64499999999999991"/>
    <n v="7.0000000000000007E-2"/>
    <n v="0.3"/>
    <n v="0.49"/>
    <n v="300"/>
    <n v="600"/>
    <m/>
    <m/>
    <m/>
    <n v="6"/>
    <m/>
    <n v="906"/>
    <n v="22500"/>
    <n v="45450"/>
    <n v="67950"/>
    <n v="3738.06"/>
    <n v="7527.72"/>
    <n v="11265.78"/>
  </r>
  <r>
    <x v="4"/>
    <s v="HESRRO"/>
    <s v="CHINA"/>
    <s v="STS24M50737"/>
    <m/>
    <s v="100% POLYESTER TWILL 220 GM/M2"/>
    <s v="KNIT"/>
    <s v="6112.12.0010"/>
    <n v="140"/>
    <n v="19.109499999999997"/>
    <n v="13.5"/>
    <n v="0.28199999999999997"/>
    <n v="3.8069999999999995"/>
    <n v="7.4999999999999997E-2"/>
    <n v="1.0125"/>
    <n v="7.0000000000000007E-2"/>
    <n v="0.3"/>
    <n v="0.49"/>
    <n v="350"/>
    <n v="360"/>
    <m/>
    <m/>
    <m/>
    <n v="47"/>
    <m/>
    <n v="757"/>
    <n v="49000"/>
    <n v="56980"/>
    <n v="105980"/>
    <n v="6688.3249999999989"/>
    <n v="7513.9199999999992"/>
    <n v="14202.244999999999"/>
  </r>
  <r>
    <x v="5"/>
    <s v="HESRRO"/>
    <s v="CHINA"/>
    <s v="STS24M14552"/>
    <m/>
    <s v="100% POLYESTER TWILL 220 GM/M2"/>
    <s v="KNIT"/>
    <s v="6112.12.0050"/>
    <n v="110"/>
    <n v="16.395500000000002"/>
    <n v="11.5"/>
    <n v="0.28199999999999997"/>
    <n v="3.2429999999999999"/>
    <n v="7.4999999999999997E-2"/>
    <n v="0.86249999999999993"/>
    <n v="7.0000000000000007E-2"/>
    <n v="0.3"/>
    <n v="0.49"/>
    <n v="350"/>
    <n v="360"/>
    <m/>
    <m/>
    <m/>
    <n v="21"/>
    <m/>
    <n v="731"/>
    <n v="38500"/>
    <n v="41910"/>
    <n v="80410"/>
    <n v="5738.4250000000011"/>
    <n v="6143.880000000001"/>
    <n v="11882.305000000002"/>
  </r>
  <r>
    <x v="3"/>
    <s v="SARA"/>
    <s v="BANGLADESH"/>
    <s v="STS24M50459"/>
    <m/>
    <s v="100% COTTON  PIQUE 200 GM/M2"/>
    <s v="KNIT"/>
    <s v="6112.12.0010"/>
    <n v="68"/>
    <n v="11.413"/>
    <n v="9"/>
    <n v="0.19700000000000001"/>
    <n v="1.7730000000000001"/>
    <m/>
    <m/>
    <n v="7.0000000000000007E-2"/>
    <n v="0.15"/>
    <n v="0.49"/>
    <n v="250"/>
    <n v="360"/>
    <n v="120"/>
    <m/>
    <m/>
    <n v="67"/>
    <m/>
    <n v="797"/>
    <n v="17000"/>
    <n v="37196"/>
    <n v="54196"/>
    <n v="2853.25"/>
    <n v="6081.24"/>
    <n v="8934.49"/>
  </r>
  <r>
    <x v="0"/>
    <s v="SARA"/>
    <s v="BANGLADESH"/>
    <s v="STS24M50458"/>
    <m/>
    <s v="100% COTTON JERSEY 180 GM/M2"/>
    <s v="KNIT"/>
    <s v="6109.10.0012"/>
    <n v="58"/>
    <n v="9.3775000000000013"/>
    <n v="7.5"/>
    <n v="0.16500000000000001"/>
    <n v="1.2375"/>
    <m/>
    <m/>
    <n v="7.0000000000000007E-2"/>
    <n v="0.15"/>
    <n v="0.49"/>
    <n v="300"/>
    <n v="360"/>
    <n v="300"/>
    <m/>
    <m/>
    <n v="91"/>
    <m/>
    <n v="1051"/>
    <n v="17400"/>
    <n v="43558"/>
    <n v="60958"/>
    <n v="2813.2500000000005"/>
    <n v="6871.6500000000005"/>
    <n v="9684.9000000000015"/>
  </r>
  <r>
    <x v="0"/>
    <s v="SARA"/>
    <s v="BANGLADESH"/>
    <s v="STS24M50458"/>
    <m/>
    <s v="100% COTTON JERSEY 180 GM/M2"/>
    <s v="KNIT"/>
    <s v="6109.10.0012"/>
    <n v="58"/>
    <n v="9.3775000000000013"/>
    <n v="7.5"/>
    <n v="0.16500000000000001"/>
    <n v="1.2375"/>
    <m/>
    <m/>
    <n v="7.0000000000000007E-2"/>
    <n v="0.15"/>
    <n v="0.49"/>
    <m/>
    <n v="736"/>
    <m/>
    <m/>
    <m/>
    <m/>
    <m/>
    <n v="736"/>
    <n v="0"/>
    <n v="42688"/>
    <n v="42688"/>
    <n v="0"/>
    <n v="6901.8400000000011"/>
    <n v="6901.8400000000011"/>
  </r>
  <r>
    <x v="1"/>
    <s v="HESRRO"/>
    <s v="CHINA"/>
    <s v="STS24M50457"/>
    <m/>
    <s v="100% POLYESTER TWILL 220 GM/M2"/>
    <s v="KNIT"/>
    <s v="6103.43.1550"/>
    <n v="75"/>
    <n v="12.4602"/>
    <n v="8.6"/>
    <n v="0.28199999999999997"/>
    <n v="2.4251999999999998"/>
    <n v="7.4999999999999997E-2"/>
    <n v="0.64499999999999991"/>
    <n v="7.0000000000000007E-2"/>
    <n v="0.3"/>
    <n v="0.49"/>
    <n v="300"/>
    <n v="720"/>
    <m/>
    <m/>
    <m/>
    <n v="5"/>
    <m/>
    <n v="1025"/>
    <n v="22500"/>
    <n v="54375"/>
    <n v="76875"/>
    <n v="3738.06"/>
    <n v="9014.344000000001"/>
    <n v="12752.404"/>
  </r>
  <r>
    <x v="1"/>
    <s v="HESRRO"/>
    <s v="CHINA"/>
    <s v="STS24M50457"/>
    <m/>
    <s v="100% POLYESTER TWILL 220 GM/M2"/>
    <s v="KNIT"/>
    <s v="6103.43.1550"/>
    <n v="75"/>
    <n v="12.4602"/>
    <n v="8.6"/>
    <n v="0.28199999999999997"/>
    <n v="2.4251999999999998"/>
    <n v="7.4999999999999997E-2"/>
    <n v="0.64499999999999991"/>
    <n v="7.0000000000000007E-2"/>
    <n v="0.3"/>
    <n v="0.49"/>
    <m/>
    <n v="480"/>
    <m/>
    <m/>
    <m/>
    <m/>
    <m/>
    <n v="480"/>
    <n v="0"/>
    <n v="36000"/>
    <n v="36000"/>
    <n v="0"/>
    <n v="5980.8960000000006"/>
    <n v="5980.8960000000006"/>
  </r>
  <r>
    <x v="4"/>
    <s v="HESRRO"/>
    <s v="CHINA"/>
    <s v="STS24M50737"/>
    <m/>
    <s v="100% POLYESTER TWILL 220 GM/M2"/>
    <s v="KNIT"/>
    <s v="6112.12.0010"/>
    <n v="140"/>
    <n v="19.109499999999997"/>
    <n v="13.5"/>
    <n v="0.28199999999999997"/>
    <n v="3.8069999999999995"/>
    <n v="7.4999999999999997E-2"/>
    <n v="1.0125"/>
    <n v="7.0000000000000007E-2"/>
    <n v="0.3"/>
    <n v="0.49"/>
    <n v="400"/>
    <n v="300"/>
    <m/>
    <m/>
    <m/>
    <n v="6"/>
    <m/>
    <n v="706"/>
    <n v="56000"/>
    <n v="42840"/>
    <n v="98840"/>
    <n v="7643.7999999999993"/>
    <n v="5813.8499999999995"/>
    <n v="13457.649999999998"/>
  </r>
  <r>
    <x v="5"/>
    <s v="HESRRO"/>
    <s v="CHINA"/>
    <s v="STS24M14552"/>
    <m/>
    <s v="100% POLYESTER TWILL 220 GM/M2"/>
    <s v="KNIT"/>
    <s v="6112.12.0050"/>
    <n v="110"/>
    <n v="16.395500000000002"/>
    <n v="11.5"/>
    <n v="0.28199999999999997"/>
    <n v="3.2429999999999999"/>
    <n v="7.4999999999999997E-2"/>
    <n v="0.86249999999999993"/>
    <n v="7.0000000000000007E-2"/>
    <n v="0.3"/>
    <n v="0.49"/>
    <n v="400"/>
    <n v="300"/>
    <m/>
    <m/>
    <m/>
    <m/>
    <m/>
    <n v="700"/>
    <n v="44000"/>
    <n v="33000"/>
    <n v="77000"/>
    <n v="6558.2000000000007"/>
    <n v="4918.6500000000005"/>
    <n v="11476.850000000002"/>
  </r>
  <r>
    <x v="3"/>
    <s v="SARA"/>
    <s v="BANGLADESH"/>
    <s v="STS24M50459"/>
    <m/>
    <s v="100% COTTON  PIQUE 200 GM/M2"/>
    <s v="KNIT"/>
    <s v="6112.12.0010"/>
    <n v="68"/>
    <n v="11.413"/>
    <n v="9"/>
    <n v="0.19700000000000001"/>
    <n v="1.7730000000000001"/>
    <m/>
    <m/>
    <n v="7.0000000000000007E-2"/>
    <n v="0.15"/>
    <n v="0.49"/>
    <n v="300"/>
    <n v="300"/>
    <n v="120"/>
    <m/>
    <m/>
    <m/>
    <m/>
    <n v="720"/>
    <n v="20400"/>
    <n v="28560"/>
    <n v="48960"/>
    <n v="3423.9"/>
    <n v="4793.46"/>
    <n v="8217.36"/>
  </r>
  <r>
    <x v="0"/>
    <s v="SARA"/>
    <s v="BANGLADESH"/>
    <s v="STS24M50458"/>
    <m/>
    <s v="100% COTTON JERSEY 180 GM/M2"/>
    <s v="KNIT"/>
    <s v="6109.10.0012"/>
    <n v="58"/>
    <n v="9.3775000000000013"/>
    <n v="7.5"/>
    <n v="0.16500000000000001"/>
    <n v="1.2375"/>
    <m/>
    <m/>
    <n v="7.0000000000000007E-2"/>
    <n v="0.15"/>
    <n v="0.49"/>
    <n v="300"/>
    <n v="300"/>
    <n v="250"/>
    <m/>
    <m/>
    <m/>
    <m/>
    <n v="850"/>
    <n v="17400"/>
    <n v="31900"/>
    <n v="49300"/>
    <n v="2813.2500000000005"/>
    <n v="5157.6250000000009"/>
    <n v="7970.8750000000018"/>
  </r>
  <r>
    <x v="1"/>
    <s v="HESRRO"/>
    <s v="CHINA"/>
    <s v="STS24M50457"/>
    <m/>
    <s v="100% POLYESTER TWILL 220 GM/M2"/>
    <s v="KNIT"/>
    <s v="6103.43.1550"/>
    <n v="75"/>
    <n v="12.4602"/>
    <n v="8.6"/>
    <n v="0.28199999999999997"/>
    <n v="2.4251999999999998"/>
    <n v="7.4999999999999997E-2"/>
    <n v="0.64499999999999991"/>
    <n v="7.0000000000000007E-2"/>
    <n v="0.3"/>
    <n v="0.49"/>
    <n v="300"/>
    <n v="600"/>
    <m/>
    <m/>
    <m/>
    <m/>
    <m/>
    <n v="900"/>
    <n v="22500"/>
    <n v="45000"/>
    <n v="67500"/>
    <n v="3738.06"/>
    <n v="7476.12"/>
    <n v="11214.18"/>
  </r>
  <r>
    <x v="4"/>
    <s v="HESRRO"/>
    <s v="CHINA"/>
    <s v="STS24M50737"/>
    <m/>
    <s v="100% POLYESTER TWILL 220 GM/M2"/>
    <s v="KNIT"/>
    <s v="6112.12.0010"/>
    <n v="140"/>
    <n v="19.109499999999997"/>
    <n v="13.5"/>
    <n v="0.28199999999999997"/>
    <n v="3.8069999999999995"/>
    <n v="7.4999999999999997E-2"/>
    <n v="1.0125"/>
    <n v="7.0000000000000007E-2"/>
    <n v="0.3"/>
    <n v="0.49"/>
    <n v="250"/>
    <n v="250"/>
    <m/>
    <m/>
    <m/>
    <m/>
    <m/>
    <n v="500"/>
    <n v="35000"/>
    <n v="35000"/>
    <n v="70000"/>
    <n v="4777.3749999999991"/>
    <n v="4777.3749999999991"/>
    <n v="9554.7499999999982"/>
  </r>
  <r>
    <x v="5"/>
    <s v="HESRRO"/>
    <s v="CHINA"/>
    <s v="STS24M14552"/>
    <m/>
    <s v="100% POLYESTER TWILL 220 GM/M2"/>
    <s v="KNIT"/>
    <s v="6112.12.0050"/>
    <n v="110"/>
    <n v="16.395500000000002"/>
    <n v="11.5"/>
    <n v="0.28199999999999997"/>
    <n v="3.2429999999999999"/>
    <n v="7.4999999999999997E-2"/>
    <n v="0.86249999999999993"/>
    <n v="7.0000000000000007E-2"/>
    <n v="0.3"/>
    <n v="0.49"/>
    <n v="250"/>
    <n v="250"/>
    <m/>
    <m/>
    <m/>
    <m/>
    <m/>
    <n v="500"/>
    <n v="27500"/>
    <n v="27500"/>
    <n v="55000"/>
    <n v="4098.8750000000009"/>
    <n v="4098.8750000000009"/>
    <n v="8197.7500000000018"/>
  </r>
  <r>
    <x v="4"/>
    <s v="HESRRO"/>
    <s v="CHINA"/>
    <s v="STS24M50737"/>
    <m/>
    <s v="100% POLYESTER TWILL 220 GM/M2"/>
    <s v="KNIT"/>
    <s v="6112.12.0010"/>
    <n v="140"/>
    <n v="19.109499999999997"/>
    <n v="13.5"/>
    <n v="0.28199999999999997"/>
    <n v="3.8069999999999995"/>
    <n v="7.4999999999999997E-2"/>
    <n v="1.0125"/>
    <n v="7.0000000000000007E-2"/>
    <n v="0.3"/>
    <n v="0.49"/>
    <n v="500"/>
    <m/>
    <m/>
    <m/>
    <m/>
    <m/>
    <m/>
    <n v="500"/>
    <n v="70000"/>
    <n v="0"/>
    <n v="70000"/>
    <n v="9554.7499999999982"/>
    <n v="0"/>
    <n v="9554.7499999999982"/>
  </r>
  <r>
    <x v="5"/>
    <s v="HESRRO"/>
    <s v="CHINA"/>
    <s v="STS24M14552"/>
    <m/>
    <s v="100% POLYESTER TWILL 220 GM/M2"/>
    <s v="KNIT"/>
    <s v="6112.12.0050"/>
    <n v="110"/>
    <n v="16.395500000000002"/>
    <n v="11.5"/>
    <n v="0.28199999999999997"/>
    <n v="3.2429999999999999"/>
    <n v="7.4999999999999997E-2"/>
    <n v="0.86249999999999993"/>
    <n v="7.0000000000000007E-2"/>
    <n v="0.3"/>
    <n v="0.49"/>
    <n v="500"/>
    <m/>
    <m/>
    <m/>
    <m/>
    <m/>
    <m/>
    <n v="500"/>
    <n v="55000"/>
    <n v="0"/>
    <n v="55000"/>
    <n v="8197.7500000000018"/>
    <n v="0"/>
    <n v="8197.7500000000018"/>
  </r>
  <r>
    <x v="6"/>
    <s v="HESRRO"/>
    <s v="CHINA"/>
    <s v="STS24M50842"/>
    <m/>
    <s v="100% POLYESTER TWILL 220 GM/M2"/>
    <s v="KNIT"/>
    <m/>
    <m/>
    <n v="43.82047"/>
    <n v="31.71"/>
    <n v="0.28199999999999997"/>
    <n v="8.9422199999999989"/>
    <n v="7.4999999999999997E-2"/>
    <n v="2.37825"/>
    <n v="7.0000000000000007E-2"/>
    <n v="0.3"/>
    <n v="0.49"/>
    <m/>
    <m/>
    <m/>
    <m/>
    <m/>
    <n v="139"/>
    <m/>
    <n v="139"/>
    <n v="0"/>
    <n v="0"/>
    <n v="0"/>
    <n v="0"/>
    <n v="4407.6900000000005"/>
    <n v="4407.6900000000005"/>
  </r>
  <r>
    <x v="6"/>
    <s v="HESRRO"/>
    <s v="CHINA"/>
    <s v="STS24M50842"/>
    <m/>
    <s v="100% POLYESTER TWILL 220 GM/M2"/>
    <s v="KNIT"/>
    <m/>
    <m/>
    <n v="43.82047"/>
    <n v="31.71"/>
    <n v="0.28199999999999997"/>
    <n v="8.9422199999999989"/>
    <n v="7.4999999999999997E-2"/>
    <n v="2.37825"/>
    <n v="7.0000000000000007E-2"/>
    <n v="0.3"/>
    <n v="0.49"/>
    <m/>
    <m/>
    <m/>
    <m/>
    <m/>
    <n v="144"/>
    <m/>
    <n v="144"/>
    <n v="0"/>
    <n v="0"/>
    <n v="0"/>
    <n v="0"/>
    <n v="4566.24"/>
    <n v="4566.24"/>
  </r>
  <r>
    <x v="6"/>
    <s v="HESRRO"/>
    <s v="CHINA"/>
    <s v="STS24M50842"/>
    <m/>
    <s v="100% POLYESTER TWILL 220 GM/M2"/>
    <s v="KNIT"/>
    <m/>
    <m/>
    <n v="43.82047"/>
    <n v="31.71"/>
    <n v="0.28199999999999997"/>
    <n v="8.9422199999999989"/>
    <n v="7.4999999999999997E-2"/>
    <n v="2.37825"/>
    <n v="7.0000000000000007E-2"/>
    <n v="0.3"/>
    <n v="0.49"/>
    <m/>
    <m/>
    <m/>
    <m/>
    <m/>
    <n v="12"/>
    <m/>
    <n v="12"/>
    <n v="0"/>
    <n v="0"/>
    <n v="0"/>
    <n v="0"/>
    <n v="380.52"/>
    <n v="380.52"/>
  </r>
  <r>
    <x v="4"/>
    <s v="HESRRO"/>
    <s v="CHINA"/>
    <s v="STS24M51027"/>
    <m/>
    <s v="100% POLYESTER SOFT TOUCH "/>
    <s v="WOVEN"/>
    <s v="6201.40.7511"/>
    <n v="120"/>
    <n v="20.466499999999996"/>
    <n v="14.5"/>
    <n v="0.28199999999999997"/>
    <n v="4.0889999999999995"/>
    <n v="7.4999999999999997E-2"/>
    <n v="1.0874999999999999"/>
    <n v="7.0000000000000007E-2"/>
    <n v="0.3"/>
    <n v="0.49"/>
    <n v="500"/>
    <m/>
    <m/>
    <m/>
    <m/>
    <m/>
    <m/>
    <n v="500"/>
    <n v="60000"/>
    <n v="0"/>
    <n v="60000"/>
    <n v="10233.249999999998"/>
    <n v="0"/>
    <n v="10233.249999999998"/>
  </r>
  <r>
    <x v="5"/>
    <s v="HESRRO"/>
    <s v="CHINA"/>
    <s v="STS24M51028"/>
    <m/>
    <s v="100% POLYESTER SOFT TOUCH "/>
    <s v="WOVEN"/>
    <s v="6203.43.9010"/>
    <n v="110"/>
    <n v="16.259800000000002"/>
    <n v="11.4"/>
    <n v="0.28199999999999997"/>
    <n v="3.2147999999999999"/>
    <n v="7.4999999999999997E-2"/>
    <n v="0.85499999999999998"/>
    <n v="7.0000000000000007E-2"/>
    <n v="0.3"/>
    <n v="0.49"/>
    <n v="500"/>
    <m/>
    <m/>
    <m/>
    <m/>
    <m/>
    <m/>
    <n v="500"/>
    <n v="55000"/>
    <n v="0"/>
    <n v="55000"/>
    <n v="8129.9000000000015"/>
    <n v="0"/>
    <n v="8129.9000000000015"/>
  </r>
  <r>
    <x v="4"/>
    <s v="HESRRO"/>
    <s v="CHINA"/>
    <s v="STS24M51027"/>
    <m/>
    <s v="100% POLYESTER SOFT TOUCH "/>
    <s v="WOVEN"/>
    <s v="6201.40.7511"/>
    <n v="120"/>
    <n v="20.466499999999996"/>
    <n v="14.5"/>
    <n v="0.28199999999999997"/>
    <n v="4.0889999999999995"/>
    <n v="7.4999999999999997E-2"/>
    <n v="1.0874999999999999"/>
    <n v="7.0000000000000007E-2"/>
    <n v="0.3"/>
    <n v="0.49"/>
    <n v="500"/>
    <m/>
    <m/>
    <m/>
    <m/>
    <m/>
    <m/>
    <n v="500"/>
    <n v="60000"/>
    <n v="0"/>
    <n v="60000"/>
    <n v="10233.249999999998"/>
    <n v="0"/>
    <n v="10233.249999999998"/>
  </r>
  <r>
    <x v="5"/>
    <s v="HESRRO"/>
    <s v="CHINA"/>
    <s v="STS24M51028"/>
    <m/>
    <s v="100% POLYESTER SOFT TOUCH "/>
    <s v="WOVEN"/>
    <s v="6203.43.9010"/>
    <n v="110"/>
    <n v="16.259800000000002"/>
    <n v="11.4"/>
    <n v="0.28199999999999997"/>
    <n v="3.2147999999999999"/>
    <n v="7.4999999999999997E-2"/>
    <n v="0.85499999999999998"/>
    <n v="7.0000000000000007E-2"/>
    <n v="0.3"/>
    <n v="0.49"/>
    <n v="500"/>
    <m/>
    <m/>
    <m/>
    <m/>
    <m/>
    <m/>
    <n v="500"/>
    <n v="55000"/>
    <n v="0"/>
    <n v="55000"/>
    <n v="8129.9000000000015"/>
    <n v="0"/>
    <n v="8129.9000000000015"/>
  </r>
  <r>
    <x v="4"/>
    <s v="PORTA ASIATACA"/>
    <s v="CHINA"/>
    <s v="STS24M50634"/>
    <m/>
    <s v="92% POLYESTER/8% SPANDEX INTERLOCK 300 GM/M2"/>
    <s v="KNIT"/>
    <s v="6112.12.0010"/>
    <n v="145"/>
    <n v="30.913249999999998"/>
    <n v="22.25"/>
    <n v="0.28199999999999997"/>
    <n v="6.2744999999999997"/>
    <n v="7.4999999999999997E-2"/>
    <n v="1.66875"/>
    <n v="7.0000000000000007E-2"/>
    <n v="0.23"/>
    <n v="0.49"/>
    <n v="200"/>
    <m/>
    <m/>
    <m/>
    <m/>
    <m/>
    <m/>
    <n v="200"/>
    <n v="29000"/>
    <n v="0"/>
    <n v="29000"/>
    <n v="6182.65"/>
    <n v="0"/>
    <n v="6182.65"/>
  </r>
  <r>
    <x v="5"/>
    <s v="PORTA ASIATACA"/>
    <s v="CHINA"/>
    <s v="STS24M50635"/>
    <m/>
    <s v="92% POLYESTER/8% SPANDEX INTERLOCK 300 GM/M2"/>
    <s v="KNIT"/>
    <s v="6112.12.0050"/>
    <n v="125"/>
    <n v="24.467499999999998"/>
    <n v="17.5"/>
    <n v="0.28199999999999997"/>
    <n v="4.9349999999999996"/>
    <n v="7.4999999999999997E-2"/>
    <n v="1.3125"/>
    <n v="7.0000000000000007E-2"/>
    <n v="0.23"/>
    <n v="0.49"/>
    <n v="200"/>
    <m/>
    <m/>
    <m/>
    <m/>
    <m/>
    <m/>
    <n v="200"/>
    <n v="25000"/>
    <n v="0"/>
    <n v="25000"/>
    <n v="4893.4999999999991"/>
    <n v="0"/>
    <n v="4893.4999999999991"/>
  </r>
  <r>
    <x v="4"/>
    <s v="PORTA ASIATACA"/>
    <s v="CHINA"/>
    <s v="STS24M50634"/>
    <m/>
    <s v="92% POLYESTER/8% SPANDEX INTERLOCK 300 GM/M2"/>
    <s v="KNIT"/>
    <s v="6112.12.0010"/>
    <n v="145"/>
    <n v="30.913249999999998"/>
    <n v="22.25"/>
    <n v="0.28199999999999997"/>
    <n v="6.2744999999999997"/>
    <n v="7.4999999999999997E-2"/>
    <n v="1.66875"/>
    <n v="7.0000000000000007E-2"/>
    <n v="0.23"/>
    <n v="0.49"/>
    <n v="300"/>
    <m/>
    <m/>
    <m/>
    <m/>
    <m/>
    <m/>
    <n v="300"/>
    <n v="43500"/>
    <n v="0"/>
    <n v="43500"/>
    <n v="9273.9749999999985"/>
    <n v="0"/>
    <n v="9273.9749999999985"/>
  </r>
  <r>
    <x v="5"/>
    <s v="PORTA ASIATACA"/>
    <s v="CHINA"/>
    <s v="STS24M50635"/>
    <m/>
    <s v="92% POLYESTER/8% SPANDEX INTERLOCK 300 GM/M2"/>
    <s v="KNIT"/>
    <s v="6112.12.0050"/>
    <n v="125"/>
    <n v="24.467499999999998"/>
    <n v="17.5"/>
    <n v="0.28199999999999997"/>
    <n v="4.9349999999999996"/>
    <n v="7.4999999999999997E-2"/>
    <n v="1.3125"/>
    <n v="7.0000000000000007E-2"/>
    <n v="0.23"/>
    <n v="0.49"/>
    <n v="300"/>
    <m/>
    <m/>
    <m/>
    <m/>
    <m/>
    <m/>
    <n v="300"/>
    <n v="37500"/>
    <n v="0"/>
    <n v="37500"/>
    <n v="7340.2499999999991"/>
    <n v="0"/>
    <n v="7340.2499999999991"/>
  </r>
  <r>
    <x v="6"/>
    <s v="PORTA ASIATACA"/>
    <s v="CHINA"/>
    <s v="STS24M50843"/>
    <m/>
    <s v="92% POLYESTER/8% SPANDEX INTERLOCK 300 GM/M2"/>
    <s v="KNIT"/>
    <m/>
    <m/>
    <n v="54.389349999999993"/>
    <n v="39.549999999999997"/>
    <n v="0.28199999999999997"/>
    <n v="11.153099999999998"/>
    <n v="7.4999999999999997E-2"/>
    <n v="2.9662499999999996"/>
    <n v="7.0000000000000007E-2"/>
    <n v="0.23"/>
    <n v="0.49"/>
    <m/>
    <m/>
    <m/>
    <m/>
    <m/>
    <n v="27"/>
    <m/>
    <n v="27"/>
    <n v="0"/>
    <n v="0"/>
    <n v="0"/>
    <n v="0"/>
    <n v="1067.8499999999999"/>
    <n v="1067.8499999999999"/>
  </r>
  <r>
    <x v="6"/>
    <s v="PORTA ASIATACA"/>
    <s v="CHINA"/>
    <s v="STS24M50843"/>
    <m/>
    <s v="92% POLYESTER/8% SPANDEX INTERLOCK 300 GM/M2"/>
    <s v="KNIT"/>
    <m/>
    <m/>
    <n v="54.389349999999993"/>
    <n v="39.549999999999997"/>
    <n v="0.28199999999999997"/>
    <n v="11.153099999999998"/>
    <n v="7.4999999999999997E-2"/>
    <n v="2.9662499999999996"/>
    <n v="7.0000000000000007E-2"/>
    <n v="0.23"/>
    <n v="0.49"/>
    <m/>
    <m/>
    <m/>
    <m/>
    <m/>
    <n v="95"/>
    <m/>
    <n v="95"/>
    <n v="0"/>
    <n v="0"/>
    <n v="0"/>
    <n v="0"/>
    <n v="3757.2499999999995"/>
    <n v="3757.2499999999995"/>
  </r>
  <r>
    <x v="4"/>
    <s v="PORTA ASIATACA"/>
    <s v="CHINA"/>
    <s v="STS24M50643"/>
    <m/>
    <s v="58% POLYESTER/37% COTTON/5% SPANDEX FLAT BACK DOUBLE PIQUE 346 GM/M2"/>
    <s v="KNIT"/>
    <s v="6112.12.0010"/>
    <n v="175"/>
    <n v="32.609499999999997"/>
    <n v="23.5"/>
    <n v="0.28199999999999997"/>
    <n v="6.6269999999999998"/>
    <n v="7.4999999999999997E-2"/>
    <n v="1.7625"/>
    <n v="7.0000000000000007E-2"/>
    <n v="0.23"/>
    <n v="0.49"/>
    <n v="300"/>
    <n v="150"/>
    <m/>
    <m/>
    <m/>
    <m/>
    <m/>
    <n v="450"/>
    <n v="52500"/>
    <n v="26250"/>
    <n v="78750"/>
    <n v="9782.8499999999985"/>
    <n v="4891.4249999999993"/>
    <n v="14674.274999999998"/>
  </r>
  <r>
    <x v="5"/>
    <s v="PORTA ASIATACA"/>
    <s v="CHINA"/>
    <s v="STS24M50621"/>
    <m/>
    <s v="58% POLYESTER/37% COTTON/5% SPANDEX FLAT BACK DOUBLE PIQUE 346 GM/M2"/>
    <s v="KNIT"/>
    <s v="6112.12.0050"/>
    <n v="135"/>
    <n v="25.824499999999997"/>
    <n v="18.5"/>
    <n v="0.28199999999999997"/>
    <n v="5.2169999999999996"/>
    <n v="7.4999999999999997E-2"/>
    <n v="1.3875"/>
    <n v="7.0000000000000007E-2"/>
    <n v="0.23"/>
    <n v="0.49"/>
    <n v="300"/>
    <n v="150"/>
    <m/>
    <m/>
    <m/>
    <m/>
    <m/>
    <n v="450"/>
    <n v="40500"/>
    <n v="20250"/>
    <n v="60750"/>
    <n v="7747.3499999999995"/>
    <n v="3873.6749999999997"/>
    <n v="11621.025"/>
  </r>
  <r>
    <x v="4"/>
    <s v="PORTA ASIATACA"/>
    <s v="CHINA"/>
    <s v="STS24M50643"/>
    <m/>
    <s v="58% POLYESTER/37% COTTON/5% SPANDEX FLAT BACK DOUBLE PIQUE 346 GM/M2"/>
    <s v="KNIT"/>
    <s v="6112.12.0010"/>
    <n v="175"/>
    <n v="32.609499999999997"/>
    <n v="23.5"/>
    <n v="0.28199999999999997"/>
    <n v="6.6269999999999998"/>
    <n v="7.4999999999999997E-2"/>
    <n v="1.7625"/>
    <n v="7.0000000000000007E-2"/>
    <n v="0.23"/>
    <n v="0.49"/>
    <n v="300"/>
    <n v="150"/>
    <m/>
    <m/>
    <m/>
    <m/>
    <m/>
    <n v="450"/>
    <n v="52500"/>
    <n v="26250"/>
    <n v="78750"/>
    <n v="9782.8499999999985"/>
    <n v="4891.4249999999993"/>
    <n v="14674.274999999998"/>
  </r>
  <r>
    <x v="5"/>
    <s v="PORTA ASIATACA"/>
    <s v="CHINA"/>
    <s v="STS24M50621"/>
    <m/>
    <s v="58% POLYESTER/37% COTTON/5% SPANDEX FLAT BACK DOUBLE PIQUE 346 GM/M2"/>
    <s v="KNIT"/>
    <s v="6112.12.0050"/>
    <n v="135"/>
    <n v="25.824499999999997"/>
    <n v="18.5"/>
    <n v="0.28199999999999997"/>
    <n v="5.2169999999999996"/>
    <n v="7.4999999999999997E-2"/>
    <n v="1.3875"/>
    <n v="7.0000000000000007E-2"/>
    <n v="0.23"/>
    <n v="0.49"/>
    <n v="300"/>
    <n v="150"/>
    <m/>
    <m/>
    <m/>
    <m/>
    <m/>
    <n v="450"/>
    <n v="40500"/>
    <n v="20250"/>
    <n v="60750"/>
    <n v="7747.3499999999995"/>
    <n v="3873.6749999999997"/>
    <n v="11621.025"/>
  </r>
  <r>
    <x v="6"/>
    <s v="PORTA ASIATACA"/>
    <s v="CHINA"/>
    <s v="STS24M50900"/>
    <m/>
    <s v="58% POLYESTER/37% COTTON/5% SPANDEX FLAT BACK DOUBLE PIQUE 346 GM/M2"/>
    <s v="KNIT"/>
    <m/>
    <m/>
    <n v="57.442599999999992"/>
    <n v="41.8"/>
    <n v="0.28199999999999997"/>
    <n v="11.787599999999998"/>
    <n v="7.4999999999999997E-2"/>
    <n v="3.1349999999999998"/>
    <n v="7.0000000000000007E-2"/>
    <n v="0.23"/>
    <n v="0.49"/>
    <m/>
    <m/>
    <m/>
    <m/>
    <m/>
    <n v="66"/>
    <m/>
    <n v="66"/>
    <n v="0"/>
    <n v="0"/>
    <n v="0"/>
    <n v="0"/>
    <n v="2758.7999999999997"/>
    <n v="2758.7999999999997"/>
  </r>
  <r>
    <x v="6"/>
    <s v="PORTA ASIATACA"/>
    <s v="CHINA"/>
    <s v="STS24M50900"/>
    <m/>
    <s v="58% POLYESTER/37% COTTON/5% SPANDEX FLAT BACK DOUBLE PIQUE 346 GM/M2"/>
    <s v="KNIT"/>
    <m/>
    <m/>
    <n v="57.442599999999992"/>
    <n v="41.8"/>
    <n v="0.28199999999999997"/>
    <n v="11.787599999999998"/>
    <n v="7.4999999999999997E-2"/>
    <n v="3.1349999999999998"/>
    <n v="7.0000000000000007E-2"/>
    <n v="0.23"/>
    <n v="0.49"/>
    <m/>
    <m/>
    <m/>
    <m/>
    <m/>
    <n v="18"/>
    <m/>
    <n v="18"/>
    <n v="0"/>
    <n v="0"/>
    <n v="0"/>
    <n v="0"/>
    <n v="752.4"/>
    <n v="752.4"/>
  </r>
  <r>
    <x v="4"/>
    <s v="PORTA ASIATACA"/>
    <s v="CHINA"/>
    <s v="STS24M50816"/>
    <m/>
    <s v="93% POLYESTER/7% SPANDEX 300 GM/M2 VELOUR"/>
    <s v="KNIT"/>
    <s v="6112.12.0010"/>
    <n v="175"/>
    <n v="31.591750000000001"/>
    <n v="22.75"/>
    <n v="0.28199999999999997"/>
    <n v="6.4154999999999998"/>
    <n v="7.4999999999999997E-2"/>
    <n v="1.70625"/>
    <n v="7.0000000000000007E-2"/>
    <n v="0.23"/>
    <n v="0.49"/>
    <n v="350"/>
    <n v="150"/>
    <m/>
    <m/>
    <m/>
    <m/>
    <m/>
    <n v="500"/>
    <n v="61250"/>
    <n v="26250"/>
    <n v="87500"/>
    <n v="11057.112500000001"/>
    <n v="4738.7624999999998"/>
    <n v="15795.875"/>
  </r>
  <r>
    <x v="5"/>
    <s v="PORTA ASIATACA"/>
    <s v="CHINA"/>
    <s v="STS24M50817"/>
    <m/>
    <s v="93% POLYESTER/7% SPANDEX 300 GM/M2 VELOUR"/>
    <s v="KNIT"/>
    <s v="6112.12.0050"/>
    <n v="150"/>
    <n v="25.146000000000001"/>
    <n v="18"/>
    <n v="0.28199999999999997"/>
    <n v="5.0759999999999996"/>
    <n v="7.4999999999999997E-2"/>
    <n v="1.3499999999999999"/>
    <n v="7.0000000000000007E-2"/>
    <n v="0.23"/>
    <n v="0.49"/>
    <n v="350"/>
    <n v="150"/>
    <m/>
    <m/>
    <m/>
    <m/>
    <m/>
    <n v="500"/>
    <n v="52500"/>
    <n v="22500"/>
    <n v="75000"/>
    <n v="8801.1"/>
    <n v="3771.9"/>
    <n v="12573"/>
  </r>
  <r>
    <x v="4"/>
    <s v="PORTA ASIATACA"/>
    <s v="CHINA"/>
    <s v="STS24M50816"/>
    <m/>
    <s v="93% POLYESTER/7% SPANDEX 300 GM/M2 VELOUR"/>
    <s v="KNIT"/>
    <s v="6112.12.0010"/>
    <n v="175"/>
    <n v="31.591750000000001"/>
    <n v="22.75"/>
    <n v="0.28199999999999997"/>
    <n v="6.4154999999999998"/>
    <n v="7.4999999999999997E-2"/>
    <n v="1.70625"/>
    <n v="7.0000000000000007E-2"/>
    <n v="0.23"/>
    <n v="0.49"/>
    <n v="400"/>
    <n v="100"/>
    <m/>
    <m/>
    <m/>
    <m/>
    <m/>
    <n v="500"/>
    <n v="70000"/>
    <n v="17500"/>
    <n v="87500"/>
    <n v="12636.7"/>
    <n v="3159.1750000000002"/>
    <n v="15795.875"/>
  </r>
  <r>
    <x v="5"/>
    <s v="PORTA ASIATACA"/>
    <s v="CHINA"/>
    <s v="STS24M50817"/>
    <m/>
    <s v="93% POLYESTER/7% SPANDEX 300 GM/M2 VELOUR"/>
    <s v="KNIT"/>
    <s v="6112.12.0050"/>
    <n v="150"/>
    <n v="25.146000000000001"/>
    <n v="18"/>
    <n v="0.28199999999999997"/>
    <n v="5.0759999999999996"/>
    <n v="7.4999999999999997E-2"/>
    <n v="1.3499999999999999"/>
    <n v="7.0000000000000007E-2"/>
    <n v="0.23"/>
    <n v="0.49"/>
    <n v="400"/>
    <n v="100"/>
    <m/>
    <m/>
    <m/>
    <m/>
    <m/>
    <n v="500"/>
    <n v="60000"/>
    <n v="15000"/>
    <n v="75000"/>
    <n v="10058.4"/>
    <n v="2514.6"/>
    <n v="12573"/>
  </r>
  <r>
    <x v="7"/>
    <s v="PORTA ASIATACA"/>
    <s v="CHINA"/>
    <s v="STS24M50863"/>
    <m/>
    <s v="100% COTTON FRENCH TERRY 360 GM/M2 PEACHED"/>
    <s v="KNIT"/>
    <s v="6110.20.2041"/>
    <n v="125"/>
    <n v="25.52"/>
    <n v="20"/>
    <n v="0.16500000000000001"/>
    <n v="3.3000000000000003"/>
    <n v="7.4999999999999997E-2"/>
    <n v="1.5"/>
    <n v="7.0000000000000007E-2"/>
    <n v="0.23"/>
    <n v="0.49"/>
    <n v="300"/>
    <m/>
    <m/>
    <m/>
    <m/>
    <m/>
    <m/>
    <n v="300"/>
    <n v="37500"/>
    <n v="0"/>
    <n v="37500"/>
    <n v="7656"/>
    <n v="0"/>
    <n v="7656"/>
  </r>
  <r>
    <x v="7"/>
    <s v="PORTA ASIATACA"/>
    <s v="CHINA"/>
    <s v="STS24M50863"/>
    <m/>
    <s v="100% COTTON FRENCH TERRY 360 GM/M2 PEACHED"/>
    <s v="KNIT"/>
    <s v="6110.20.2041"/>
    <n v="125"/>
    <n v="25.52"/>
    <n v="20"/>
    <n v="0.16500000000000001"/>
    <n v="3.3000000000000003"/>
    <n v="7.4999999999999997E-2"/>
    <n v="1.5"/>
    <n v="7.0000000000000007E-2"/>
    <n v="0.23"/>
    <n v="0.49"/>
    <n v="300"/>
    <m/>
    <m/>
    <m/>
    <m/>
    <m/>
    <m/>
    <n v="300"/>
    <n v="37500"/>
    <n v="0"/>
    <n v="37500"/>
    <n v="7656"/>
    <n v="0"/>
    <n v="7656"/>
  </r>
  <r>
    <x v="7"/>
    <s v="PORTA ASIATACA"/>
    <s v="CHINA"/>
    <s v="STS24M50863"/>
    <m/>
    <s v="100% COTTON FRENCH TERRY 360 GM/M2 PEACHED"/>
    <s v="KNIT"/>
    <s v="6110.20.2041"/>
    <n v="125"/>
    <n v="25.52"/>
    <n v="20"/>
    <n v="0.16500000000000001"/>
    <n v="3.3000000000000003"/>
    <n v="7.4999999999999997E-2"/>
    <n v="1.5"/>
    <n v="7.0000000000000007E-2"/>
    <n v="0.23"/>
    <n v="0.49"/>
    <n v="300"/>
    <m/>
    <m/>
    <m/>
    <m/>
    <m/>
    <m/>
    <n v="300"/>
    <n v="37500"/>
    <n v="0"/>
    <n v="37500"/>
    <n v="7656"/>
    <n v="0"/>
    <n v="7656"/>
  </r>
  <r>
    <x v="1"/>
    <s v="PORTA ASIATACA"/>
    <s v="CHINA"/>
    <s v="STS24M51030"/>
    <m/>
    <s v="100% COTTON FRENCH TERRY 360 GM/M2 PEACHED"/>
    <s v="KNIT"/>
    <s v="6103.42.1050"/>
    <n v="85"/>
    <n v="17.158799999999999"/>
    <n v="13.3"/>
    <n v="0.161"/>
    <n v="2.1413000000000002"/>
    <n v="7.4999999999999997E-2"/>
    <n v="0.99750000000000005"/>
    <n v="7.0000000000000007E-2"/>
    <n v="0.23"/>
    <n v="0.49"/>
    <n v="300"/>
    <m/>
    <m/>
    <m/>
    <m/>
    <m/>
    <m/>
    <n v="300"/>
    <n v="25500"/>
    <n v="0"/>
    <n v="25500"/>
    <n v="5147.6399999999994"/>
    <n v="0"/>
    <n v="5147.6399999999994"/>
  </r>
  <r>
    <x v="1"/>
    <s v="PORTA ASIATACA"/>
    <s v="CHINA"/>
    <s v="STS24M51030"/>
    <m/>
    <s v="100% COTTON FRENCH TERRY 360 GM/M2 PEACHED"/>
    <s v="KNIT"/>
    <s v="6103.42.1050"/>
    <n v="85"/>
    <n v="17.158799999999999"/>
    <n v="13.3"/>
    <n v="0.161"/>
    <n v="2.1413000000000002"/>
    <n v="7.4999999999999997E-2"/>
    <n v="0.99750000000000005"/>
    <n v="7.0000000000000007E-2"/>
    <n v="0.23"/>
    <n v="0.49"/>
    <n v="300"/>
    <m/>
    <m/>
    <m/>
    <m/>
    <m/>
    <m/>
    <n v="300"/>
    <n v="25500"/>
    <n v="0"/>
    <n v="25500"/>
    <n v="5147.6399999999994"/>
    <n v="0"/>
    <n v="5147.6399999999994"/>
  </r>
  <r>
    <x v="1"/>
    <s v="PORTA ASIATACA"/>
    <s v="CHINA"/>
    <s v="STS24M51030"/>
    <m/>
    <s v="100% COTTON FRENCH TERRY 360 GM/M2 PEACHED"/>
    <s v="KNIT"/>
    <s v="6103.42.1050"/>
    <n v="85"/>
    <n v="17.158799999999999"/>
    <n v="13.3"/>
    <n v="0.161"/>
    <n v="2.1413000000000002"/>
    <n v="7.4999999999999997E-2"/>
    <n v="0.99750000000000005"/>
    <n v="7.0000000000000007E-2"/>
    <n v="0.23"/>
    <n v="0.49"/>
    <n v="300"/>
    <m/>
    <m/>
    <m/>
    <m/>
    <m/>
    <m/>
    <n v="300"/>
    <n v="25500"/>
    <n v="0"/>
    <n v="25500"/>
    <n v="5147.6399999999994"/>
    <n v="0"/>
    <n v="5147.6399999999994"/>
  </r>
  <r>
    <x v="4"/>
    <s v="PORTA ASIATACA"/>
    <s v="CHINA"/>
    <s v="STF23M50617"/>
    <m/>
    <s v="55% RAYON/41% POLYESTER/4% SPANDEX JACQUARD 340 GM/M2"/>
    <s v="KNIT"/>
    <s v="6112.12.0010"/>
    <n v="160"/>
    <n v="39.698650000000001"/>
    <n v="24.45"/>
    <n v="0.28199999999999997"/>
    <n v="6.8948999999999989"/>
    <n v="7.4999999999999997E-2"/>
    <n v="1.8337499999999998"/>
    <n v="7.0000000000000007E-2"/>
    <n v="6.03"/>
    <n v="0.49"/>
    <n v="150"/>
    <m/>
    <m/>
    <m/>
    <m/>
    <m/>
    <m/>
    <n v="150"/>
    <n v="24000"/>
    <n v="0"/>
    <n v="24000"/>
    <n v="5954.7974999999997"/>
    <n v="0"/>
    <n v="5954.7974999999997"/>
  </r>
  <r>
    <x v="5"/>
    <s v="PORTA ASIATACA"/>
    <s v="CHINA"/>
    <s v="STF23M50618"/>
    <m/>
    <s v="55% RAYON/41% POLYESTER/4% SPANDEX JACQUARD 340 GM/M2"/>
    <s v="KNIT"/>
    <s v="6112.12.0050"/>
    <n v="130"/>
    <n v="31.285249999999998"/>
    <n v="18.25"/>
    <n v="0.28199999999999997"/>
    <n v="5.1464999999999996"/>
    <n v="7.4999999999999997E-2"/>
    <n v="1.3687499999999999"/>
    <n v="7.0000000000000007E-2"/>
    <n v="6.03"/>
    <n v="0.49"/>
    <n v="150"/>
    <m/>
    <m/>
    <m/>
    <m/>
    <m/>
    <m/>
    <n v="150"/>
    <n v="19500"/>
    <n v="0"/>
    <n v="19500"/>
    <n v="4692.7874999999995"/>
    <n v="0"/>
    <n v="4692.7874999999995"/>
  </r>
  <r>
    <x v="4"/>
    <s v="PORTA ASIATACA"/>
    <s v="CHINA"/>
    <s v="STS24M50617"/>
    <m/>
    <s v="55% RAYON/41% POLYESTER/4% SPANDEX JACQUARD 340 GM/M2"/>
    <s v="KNIT"/>
    <s v="6112.12.0010"/>
    <n v="160"/>
    <n v="39.698650000000001"/>
    <n v="24.45"/>
    <n v="0.28199999999999997"/>
    <n v="6.8948999999999989"/>
    <n v="7.4999999999999997E-2"/>
    <n v="1.8337499999999998"/>
    <n v="7.0000000000000007E-2"/>
    <n v="6.03"/>
    <n v="0.49"/>
    <n v="150"/>
    <m/>
    <m/>
    <m/>
    <m/>
    <m/>
    <m/>
    <n v="150"/>
    <n v="24000"/>
    <n v="0"/>
    <n v="24000"/>
    <n v="5954.7974999999997"/>
    <n v="0"/>
    <n v="5954.7974999999997"/>
  </r>
  <r>
    <x v="5"/>
    <s v="PORTA ASIATACA"/>
    <s v="CHINA"/>
    <s v="STS24M50618"/>
    <m/>
    <s v="55% RAYON/41% POLYESTER/4% SPANDEX JACQUARD 340 GM/M2"/>
    <s v="KNIT"/>
    <s v="6112.12.0050"/>
    <n v="130"/>
    <n v="31.285249999999998"/>
    <n v="18.25"/>
    <n v="0.28199999999999997"/>
    <n v="5.1464999999999996"/>
    <n v="7.4999999999999997E-2"/>
    <n v="1.3687499999999999"/>
    <n v="7.0000000000000007E-2"/>
    <n v="6.03"/>
    <n v="0.49"/>
    <n v="150"/>
    <m/>
    <m/>
    <m/>
    <m/>
    <m/>
    <m/>
    <n v="150"/>
    <n v="19500"/>
    <n v="0"/>
    <n v="19500"/>
    <n v="4692.7874999999995"/>
    <n v="0"/>
    <n v="4692.7874999999995"/>
  </r>
  <r>
    <x v="4"/>
    <s v="PORTA ASIATACA"/>
    <s v="CHINA"/>
    <s v="STS24M50745"/>
    <m/>
    <s v="93% POLYESTER/7% SPANDEX 300 GM/M2 DEBOSSED VELOUR"/>
    <s v="KNIT"/>
    <s v="6112.12.0010"/>
    <n v="180"/>
    <n v="30.573999999999998"/>
    <n v="22"/>
    <n v="0.28199999999999997"/>
    <n v="6.2039999999999997"/>
    <n v="7.4999999999999997E-2"/>
    <n v="1.65"/>
    <n v="7.0000000000000007E-2"/>
    <n v="0.23"/>
    <n v="0.49"/>
    <n v="400"/>
    <n v="250"/>
    <m/>
    <m/>
    <m/>
    <m/>
    <m/>
    <n v="650"/>
    <n v="72000"/>
    <n v="45000"/>
    <n v="117000"/>
    <n v="12229.599999999999"/>
    <n v="7643.4999999999991"/>
    <n v="19873.099999999999"/>
  </r>
  <r>
    <x v="5"/>
    <s v="PORTA ASIATACA"/>
    <s v="CHINA"/>
    <s v="STS24M50746"/>
    <m/>
    <s v="93% POLYESTER/7% SPANDEX 300 GM/M2 DEBOSSED VELOUR"/>
    <s v="KNIT"/>
    <s v="6112.12.0050"/>
    <n v="150"/>
    <n v="25.485249999999997"/>
    <n v="18.25"/>
    <n v="0.28199999999999997"/>
    <n v="5.1464999999999996"/>
    <n v="7.4999999999999997E-2"/>
    <n v="1.3687499999999999"/>
    <n v="7.0000000000000007E-2"/>
    <n v="0.23"/>
    <n v="0.49"/>
    <n v="400"/>
    <n v="250"/>
    <m/>
    <m/>
    <m/>
    <m/>
    <m/>
    <n v="650"/>
    <n v="60000"/>
    <n v="37500"/>
    <n v="97500"/>
    <n v="10194.099999999999"/>
    <n v="6371.3124999999991"/>
    <n v="16565.412499999999"/>
  </r>
  <r>
    <x v="0"/>
    <s v="PORTA ASIATACA"/>
    <s v="CHINA"/>
    <s v="STS24M50873"/>
    <m/>
    <s v="93% POLYESTER/7% SPANDEX 300 GM/M2 DEBOSSED VELOUR"/>
    <s v="KNIT"/>
    <s v="6105.10.0010"/>
    <n v="88"/>
    <n v="14.321250000000001"/>
    <n v="9.75"/>
    <n v="0.32"/>
    <n v="3.12"/>
    <n v="7.4999999999999997E-2"/>
    <n v="0.73124999999999996"/>
    <n v="7.0000000000000007E-2"/>
    <n v="0.23"/>
    <n v="0.49"/>
    <n v="300"/>
    <n v="300"/>
    <m/>
    <m/>
    <m/>
    <m/>
    <m/>
    <n v="600"/>
    <n v="26400"/>
    <n v="26400"/>
    <n v="52800"/>
    <n v="4296.375"/>
    <n v="4296.375"/>
    <n v="8592.75"/>
  </r>
  <r>
    <x v="1"/>
    <s v="PORTA ASIATACA"/>
    <s v="CHINA"/>
    <s v="STS24M50872"/>
    <m/>
    <s v="93% POLYESTER/7% SPANDEX 300 GM/M2 DEBOSSED VELOUR"/>
    <s v="KNIT"/>
    <s v="6103.42.1050"/>
    <n v="95"/>
    <n v="18.361000000000001"/>
    <n v="13"/>
    <n v="0.28199999999999997"/>
    <n v="3.6659999999999995"/>
    <n v="7.4999999999999997E-2"/>
    <n v="0.97499999999999998"/>
    <n v="7.0000000000000007E-2"/>
    <n v="0.23"/>
    <n v="0.49"/>
    <n v="300"/>
    <n v="300"/>
    <m/>
    <m/>
    <m/>
    <m/>
    <m/>
    <n v="600"/>
    <n v="28500"/>
    <n v="28500"/>
    <n v="57000"/>
    <n v="5508.3"/>
    <n v="5508.3"/>
    <n v="11016.6"/>
  </r>
  <r>
    <x v="4"/>
    <s v="PORTA ASIATACA"/>
    <s v="CHINA"/>
    <s v="STS24M50745"/>
    <m/>
    <s v="93% POLYESTER/7% SPANDEX 300 GM/M2 DEBOSSED VELOUR"/>
    <s v="KNIT"/>
    <s v="6112.12.0010"/>
    <n v="180"/>
    <n v="30.573999999999998"/>
    <n v="22"/>
    <n v="0.28199999999999997"/>
    <n v="6.2039999999999997"/>
    <n v="7.4999999999999997E-2"/>
    <n v="1.65"/>
    <n v="7.0000000000000007E-2"/>
    <n v="0.23"/>
    <n v="0.49"/>
    <n v="300"/>
    <n v="350"/>
    <m/>
    <m/>
    <m/>
    <m/>
    <m/>
    <n v="650"/>
    <n v="54000"/>
    <n v="63000"/>
    <n v="117000"/>
    <n v="9172.1999999999989"/>
    <n v="10700.9"/>
    <n v="19873.099999999999"/>
  </r>
  <r>
    <x v="5"/>
    <s v="PORTA ASIATACA"/>
    <s v="CHINA"/>
    <s v="STS24M50746"/>
    <m/>
    <s v="93% POLYESTER/7% SPANDEX 300 GM/M2 DEBOSSED VELOUR"/>
    <s v="KNIT"/>
    <s v="6112.12.0050"/>
    <n v="150"/>
    <n v="25.485249999999997"/>
    <n v="18.25"/>
    <n v="0.28199999999999997"/>
    <n v="5.1464999999999996"/>
    <n v="7.4999999999999997E-2"/>
    <n v="1.3687499999999999"/>
    <n v="7.0000000000000007E-2"/>
    <n v="0.23"/>
    <n v="0.49"/>
    <n v="300"/>
    <n v="350"/>
    <m/>
    <m/>
    <m/>
    <m/>
    <m/>
    <n v="650"/>
    <n v="45000"/>
    <n v="52500"/>
    <n v="97500"/>
    <n v="7645.5749999999989"/>
    <n v="8919.8374999999996"/>
    <n v="16565.412499999999"/>
  </r>
  <r>
    <x v="0"/>
    <s v="PORTA ASIATACA"/>
    <s v="CHINA"/>
    <s v="STS24M50873"/>
    <m/>
    <s v="93% POLYESTER/7% SPANDEX 300 GM/M2 DEBOSSED VELOUR"/>
    <s v="KNIT"/>
    <s v="6105.10.0010"/>
    <n v="88"/>
    <n v="14.321250000000001"/>
    <n v="9.75"/>
    <n v="0.32"/>
    <n v="3.12"/>
    <n v="7.4999999999999997E-2"/>
    <n v="0.73124999999999996"/>
    <n v="7.0000000000000007E-2"/>
    <n v="0.23"/>
    <n v="0.49"/>
    <n v="300"/>
    <n v="300"/>
    <m/>
    <m/>
    <m/>
    <m/>
    <m/>
    <n v="600"/>
    <n v="26400"/>
    <n v="26400"/>
    <n v="52800"/>
    <n v="4296.375"/>
    <n v="4296.375"/>
    <n v="8592.75"/>
  </r>
  <r>
    <x v="1"/>
    <s v="PORTA ASIATACA"/>
    <s v="CHINA"/>
    <s v="STS24M50872"/>
    <m/>
    <s v="93% POLYESTER/7% SPANDEX 300 GM/M2 DEBOSSED VELOUR"/>
    <s v="KNIT"/>
    <s v="6103.42.1050"/>
    <n v="95"/>
    <n v="18.361000000000001"/>
    <n v="13"/>
    <n v="0.28199999999999997"/>
    <n v="3.6659999999999995"/>
    <n v="7.4999999999999997E-2"/>
    <n v="0.97499999999999998"/>
    <n v="7.0000000000000007E-2"/>
    <n v="0.23"/>
    <n v="0.49"/>
    <n v="300"/>
    <n v="300"/>
    <m/>
    <m/>
    <m/>
    <m/>
    <m/>
    <n v="600"/>
    <n v="28500"/>
    <n v="28500"/>
    <n v="57000"/>
    <n v="5508.3"/>
    <n v="5508.3"/>
    <n v="11016.6"/>
  </r>
  <r>
    <x v="4"/>
    <s v="PORTA ASIATACA"/>
    <s v="CHINA"/>
    <s v="STS24M50745"/>
    <m/>
    <s v="93% POLYESTER/7% SPANDEX 300 GM/M2 DEBOSSED VELOUR"/>
    <s v="KNIT"/>
    <s v="6112.12.0010"/>
    <n v="180"/>
    <n v="30.573999999999998"/>
    <n v="22"/>
    <n v="0.28199999999999997"/>
    <n v="6.2039999999999997"/>
    <n v="7.4999999999999997E-2"/>
    <n v="1.65"/>
    <n v="7.0000000000000007E-2"/>
    <n v="0.23"/>
    <n v="0.49"/>
    <n v="450"/>
    <n v="350"/>
    <m/>
    <m/>
    <m/>
    <m/>
    <m/>
    <n v="800"/>
    <n v="81000"/>
    <n v="63000"/>
    <n v="144000"/>
    <n v="13758.3"/>
    <n v="10700.9"/>
    <n v="24459.199999999997"/>
  </r>
  <r>
    <x v="5"/>
    <s v="PORTA ASIATACA"/>
    <s v="CHINA"/>
    <s v="STS24M50746"/>
    <m/>
    <s v="93% POLYESTER/7% SPANDEX 300 GM/M2 DEBOSSED VELOUR"/>
    <s v="KNIT"/>
    <s v="6112.12.0050"/>
    <n v="150"/>
    <n v="25.485249999999997"/>
    <n v="18.25"/>
    <n v="0.28199999999999997"/>
    <n v="5.1464999999999996"/>
    <n v="7.4999999999999997E-2"/>
    <n v="1.3687499999999999"/>
    <n v="7.0000000000000007E-2"/>
    <n v="0.23"/>
    <n v="0.49"/>
    <n v="450"/>
    <n v="350"/>
    <m/>
    <m/>
    <m/>
    <m/>
    <m/>
    <n v="800"/>
    <n v="67500"/>
    <n v="52500"/>
    <n v="120000"/>
    <n v="11468.362499999999"/>
    <n v="8919.8374999999996"/>
    <n v="20388.199999999997"/>
  </r>
  <r>
    <x v="0"/>
    <s v="PORTA ASIATACA"/>
    <s v="CHINA"/>
    <s v="STS24M50873"/>
    <m/>
    <s v="93% POLYESTER/7% SPANDEX 300 GM/M2 DEBOSSED VELOUR"/>
    <s v="KNIT"/>
    <s v="6105.10.0010"/>
    <n v="88"/>
    <n v="14.321250000000001"/>
    <n v="9.75"/>
    <n v="0.32"/>
    <n v="3.12"/>
    <n v="7.4999999999999997E-2"/>
    <n v="0.73124999999999996"/>
    <n v="7.0000000000000007E-2"/>
    <n v="0.23"/>
    <n v="0.49"/>
    <n v="450"/>
    <n v="300"/>
    <m/>
    <m/>
    <m/>
    <m/>
    <m/>
    <n v="750"/>
    <n v="39600"/>
    <n v="26400"/>
    <n v="66000"/>
    <n v="6444.5625"/>
    <n v="4296.375"/>
    <n v="10740.9375"/>
  </r>
  <r>
    <x v="0"/>
    <s v="PORTA ASIATACA"/>
    <s v="CHINA"/>
    <s v="STS24M50873"/>
    <m/>
    <s v="93% POLYESTER/7% SPANDEX 300 GM/M2 DEBOSSED VELOUR"/>
    <s v="KNIT"/>
    <s v="6105.10.0010"/>
    <n v="88"/>
    <n v="14.321250000000001"/>
    <n v="9.75"/>
    <n v="0.32"/>
    <n v="3.12"/>
    <n v="7.4999999999999997E-2"/>
    <n v="0.73124999999999996"/>
    <n v="7.0000000000000007E-2"/>
    <n v="0.23"/>
    <n v="0.49"/>
    <m/>
    <n v="710"/>
    <m/>
    <m/>
    <m/>
    <m/>
    <m/>
    <n v="710"/>
    <n v="0"/>
    <n v="62480"/>
    <n v="62480"/>
    <n v="0"/>
    <n v="10168.087500000001"/>
    <n v="10168.087500000001"/>
  </r>
  <r>
    <x v="1"/>
    <s v="PORTA ASIATACA"/>
    <s v="CHINA"/>
    <s v="STS24M50872"/>
    <m/>
    <s v="93% POLYESTER/7% SPANDEX 300 GM/M2 DEBOSSED VELOUR"/>
    <s v="KNIT"/>
    <s v="6103.42.1050"/>
    <n v="95"/>
    <n v="18.361000000000001"/>
    <n v="13"/>
    <n v="0.28199999999999997"/>
    <n v="3.6659999999999995"/>
    <n v="7.4999999999999997E-2"/>
    <n v="0.97499999999999998"/>
    <n v="7.0000000000000007E-2"/>
    <n v="0.23"/>
    <n v="0.49"/>
    <n v="450"/>
    <n v="300"/>
    <m/>
    <m/>
    <m/>
    <m/>
    <m/>
    <n v="750"/>
    <n v="42750"/>
    <n v="28500"/>
    <n v="71250"/>
    <n v="8262.4500000000007"/>
    <n v="5508.3"/>
    <n v="13770.75"/>
  </r>
  <r>
    <x v="1"/>
    <s v="PORTA ASIATACA"/>
    <s v="CHINA"/>
    <s v="STS24M50872"/>
    <m/>
    <s v="93% POLYESTER/7% SPANDEX 300 GM/M2 DEBOSSED VELOUR"/>
    <s v="KNIT"/>
    <s v="6103.42.1050"/>
    <n v="95"/>
    <n v="18.361000000000001"/>
    <n v="13"/>
    <n v="0.28199999999999997"/>
    <n v="3.6659999999999995"/>
    <n v="7.4999999999999997E-2"/>
    <n v="0.97499999999999998"/>
    <n v="7.0000000000000007E-2"/>
    <n v="0.23"/>
    <n v="0.49"/>
    <m/>
    <n v="698"/>
    <m/>
    <m/>
    <m/>
    <m/>
    <m/>
    <n v="698"/>
    <n v="0"/>
    <n v="66310"/>
    <n v="66310"/>
    <n v="0"/>
    <n v="12815.978000000001"/>
    <n v="12815.978000000001"/>
  </r>
  <r>
    <x v="6"/>
    <s v="PORTA ASIATACA"/>
    <s v="CHINA"/>
    <s v="STS24M50902"/>
    <m/>
    <s v="93% POLYESTER/7% SPANDEX 300 GM/M2 DEBOSSED VELOUR"/>
    <s v="KNIT"/>
    <m/>
    <m/>
    <n v="56.424849999999992"/>
    <n v="41.05"/>
    <n v="0.28199999999999997"/>
    <n v="11.576099999999999"/>
    <n v="7.4999999999999997E-2"/>
    <n v="3.0787499999999999"/>
    <n v="7.0000000000000007E-2"/>
    <n v="0.23"/>
    <n v="0.49"/>
    <m/>
    <m/>
    <m/>
    <m/>
    <m/>
    <n v="122"/>
    <m/>
    <n v="122"/>
    <n v="0"/>
    <n v="0"/>
    <n v="0"/>
    <n v="0"/>
    <n v="5008.0999999999995"/>
    <n v="5008.0999999999995"/>
  </r>
  <r>
    <x v="6"/>
    <s v="PORTA ASIATACA"/>
    <s v="CHINA"/>
    <s v="STS24M50902"/>
    <m/>
    <s v="93% POLYESTER/7% SPANDEX 300 GM/M2 DEBOSSED VELOUR"/>
    <s v="KNIT"/>
    <m/>
    <m/>
    <n v="56.424849999999992"/>
    <n v="41.05"/>
    <n v="0.28199999999999997"/>
    <n v="11.576099999999999"/>
    <n v="7.4999999999999997E-2"/>
    <n v="3.0787499999999999"/>
    <n v="7.0000000000000007E-2"/>
    <n v="0.23"/>
    <n v="0.49"/>
    <m/>
    <m/>
    <m/>
    <m/>
    <m/>
    <n v="155"/>
    <m/>
    <n v="155"/>
    <n v="0"/>
    <n v="0"/>
    <n v="0"/>
    <n v="0"/>
    <n v="6362.75"/>
    <n v="6362.75"/>
  </r>
  <r>
    <x v="6"/>
    <s v="PORTA ASIATACA"/>
    <s v="CHINA"/>
    <s v="STS24M50902"/>
    <m/>
    <s v="93% POLYESTER/7% SPANDEX 300 GM/M2 DEBOSSED VELOUR"/>
    <s v="KNIT"/>
    <m/>
    <m/>
    <n v="56.424849999999992"/>
    <n v="41.05"/>
    <n v="0.28199999999999997"/>
    <n v="11.576099999999999"/>
    <n v="7.4999999999999997E-2"/>
    <n v="3.0787499999999999"/>
    <n v="7.0000000000000007E-2"/>
    <n v="0.23"/>
    <n v="0.49"/>
    <m/>
    <m/>
    <m/>
    <m/>
    <m/>
    <n v="184"/>
    <m/>
    <n v="184"/>
    <n v="0"/>
    <n v="0"/>
    <n v="0"/>
    <n v="0"/>
    <n v="7553.2"/>
    <n v="7553.2"/>
  </r>
  <r>
    <x v="4"/>
    <s v="PORTA ASIATACA"/>
    <s v="CHINA"/>
    <s v="STS24M50644"/>
    <m/>
    <s v="93% POLYESTER/7% SPANDEX 300 GM/M2 VELOUR"/>
    <s v="KNIT"/>
    <s v="6112.12.0010"/>
    <n v="160"/>
    <n v="29.895499999999998"/>
    <n v="21.5"/>
    <n v="0.28199999999999997"/>
    <n v="6.0629999999999997"/>
    <n v="7.4999999999999997E-2"/>
    <n v="1.6125"/>
    <n v="7.0000000000000007E-2"/>
    <n v="0.23"/>
    <n v="0.49"/>
    <n v="350"/>
    <n v="300"/>
    <m/>
    <m/>
    <m/>
    <n v="6"/>
    <m/>
    <n v="656"/>
    <n v="56000"/>
    <n v="48960"/>
    <n v="104960"/>
    <n v="10463.424999999999"/>
    <n v="9097.65"/>
    <n v="19561.074999999997"/>
  </r>
  <r>
    <x v="5"/>
    <s v="PORTA ASIATACA"/>
    <s v="CHINA"/>
    <s v="STS24M50645"/>
    <m/>
    <s v="93% POLYESTER/7% SPANDEX 300 GM/M2 VELOUR"/>
    <s v="KNIT"/>
    <s v="6112.12.0050"/>
    <n v="125"/>
    <n v="23.110499999999998"/>
    <n v="16.5"/>
    <n v="0.28199999999999997"/>
    <n v="4.6529999999999996"/>
    <n v="7.4999999999999997E-2"/>
    <n v="1.2375"/>
    <n v="7.0000000000000007E-2"/>
    <n v="0.23"/>
    <n v="0.49"/>
    <n v="350"/>
    <n v="300"/>
    <m/>
    <m/>
    <m/>
    <m/>
    <m/>
    <n v="650"/>
    <n v="43750"/>
    <n v="37500"/>
    <n v="81250"/>
    <n v="8088.6749999999993"/>
    <n v="6933.15"/>
    <n v="15021.824999999999"/>
  </r>
  <r>
    <x v="3"/>
    <s v="PORTA ASIATACA"/>
    <s v="CHINA"/>
    <s v="STS24M50808"/>
    <m/>
    <s v="93% POLYESTER/7% SPANDEX 300 GM/M2 VELOUR"/>
    <s v="KNIT"/>
    <s v="6105.10.0010"/>
    <n v="98"/>
    <n v="18.855"/>
    <n v="13"/>
    <n v="0.32"/>
    <n v="4.16"/>
    <n v="7.4999999999999997E-2"/>
    <n v="0.97499999999999998"/>
    <n v="7.0000000000000007E-2"/>
    <n v="0.23"/>
    <n v="0.49"/>
    <n v="250"/>
    <n v="360"/>
    <n v="60"/>
    <m/>
    <m/>
    <n v="37"/>
    <m/>
    <n v="707"/>
    <n v="24500"/>
    <n v="44786"/>
    <n v="69286"/>
    <n v="4713.75"/>
    <n v="8400.1"/>
    <n v="13113.85"/>
  </r>
  <r>
    <x v="1"/>
    <s v="PORTA ASIATACA"/>
    <s v="CHINA"/>
    <s v="STS24M50809"/>
    <m/>
    <s v="93% POLYESTER/7% SPANDEX 300 GM/M2 VELOUR"/>
    <s v="KNIT"/>
    <s v="6103.43.1550"/>
    <n v="100"/>
    <n v="19.039499999999997"/>
    <n v="13.5"/>
    <n v="0.28199999999999997"/>
    <n v="3.8069999999999995"/>
    <n v="7.4999999999999997E-2"/>
    <n v="1.0125"/>
    <n v="7.0000000000000007E-2"/>
    <n v="0.23"/>
    <n v="0.49"/>
    <n v="250"/>
    <n v="360"/>
    <n v="50"/>
    <m/>
    <m/>
    <n v="30"/>
    <m/>
    <n v="690"/>
    <n v="25000"/>
    <n v="44000"/>
    <n v="69000"/>
    <n v="4759.8749999999991"/>
    <n v="8211.1949999999997"/>
    <n v="12971.07"/>
  </r>
  <r>
    <x v="4"/>
    <s v="PORTA ASIATACA"/>
    <s v="CHINA"/>
    <s v="STS24M50644"/>
    <m/>
    <s v="93% POLYESTER/7% SPANDEX 300 GM/M2 VELOUR"/>
    <s v="KNIT"/>
    <s v="6112.12.0010"/>
    <n v="160"/>
    <n v="29.895499999999998"/>
    <n v="21.5"/>
    <n v="0.28199999999999997"/>
    <n v="6.0629999999999997"/>
    <n v="7.4999999999999997E-2"/>
    <n v="1.6125"/>
    <n v="7.0000000000000007E-2"/>
    <n v="0.23"/>
    <n v="0.49"/>
    <n v="400"/>
    <n v="150"/>
    <m/>
    <m/>
    <m/>
    <m/>
    <m/>
    <n v="550"/>
    <n v="64000"/>
    <n v="24000"/>
    <n v="88000"/>
    <n v="11958.199999999999"/>
    <n v="4484.3249999999998"/>
    <n v="16442.524999999998"/>
  </r>
  <r>
    <x v="5"/>
    <s v="PORTA ASIATACA"/>
    <s v="CHINA"/>
    <s v="STS24M50645"/>
    <m/>
    <s v="93% POLYESTER/7% SPANDEX 300 GM/M2 VELOUR"/>
    <s v="KNIT"/>
    <s v="6112.12.0050"/>
    <n v="125"/>
    <n v="23.110499999999998"/>
    <n v="16.5"/>
    <n v="0.28199999999999997"/>
    <n v="4.6529999999999996"/>
    <n v="7.4999999999999997E-2"/>
    <n v="1.2375"/>
    <n v="7.0000000000000007E-2"/>
    <n v="0.23"/>
    <n v="0.49"/>
    <n v="400"/>
    <n v="150"/>
    <m/>
    <m/>
    <m/>
    <m/>
    <m/>
    <n v="550"/>
    <n v="50000"/>
    <n v="18750"/>
    <n v="68750"/>
    <n v="9244.1999999999989"/>
    <n v="3466.5749999999998"/>
    <n v="12710.774999999998"/>
  </r>
  <r>
    <x v="3"/>
    <s v="PORTA ASIATACA"/>
    <s v="CHINA"/>
    <s v="STS24M50808"/>
    <m/>
    <s v="93% POLYESTER/7% SPANDEX 300 GM/M2 VELOUR"/>
    <s v="KNIT"/>
    <s v="6105.10.0010"/>
    <n v="98"/>
    <n v="18.855"/>
    <n v="13"/>
    <n v="0.32"/>
    <n v="4.16"/>
    <n v="7.4999999999999997E-2"/>
    <n v="0.97499999999999998"/>
    <n v="7.0000000000000007E-2"/>
    <n v="0.23"/>
    <n v="0.49"/>
    <n v="250"/>
    <n v="300"/>
    <n v="60"/>
    <m/>
    <m/>
    <m/>
    <m/>
    <n v="610"/>
    <n v="24500"/>
    <n v="35280"/>
    <n v="59780"/>
    <n v="4713.75"/>
    <n v="6787.8"/>
    <n v="11501.55"/>
  </r>
  <r>
    <x v="1"/>
    <s v="PORTA ASIATACA"/>
    <s v="CHINA"/>
    <s v="STS24M50809"/>
    <m/>
    <s v="93% POLYESTER/7% SPANDEX 300 GM/M2 VELOUR"/>
    <s v="KNIT"/>
    <s v="6103.43.1550"/>
    <n v="100"/>
    <n v="19.039499999999997"/>
    <n v="13.5"/>
    <n v="0.28199999999999997"/>
    <n v="3.8069999999999995"/>
    <n v="7.4999999999999997E-2"/>
    <n v="1.0125"/>
    <n v="7.0000000000000007E-2"/>
    <n v="0.23"/>
    <n v="0.49"/>
    <n v="250"/>
    <n v="300"/>
    <n v="50"/>
    <m/>
    <m/>
    <m/>
    <m/>
    <n v="600"/>
    <n v="25000"/>
    <n v="35000"/>
    <n v="60000"/>
    <n v="4759.8749999999991"/>
    <n v="6663.8249999999989"/>
    <n v="11423.699999999997"/>
  </r>
  <r>
    <x v="4"/>
    <s v="PORTA ASIATACA"/>
    <s v="CHINA"/>
    <s v="STF23M50644"/>
    <m/>
    <s v="93% POLYESTER/7% SPANDEX 300 GM/M2 VELOUR"/>
    <s v="KNIT"/>
    <s v="6112.12.0010"/>
    <n v="160"/>
    <n v="29.895499999999998"/>
    <n v="21.5"/>
    <n v="0.28199999999999997"/>
    <n v="6.0629999999999997"/>
    <n v="7.4999999999999997E-2"/>
    <n v="1.6125"/>
    <n v="7.0000000000000007E-2"/>
    <n v="0.23"/>
    <n v="0.49"/>
    <n v="200"/>
    <n v="200"/>
    <n v="70"/>
    <m/>
    <m/>
    <n v="39"/>
    <m/>
    <n v="509"/>
    <n v="32000"/>
    <n v="49440"/>
    <n v="81440"/>
    <n v="5979.0999999999995"/>
    <n v="8910.2849999999999"/>
    <n v="14889.384999999998"/>
  </r>
  <r>
    <x v="5"/>
    <s v="PORTA ASIATACA"/>
    <s v="CHINA"/>
    <s v="STF23M50645"/>
    <m/>
    <s v="93% POLYESTER/7% SPANDEX 300 GM/M2 VELOUR"/>
    <s v="KNIT"/>
    <s v="6112.12.0050"/>
    <n v="125"/>
    <n v="23.110499999999998"/>
    <n v="16.5"/>
    <n v="0.28199999999999997"/>
    <n v="4.6529999999999996"/>
    <n v="7.4999999999999997E-2"/>
    <n v="1.2375"/>
    <n v="7.0000000000000007E-2"/>
    <n v="0.23"/>
    <n v="0.49"/>
    <n v="200"/>
    <n v="200"/>
    <n v="50"/>
    <m/>
    <m/>
    <n v="31"/>
    <m/>
    <n v="481"/>
    <n v="25000"/>
    <n v="35125"/>
    <n v="60125"/>
    <n v="4622.0999999999995"/>
    <n v="6289.125"/>
    <n v="10911.224999999999"/>
  </r>
  <r>
    <x v="3"/>
    <s v="PORTA ASIATACA"/>
    <s v="CHINA"/>
    <s v="STS24M50808"/>
    <m/>
    <s v="93% POLYESTER/7% SPANDEX 300 GM/M2 VELOUR"/>
    <s v="KNIT"/>
    <s v="6105.10.0010"/>
    <n v="98"/>
    <n v="18.855"/>
    <n v="13"/>
    <n v="0.32"/>
    <n v="4.16"/>
    <n v="7.4999999999999997E-2"/>
    <n v="0.97499999999999998"/>
    <n v="7.0000000000000007E-2"/>
    <n v="0.23"/>
    <n v="0.49"/>
    <n v="250"/>
    <n v="240"/>
    <m/>
    <m/>
    <m/>
    <n v="25"/>
    <m/>
    <n v="515"/>
    <n v="24500"/>
    <n v="25970"/>
    <n v="50470"/>
    <n v="4713.75"/>
    <n v="4850.2"/>
    <n v="9563.9500000000007"/>
  </r>
  <r>
    <x v="1"/>
    <s v="PORTA ASIATACA"/>
    <s v="CHINA"/>
    <s v="STS24M50809"/>
    <m/>
    <s v="93% POLYESTER/7% SPANDEX 300 GM/M2 VELOUR"/>
    <s v="KNIT"/>
    <s v="6103.43.1550"/>
    <n v="100"/>
    <n v="19.039499999999997"/>
    <n v="13.5"/>
    <n v="0.28199999999999997"/>
    <n v="3.8069999999999995"/>
    <n v="7.4999999999999997E-2"/>
    <n v="1.0125"/>
    <n v="7.0000000000000007E-2"/>
    <n v="0.23"/>
    <n v="0.49"/>
    <n v="250"/>
    <n v="240"/>
    <m/>
    <m/>
    <m/>
    <n v="25"/>
    <m/>
    <n v="515"/>
    <n v="25000"/>
    <n v="26500"/>
    <n v="51500"/>
    <n v="4759.8749999999991"/>
    <n v="4906.9799999999996"/>
    <n v="9666.8549999999996"/>
  </r>
  <r>
    <x v="6"/>
    <s v="PORTA ASIATACA"/>
    <s v="CHINA"/>
    <s v="STS24M50846"/>
    <m/>
    <s v="93% POLYESTER/7% SPANDEX 300 GM/M2 VELOUR"/>
    <s v="KNIT"/>
    <m/>
    <m/>
    <n v="52.014599999999994"/>
    <n v="37.799999999999997"/>
    <n v="0.28199999999999997"/>
    <n v="10.659599999999998"/>
    <n v="7.4999999999999997E-2"/>
    <n v="2.8349999999999995"/>
    <n v="7.0000000000000007E-2"/>
    <n v="0.23"/>
    <n v="0.49"/>
    <m/>
    <m/>
    <m/>
    <m/>
    <m/>
    <n v="12"/>
    <m/>
    <n v="12"/>
    <n v="0"/>
    <n v="0"/>
    <n v="0"/>
    <n v="0"/>
    <n v="453.59999999999997"/>
    <n v="453.59999999999997"/>
  </r>
  <r>
    <x v="6"/>
    <s v="PORTA ASIATACA"/>
    <s v="CHINA"/>
    <s v="STS24M50846"/>
    <m/>
    <s v="93% POLYESTER/7% SPANDEX 300 GM/M2 VELOUR"/>
    <s v="KNIT"/>
    <m/>
    <m/>
    <n v="52.014599999999994"/>
    <n v="37.799999999999997"/>
    <n v="0.28199999999999997"/>
    <n v="10.659599999999998"/>
    <n v="7.4999999999999997E-2"/>
    <n v="2.8349999999999995"/>
    <n v="7.0000000000000007E-2"/>
    <n v="0.23"/>
    <n v="0.49"/>
    <m/>
    <m/>
    <m/>
    <m/>
    <m/>
    <n v="56"/>
    <m/>
    <n v="56"/>
    <n v="0"/>
    <n v="0"/>
    <n v="0"/>
    <n v="0"/>
    <n v="2116.7999999999997"/>
    <n v="2116.7999999999997"/>
  </r>
  <r>
    <x v="8"/>
    <s v="PORTA ASIATACA"/>
    <s v="CHINA"/>
    <s v="STS24M51029"/>
    <m/>
    <s v="95% POLYESTER/5% SPANDEX INTERLOCK 300 GM/M2"/>
    <s v="KNIT"/>
    <s v="6112.12.0010"/>
    <n v="160"/>
    <n v="31.931000000000001"/>
    <n v="23"/>
    <n v="0.28199999999999997"/>
    <n v="6.4859999999999998"/>
    <n v="7.4999999999999997E-2"/>
    <n v="1.7249999999999999"/>
    <n v="7.0000000000000007E-2"/>
    <n v="0.23"/>
    <n v="0.49"/>
    <n v="300"/>
    <m/>
    <m/>
    <m/>
    <m/>
    <m/>
    <m/>
    <n v="300"/>
    <n v="48000"/>
    <n v="0"/>
    <n v="48000"/>
    <n v="9579.3000000000011"/>
    <n v="0"/>
    <n v="9579.3000000000011"/>
  </r>
  <r>
    <x v="8"/>
    <s v="PORTA ASIATACA"/>
    <s v="CHINA"/>
    <s v="STS24M51029"/>
    <m/>
    <s v="95% POLYESTER/5% SPANDEX INTERLOCK 300 GM/M2"/>
    <s v="KNIT"/>
    <s v="6112.12.0010"/>
    <n v="160"/>
    <n v="31.931000000000001"/>
    <n v="23"/>
    <n v="0.28199999999999997"/>
    <n v="6.4859999999999998"/>
    <n v="7.4999999999999997E-2"/>
    <n v="1.7249999999999999"/>
    <n v="7.0000000000000007E-2"/>
    <n v="0.23"/>
    <n v="0.49"/>
    <n v="300"/>
    <m/>
    <m/>
    <m/>
    <m/>
    <m/>
    <m/>
    <n v="300"/>
    <n v="48000"/>
    <n v="0"/>
    <n v="48000"/>
    <n v="9579.3000000000011"/>
    <n v="0"/>
    <n v="9579.3000000000011"/>
  </r>
  <r>
    <x v="9"/>
    <s v="PORTA ASIATACA"/>
    <s v="CHINA"/>
    <s v="STS24X51033"/>
    <m/>
    <s v="100% NYLON   "/>
    <s v="WOVEN"/>
    <s v="6505.00.8090"/>
    <n v="48"/>
    <n v="11.262500000000001"/>
    <n v="7.75"/>
    <n v="7.0000000000000007E-2"/>
    <n v="0.54250000000000009"/>
    <n v="0.25"/>
    <n v="1.9375"/>
    <n v="7.0000000000000007E-2"/>
    <n v="0.54250000000000009"/>
    <n v="0.49"/>
    <n v="150"/>
    <n v="100"/>
    <m/>
    <m/>
    <m/>
    <m/>
    <m/>
    <n v="250"/>
    <n v="7200"/>
    <n v="4800"/>
    <n v="12000"/>
    <n v="1689.3750000000002"/>
    <n v="1126.25"/>
    <n v="2815.625"/>
  </r>
  <r>
    <x v="9"/>
    <s v="PORTA ASIATACA"/>
    <s v="CHINA"/>
    <s v="STS24X51033"/>
    <m/>
    <s v="100% NYLON   "/>
    <s v="WOVEN"/>
    <s v="6505.00.8090"/>
    <n v="48"/>
    <n v="11.262500000000001"/>
    <n v="7.75"/>
    <n v="7.0000000000000007E-2"/>
    <n v="0.54250000000000009"/>
    <n v="0.25"/>
    <n v="1.9375"/>
    <n v="7.0000000000000007E-2"/>
    <n v="0.54250000000000009"/>
    <n v="0.49"/>
    <n v="150"/>
    <n v="100"/>
    <m/>
    <m/>
    <m/>
    <m/>
    <m/>
    <n v="250"/>
    <n v="7200"/>
    <n v="4800"/>
    <n v="12000"/>
    <n v="1689.3750000000002"/>
    <n v="1126.25"/>
    <n v="2815.625"/>
  </r>
  <r>
    <x v="9"/>
    <s v="PORTA ASIATACA"/>
    <s v="CHINA"/>
    <s v="STS24X51033"/>
    <m/>
    <s v="100% NYLON   "/>
    <s v="WOVEN"/>
    <s v="6505.00.8090"/>
    <n v="48"/>
    <n v="11.262500000000001"/>
    <n v="7.75"/>
    <n v="7.0000000000000007E-2"/>
    <n v="0.54250000000000009"/>
    <n v="0.25"/>
    <n v="1.9375"/>
    <n v="7.0000000000000007E-2"/>
    <n v="0.54250000000000009"/>
    <n v="0.49"/>
    <n v="150"/>
    <n v="100"/>
    <m/>
    <m/>
    <m/>
    <m/>
    <m/>
    <n v="250"/>
    <n v="7200"/>
    <n v="4800"/>
    <n v="12000"/>
    <n v="1689.3750000000002"/>
    <n v="1126.25"/>
    <n v="2815.625"/>
  </r>
  <r>
    <x v="9"/>
    <s v="PORTA ASIATACA"/>
    <s v="CHINA"/>
    <s v="STS24X51033"/>
    <m/>
    <s v="100% NYLON   "/>
    <s v="WOVEN"/>
    <s v="6505.00.8090"/>
    <n v="48"/>
    <n v="11.262500000000001"/>
    <n v="7.75"/>
    <n v="7.0000000000000007E-2"/>
    <n v="0.54250000000000009"/>
    <n v="0.25"/>
    <n v="1.9375"/>
    <n v="7.0000000000000007E-2"/>
    <n v="0.54250000000000009"/>
    <n v="0.49"/>
    <n v="150"/>
    <n v="100"/>
    <m/>
    <m/>
    <m/>
    <m/>
    <m/>
    <n v="250"/>
    <n v="7200"/>
    <n v="4800"/>
    <n v="12000"/>
    <n v="1689.3750000000002"/>
    <n v="1126.25"/>
    <n v="2815.625"/>
  </r>
  <r>
    <x v="10"/>
    <s v="PORTA ASIATACA"/>
    <s v="CHINA"/>
    <s v="STS24M50855"/>
    <m/>
    <s v="62% VISCOSE/38% POLYESTER 14GG*2 ENDS"/>
    <s v="SWEATER S-3XL"/>
    <s v="6110.30.3010"/>
    <n v="250"/>
    <n v="69.125"/>
    <n v="49"/>
    <n v="0.32"/>
    <n v="15.68"/>
    <n v="7.4999999999999997E-2"/>
    <n v="3.6749999999999998"/>
    <n v="7.0000000000000007E-2"/>
    <n v="0.28000000000000003"/>
    <n v="0.49"/>
    <n v="86"/>
    <n v="175"/>
    <m/>
    <m/>
    <m/>
    <m/>
    <m/>
    <n v="261"/>
    <n v="21500"/>
    <n v="43750"/>
    <n v="65250"/>
    <n v="5944.75"/>
    <n v="12096.875"/>
    <n v="18041.625"/>
  </r>
  <r>
    <x v="10"/>
    <s v="PORTA ASIATACA"/>
    <s v="CHINA"/>
    <s v="STS24M50835"/>
    <m/>
    <s v="62% VISCOSE/38% POLYESTER 14GG*2 ENDS"/>
    <s v="SWEATER S-3XL"/>
    <s v="6103.49.1020"/>
    <n v="225"/>
    <n v="62.613500000000009"/>
    <n v="45.5"/>
    <n v="0.28199999999999997"/>
    <n v="12.831"/>
    <n v="7.4999999999999997E-2"/>
    <n v="3.4125000000000001"/>
    <n v="7.0000000000000007E-2"/>
    <n v="0.38"/>
    <n v="0.49"/>
    <n v="86"/>
    <n v="175"/>
    <m/>
    <m/>
    <m/>
    <m/>
    <m/>
    <n v="261"/>
    <n v="19350"/>
    <n v="39375"/>
    <n v="58725"/>
    <n v="5384.7610000000004"/>
    <n v="10957.362500000001"/>
    <n v="16342.123500000002"/>
  </r>
  <r>
    <x v="10"/>
    <s v="PORTA ASIATACA"/>
    <s v="CHINA"/>
    <s v="STS24M50855"/>
    <m/>
    <s v="62% VISCOSE/38% POLYESTER 14GG*2 ENDS"/>
    <s v="SWEATER S-3XL"/>
    <s v="6110.30.3010"/>
    <n v="250"/>
    <n v="69.125"/>
    <n v="49"/>
    <n v="0.32"/>
    <n v="15.68"/>
    <n v="7.4999999999999997E-2"/>
    <n v="3.6749999999999998"/>
    <n v="7.0000000000000007E-2"/>
    <n v="0.28000000000000003"/>
    <n v="0.49"/>
    <n v="86"/>
    <n v="175"/>
    <m/>
    <m/>
    <m/>
    <m/>
    <m/>
    <n v="261"/>
    <n v="21500"/>
    <n v="43750"/>
    <n v="65250"/>
    <n v="5944.75"/>
    <n v="12096.875"/>
    <n v="18041.625"/>
  </r>
  <r>
    <x v="10"/>
    <s v="PORTA ASIATACA"/>
    <s v="CHINA"/>
    <s v="STS24M50835"/>
    <m/>
    <s v="62% VISCOSE/38% POLYESTER 14GG*2 ENDS"/>
    <s v="SWEATER S-3XL"/>
    <s v="6103.49.1020"/>
    <n v="225"/>
    <n v="62.613500000000009"/>
    <n v="45.5"/>
    <n v="0.28199999999999997"/>
    <n v="12.831"/>
    <n v="7.4999999999999997E-2"/>
    <n v="3.4125000000000001"/>
    <n v="7.0000000000000007E-2"/>
    <n v="0.38"/>
    <n v="0.49"/>
    <n v="86"/>
    <n v="175"/>
    <m/>
    <m/>
    <m/>
    <m/>
    <m/>
    <n v="261"/>
    <n v="19350"/>
    <n v="39375"/>
    <n v="58725"/>
    <n v="5384.7610000000004"/>
    <n v="10957.362500000001"/>
    <n v="16342.123500000002"/>
  </r>
  <r>
    <x v="11"/>
    <s v="HESRRO"/>
    <s v="CHINA"/>
    <s v="STS24M50760"/>
    <m/>
    <s v="100% LYOCELL 160 GM/M2"/>
    <s v="WOVEN"/>
    <s v="6205.30.2070"/>
    <n v="135"/>
    <n v="40.8215"/>
    <n v="29.5"/>
    <n v="0.28199999999999997"/>
    <n v="8.3189999999999991"/>
    <n v="7.4999999999999997E-2"/>
    <n v="2.2124999999999999"/>
    <n v="7.0000000000000007E-2"/>
    <n v="0.3"/>
    <n v="0.49"/>
    <n v="200"/>
    <n v="700"/>
    <m/>
    <m/>
    <m/>
    <m/>
    <m/>
    <n v="900"/>
    <n v="27000"/>
    <n v="94500"/>
    <n v="121500"/>
    <n v="8164.3"/>
    <n v="28575.05"/>
    <n v="36739.35"/>
  </r>
  <r>
    <x v="1"/>
    <s v="HESRRO"/>
    <s v="CHINA"/>
    <s v="STS24M50761"/>
    <m/>
    <s v="100% LYOCELL 160 GM/M2"/>
    <s v="WOVEN"/>
    <s v="6203.49.5045"/>
    <n v="135"/>
    <n v="34.572299999999998"/>
    <n v="24.95"/>
    <n v="0.27900000000000003"/>
    <n v="6.9610500000000002"/>
    <n v="7.4999999999999997E-2"/>
    <n v="1.8712499999999999"/>
    <n v="7.0000000000000007E-2"/>
    <n v="0.3"/>
    <n v="0.49"/>
    <n v="200"/>
    <n v="700"/>
    <m/>
    <m/>
    <m/>
    <m/>
    <m/>
    <n v="900"/>
    <n v="27000"/>
    <n v="94500"/>
    <n v="121500"/>
    <n v="6914.46"/>
    <n v="24200.61"/>
    <n v="31115.07"/>
  </r>
  <r>
    <x v="11"/>
    <s v="HESRRO"/>
    <s v="CHINA"/>
    <s v="STS24M50760"/>
    <m/>
    <s v="100% LYOCELL 160 GM/M2"/>
    <s v="WOVEN"/>
    <s v="6205.30.2070"/>
    <n v="135"/>
    <n v="25.188860000000002"/>
    <n v="17.98"/>
    <n v="0.28199999999999997"/>
    <n v="5.07036"/>
    <n v="7.4999999999999997E-2"/>
    <n v="1.3485"/>
    <n v="7.0000000000000007E-2"/>
    <n v="0.3"/>
    <n v="0.49"/>
    <n v="200"/>
    <n v="450"/>
    <m/>
    <m/>
    <m/>
    <n v="8"/>
    <m/>
    <n v="658"/>
    <n v="27000"/>
    <n v="61830"/>
    <n v="88830"/>
    <n v="5037.7719999999999"/>
    <n v="11478.827000000001"/>
    <n v="16516.599000000002"/>
  </r>
  <r>
    <x v="1"/>
    <s v="HESRRO"/>
    <s v="CHINA"/>
    <s v="STS24M50761"/>
    <m/>
    <s v="100% LYOCELL 160 GM/M2"/>
    <s v="WOVEN"/>
    <s v="6203.49.5045"/>
    <n v="135"/>
    <n v="17.715"/>
    <n v="12.5"/>
    <n v="0.27900000000000003"/>
    <n v="3.4875000000000003"/>
    <n v="7.4999999999999997E-2"/>
    <n v="0.9375"/>
    <n v="7.0000000000000007E-2"/>
    <n v="0.3"/>
    <n v="0.49"/>
    <n v="200"/>
    <n v="450"/>
    <m/>
    <m/>
    <m/>
    <n v="8"/>
    <m/>
    <n v="658"/>
    <n v="27000"/>
    <n v="61830"/>
    <n v="88830"/>
    <n v="3543"/>
    <n v="8071.75"/>
    <n v="11614.75"/>
  </r>
  <r>
    <x v="4"/>
    <s v="PORTA ASIATACA"/>
    <s v="CHINA"/>
    <s v="STS24M50773"/>
    <m/>
    <s v="92% POLYESTER/8% SPANDEX INTERLOCK 300 GM/M2"/>
    <s v="KNIT"/>
    <s v="6112.12.0010"/>
    <n v="160"/>
    <n v="32.609499999999997"/>
    <n v="23.5"/>
    <n v="0.28199999999999997"/>
    <n v="6.6269999999999998"/>
    <n v="7.4999999999999997E-2"/>
    <n v="1.7625"/>
    <n v="7.0000000000000007E-2"/>
    <n v="0.23"/>
    <n v="0.49"/>
    <n v="300"/>
    <n v="150"/>
    <m/>
    <m/>
    <m/>
    <m/>
    <m/>
    <n v="450"/>
    <n v="48000"/>
    <n v="24000"/>
    <n v="72000"/>
    <n v="9782.8499999999985"/>
    <n v="4891.4249999999993"/>
    <n v="14674.274999999998"/>
  </r>
  <r>
    <x v="5"/>
    <s v="PORTA ASIATACA"/>
    <s v="CHINA"/>
    <s v="STS24M50774"/>
    <m/>
    <s v="92% POLYESTER/8% SPANDEX INTERLOCK 300 GM/M2"/>
    <s v="KNIT"/>
    <s v="6112.12.0050"/>
    <n v="135"/>
    <n v="26.503"/>
    <n v="19"/>
    <n v="0.28199999999999997"/>
    <n v="5.3579999999999997"/>
    <n v="7.4999999999999997E-2"/>
    <n v="1.425"/>
    <n v="7.0000000000000007E-2"/>
    <n v="0.23"/>
    <n v="0.49"/>
    <n v="300"/>
    <n v="150"/>
    <m/>
    <m/>
    <m/>
    <m/>
    <m/>
    <n v="450"/>
    <n v="40500"/>
    <n v="20250"/>
    <n v="60750"/>
    <n v="7950.9"/>
    <n v="3975.45"/>
    <n v="11926.349999999999"/>
  </r>
  <r>
    <x v="0"/>
    <s v="SARA"/>
    <s v="BANGLADESH"/>
    <s v="STS24M50772"/>
    <m/>
    <s v="100% COTTON JERSEY 180 GM/M2"/>
    <s v="KNIT"/>
    <s v="6109.10.0012"/>
    <n v="68"/>
    <n v="10.659000000000001"/>
    <n v="8.6"/>
    <n v="0.16500000000000001"/>
    <n v="1.419"/>
    <m/>
    <m/>
    <n v="7.0000000000000007E-2"/>
    <n v="0.15"/>
    <n v="0.49"/>
    <n v="250"/>
    <m/>
    <m/>
    <m/>
    <m/>
    <m/>
    <m/>
    <n v="250"/>
    <n v="17000"/>
    <n v="0"/>
    <n v="17000"/>
    <n v="2664.75"/>
    <n v="0"/>
    <n v="2664.75"/>
  </r>
  <r>
    <x v="1"/>
    <s v="PORTA ASIATACA"/>
    <s v="CHINA"/>
    <s v="STS24M50775"/>
    <m/>
    <s v="92% POLYESTER/8% SPANDEX INTERLOCK 300 GM/M2"/>
    <s v="KNIT"/>
    <s v="6103.43.1550"/>
    <n v="100"/>
    <n v="23.110499999999998"/>
    <n v="16.5"/>
    <n v="0.28199999999999997"/>
    <n v="4.6529999999999996"/>
    <n v="7.4999999999999997E-2"/>
    <n v="1.2375"/>
    <n v="7.0000000000000007E-2"/>
    <n v="0.23"/>
    <n v="0.49"/>
    <n v="250"/>
    <n v="300"/>
    <m/>
    <m/>
    <m/>
    <m/>
    <m/>
    <n v="550"/>
    <n v="25000"/>
    <n v="30000"/>
    <n v="55000"/>
    <n v="5777.625"/>
    <n v="6933.15"/>
    <n v="12710.775"/>
  </r>
  <r>
    <x v="4"/>
    <s v="PORTA ASIATACA"/>
    <s v="CHINA"/>
    <s v="STS24M50773"/>
    <m/>
    <s v="92% POLYESTER/8% SPANDEX INTERLOCK 300 GM/M2"/>
    <s v="KNIT"/>
    <s v="6112.12.0010"/>
    <n v="160"/>
    <n v="32.609499999999997"/>
    <n v="23.5"/>
    <n v="0.28199999999999997"/>
    <n v="6.6269999999999998"/>
    <n v="7.4999999999999997E-2"/>
    <n v="1.7625"/>
    <n v="7.0000000000000007E-2"/>
    <n v="0.23"/>
    <n v="0.49"/>
    <n v="350"/>
    <n v="150"/>
    <m/>
    <m/>
    <m/>
    <m/>
    <m/>
    <n v="500"/>
    <n v="56000"/>
    <n v="24000"/>
    <n v="80000"/>
    <n v="11413.324999999999"/>
    <n v="4891.4249999999993"/>
    <n v="16304.749999999998"/>
  </r>
  <r>
    <x v="5"/>
    <s v="PORTA ASIATACA"/>
    <s v="CHINA"/>
    <s v="STS24M50774"/>
    <m/>
    <s v="92% POLYESTER/8% SPANDEX INTERLOCK 300 GM/M2"/>
    <s v="KNIT"/>
    <s v="6112.12.0050"/>
    <n v="135"/>
    <n v="26.503"/>
    <n v="19"/>
    <n v="0.28199999999999997"/>
    <n v="5.3579999999999997"/>
    <n v="7.4999999999999997E-2"/>
    <n v="1.425"/>
    <n v="7.0000000000000007E-2"/>
    <n v="0.23"/>
    <n v="0.49"/>
    <n v="350"/>
    <n v="150"/>
    <m/>
    <m/>
    <m/>
    <m/>
    <m/>
    <n v="500"/>
    <n v="47250"/>
    <n v="20250"/>
    <n v="67500"/>
    <n v="9276.0499999999993"/>
    <n v="3975.45"/>
    <n v="13251.5"/>
  </r>
  <r>
    <x v="0"/>
    <s v="SARA"/>
    <s v="BANGLADESH"/>
    <s v="STS24M50772"/>
    <m/>
    <s v="100% COTTON JERSEY 180 GM/M2"/>
    <s v="KNIT"/>
    <s v="6109.10.0012"/>
    <n v="68"/>
    <n v="10.659000000000001"/>
    <n v="8.6"/>
    <n v="0.16500000000000001"/>
    <n v="1.419"/>
    <m/>
    <m/>
    <n v="7.0000000000000007E-2"/>
    <n v="0.15"/>
    <n v="0.49"/>
    <n v="250"/>
    <m/>
    <m/>
    <m/>
    <m/>
    <m/>
    <m/>
    <n v="250"/>
    <n v="17000"/>
    <n v="0"/>
    <n v="17000"/>
    <n v="2664.75"/>
    <n v="0"/>
    <n v="2664.75"/>
  </r>
  <r>
    <x v="1"/>
    <s v="PORTA ASIATACA"/>
    <s v="CHINA"/>
    <s v="STS24M50775"/>
    <m/>
    <s v="92% POLYESTER/8% SPANDEX INTERLOCK 300 GM/M2"/>
    <s v="KNIT"/>
    <s v="6103.43.1550"/>
    <n v="100"/>
    <n v="23.110499999999998"/>
    <n v="16.5"/>
    <n v="0.28199999999999997"/>
    <n v="4.6529999999999996"/>
    <n v="7.4999999999999997E-2"/>
    <n v="1.2375"/>
    <n v="7.0000000000000007E-2"/>
    <n v="0.23"/>
    <n v="0.49"/>
    <n v="250"/>
    <n v="240"/>
    <m/>
    <m/>
    <m/>
    <m/>
    <m/>
    <n v="490"/>
    <n v="25000"/>
    <n v="24000"/>
    <n v="49000"/>
    <n v="5777.625"/>
    <n v="5546.5199999999995"/>
    <n v="11324.145"/>
  </r>
  <r>
    <x v="0"/>
    <s v="SARA"/>
    <s v="BANGLADESH"/>
    <s v="STS24M50819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n v="300"/>
    <n v="700"/>
    <m/>
    <m/>
    <n v="20"/>
    <n v="15"/>
    <m/>
    <n v="1035"/>
    <n v="16200"/>
    <n v="39690"/>
    <n v="55890"/>
    <n v="2096.7750000000005"/>
    <n v="5083.2250000000004"/>
    <n v="7180.0000000000009"/>
  </r>
  <r>
    <x v="0"/>
    <s v="SARA"/>
    <s v="BANGLADESH"/>
    <s v="STS24M50819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m/>
    <n v="938"/>
    <m/>
    <m/>
    <m/>
    <m/>
    <m/>
    <n v="938"/>
    <n v="0"/>
    <n v="50652"/>
    <n v="50652"/>
    <n v="0"/>
    <n v="6555.9165000000012"/>
    <n v="6555.9165000000012"/>
  </r>
  <r>
    <x v="0"/>
    <s v="SARA"/>
    <s v="BANGLADESH"/>
    <s v="STS24M50819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n v="300"/>
    <n v="700"/>
    <m/>
    <m/>
    <n v="35"/>
    <n v="115"/>
    <m/>
    <n v="1150"/>
    <n v="16200"/>
    <n v="45900"/>
    <n v="62100"/>
    <n v="2096.7750000000005"/>
    <n v="5709.9750000000004"/>
    <n v="7806.7500000000009"/>
  </r>
  <r>
    <x v="0"/>
    <s v="SARA"/>
    <s v="BANGLADESH"/>
    <s v="STS24M50819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n v="300"/>
    <n v="700"/>
    <m/>
    <m/>
    <n v="40"/>
    <n v="100"/>
    <m/>
    <n v="1140"/>
    <n v="16200"/>
    <n v="45360"/>
    <n v="61560"/>
    <n v="2096.7750000000005"/>
    <n v="5655.4750000000004"/>
    <n v="7752.2500000000009"/>
  </r>
  <r>
    <x v="4"/>
    <s v="HESRRO"/>
    <s v="CHINA"/>
    <s v="STS24M50861"/>
    <m/>
    <s v="100% CRINKLE NYLON 86 GM/M2"/>
    <s v="WOVEN"/>
    <s v="6201.40.7511"/>
    <n v="175"/>
    <n v="30.779699999999998"/>
    <n v="22.1"/>
    <n v="0.28199999999999997"/>
    <n v="6.2321999999999997"/>
    <n v="7.4999999999999997E-2"/>
    <n v="1.6575"/>
    <n v="7.0000000000000007E-2"/>
    <n v="0.3"/>
    <n v="0.49"/>
    <n v="250"/>
    <n v="250"/>
    <m/>
    <m/>
    <m/>
    <n v="14"/>
    <m/>
    <n v="514"/>
    <n v="43750"/>
    <n v="46200"/>
    <n v="89950"/>
    <n v="7694.9249999999993"/>
    <n v="8004.3249999999989"/>
    <n v="15699.249999999998"/>
  </r>
  <r>
    <x v="5"/>
    <s v="HESRRO"/>
    <s v="CHINA"/>
    <s v="STS24M50860"/>
    <m/>
    <s v="100% CRINKLE NYLON 86 GM/M2"/>
    <s v="WOVEN"/>
    <s v="6203.43.9010"/>
    <n v="110"/>
    <n v="14.360000000000001"/>
    <n v="10"/>
    <n v="0.28199999999999997"/>
    <n v="2.82"/>
    <n v="7.4999999999999997E-2"/>
    <n v="0.75"/>
    <n v="7.0000000000000007E-2"/>
    <n v="0.3"/>
    <n v="0.49"/>
    <n v="250"/>
    <n v="250"/>
    <m/>
    <m/>
    <m/>
    <m/>
    <m/>
    <n v="500"/>
    <n v="27500"/>
    <n v="27500"/>
    <n v="55000"/>
    <n v="3590.0000000000005"/>
    <n v="3590.0000000000005"/>
    <n v="7180.0000000000009"/>
  </r>
  <r>
    <x v="6"/>
    <s v="HESRRO"/>
    <s v="CHINA"/>
    <s v="STS24M50905"/>
    <m/>
    <s v="100% CRINKLE NYLON 86 GM/M2"/>
    <s v="WOVEN"/>
    <m/>
    <m/>
    <n v="45.435299999999998"/>
    <n v="32.9"/>
    <n v="0.28199999999999997"/>
    <n v="9.2777999999999992"/>
    <n v="7.4999999999999997E-2"/>
    <n v="2.4674999999999998"/>
    <n v="7.0000000000000007E-2"/>
    <n v="0.3"/>
    <n v="0.49"/>
    <m/>
    <m/>
    <m/>
    <m/>
    <m/>
    <n v="14"/>
    <m/>
    <n v="14"/>
    <n v="0"/>
    <n v="0"/>
    <n v="0"/>
    <n v="0"/>
    <n v="460.59999999999997"/>
    <n v="460.59999999999997"/>
  </r>
  <r>
    <x v="11"/>
    <s v="HESRRO"/>
    <s v="CHINA"/>
    <s v="STS24M50850"/>
    <m/>
    <s v="100% POLYESTER 90 GM/M2"/>
    <s v="WOVEN"/>
    <s v="6205.30.2050"/>
    <n v="135"/>
    <n v="31.729600000000001"/>
    <n v="22.8"/>
    <n v="0.28199999999999997"/>
    <n v="6.4295999999999998"/>
    <n v="7.4999999999999997E-2"/>
    <n v="1.71"/>
    <n v="7.0000000000000007E-2"/>
    <n v="0.3"/>
    <n v="0.49"/>
    <n v="390"/>
    <n v="550"/>
    <m/>
    <m/>
    <m/>
    <m/>
    <m/>
    <n v="940"/>
    <n v="52650"/>
    <n v="74250"/>
    <n v="126900"/>
    <n v="12374.544"/>
    <n v="17451.280000000002"/>
    <n v="29825.824000000001"/>
  </r>
  <r>
    <x v="1"/>
    <s v="HESRRO"/>
    <s v="CHINA"/>
    <s v="STS24M50851"/>
    <m/>
    <s v="100% POLYESTER 90 GM/M2"/>
    <s v="WOVEN"/>
    <s v="6203.43.9030"/>
    <n v="135"/>
    <n v="25.216000000000001"/>
    <n v="18"/>
    <n v="0.28199999999999997"/>
    <n v="5.0759999999999996"/>
    <n v="7.4999999999999997E-2"/>
    <n v="1.3499999999999999"/>
    <n v="7.0000000000000007E-2"/>
    <n v="0.3"/>
    <n v="0.49"/>
    <n v="410"/>
    <n v="550"/>
    <m/>
    <m/>
    <m/>
    <m/>
    <m/>
    <n v="960"/>
    <n v="55350"/>
    <n v="74250"/>
    <n v="129600"/>
    <n v="10338.560000000001"/>
    <n v="13868.800000000001"/>
    <n v="24207.360000000001"/>
  </r>
  <r>
    <x v="4"/>
    <s v="PORTA ASIATACA"/>
    <s v="CHINA"/>
    <s v="STS24M50820"/>
    <m/>
    <s v="90% POLYESTER/10% SPANDEX MESH 180 GM/M2"/>
    <s v="KNIT"/>
    <s v="6112.12.0010"/>
    <n v="135"/>
    <n v="26.16375"/>
    <n v="18.75"/>
    <n v="0.28199999999999997"/>
    <n v="5.2874999999999996"/>
    <n v="7.4999999999999997E-2"/>
    <n v="1.40625"/>
    <n v="7.0000000000000007E-2"/>
    <n v="0.23"/>
    <n v="0.49"/>
    <n v="350"/>
    <m/>
    <m/>
    <m/>
    <m/>
    <m/>
    <m/>
    <n v="350"/>
    <n v="47250"/>
    <n v="0"/>
    <n v="47250"/>
    <n v="9157.3125"/>
    <n v="0"/>
    <n v="9157.3125"/>
  </r>
  <r>
    <x v="5"/>
    <s v="PORTA ASIATACA"/>
    <s v="CHINA"/>
    <s v="STS24M50821"/>
    <m/>
    <s v="90% POLYESTER/10% SPANDEX MESH 180 GM/M2"/>
    <s v="KNIT"/>
    <s v="6112.12.0050"/>
    <n v="110"/>
    <n v="21.007149999999999"/>
    <n v="14.95"/>
    <n v="0.28199999999999997"/>
    <n v="4.2158999999999995"/>
    <n v="7.4999999999999997E-2"/>
    <n v="1.1212499999999999"/>
    <n v="7.0000000000000007E-2"/>
    <n v="0.23"/>
    <n v="0.49"/>
    <n v="350"/>
    <m/>
    <m/>
    <m/>
    <m/>
    <m/>
    <m/>
    <n v="350"/>
    <n v="38500"/>
    <n v="0"/>
    <n v="38500"/>
    <n v="7352.5024999999996"/>
    <n v="0"/>
    <n v="7352.5024999999996"/>
  </r>
  <r>
    <x v="4"/>
    <s v="PORTA ASIATACA"/>
    <s v="CHINA"/>
    <s v="STS24M50820"/>
    <m/>
    <s v="90% POLYESTER/10% SPANDEX MESH 180 GM/M2"/>
    <s v="KNIT"/>
    <s v="6112.12.0010"/>
    <n v="135"/>
    <n v="26.16375"/>
    <n v="18.75"/>
    <n v="0.28199999999999997"/>
    <n v="5.2874999999999996"/>
    <n v="7.4999999999999997E-2"/>
    <n v="1.40625"/>
    <n v="7.0000000000000007E-2"/>
    <n v="0.23"/>
    <n v="0.49"/>
    <n v="400"/>
    <m/>
    <m/>
    <m/>
    <m/>
    <m/>
    <m/>
    <n v="400"/>
    <n v="54000"/>
    <n v="0"/>
    <n v="54000"/>
    <n v="10465.5"/>
    <n v="0"/>
    <n v="10465.5"/>
  </r>
  <r>
    <x v="5"/>
    <s v="PORTA ASIATACA"/>
    <s v="CHINA"/>
    <s v="STS24M50821"/>
    <m/>
    <s v="90% POLYESTER/10% SPANDEX MESH 180 GM/M2"/>
    <s v="KNIT"/>
    <s v="6112.12.0050"/>
    <n v="110"/>
    <n v="21.007149999999999"/>
    <n v="14.95"/>
    <n v="0.28199999999999997"/>
    <n v="4.2158999999999995"/>
    <n v="7.4999999999999997E-2"/>
    <n v="1.1212499999999999"/>
    <n v="7.0000000000000007E-2"/>
    <n v="0.23"/>
    <n v="0.49"/>
    <n v="400"/>
    <m/>
    <m/>
    <m/>
    <m/>
    <m/>
    <m/>
    <n v="400"/>
    <n v="44000"/>
    <n v="0"/>
    <n v="44000"/>
    <n v="8402.86"/>
    <n v="0"/>
    <n v="8402.86"/>
  </r>
  <r>
    <x v="0"/>
    <s v="SARA"/>
    <s v="BANGLADESH"/>
    <s v="STS24M51025"/>
    <m/>
    <s v="100% COTTON JERSEY 180 GM/M2"/>
    <s v="KNIT"/>
    <s v="6109.10.0012"/>
    <n v="48"/>
    <n v="8.9697500000000012"/>
    <n v="7.15"/>
    <n v="0.16500000000000001"/>
    <n v="1.1797500000000001"/>
    <m/>
    <m/>
    <n v="7.0000000000000007E-2"/>
    <n v="0.15"/>
    <n v="0.49"/>
    <n v="400"/>
    <n v="200"/>
    <m/>
    <m/>
    <m/>
    <m/>
    <m/>
    <n v="600"/>
    <n v="19200"/>
    <n v="9600"/>
    <n v="28800"/>
    <n v="3587.9000000000005"/>
    <n v="1793.9500000000003"/>
    <n v="5381.85"/>
  </r>
  <r>
    <x v="0"/>
    <s v="SARA"/>
    <s v="BANGLADESH"/>
    <s v="STS24M51025"/>
    <m/>
    <s v="100% COTTON JERSEY 180 GM/M2"/>
    <s v="KNIT"/>
    <s v="6109.10.0012"/>
    <n v="48"/>
    <n v="8.9697500000000012"/>
    <n v="7.15"/>
    <n v="0.16500000000000001"/>
    <n v="1.1797500000000001"/>
    <m/>
    <m/>
    <n v="7.0000000000000007E-2"/>
    <n v="0.15"/>
    <n v="0.49"/>
    <n v="300"/>
    <n v="200"/>
    <m/>
    <m/>
    <m/>
    <m/>
    <m/>
    <n v="500"/>
    <n v="14400"/>
    <n v="9600"/>
    <n v="24000"/>
    <n v="2690.9250000000002"/>
    <n v="1793.9500000000003"/>
    <n v="4484.875"/>
  </r>
  <r>
    <x v="0"/>
    <s v="SARA"/>
    <s v="BANGLADESH"/>
    <s v="STS24M51025"/>
    <m/>
    <s v="100% COTTON JERSEY 180 GM/M2"/>
    <s v="KNIT"/>
    <s v="6109.10.0012"/>
    <n v="48"/>
    <n v="8.9697500000000012"/>
    <n v="7.15"/>
    <n v="0.16500000000000001"/>
    <n v="1.1797500000000001"/>
    <m/>
    <m/>
    <n v="7.0000000000000007E-2"/>
    <n v="0.15"/>
    <n v="0.49"/>
    <n v="400"/>
    <n v="300"/>
    <m/>
    <m/>
    <m/>
    <m/>
    <m/>
    <n v="700"/>
    <n v="19200"/>
    <n v="14400"/>
    <n v="33600"/>
    <n v="3587.9000000000005"/>
    <n v="2690.9250000000002"/>
    <n v="6278.8250000000007"/>
  </r>
  <r>
    <x v="0"/>
    <s v="SARA"/>
    <s v="BANGLADESH"/>
    <s v="STS24M51025"/>
    <m/>
    <s v="100% COTTON JERSEY 180 GM/M2"/>
    <s v="KNIT"/>
    <s v="6109.10.0012"/>
    <n v="48"/>
    <n v="8.9697500000000012"/>
    <n v="7.15"/>
    <n v="0.16500000000000001"/>
    <n v="1.1797500000000001"/>
    <m/>
    <m/>
    <n v="7.0000000000000007E-2"/>
    <n v="0.15"/>
    <n v="0.49"/>
    <n v="300"/>
    <n v="360"/>
    <m/>
    <m/>
    <m/>
    <m/>
    <m/>
    <n v="660"/>
    <n v="14400"/>
    <n v="17280"/>
    <n v="31680"/>
    <n v="2690.9250000000002"/>
    <n v="3229.1100000000006"/>
    <n v="5920.0350000000008"/>
  </r>
  <r>
    <x v="1"/>
    <s v="PORTA ASIATACA"/>
    <s v="CHINA"/>
    <s v="STS24M50940"/>
    <m/>
    <s v="90% POLYESTER/10% SPANDEX MESH 180 GM/M2"/>
    <s v="KNIT"/>
    <s v="6103.43.1550"/>
    <n v="90"/>
    <n v="17.682499999999997"/>
    <n v="12.5"/>
    <n v="0.28199999999999997"/>
    <n v="3.5249999999999995"/>
    <n v="7.4999999999999997E-2"/>
    <n v="0.9375"/>
    <n v="7.0000000000000007E-2"/>
    <n v="0.23"/>
    <n v="0.49"/>
    <n v="300"/>
    <n v="300"/>
    <m/>
    <m/>
    <m/>
    <m/>
    <m/>
    <n v="600"/>
    <n v="27000"/>
    <n v="27000"/>
    <n v="54000"/>
    <n v="5304.7499999999991"/>
    <n v="5304.7499999999991"/>
    <n v="10609.499999999998"/>
  </r>
  <r>
    <x v="1"/>
    <s v="PORTA ASIATACA"/>
    <s v="CHINA"/>
    <s v="STS24M50940"/>
    <m/>
    <s v="90% POLYESTER/10% SPANDEX MESH 180 GM/M2"/>
    <s v="KNIT"/>
    <s v="6103.43.1550"/>
    <n v="90"/>
    <n v="17.682499999999997"/>
    <n v="12.5"/>
    <n v="0.28199999999999997"/>
    <n v="3.5249999999999995"/>
    <n v="7.4999999999999997E-2"/>
    <n v="0.9375"/>
    <n v="7.0000000000000007E-2"/>
    <n v="0.23"/>
    <n v="0.49"/>
    <n v="300"/>
    <n v="200"/>
    <m/>
    <m/>
    <m/>
    <m/>
    <m/>
    <n v="500"/>
    <n v="27000"/>
    <n v="18000"/>
    <n v="45000"/>
    <n v="5304.7499999999991"/>
    <n v="3536.4999999999995"/>
    <n v="8841.2499999999982"/>
  </r>
  <r>
    <x v="1"/>
    <s v="PORTA ASIATACA"/>
    <s v="CHINA"/>
    <s v="STS24M50940"/>
    <m/>
    <s v="90% POLYESTER/10% SPANDEX MESH 180 GM/M2"/>
    <s v="KNIT"/>
    <s v="6103.43.1550"/>
    <n v="90"/>
    <n v="17.682499999999997"/>
    <n v="12.5"/>
    <n v="0.28199999999999997"/>
    <n v="3.5249999999999995"/>
    <n v="7.4999999999999997E-2"/>
    <n v="0.9375"/>
    <n v="7.0000000000000007E-2"/>
    <n v="0.23"/>
    <n v="0.49"/>
    <n v="300"/>
    <n v="300"/>
    <m/>
    <m/>
    <m/>
    <m/>
    <m/>
    <n v="600"/>
    <n v="27000"/>
    <n v="27000"/>
    <n v="54000"/>
    <n v="5304.7499999999991"/>
    <n v="5304.7499999999991"/>
    <n v="10609.499999999998"/>
  </r>
  <r>
    <x v="1"/>
    <s v="PORTA ASIATACA"/>
    <s v="CHINA"/>
    <s v="STS24M50940"/>
    <m/>
    <s v="90% POLYESTER/10% SPANDEX MESH 180 GM/M2"/>
    <s v="KNIT"/>
    <s v="6103.43.1550"/>
    <n v="90"/>
    <n v="17.682499999999997"/>
    <n v="12.5"/>
    <n v="0.28199999999999997"/>
    <n v="3.5249999999999995"/>
    <n v="7.4999999999999997E-2"/>
    <n v="0.9375"/>
    <n v="7.0000000000000007E-2"/>
    <n v="0.23"/>
    <n v="0.49"/>
    <n v="300"/>
    <n v="360"/>
    <m/>
    <m/>
    <m/>
    <m/>
    <m/>
    <n v="660"/>
    <n v="27000"/>
    <n v="32400"/>
    <n v="59400"/>
    <n v="5304.7499999999991"/>
    <n v="6365.6999999999989"/>
    <n v="11670.449999999997"/>
  </r>
  <r>
    <x v="0"/>
    <s v="PORTA ASIATACA"/>
    <s v="CHINA"/>
    <s v="STS24M50837"/>
    <m/>
    <s v="90% POLYESTER/10% SPANDEX MESH 180 GM/M2"/>
    <s v="KNIT"/>
    <s v="6105.10.0010"/>
    <n v="98"/>
    <n v="19.552499999999998"/>
    <n v="13.5"/>
    <n v="0.32"/>
    <n v="4.32"/>
    <n v="7.4999999999999997E-2"/>
    <n v="1.0125"/>
    <n v="7.0000000000000007E-2"/>
    <n v="0.23"/>
    <n v="0.49"/>
    <n v="200"/>
    <n v="450"/>
    <m/>
    <m/>
    <m/>
    <m/>
    <m/>
    <n v="650"/>
    <n v="19600"/>
    <n v="44100"/>
    <n v="63700"/>
    <n v="3910.4999999999995"/>
    <n v="8798.625"/>
    <n v="12709.125"/>
  </r>
  <r>
    <x v="1"/>
    <s v="PORTA ASIATACA"/>
    <s v="CHINA"/>
    <s v="STS24M50841"/>
    <m/>
    <s v="90% POLYESTER/10% SPANDEX MESH 180 GM/M2"/>
    <s v="KNIT"/>
    <s v="6103.43.1550"/>
    <n v="100"/>
    <n v="19.378749999999997"/>
    <n v="13.75"/>
    <n v="0.28199999999999997"/>
    <n v="3.8774999999999995"/>
    <n v="7.4999999999999997E-2"/>
    <n v="1.03125"/>
    <n v="7.0000000000000007E-2"/>
    <n v="0.23"/>
    <n v="0.49"/>
    <n v="200"/>
    <n v="450"/>
    <m/>
    <m/>
    <m/>
    <m/>
    <m/>
    <n v="650"/>
    <n v="20000"/>
    <n v="45000"/>
    <n v="65000"/>
    <n v="3875.7499999999991"/>
    <n v="8720.4374999999982"/>
    <n v="12596.187499999996"/>
  </r>
  <r>
    <x v="10"/>
    <s v="PORTA ASIATACA"/>
    <s v="CHINA"/>
    <s v="STS24M50824"/>
    <m/>
    <s v="100% COTTON 2/40S, 14 GG*2 ENDS"/>
    <s v="SWEATER S-3XL"/>
    <s v="6110.20.2010"/>
    <n v="175"/>
    <n v="36.99"/>
    <n v="29.25"/>
    <n v="0.16500000000000001"/>
    <n v="4.8262499999999999"/>
    <n v="7.4999999999999997E-2"/>
    <n v="2.1937500000000001"/>
    <n v="7.0000000000000007E-2"/>
    <n v="0.23"/>
    <n v="0.49"/>
    <n v="200"/>
    <n v="250"/>
    <m/>
    <m/>
    <m/>
    <m/>
    <m/>
    <n v="450"/>
    <n v="35000"/>
    <n v="43750"/>
    <n v="78750"/>
    <n v="7398"/>
    <n v="9247.5"/>
    <n v="16645.5"/>
  </r>
  <r>
    <x v="10"/>
    <s v="PORTA ASIATACA"/>
    <s v="CHINA"/>
    <s v="STS24M50825"/>
    <m/>
    <s v="100% COTTON 2/40S, 14 GG*2 ENDS"/>
    <s v="SWEATER S-3XL"/>
    <s v="6103.42.1050"/>
    <n v="150"/>
    <n v="36.563999999999993"/>
    <n v="29"/>
    <n v="0.161"/>
    <n v="4.6690000000000005"/>
    <n v="7.4999999999999997E-2"/>
    <n v="2.1749999999999998"/>
    <n v="7.0000000000000007E-2"/>
    <n v="0.23"/>
    <n v="0.49"/>
    <n v="200"/>
    <n v="250"/>
    <m/>
    <m/>
    <m/>
    <m/>
    <m/>
    <n v="450"/>
    <n v="30000"/>
    <n v="37500"/>
    <n v="67500"/>
    <n v="7312.7999999999984"/>
    <n v="9140.9999999999982"/>
    <n v="16453.799999999996"/>
  </r>
  <r>
    <x v="10"/>
    <s v="PORTA ASIATACA"/>
    <s v="CHINA"/>
    <s v="STS24M50824"/>
    <m/>
    <s v="100% COTTON 2/40S, 14 GG*2 ENDS"/>
    <s v="SWEATER S-3XL"/>
    <s v="6110.20.2010"/>
    <n v="175"/>
    <n v="36.99"/>
    <n v="29.25"/>
    <n v="0.16500000000000001"/>
    <n v="4.8262499999999999"/>
    <n v="7.4999999999999997E-2"/>
    <n v="2.1937500000000001"/>
    <n v="7.0000000000000007E-2"/>
    <n v="0.23"/>
    <n v="0.49"/>
    <n v="200"/>
    <n v="480"/>
    <n v="60"/>
    <m/>
    <m/>
    <m/>
    <m/>
    <n v="740"/>
    <n v="35000"/>
    <n v="94500"/>
    <n v="129500"/>
    <n v="7398"/>
    <n v="19974.600000000002"/>
    <n v="27372.600000000002"/>
  </r>
  <r>
    <x v="10"/>
    <s v="PORTA ASIATACA"/>
    <s v="CHINA"/>
    <s v="STS24M50825"/>
    <m/>
    <s v="100% COTTON 2/40S, 14 GG*2 ENDS"/>
    <s v="SWEATER S-3XL"/>
    <s v="6103.42.1050"/>
    <n v="150"/>
    <n v="36.563999999999993"/>
    <n v="29"/>
    <n v="0.161"/>
    <n v="4.6690000000000005"/>
    <n v="7.4999999999999997E-2"/>
    <n v="2.1749999999999998"/>
    <n v="7.0000000000000007E-2"/>
    <n v="0.23"/>
    <n v="0.49"/>
    <n v="200"/>
    <n v="480"/>
    <m/>
    <m/>
    <m/>
    <m/>
    <m/>
    <n v="680"/>
    <n v="30000"/>
    <n v="72000"/>
    <n v="102000"/>
    <n v="7312.7999999999984"/>
    <n v="17550.719999999998"/>
    <n v="24863.519999999997"/>
  </r>
  <r>
    <x v="3"/>
    <s v="MEGA"/>
    <s v="CHINA"/>
    <s v="STS24M50810"/>
    <m/>
    <s v="85% POLYAMIDE/15% SPANDEX PIQUE 175 GM/M2"/>
    <s v="KNIT"/>
    <s v="6105.20.2010"/>
    <n v="88"/>
    <n v="17.117749999999997"/>
    <n v="11.35"/>
    <n v="0.32"/>
    <n v="3.6320000000000001"/>
    <n v="7.4999999999999997E-2"/>
    <n v="0.85124999999999995"/>
    <n v="7.0000000000000007E-2"/>
    <n v="0.7945000000000001"/>
    <n v="0.49"/>
    <n v="100"/>
    <n v="350"/>
    <m/>
    <m/>
    <m/>
    <m/>
    <m/>
    <n v="450"/>
    <n v="8800"/>
    <n v="30800"/>
    <n v="39600"/>
    <n v="1711.7749999999996"/>
    <n v="5991.2124999999987"/>
    <n v="7702.9874999999984"/>
  </r>
  <r>
    <x v="1"/>
    <s v="MEGA"/>
    <s v="CHINA"/>
    <s v="STS24M50811"/>
    <m/>
    <s v="90% POLYESTER/10% SPANDEX COURT POPLIN 110 GM/M2"/>
    <s v="WOVEN"/>
    <s v="6203.43.9030"/>
    <n v="85"/>
    <n v="16.011600000000001"/>
    <n v="10.9"/>
    <n v="0.27900000000000003"/>
    <n v="3.0411000000000006"/>
    <n v="7.4999999999999997E-2"/>
    <n v="0.8175"/>
    <n v="7.0000000000000007E-2"/>
    <n v="0.76300000000000012"/>
    <n v="0.49"/>
    <n v="100"/>
    <n v="350"/>
    <m/>
    <m/>
    <m/>
    <m/>
    <m/>
    <n v="450"/>
    <n v="8500"/>
    <n v="29750"/>
    <n v="38250"/>
    <n v="1601.16"/>
    <n v="5604.06"/>
    <n v="7205.22"/>
  </r>
  <r>
    <x v="3"/>
    <s v="MEGA"/>
    <s v="CHINA"/>
    <s v="STS24M50810"/>
    <m/>
    <s v="85% POLYAMIDE/15% SPANDEX PIQUE 175 GM/M2"/>
    <s v="KNIT"/>
    <s v="6105.20.2010"/>
    <n v="88"/>
    <n v="17.117749999999997"/>
    <n v="11.35"/>
    <n v="0.32"/>
    <n v="3.6320000000000001"/>
    <n v="7.4999999999999997E-2"/>
    <n v="0.85124999999999995"/>
    <n v="7.0000000000000007E-2"/>
    <n v="0.7945000000000001"/>
    <n v="0.49"/>
    <n v="100"/>
    <n v="350"/>
    <m/>
    <m/>
    <m/>
    <m/>
    <m/>
    <n v="450"/>
    <n v="8800"/>
    <n v="30800"/>
    <n v="39600"/>
    <n v="1711.7749999999996"/>
    <n v="5991.2124999999987"/>
    <n v="7702.9874999999984"/>
  </r>
  <r>
    <x v="1"/>
    <s v="MEGA"/>
    <s v="CHINA"/>
    <s v="STS24M50811"/>
    <m/>
    <s v="90% POLYESTER/10% SPANDEX COURT POPLIN 110 GM/M2"/>
    <s v="WOVEN"/>
    <s v="6203.43.9030"/>
    <n v="85"/>
    <n v="16.011600000000001"/>
    <n v="10.9"/>
    <n v="0.27900000000000003"/>
    <n v="3.0411000000000006"/>
    <n v="7.4999999999999997E-2"/>
    <n v="0.8175"/>
    <n v="7.0000000000000007E-2"/>
    <n v="0.76300000000000012"/>
    <n v="0.49"/>
    <n v="100"/>
    <n v="350"/>
    <m/>
    <m/>
    <m/>
    <m/>
    <m/>
    <n v="450"/>
    <n v="8500"/>
    <n v="29750"/>
    <n v="38250"/>
    <n v="1601.16"/>
    <n v="5604.06"/>
    <n v="7205.22"/>
  </r>
  <r>
    <x v="3"/>
    <s v="MEGA"/>
    <s v="CHINA"/>
    <s v="STS24M50776"/>
    <m/>
    <s v="85% POLYAMIDE/15% SPANDEX PIQUE 175 GM/M2"/>
    <s v="KNIT"/>
    <s v="6105.20.2010"/>
    <n v="98"/>
    <n v="15.857849999999999"/>
    <n v="10.49"/>
    <n v="0.32"/>
    <n v="3.3568000000000002"/>
    <n v="7.4999999999999997E-2"/>
    <n v="0.78674999999999995"/>
    <n v="7.0000000000000007E-2"/>
    <n v="0.73430000000000006"/>
    <n v="0.49"/>
    <n v="150"/>
    <m/>
    <m/>
    <m/>
    <m/>
    <m/>
    <m/>
    <n v="150"/>
    <n v="14700"/>
    <n v="0"/>
    <n v="14700"/>
    <n v="2378.6774999999998"/>
    <n v="0"/>
    <n v="2378.6774999999998"/>
  </r>
  <r>
    <x v="0"/>
    <s v="SARA"/>
    <s v="BANGLADESH"/>
    <s v="STS24M50790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n v="250"/>
    <n v="360"/>
    <m/>
    <m/>
    <m/>
    <m/>
    <m/>
    <n v="610"/>
    <n v="13500"/>
    <n v="19440"/>
    <n v="32940"/>
    <n v="1747.3125000000002"/>
    <n v="2516.1300000000006"/>
    <n v="4263.442500000001"/>
  </r>
  <r>
    <x v="0"/>
    <s v="SARA"/>
    <s v="BANGLADESH"/>
    <s v="STS24M50790"/>
    <m/>
    <s v="100% COTTON JERSEY 180 GM/M2"/>
    <s v="KNIT"/>
    <s v="6109.10.0012"/>
    <n v="54"/>
    <n v="6.9892500000000011"/>
    <n v="5.45"/>
    <n v="0.16500000000000001"/>
    <n v="0.8992500000000001"/>
    <m/>
    <m/>
    <n v="7.0000000000000007E-2"/>
    <n v="0.15"/>
    <n v="0.49"/>
    <n v="500"/>
    <m/>
    <m/>
    <m/>
    <m/>
    <m/>
    <m/>
    <n v="500"/>
    <n v="27000"/>
    <n v="0"/>
    <n v="27000"/>
    <n v="3494.6250000000005"/>
    <n v="0"/>
    <n v="3494.6250000000005"/>
  </r>
  <r>
    <x v="0"/>
    <s v="SARA"/>
    <s v="BANGLADESH"/>
    <s v="STS24M51036"/>
    <m/>
    <s v="100% COTTON JERSEY 180 GM/M2"/>
    <s v="KNIT"/>
    <s v="6109.10.0012"/>
    <n v="58"/>
    <n v="6.9892500000000011"/>
    <n v="5.45"/>
    <n v="0.16500000000000001"/>
    <n v="0.8992500000000001"/>
    <m/>
    <m/>
    <n v="7.0000000000000007E-2"/>
    <n v="0.15"/>
    <n v="0.49"/>
    <n v="500"/>
    <m/>
    <m/>
    <m/>
    <m/>
    <m/>
    <m/>
    <n v="500"/>
    <n v="29000"/>
    <n v="0"/>
    <n v="29000"/>
    <n v="3494.6250000000005"/>
    <n v="0"/>
    <n v="3494.6250000000005"/>
  </r>
  <r>
    <x v="0"/>
    <s v="SARA"/>
    <s v="BANGLADESH"/>
    <s v="STS24M51036"/>
    <m/>
    <s v="100% COTTON JERSEY 180 GM/M2"/>
    <s v="KNIT"/>
    <s v="6109.10.0012"/>
    <n v="58"/>
    <n v="6.9892500000000011"/>
    <n v="5.45"/>
    <n v="0.16500000000000001"/>
    <n v="0.8992500000000001"/>
    <m/>
    <m/>
    <n v="7.0000000000000007E-2"/>
    <n v="0.15"/>
    <n v="0.49"/>
    <n v="500"/>
    <m/>
    <m/>
    <m/>
    <m/>
    <m/>
    <m/>
    <n v="500"/>
    <n v="29000"/>
    <n v="0"/>
    <n v="29000"/>
    <n v="3494.6250000000005"/>
    <n v="0"/>
    <n v="3494.6250000000005"/>
  </r>
  <r>
    <x v="0"/>
    <s v="SARA"/>
    <s v="BANGLADESH"/>
    <s v="STS24M51037"/>
    <m/>
    <s v="100% COTTON JERSEY 180 GM/M2"/>
    <s v="KNIT"/>
    <s v="6109.10.0012"/>
    <n v="58"/>
    <n v="6.9892500000000011"/>
    <n v="5.45"/>
    <n v="0.16500000000000001"/>
    <n v="0.8992500000000001"/>
    <m/>
    <m/>
    <n v="7.0000000000000007E-2"/>
    <n v="0.15"/>
    <n v="0.49"/>
    <n v="500"/>
    <m/>
    <m/>
    <m/>
    <m/>
    <m/>
    <m/>
    <n v="500"/>
    <n v="29000"/>
    <n v="0"/>
    <n v="29000"/>
    <n v="3494.6250000000005"/>
    <n v="0"/>
    <n v="3494.6250000000005"/>
  </r>
  <r>
    <x v="0"/>
    <s v="SARA"/>
    <s v="BANGLADESH"/>
    <s v="STS24M51037"/>
    <m/>
    <s v="100% COTTON JERSEY 180 GM/M2"/>
    <s v="KNIT"/>
    <s v="6109.10.0012"/>
    <n v="58"/>
    <n v="6.9892500000000011"/>
    <n v="5.45"/>
    <n v="0.16500000000000001"/>
    <n v="0.8992500000000001"/>
    <m/>
    <m/>
    <n v="7.0000000000000007E-2"/>
    <n v="0.15"/>
    <n v="0.49"/>
    <n v="500"/>
    <m/>
    <m/>
    <m/>
    <m/>
    <m/>
    <m/>
    <n v="500"/>
    <n v="29000"/>
    <n v="0"/>
    <n v="29000"/>
    <n v="3494.6250000000005"/>
    <n v="0"/>
    <n v="3494.6250000000005"/>
  </r>
  <r>
    <x v="0"/>
    <s v="SARA"/>
    <s v="BANGLADESH"/>
    <s v="STS24M51038"/>
    <m/>
    <s v="100% COTTON JERSEY 180 GM/M2"/>
    <s v="KNIT"/>
    <s v="6109.10.0012"/>
    <n v="58"/>
    <n v="7.2805000000000009"/>
    <n v="5.7"/>
    <n v="0.16500000000000001"/>
    <n v="0.94050000000000011"/>
    <m/>
    <m/>
    <n v="7.0000000000000007E-2"/>
    <n v="0.15"/>
    <n v="0.49"/>
    <n v="500"/>
    <m/>
    <m/>
    <m/>
    <m/>
    <m/>
    <m/>
    <n v="500"/>
    <n v="29000"/>
    <n v="0"/>
    <n v="29000"/>
    <n v="3640.2500000000005"/>
    <n v="0"/>
    <n v="3640.2500000000005"/>
  </r>
  <r>
    <x v="0"/>
    <s v="SARA"/>
    <s v="BANGLADESH"/>
    <s v="STS24M51038"/>
    <m/>
    <s v="100% COTTON JERSEY 180 GM/M2"/>
    <s v="KNIT"/>
    <s v="6109.10.0012"/>
    <n v="58"/>
    <n v="7.2805000000000009"/>
    <n v="5.7"/>
    <n v="0.16500000000000001"/>
    <n v="0.94050000000000011"/>
    <m/>
    <m/>
    <n v="7.0000000000000007E-2"/>
    <n v="0.15"/>
    <n v="0.49"/>
    <n v="500"/>
    <m/>
    <m/>
    <m/>
    <m/>
    <m/>
    <m/>
    <n v="500"/>
    <n v="29000"/>
    <n v="0"/>
    <n v="29000"/>
    <n v="3640.2500000000005"/>
    <n v="0"/>
    <n v="3640.2500000000005"/>
  </r>
  <r>
    <x v="10"/>
    <s v="PORTA ASIATACA"/>
    <s v="CHINA"/>
    <s v="STS24M50823"/>
    <m/>
    <s v="100%  COTTON 2/40S, 14 GG*2 ENDS "/>
    <s v="SWEATER S-3XL"/>
    <s v="6110.20.2010"/>
    <n v="145"/>
    <n v="37.299999999999997"/>
    <n v="29.5"/>
    <n v="0.16500000000000001"/>
    <n v="4.8675000000000006"/>
    <n v="7.4999999999999997E-2"/>
    <n v="2.2124999999999999"/>
    <n v="7.0000000000000007E-2"/>
    <n v="0.23"/>
    <n v="0.49"/>
    <n v="150"/>
    <n v="200"/>
    <m/>
    <m/>
    <m/>
    <m/>
    <m/>
    <n v="350"/>
    <n v="21750"/>
    <n v="29000"/>
    <n v="50750"/>
    <n v="5595"/>
    <n v="7459.9999999999991"/>
    <n v="13055"/>
  </r>
  <r>
    <x v="10"/>
    <s v="PORTA ASIATACA"/>
    <s v="CHINA"/>
    <s v="STS24M50822"/>
    <m/>
    <s v="100% COTTON 2/40S, 14 GG*2 ENDS"/>
    <s v="SWEATER S-3XL"/>
    <s v="6103.42.1050"/>
    <n v="135"/>
    <n v="28.4682"/>
    <n v="22.45"/>
    <n v="0.161"/>
    <n v="3.6144500000000002"/>
    <n v="7.4999999999999997E-2"/>
    <n v="1.6837499999999999"/>
    <n v="7.0000000000000007E-2"/>
    <n v="0.23"/>
    <n v="0.49"/>
    <n v="150"/>
    <n v="200"/>
    <m/>
    <m/>
    <m/>
    <m/>
    <m/>
    <n v="350"/>
    <n v="20250"/>
    <n v="27000"/>
    <n v="47250"/>
    <n v="4270.2299999999996"/>
    <n v="5693.64"/>
    <n v="9963.869999999999"/>
  </r>
  <r>
    <x v="10"/>
    <s v="PORTA ASIATACA"/>
    <s v="CHINA"/>
    <s v="STS24M50823"/>
    <m/>
    <s v="100% COTTON 2/40S, 14 GG*2 ENDS"/>
    <s v="SWEATER S-3XL"/>
    <s v="6110.20.2010"/>
    <n v="145"/>
    <n v="37.299999999999997"/>
    <n v="29.5"/>
    <n v="0.16500000000000001"/>
    <n v="4.8675000000000006"/>
    <n v="7.4999999999999997E-2"/>
    <n v="2.2124999999999999"/>
    <n v="7.0000000000000007E-2"/>
    <n v="0.23"/>
    <n v="0.49"/>
    <n v="150"/>
    <n v="300"/>
    <m/>
    <m/>
    <m/>
    <m/>
    <m/>
    <n v="450"/>
    <n v="21750"/>
    <n v="43500"/>
    <n v="65250"/>
    <n v="5595"/>
    <n v="11190"/>
    <n v="16785"/>
  </r>
  <r>
    <x v="10"/>
    <s v="PORTA ASIATACA"/>
    <s v="CHINA"/>
    <s v="STS24M50822"/>
    <m/>
    <s v="100% COTTON 2/40S, 14 GG*2 ENDS"/>
    <s v="SWEATER S-3XL"/>
    <s v="6103.42.1050"/>
    <n v="135"/>
    <n v="28.4682"/>
    <n v="22.45"/>
    <n v="0.161"/>
    <n v="3.6144500000000002"/>
    <n v="7.4999999999999997E-2"/>
    <n v="1.6837499999999999"/>
    <n v="7.0000000000000007E-2"/>
    <n v="0.23"/>
    <n v="0.49"/>
    <n v="150"/>
    <n v="300"/>
    <m/>
    <m/>
    <m/>
    <m/>
    <m/>
    <n v="450"/>
    <n v="20250"/>
    <n v="40500"/>
    <n v="60750"/>
    <n v="4270.2299999999996"/>
    <n v="8540.4599999999991"/>
    <n v="12810.689999999999"/>
  </r>
  <r>
    <x v="11"/>
    <s v="PORTA ASIATACA"/>
    <s v="CHINA"/>
    <s v="STS24M50640"/>
    <m/>
    <s v="55% TENCEL/43% POLYESTER/2% SPANDEX 150 GM/M2"/>
    <s v="WOVEN"/>
    <s v="6205.30.2050"/>
    <n v="145"/>
    <n v="25.086599999999997"/>
    <n v="17.899999999999999"/>
    <n v="0.27900000000000003"/>
    <n v="4.9941000000000004"/>
    <n v="7.4999999999999997E-2"/>
    <n v="1.3424999999999998"/>
    <n v="7.0000000000000007E-2"/>
    <n v="0.36"/>
    <n v="0.49"/>
    <n v="250"/>
    <n v="250"/>
    <m/>
    <m/>
    <m/>
    <m/>
    <m/>
    <n v="500"/>
    <n v="36250"/>
    <n v="36250"/>
    <n v="72500"/>
    <n v="6271.65"/>
    <n v="6271.65"/>
    <n v="12543.3"/>
  </r>
  <r>
    <x v="1"/>
    <s v="PORTA ASIATACA"/>
    <s v="CHINA"/>
    <s v="STS24M50642"/>
    <m/>
    <s v="55% TENCEL/43% POLYESTER/2% SPANDEX 150 GM/M2"/>
    <s v="WOVEN"/>
    <s v="6203.43.9030"/>
    <n v="135"/>
    <n v="22.175499999999996"/>
    <n v="15.75"/>
    <n v="0.27900000000000003"/>
    <n v="4.3942500000000004"/>
    <n v="7.4999999999999997E-2"/>
    <n v="1.1812499999999999"/>
    <n v="7.0000000000000007E-2"/>
    <n v="0.36"/>
    <n v="0.49"/>
    <n v="250"/>
    <n v="250"/>
    <m/>
    <m/>
    <m/>
    <m/>
    <m/>
    <n v="500"/>
    <n v="33750"/>
    <n v="33750"/>
    <n v="67500"/>
    <n v="5543.8749999999991"/>
    <n v="5543.8749999999991"/>
    <n v="11087.749999999998"/>
  </r>
  <r>
    <x v="11"/>
    <s v="PORTA ASIATACA"/>
    <s v="CHINA"/>
    <s v="STS24M50640"/>
    <m/>
    <s v="55% TENCEL/43% POLYESTER/2% SPANDEX 150 GM/M2"/>
    <s v="WOVEN"/>
    <s v="6205.30.2050"/>
    <n v="145"/>
    <n v="27.651060000000001"/>
    <n v="19.89"/>
    <n v="0.27900000000000003"/>
    <n v="5.5493100000000011"/>
    <n v="7.4999999999999997E-2"/>
    <n v="1.4917499999999999"/>
    <n v="7.0000000000000007E-2"/>
    <n v="0.23"/>
    <n v="0.49"/>
    <n v="250"/>
    <n v="250"/>
    <m/>
    <m/>
    <m/>
    <m/>
    <m/>
    <n v="500"/>
    <n v="36250"/>
    <n v="36250"/>
    <n v="72500"/>
    <n v="6912.7650000000003"/>
    <n v="6912.7650000000003"/>
    <n v="13825.53"/>
  </r>
  <r>
    <x v="1"/>
    <s v="PORTA ASIATACA"/>
    <s v="CHINA"/>
    <s v="STS24M50642"/>
    <m/>
    <s v="55% TENCEL/43% POLYESTER/2% SPANDEX 150 GM/M2"/>
    <s v="WOVEN"/>
    <s v="6203.43.9030"/>
    <n v="135"/>
    <n v="24.414999999999999"/>
    <n v="17.5"/>
    <n v="0.27900000000000003"/>
    <n v="4.8825000000000003"/>
    <n v="7.4999999999999997E-2"/>
    <n v="1.3125"/>
    <n v="7.0000000000000007E-2"/>
    <n v="0.23"/>
    <n v="0.49"/>
    <n v="250"/>
    <n v="250"/>
    <m/>
    <m/>
    <m/>
    <m/>
    <m/>
    <n v="500"/>
    <n v="33750"/>
    <n v="33750"/>
    <n v="67500"/>
    <n v="6103.75"/>
    <n v="6103.75"/>
    <n v="12207.5"/>
  </r>
  <r>
    <x v="12"/>
    <s v="RECESS"/>
    <s v="USA"/>
    <s v="STS24X51039"/>
    <m/>
    <m/>
    <s v="ACCESSORIES"/>
    <s v="N/A"/>
    <n v="105"/>
    <n v="53.49"/>
    <n v="52"/>
    <m/>
    <m/>
    <m/>
    <m/>
    <n v="7.0000000000000007E-2"/>
    <n v="1"/>
    <n v="0.49"/>
    <n v="200"/>
    <m/>
    <m/>
    <m/>
    <m/>
    <m/>
    <m/>
    <n v="200"/>
    <n v="21000"/>
    <n v="0"/>
    <n v="21000"/>
    <n v="10698"/>
    <n v="0"/>
    <n v="10698"/>
  </r>
  <r>
    <x v="12"/>
    <s v="RECESS"/>
    <s v="USA"/>
    <s v="STS24X51039"/>
    <m/>
    <m/>
    <s v="ACCESSORIES"/>
    <s v="N/A"/>
    <n v="105"/>
    <n v="53.49"/>
    <n v="52"/>
    <m/>
    <m/>
    <m/>
    <m/>
    <n v="7.0000000000000007E-2"/>
    <n v="1"/>
    <n v="0.49"/>
    <n v="200"/>
    <m/>
    <m/>
    <m/>
    <m/>
    <m/>
    <m/>
    <n v="200"/>
    <n v="21000"/>
    <n v="0"/>
    <n v="21000"/>
    <n v="10698"/>
    <n v="0"/>
    <n v="10698"/>
  </r>
  <r>
    <x v="12"/>
    <s v="RECESS"/>
    <s v="USA"/>
    <s v="STS24X51039"/>
    <m/>
    <m/>
    <s v="ACCESSORIES"/>
    <s v="N/A"/>
    <n v="105"/>
    <n v="53.49"/>
    <n v="52"/>
    <m/>
    <m/>
    <m/>
    <m/>
    <n v="7.0000000000000007E-2"/>
    <n v="1"/>
    <n v="0.49"/>
    <n v="200"/>
    <m/>
    <m/>
    <m/>
    <m/>
    <m/>
    <m/>
    <n v="200"/>
    <n v="21000"/>
    <n v="0"/>
    <n v="21000"/>
    <n v="10698"/>
    <n v="0"/>
    <n v="10698"/>
  </r>
  <r>
    <x v="12"/>
    <s v="RECESS"/>
    <s v="USA"/>
    <s v="STS24X51040"/>
    <m/>
    <m/>
    <s v="ACCESSORIES"/>
    <s v="N/A"/>
    <n v="15"/>
    <n v="8.49"/>
    <n v="7"/>
    <m/>
    <m/>
    <m/>
    <m/>
    <n v="7.0000000000000007E-2"/>
    <n v="1"/>
    <n v="0.49"/>
    <n v="50"/>
    <m/>
    <m/>
    <m/>
    <m/>
    <m/>
    <m/>
    <n v="50"/>
    <n v="750"/>
    <n v="0"/>
    <n v="750"/>
    <n v="424.5"/>
    <n v="0"/>
    <n v="424.5"/>
  </r>
  <r>
    <x v="12"/>
    <s v="RECESS"/>
    <s v="USA"/>
    <s v="STS24X51040"/>
    <m/>
    <m/>
    <s v="ACCESSORIES"/>
    <s v="N/A"/>
    <n v="15"/>
    <n v="8.49"/>
    <n v="7"/>
    <m/>
    <m/>
    <m/>
    <m/>
    <n v="7.0000000000000007E-2"/>
    <n v="1"/>
    <n v="0.49"/>
    <n v="50"/>
    <m/>
    <m/>
    <m/>
    <m/>
    <m/>
    <m/>
    <n v="50"/>
    <n v="750"/>
    <n v="0"/>
    <n v="750"/>
    <n v="424.5"/>
    <n v="0"/>
    <n v="424.5"/>
  </r>
  <r>
    <x v="3"/>
    <s v="BBUK"/>
    <s v="CHINA"/>
    <s v="UKS24M10162"/>
    <m/>
    <s v="80% COTTON/20% POLYESTER 280 GM/M2"/>
    <s v="KNIT"/>
    <s v="6105.10.0010"/>
    <n v="98"/>
    <n v="17.801799999999997"/>
    <n v="12.9"/>
    <n v="0.19700000000000001"/>
    <n v="2.5413000000000001"/>
    <n v="7.4999999999999997E-2"/>
    <n v="0.96750000000000003"/>
    <n v="7.0000000000000007E-2"/>
    <n v="0.90300000000000014"/>
    <n v="0.49"/>
    <n v="500"/>
    <m/>
    <m/>
    <m/>
    <m/>
    <m/>
    <m/>
    <n v="500"/>
    <n v="49000"/>
    <n v="0"/>
    <n v="49000"/>
    <n v="8900.8999999999978"/>
    <n v="0"/>
    <n v="8900.8999999999978"/>
  </r>
  <r>
    <x v="1"/>
    <s v="BBUK"/>
    <s v="CHINA"/>
    <s v="UKS24M10172"/>
    <m/>
    <s v="80% COTTON/20% POLYESTER 280 GM/M2"/>
    <s v="KNIT"/>
    <s v="6103.42.1050"/>
    <n v="95"/>
    <n v="14.856"/>
    <n v="11"/>
    <n v="0.161"/>
    <n v="1.7710000000000001"/>
    <n v="7.4999999999999997E-2"/>
    <n v="0.82499999999999996"/>
    <n v="7.0000000000000007E-2"/>
    <n v="0.77"/>
    <n v="0.49"/>
    <n v="500"/>
    <m/>
    <m/>
    <m/>
    <m/>
    <m/>
    <m/>
    <n v="500"/>
    <n v="47500"/>
    <n v="0"/>
    <n v="47500"/>
    <n v="7428"/>
    <n v="0"/>
    <n v="7428"/>
  </r>
  <r>
    <x v="3"/>
    <s v="BBUK"/>
    <s v="CHINA"/>
    <s v="UKS24M10162"/>
    <m/>
    <s v="80% COTTON/20% POLYESTER 280 GM/M2"/>
    <s v="KNIT"/>
    <s v="6105.10.0010"/>
    <n v="98"/>
    <n v="17.801799999999997"/>
    <n v="12.9"/>
    <n v="0.19700000000000001"/>
    <n v="2.5413000000000001"/>
    <n v="7.4999999999999997E-2"/>
    <n v="0.96750000000000003"/>
    <n v="7.0000000000000007E-2"/>
    <n v="0.90300000000000014"/>
    <n v="0.49"/>
    <n v="500"/>
    <m/>
    <m/>
    <m/>
    <m/>
    <m/>
    <m/>
    <n v="500"/>
    <n v="49000"/>
    <n v="0"/>
    <n v="49000"/>
    <n v="8900.8999999999978"/>
    <n v="0"/>
    <n v="8900.8999999999978"/>
  </r>
  <r>
    <x v="1"/>
    <s v="BBUK"/>
    <s v="CHINA"/>
    <s v="UKS24M10172"/>
    <m/>
    <s v="80% COTTON/20% POLYESTER 280 GM/M2"/>
    <s v="KNIT"/>
    <s v="6103.42.1050"/>
    <n v="95"/>
    <n v="14.856"/>
    <n v="11"/>
    <n v="0.161"/>
    <n v="1.7710000000000001"/>
    <n v="7.4999999999999997E-2"/>
    <n v="0.82499999999999996"/>
    <n v="7.0000000000000007E-2"/>
    <n v="0.77"/>
    <n v="0.49"/>
    <n v="500"/>
    <m/>
    <m/>
    <m/>
    <m/>
    <m/>
    <m/>
    <n v="500"/>
    <n v="47500"/>
    <n v="0"/>
    <n v="47500"/>
    <n v="7428"/>
    <n v="0"/>
    <n v="7428"/>
  </r>
  <r>
    <x v="4"/>
    <s v="BBUK"/>
    <s v="CHINA"/>
    <s v="UKS24M25110"/>
    <m/>
    <s v="100% CRINKLE NYLON 74 G/M2 WITH W/R COATING"/>
    <s v="WOVEN"/>
    <s v="6201.40.7000"/>
    <n v="135"/>
    <n v="27.6068"/>
    <n v="22.3"/>
    <n v="7.0999999999999994E-2"/>
    <n v="1.5832999999999999"/>
    <n v="7.4999999999999997E-2"/>
    <n v="1.6725000000000001"/>
    <n v="7.0000000000000007E-2"/>
    <n v="1.5610000000000002"/>
    <n v="0.49"/>
    <n v="250"/>
    <n v="250"/>
    <m/>
    <m/>
    <m/>
    <m/>
    <m/>
    <n v="500"/>
    <n v="33750"/>
    <n v="33750"/>
    <n v="67500"/>
    <n v="6901.7"/>
    <n v="6901.7"/>
    <n v="13803.4"/>
  </r>
  <r>
    <x v="5"/>
    <s v="BBUK"/>
    <s v="CHINA"/>
    <s v="UKS24M10117"/>
    <m/>
    <s v="100% CRINKLE NYLON 74 G/M2 WITH W/R COATING"/>
    <s v="WOVEN"/>
    <s v="6203.43.9010"/>
    <n v="125"/>
    <n v="20.432399999999998"/>
    <n v="16.399999999999999"/>
    <n v="7.0999999999999994E-2"/>
    <n v="1.1643999999999999"/>
    <n v="7.4999999999999997E-2"/>
    <n v="1.2299999999999998"/>
    <n v="7.0000000000000007E-2"/>
    <n v="1.1479999999999999"/>
    <n v="0.49"/>
    <n v="250"/>
    <n v="250"/>
    <m/>
    <m/>
    <m/>
    <m/>
    <m/>
    <n v="500"/>
    <n v="31250"/>
    <n v="31250"/>
    <n v="62500"/>
    <n v="5108.0999999999995"/>
    <n v="5108.0999999999995"/>
    <n v="10216.199999999999"/>
  </r>
  <r>
    <x v="4"/>
    <s v="BBUK"/>
    <s v="CHINA"/>
    <s v="UKS24M25110"/>
    <m/>
    <s v="100% CRINKLE NYLON 74 G/M2 WITH W/R COATING"/>
    <s v="WOVEN"/>
    <s v="6201.40.7000"/>
    <n v="135"/>
    <n v="27.6068"/>
    <n v="22.3"/>
    <n v="7.0999999999999994E-2"/>
    <n v="1.5832999999999999"/>
    <n v="7.4999999999999997E-2"/>
    <n v="1.6725000000000001"/>
    <n v="7.0000000000000007E-2"/>
    <n v="1.5610000000000002"/>
    <n v="0.49"/>
    <n v="250"/>
    <n v="250"/>
    <m/>
    <m/>
    <m/>
    <m/>
    <m/>
    <n v="500"/>
    <n v="33750"/>
    <n v="33750"/>
    <n v="67500"/>
    <n v="6901.7"/>
    <n v="6901.7"/>
    <n v="13803.4"/>
  </r>
  <r>
    <x v="5"/>
    <s v="BBUK"/>
    <s v="CHINA"/>
    <s v="UKS24M10117"/>
    <m/>
    <s v="100% CRINKLE NYLON 74 G/M2 WITH W/R COATING"/>
    <s v="WOVEN"/>
    <s v="6203.43.9010"/>
    <n v="125"/>
    <n v="20.432399999999998"/>
    <n v="16.399999999999999"/>
    <n v="7.0999999999999994E-2"/>
    <n v="1.1643999999999999"/>
    <n v="7.4999999999999997E-2"/>
    <n v="1.2299999999999998"/>
    <n v="7.0000000000000007E-2"/>
    <n v="1.1479999999999999"/>
    <n v="0.49"/>
    <n v="250"/>
    <n v="250"/>
    <m/>
    <m/>
    <m/>
    <m/>
    <m/>
    <n v="500"/>
    <n v="31250"/>
    <n v="31250"/>
    <n v="62500"/>
    <n v="5108.0999999999995"/>
    <n v="5108.0999999999995"/>
    <n v="10216.199999999999"/>
  </r>
  <r>
    <x v="8"/>
    <s v="BBUK"/>
    <s v="CHINA"/>
    <s v="UKS24M10114"/>
    <m/>
    <s v="100% COTTON YARN DYED OXFORD "/>
    <s v="WOVEN"/>
    <s v="6201.30.8051"/>
    <n v="150"/>
    <n v="29.300999999999998"/>
    <n v="23.5"/>
    <n v="8.1000000000000003E-2"/>
    <n v="1.9035"/>
    <n v="7.4999999999999997E-2"/>
    <n v="1.7625"/>
    <n v="7.0000000000000007E-2"/>
    <n v="1.6450000000000002"/>
    <n v="0.49"/>
    <n v="250"/>
    <n v="300"/>
    <m/>
    <m/>
    <m/>
    <m/>
    <m/>
    <n v="550"/>
    <n v="37500"/>
    <n v="45000"/>
    <n v="82500"/>
    <n v="7325.25"/>
    <n v="8790.2999999999993"/>
    <n v="16115.55"/>
  </r>
  <r>
    <x v="1"/>
    <s v="BBUK"/>
    <s v="CHINA"/>
    <s v="UKS24M10115"/>
    <m/>
    <s v="100% COTTON YARN DYED OXFORD "/>
    <s v="WOVEN"/>
    <s v="6203.42.4551"/>
    <n v="85"/>
    <n v="16.21"/>
    <n v="12"/>
    <n v="0.16500000000000001"/>
    <n v="1.98"/>
    <n v="7.4999999999999997E-2"/>
    <n v="0.89999999999999991"/>
    <n v="7.0000000000000007E-2"/>
    <n v="0.84000000000000008"/>
    <n v="0.49"/>
    <n v="250"/>
    <n v="300"/>
    <m/>
    <m/>
    <m/>
    <m/>
    <m/>
    <n v="550"/>
    <n v="21250"/>
    <n v="25500"/>
    <n v="46750"/>
    <n v="4052.5"/>
    <n v="4863"/>
    <n v="8915.5"/>
  </r>
  <r>
    <x v="8"/>
    <s v="BBUK"/>
    <s v="CHINA"/>
    <s v="UKS24M10114"/>
    <m/>
    <s v="100% COTTON YARN DYED OXFORD "/>
    <s v="WOVEN"/>
    <s v="6201.30.8051"/>
    <n v="150"/>
    <n v="29.300999999999998"/>
    <n v="23.5"/>
    <n v="8.1000000000000003E-2"/>
    <n v="1.9035"/>
    <n v="7.4999999999999997E-2"/>
    <n v="1.7625"/>
    <n v="7.0000000000000007E-2"/>
    <n v="1.6450000000000002"/>
    <n v="0.49"/>
    <n v="250"/>
    <n v="250"/>
    <m/>
    <m/>
    <m/>
    <m/>
    <m/>
    <n v="500"/>
    <n v="37500"/>
    <n v="37500"/>
    <n v="75000"/>
    <n v="7325.25"/>
    <n v="7325.25"/>
    <n v="14650.5"/>
  </r>
  <r>
    <x v="1"/>
    <s v="BBUK"/>
    <s v="CHINA"/>
    <s v="UKS24M10115"/>
    <m/>
    <s v="100% COTTON YARN DYED OXFORD "/>
    <s v="WOVEN"/>
    <s v="6203.42.4551"/>
    <n v="85"/>
    <n v="16.21"/>
    <n v="12"/>
    <n v="0.16500000000000001"/>
    <n v="1.98"/>
    <n v="7.4999999999999997E-2"/>
    <n v="0.89999999999999991"/>
    <n v="7.0000000000000007E-2"/>
    <n v="0.84000000000000008"/>
    <n v="0.49"/>
    <n v="250"/>
    <n v="250"/>
    <m/>
    <m/>
    <m/>
    <m/>
    <m/>
    <n v="500"/>
    <n v="21250"/>
    <n v="21250"/>
    <n v="42500"/>
    <n v="4052.5"/>
    <n v="4052.5"/>
    <n v="8105"/>
  </r>
  <r>
    <x v="10"/>
    <s v="BBUK"/>
    <s v="INDIA"/>
    <s v="UKS24M10113"/>
    <m/>
    <s v="100% COTTON 12 GAUGE 2 ENDS "/>
    <s v="SWEATER S-3XL"/>
    <s v="6105.10.0010"/>
    <n v="125"/>
    <n v="20.570799999999995"/>
    <n v="16.399999999999999"/>
    <n v="0.19700000000000001"/>
    <n v="3.2307999999999999"/>
    <m/>
    <m/>
    <n v="7.0000000000000007E-2"/>
    <n v="0.45"/>
    <n v="0.49"/>
    <n v="250"/>
    <n v="250"/>
    <m/>
    <m/>
    <m/>
    <m/>
    <m/>
    <n v="500"/>
    <n v="31250"/>
    <n v="31250"/>
    <n v="62500"/>
    <n v="5142.6999999999989"/>
    <n v="5142.6999999999989"/>
    <n v="10285.399999999998"/>
  </r>
  <r>
    <x v="11"/>
    <s v="BBUK"/>
    <s v="CHINA"/>
    <s v="UKS24M10130"/>
    <m/>
    <s v="100% POLYESTER SATIN 130 GM/M2"/>
    <s v="WOVEN"/>
    <s v="6205.30.2050"/>
    <n v="125"/>
    <n v="23.273999999999997"/>
    <n v="16"/>
    <n v="0.27900000000000003"/>
    <n v="4.4640000000000004"/>
    <n v="7.4999999999999997E-2"/>
    <n v="1.2"/>
    <n v="7.0000000000000007E-2"/>
    <n v="1.1200000000000001"/>
    <n v="0.49"/>
    <n v="200"/>
    <n v="600"/>
    <m/>
    <m/>
    <m/>
    <m/>
    <m/>
    <n v="800"/>
    <n v="25000"/>
    <n v="75000"/>
    <n v="100000"/>
    <n v="4654.7999999999993"/>
    <n v="13964.399999999998"/>
    <n v="18619.199999999997"/>
  </r>
  <r>
    <x v="1"/>
    <s v="BBUK"/>
    <s v="CHINA"/>
    <s v="UKS24M10132"/>
    <m/>
    <s v="100% POLYESTER SATIN 130 GM/M2"/>
    <s v="WOVEN"/>
    <s v="6203.43.9030"/>
    <n v="125"/>
    <n v="23.273999999999997"/>
    <n v="16"/>
    <n v="0.27900000000000003"/>
    <n v="4.4640000000000004"/>
    <n v="7.4999999999999997E-2"/>
    <n v="1.2"/>
    <n v="7.0000000000000007E-2"/>
    <n v="1.1200000000000001"/>
    <n v="0.49"/>
    <n v="200"/>
    <n v="600"/>
    <m/>
    <m/>
    <m/>
    <m/>
    <m/>
    <n v="800"/>
    <n v="25000"/>
    <n v="75000"/>
    <n v="100000"/>
    <n v="4654.7999999999993"/>
    <n v="13964.399999999998"/>
    <n v="18619.199999999997"/>
  </r>
  <r>
    <x v="0"/>
    <s v="BBUK"/>
    <s v="INDIA"/>
    <s v="UKS24M10139"/>
    <m/>
    <s v="100% COTTON JERSEY 190 GM/M2 "/>
    <s v="KNIT"/>
    <s v="6109.10.0012"/>
    <n v="58"/>
    <n v="7.2824999999999998"/>
    <n v="5.5"/>
    <n v="0.16500000000000001"/>
    <n v="0.90750000000000008"/>
    <m/>
    <m/>
    <n v="7.0000000000000007E-2"/>
    <n v="0.38500000000000001"/>
    <n v="0.49"/>
    <n v="200"/>
    <n v="300"/>
    <m/>
    <m/>
    <m/>
    <m/>
    <m/>
    <n v="500"/>
    <n v="11600"/>
    <n v="17400"/>
    <n v="29000"/>
    <n v="1456.5"/>
    <n v="2184.75"/>
    <n v="3641.25"/>
  </r>
  <r>
    <x v="4"/>
    <s v="BBUK"/>
    <s v="CHINA"/>
    <s v="UKS24M10155"/>
    <m/>
    <s v="100% POLYESTER TASLAN 120 GM/M2 "/>
    <s v="WOVEN"/>
    <s v="6112.19.1010"/>
    <n v="125"/>
    <n v="23.701200000000004"/>
    <n v="16.3"/>
    <n v="0.27900000000000003"/>
    <n v="4.5477000000000007"/>
    <n v="7.4999999999999997E-2"/>
    <n v="1.2224999999999999"/>
    <n v="7.0000000000000007E-2"/>
    <n v="1.1410000000000002"/>
    <n v="0.49"/>
    <n v="200"/>
    <n v="300"/>
    <m/>
    <m/>
    <m/>
    <m/>
    <m/>
    <n v="500"/>
    <n v="25000"/>
    <n v="37500"/>
    <n v="62500"/>
    <n v="4740.2400000000007"/>
    <n v="7110.3600000000015"/>
    <n v="11850.600000000002"/>
  </r>
  <r>
    <x v="5"/>
    <s v="BBUK"/>
    <s v="CHINA"/>
    <s v="UKS24M10156"/>
    <m/>
    <s v="100% POLYESTER TASLAN 120 GM/M2 "/>
    <s v="WOVEN"/>
    <s v="6203.43.9010"/>
    <n v="110"/>
    <n v="17.435599999999997"/>
    <n v="11.9"/>
    <n v="0.27900000000000003"/>
    <n v="3.3201000000000005"/>
    <n v="7.4999999999999997E-2"/>
    <n v="0.89249999999999996"/>
    <n v="7.0000000000000007E-2"/>
    <n v="0.83300000000000007"/>
    <n v="0.49"/>
    <n v="200"/>
    <n v="300"/>
    <m/>
    <m/>
    <m/>
    <m/>
    <m/>
    <n v="500"/>
    <n v="22000"/>
    <n v="33000"/>
    <n v="55000"/>
    <n v="3487.1199999999994"/>
    <n v="5230.6799999999994"/>
    <n v="8717.7999999999993"/>
  </r>
  <r>
    <x v="3"/>
    <s v="BBUK"/>
    <s v="INDIA"/>
    <s v="UKS24M10158"/>
    <m/>
    <s v="100% COTTON JERSEY 190 GM/M2"/>
    <s v="KNIT"/>
    <s v="6105.10.0010"/>
    <n v="78"/>
    <n v="12.1464"/>
    <n v="9.1999999999999993"/>
    <n v="0.19700000000000001"/>
    <n v="1.8124"/>
    <m/>
    <m/>
    <n v="7.0000000000000007E-2"/>
    <n v="0.64400000000000002"/>
    <n v="0.49"/>
    <n v="250"/>
    <n v="250"/>
    <m/>
    <m/>
    <m/>
    <m/>
    <m/>
    <n v="500"/>
    <n v="19500"/>
    <n v="19500"/>
    <n v="39000"/>
    <n v="3036.6"/>
    <n v="3036.6"/>
    <n v="6073.2"/>
  </r>
  <r>
    <x v="0"/>
    <s v="BBUK"/>
    <s v="INDIA"/>
    <s v="UKS24M18376"/>
    <m/>
    <s v="100% COTTON JERSEY 190 GM/M2"/>
    <s v="KNIT"/>
    <s v="6109.10.0012"/>
    <n v="48"/>
    <n v="7.0355000000000008"/>
    <n v="5.3"/>
    <n v="0.16500000000000001"/>
    <n v="0.87450000000000006"/>
    <m/>
    <m/>
    <n v="7.0000000000000007E-2"/>
    <n v="0.371"/>
    <n v="0.49"/>
    <n v="150"/>
    <n v="420"/>
    <m/>
    <m/>
    <m/>
    <m/>
    <m/>
    <n v="570"/>
    <n v="7200"/>
    <n v="20160"/>
    <n v="27360"/>
    <n v="1055.325"/>
    <n v="2954.9100000000003"/>
    <n v="4010.2350000000006"/>
  </r>
  <r>
    <x v="1"/>
    <s v="BBUK"/>
    <s v="CHINA"/>
    <s v="UKS24M18404"/>
    <m/>
    <s v="60% POLYESTER/40% COTTON DOUBLE FACE KNIT 280 GM/M2"/>
    <s v="KNIT"/>
    <s v="6103.43.1550"/>
    <n v="75"/>
    <n v="17.471299999999996"/>
    <n v="11.9"/>
    <n v="0.28199999999999997"/>
    <n v="3.3557999999999999"/>
    <n v="7.4999999999999997E-2"/>
    <n v="0.89249999999999996"/>
    <n v="7.0000000000000007E-2"/>
    <n v="0.83300000000000007"/>
    <n v="0.49"/>
    <n v="150"/>
    <n v="420"/>
    <m/>
    <m/>
    <m/>
    <m/>
    <m/>
    <n v="570"/>
    <n v="11250"/>
    <n v="31500"/>
    <n v="42750"/>
    <n v="2620.6949999999993"/>
    <n v="7337.9459999999981"/>
    <n v="9958.6409999999978"/>
  </r>
  <r>
    <x v="4"/>
    <s v="BBUK"/>
    <s v="CHINA"/>
    <s v="UKS24M25101"/>
    <m/>
    <s v="60% POLYESTER/40% COTTON DOUBLE FACE KNIT 280 GM/M2"/>
    <s v="KNIT"/>
    <s v="6112.12.0010"/>
    <n v="130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250"/>
    <m/>
    <m/>
    <m/>
    <m/>
    <m/>
    <n v="500"/>
    <n v="32500"/>
    <n v="32500"/>
    <n v="65000"/>
    <n v="6365.625"/>
    <n v="6365.625"/>
    <n v="12731.25"/>
  </r>
  <r>
    <x v="5"/>
    <s v="BBUK"/>
    <s v="CHINA"/>
    <s v="UKS24M16251"/>
    <m/>
    <s v="60% POLYESTER/40% COTTON DOUBLE FACE KNIT 280 GM/M2"/>
    <s v="KNIT"/>
    <s v="6112.12.0050"/>
    <n v="11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250"/>
    <m/>
    <m/>
    <m/>
    <m/>
    <m/>
    <n v="500"/>
    <n v="28750"/>
    <n v="28750"/>
    <n v="57500"/>
    <n v="5295.3749999999991"/>
    <n v="5295.3749999999991"/>
    <n v="10590.749999999998"/>
  </r>
  <r>
    <x v="4"/>
    <s v="BBUK"/>
    <s v="CHINA"/>
    <s v="UKS24M25101"/>
    <m/>
    <s v="60% POLYESTER/40% COTTON DOUBLE FACE KNIT 280 GM/M2"/>
    <s v="KNIT"/>
    <s v="6112.12.0010"/>
    <n v="130"/>
    <n v="25.462499999999999"/>
    <n v="17.5"/>
    <n v="0.28199999999999997"/>
    <n v="4.9349999999999996"/>
    <n v="7.4999999999999997E-2"/>
    <n v="1.3125"/>
    <n v="7.0000000000000007E-2"/>
    <n v="1.2250000000000001"/>
    <n v="0.49"/>
    <n v="250"/>
    <n v="250"/>
    <m/>
    <m/>
    <m/>
    <m/>
    <m/>
    <n v="500"/>
    <n v="32500"/>
    <n v="32500"/>
    <n v="65000"/>
    <n v="6365.625"/>
    <n v="6365.625"/>
    <n v="12731.25"/>
  </r>
  <r>
    <x v="5"/>
    <s v="BBUK"/>
    <s v="CHINA"/>
    <s v="UKS24M16251"/>
    <m/>
    <s v="60% POLYESTER/40% COTTON DOUBLE FACE KNIT 280 GM/M2"/>
    <s v="KNIT"/>
    <s v="6112.12.0050"/>
    <n v="11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250"/>
    <n v="250"/>
    <m/>
    <m/>
    <m/>
    <m/>
    <m/>
    <n v="500"/>
    <n v="28750"/>
    <n v="28750"/>
    <n v="57500"/>
    <n v="5295.3749999999991"/>
    <n v="5295.3749999999991"/>
    <n v="10590.749999999998"/>
  </r>
  <r>
    <x v="4"/>
    <s v="BBUK"/>
    <s v="CHINA"/>
    <s v="UKS24M25101"/>
    <m/>
    <s v="60% POLYESTER/40% COTTON DOUBLE FACE KNIT 280 GM/M2"/>
    <s v="KNIT"/>
    <s v="6112.12.0010"/>
    <n v="130"/>
    <n v="25.462499999999999"/>
    <n v="17.5"/>
    <n v="0.28199999999999997"/>
    <n v="4.9349999999999996"/>
    <n v="7.4999999999999997E-2"/>
    <n v="1.3125"/>
    <n v="7.0000000000000007E-2"/>
    <n v="1.2250000000000001"/>
    <n v="0.49"/>
    <n v="500"/>
    <m/>
    <m/>
    <m/>
    <m/>
    <m/>
    <m/>
    <n v="500"/>
    <n v="65000"/>
    <n v="0"/>
    <n v="65000"/>
    <n v="12731.25"/>
    <n v="0"/>
    <n v="12731.25"/>
  </r>
  <r>
    <x v="5"/>
    <s v="BBUK"/>
    <s v="CHINA"/>
    <s v="UKS24M16251"/>
    <m/>
    <s v="60% POLYESTER/40% COTTON DOUBLE FACE KNIT 280 GM/M2"/>
    <s v="KNIT"/>
    <s v="6112.12.0050"/>
    <n v="11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500"/>
    <m/>
    <m/>
    <m/>
    <m/>
    <m/>
    <m/>
    <n v="500"/>
    <n v="57500"/>
    <n v="0"/>
    <n v="57500"/>
    <n v="10590.749999999998"/>
    <n v="0"/>
    <n v="10590.749999999998"/>
  </r>
  <r>
    <x v="4"/>
    <s v="BBUK"/>
    <s v="CHINA"/>
    <s v="UKS24M25101"/>
    <m/>
    <s v="60% POLYESTER/40% COTTON DOUBLE FACE KNIT 280 GM/M2"/>
    <s v="KNIT"/>
    <s v="6112.12.0010"/>
    <n v="130"/>
    <n v="25.462499999999999"/>
    <n v="17.5"/>
    <n v="0.28199999999999997"/>
    <n v="4.9349999999999996"/>
    <n v="7.4999999999999997E-2"/>
    <n v="1.3125"/>
    <n v="7.0000000000000007E-2"/>
    <n v="1.2250000000000001"/>
    <n v="0.49"/>
    <n v="500"/>
    <m/>
    <m/>
    <m/>
    <m/>
    <m/>
    <m/>
    <n v="500"/>
    <n v="65000"/>
    <n v="0"/>
    <n v="65000"/>
    <n v="12731.25"/>
    <n v="0"/>
    <n v="12731.25"/>
  </r>
  <r>
    <x v="5"/>
    <s v="BBUK"/>
    <s v="CHINA"/>
    <s v="UKS24M16251"/>
    <m/>
    <s v="60% POLYESTER/40% COTTON DOUBLE FACE KNIT 280 GM/M2"/>
    <s v="KNIT"/>
    <s v="6112.12.0050"/>
    <n v="115"/>
    <n v="21.181499999999996"/>
    <n v="14.5"/>
    <n v="0.28199999999999997"/>
    <n v="4.0889999999999995"/>
    <n v="7.4999999999999997E-2"/>
    <n v="1.0874999999999999"/>
    <n v="7.0000000000000007E-2"/>
    <n v="1.0150000000000001"/>
    <n v="0.49"/>
    <n v="500"/>
    <m/>
    <m/>
    <m/>
    <m/>
    <m/>
    <m/>
    <n v="500"/>
    <n v="57500"/>
    <n v="0"/>
    <n v="57500"/>
    <n v="10590.749999999998"/>
    <n v="0"/>
    <n v="10590.749999999998"/>
  </r>
  <r>
    <x v="0"/>
    <s v="BBUK"/>
    <s v="INDIA"/>
    <s v="UKS24M16208"/>
    <m/>
    <s v="100% COTTON JERSEY 190 GM/M2"/>
    <s v="KNIT"/>
    <s v="6109.10.0012"/>
    <n v="68"/>
    <n v="7.7765000000000013"/>
    <n v="5.9"/>
    <n v="0.16500000000000001"/>
    <n v="0.97350000000000014"/>
    <m/>
    <m/>
    <n v="7.0000000000000007E-2"/>
    <n v="0.41300000000000009"/>
    <n v="0.49"/>
    <n v="250"/>
    <n v="250"/>
    <m/>
    <m/>
    <m/>
    <m/>
    <m/>
    <n v="500"/>
    <n v="17000"/>
    <n v="17000"/>
    <n v="34000"/>
    <n v="1944.1250000000002"/>
    <n v="1944.1250000000002"/>
    <n v="3888.2500000000005"/>
  </r>
  <r>
    <x v="1"/>
    <s v="BBUK"/>
    <s v="CHINA"/>
    <s v="UKS24M10171"/>
    <m/>
    <s v="60% POLYESTER/40% COTTON DOUBLE FACE KNIT 280 GM/M2"/>
    <s v="KNIT"/>
    <s v="6103.43.1550"/>
    <n v="75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50"/>
    <n v="250"/>
    <m/>
    <m/>
    <m/>
    <m/>
    <m/>
    <n v="500"/>
    <n v="18750"/>
    <n v="18750"/>
    <n v="37500"/>
    <n v="4403.4999999999991"/>
    <n v="4403.4999999999991"/>
    <n v="8806.9999999999982"/>
  </r>
  <r>
    <x v="3"/>
    <s v="BBUK"/>
    <s v="INDIA"/>
    <s v="UKS24M14566"/>
    <m/>
    <s v="100% COTTON PIQUE 240 GM/M2"/>
    <s v="KNIT"/>
    <s v="6105.10.0010"/>
    <n v="68"/>
    <n v="11.5129"/>
    <n v="8.6999999999999993"/>
    <n v="0.19700000000000001"/>
    <n v="1.7139"/>
    <m/>
    <m/>
    <n v="7.0000000000000007E-2"/>
    <n v="0.60899999999999999"/>
    <n v="0.49"/>
    <n v="500"/>
    <n v="0"/>
    <m/>
    <m/>
    <m/>
    <m/>
    <m/>
    <n v="500"/>
    <n v="34000"/>
    <n v="0"/>
    <n v="34000"/>
    <n v="5756.45"/>
    <n v="0"/>
    <n v="5756.45"/>
  </r>
  <r>
    <x v="0"/>
    <s v="BBUK"/>
    <s v="INDIA"/>
    <s v="UKS24M14565"/>
    <m/>
    <s v="100% COTTON JERSEY 190 GM/M2"/>
    <s v="KNIT"/>
    <s v="6109.10.0012"/>
    <n v="48"/>
    <n v="7.5295000000000005"/>
    <n v="5.7"/>
    <n v="0.16500000000000001"/>
    <n v="0.94050000000000011"/>
    <m/>
    <m/>
    <n v="7.0000000000000007E-2"/>
    <n v="0.39900000000000008"/>
    <n v="0.49"/>
    <n v="500"/>
    <n v="0"/>
    <m/>
    <m/>
    <m/>
    <m/>
    <m/>
    <n v="500"/>
    <n v="24000"/>
    <n v="0"/>
    <n v="24000"/>
    <n v="3764.7500000000005"/>
    <n v="0"/>
    <n v="3764.7500000000005"/>
  </r>
  <r>
    <x v="0"/>
    <s v="BBUK"/>
    <s v="INDIA"/>
    <s v="UKS24M18387"/>
    <m/>
    <s v="100% COTTON JERSEY 190 GM/M2"/>
    <s v="KNIT"/>
    <s v="6109.10.0012"/>
    <n v="48"/>
    <n v="7.9"/>
    <n v="6"/>
    <n v="0.16500000000000001"/>
    <n v="0.99"/>
    <m/>
    <m/>
    <n v="7.0000000000000007E-2"/>
    <n v="0.42000000000000004"/>
    <n v="0.49"/>
    <n v="500"/>
    <n v="0"/>
    <m/>
    <m/>
    <m/>
    <m/>
    <m/>
    <n v="500"/>
    <n v="24000"/>
    <n v="0"/>
    <n v="24000"/>
    <n v="3950"/>
    <n v="0"/>
    <n v="3950"/>
  </r>
  <r>
    <x v="0"/>
    <s v="BBUK"/>
    <s v="INDIA"/>
    <s v="UKS24M18387"/>
    <m/>
    <s v="100% COTTON JERSEY 190 GM/M2"/>
    <s v="KNIT"/>
    <s v="6109.10.0012"/>
    <n v="48"/>
    <n v="7.9"/>
    <n v="6"/>
    <n v="0.16500000000000001"/>
    <n v="0.99"/>
    <m/>
    <m/>
    <n v="7.0000000000000007E-2"/>
    <n v="0.42000000000000004"/>
    <n v="0.49"/>
    <n v="500"/>
    <n v="0"/>
    <m/>
    <m/>
    <m/>
    <m/>
    <m/>
    <n v="500"/>
    <n v="24000"/>
    <n v="0"/>
    <n v="24000"/>
    <n v="3950"/>
    <n v="0"/>
    <n v="3950"/>
  </r>
  <r>
    <x v="10"/>
    <s v="BBUK"/>
    <s v="INDIA"/>
    <s v="UKS24M10151"/>
    <m/>
    <s v="100% COTTON 7 GG 4 ENDS"/>
    <s v="SWEATER S-3XL"/>
    <s v="6105.10.0010"/>
    <n v="125"/>
    <n v="24.760299999999997"/>
    <n v="19.899999999999999"/>
    <n v="0.19700000000000001"/>
    <n v="3.9202999999999997"/>
    <m/>
    <m/>
    <n v="7.0000000000000007E-2"/>
    <n v="0.45"/>
    <n v="0.49"/>
    <n v="500"/>
    <n v="0"/>
    <m/>
    <m/>
    <m/>
    <m/>
    <m/>
    <n v="500"/>
    <n v="62500"/>
    <n v="0"/>
    <n v="62500"/>
    <n v="12380.149999999998"/>
    <n v="0"/>
    <n v="12380.149999999998"/>
  </r>
  <r>
    <x v="4"/>
    <s v="BBUK"/>
    <s v="CHINA"/>
    <s v="UKS24M16204"/>
    <m/>
    <s v="60% POLYESTER/40% COTTON DOUBLE FACE KNIT 280 GM/M2"/>
    <s v="KNIT"/>
    <s v="6112.12.0010"/>
    <n v="140"/>
    <n v="26.889499999999998"/>
    <n v="18.5"/>
    <n v="0.28199999999999997"/>
    <n v="5.2169999999999996"/>
    <n v="7.4999999999999997E-2"/>
    <n v="1.3875"/>
    <n v="7.0000000000000007E-2"/>
    <n v="1.2950000000000002"/>
    <n v="0.49"/>
    <n v="600"/>
    <n v="400"/>
    <m/>
    <m/>
    <m/>
    <m/>
    <m/>
    <n v="1000"/>
    <n v="84000"/>
    <n v="56000"/>
    <n v="140000"/>
    <n v="16133.699999999999"/>
    <n v="10755.8"/>
    <n v="26889.5"/>
  </r>
  <r>
    <x v="5"/>
    <s v="BBUK"/>
    <s v="CHINA"/>
    <s v="UKS24M16248"/>
    <m/>
    <s v="60% POLYESTER/40% COTTON DOUBLE FACE KNIT 320 GM/M2"/>
    <s v="KNIT"/>
    <s v="6112.12.0050"/>
    <n v="125"/>
    <n v="21.538249999999998"/>
    <n v="14.75"/>
    <n v="0.28199999999999997"/>
    <n v="4.1594999999999995"/>
    <n v="7.4999999999999997E-2"/>
    <n v="1.10625"/>
    <n v="7.0000000000000007E-2"/>
    <n v="1.0325000000000002"/>
    <n v="0.49"/>
    <n v="600"/>
    <n v="400"/>
    <m/>
    <m/>
    <m/>
    <m/>
    <m/>
    <n v="1000"/>
    <n v="75000"/>
    <n v="50000"/>
    <n v="125000"/>
    <n v="12922.949999999999"/>
    <n v="8615.2999999999993"/>
    <n v="21538.25"/>
  </r>
  <r>
    <x v="4"/>
    <s v="BBUK"/>
    <s v="CHINA"/>
    <s v="UKS24M16204"/>
    <m/>
    <s v="60% POLYESTER/40% COTTON DOUBLE FACE KNIT 280 GM/M2"/>
    <s v="KNIT"/>
    <s v="6112.12.0010"/>
    <n v="140"/>
    <n v="26.889499999999998"/>
    <n v="18.5"/>
    <n v="0.28199999999999997"/>
    <n v="5.2169999999999996"/>
    <n v="7.4999999999999997E-2"/>
    <n v="1.3875"/>
    <n v="7.0000000000000007E-2"/>
    <n v="1.2950000000000002"/>
    <n v="0.49"/>
    <n v="800"/>
    <n v="500"/>
    <m/>
    <m/>
    <m/>
    <m/>
    <m/>
    <n v="1300"/>
    <n v="112000"/>
    <n v="70000"/>
    <n v="182000"/>
    <n v="21511.599999999999"/>
    <n v="13444.75"/>
    <n v="34956.35"/>
  </r>
  <r>
    <x v="5"/>
    <s v="BBUK"/>
    <s v="CHINA"/>
    <s v="UKS24M16248"/>
    <m/>
    <s v="60% POLYESTER/40% COTTON DOUBLE FACE KNIT 320 GM/M2"/>
    <s v="KNIT"/>
    <s v="6112.12.0050"/>
    <n v="125"/>
    <n v="21.538249999999998"/>
    <n v="14.75"/>
    <n v="0.28199999999999997"/>
    <n v="4.1594999999999995"/>
    <n v="7.4999999999999997E-2"/>
    <n v="1.10625"/>
    <n v="7.0000000000000007E-2"/>
    <n v="1.0325000000000002"/>
    <n v="0.49"/>
    <n v="800"/>
    <n v="500"/>
    <m/>
    <m/>
    <m/>
    <m/>
    <m/>
    <n v="1300"/>
    <n v="100000"/>
    <n v="62500"/>
    <n v="162500"/>
    <n v="17230.599999999999"/>
    <n v="10769.124999999998"/>
    <n v="27999.724999999999"/>
  </r>
  <r>
    <x v="4"/>
    <s v="BBUK"/>
    <s v="CHINA"/>
    <s v="UKS24M27300"/>
    <m/>
    <s v="60% POLYESTER/40% COTTON DOUBLE FACE KNIT 280 GM/M2"/>
    <s v="KNIT"/>
    <s v="6112.12.0010"/>
    <n v="140"/>
    <n v="30.171599999999998"/>
    <n v="20.8"/>
    <n v="0.28199999999999997"/>
    <n v="5.8655999999999997"/>
    <n v="7.4999999999999997E-2"/>
    <n v="1.56"/>
    <n v="7.0000000000000007E-2"/>
    <n v="1.4560000000000002"/>
    <n v="0.49"/>
    <n v="600"/>
    <n v="500"/>
    <m/>
    <m/>
    <m/>
    <m/>
    <m/>
    <n v="1100"/>
    <n v="84000"/>
    <n v="70000"/>
    <n v="154000"/>
    <n v="18102.96"/>
    <n v="15085.8"/>
    <n v="33188.759999999995"/>
  </r>
  <r>
    <x v="5"/>
    <s v="BBUK"/>
    <s v="CHINA"/>
    <s v="UKS24M27301"/>
    <m/>
    <s v="60% POLYESTER/40% COTTON DOUBLE FACE KNIT 320 GM/M2"/>
    <s v="KNIT"/>
    <s v="6112.12.0050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600"/>
    <n v="500"/>
    <m/>
    <m/>
    <m/>
    <m/>
    <m/>
    <n v="1100"/>
    <n v="75000"/>
    <n v="62500"/>
    <n v="137500"/>
    <n v="15277.5"/>
    <n v="12731.25"/>
    <n v="28008.75"/>
  </r>
  <r>
    <x v="4"/>
    <s v="BBUK"/>
    <s v="CHINA"/>
    <s v="UKS24M27300"/>
    <m/>
    <s v="60% POLYESTER/40% COTTON DOUBLE FACE KNIT 280 GM/M2"/>
    <s v="KNIT"/>
    <s v="6112.12.0010"/>
    <n v="140"/>
    <n v="30.171599999999998"/>
    <n v="20.8"/>
    <n v="0.28199999999999997"/>
    <n v="5.8655999999999997"/>
    <n v="7.4999999999999997E-2"/>
    <n v="1.56"/>
    <n v="7.0000000000000007E-2"/>
    <n v="1.4560000000000002"/>
    <n v="0.49"/>
    <n v="800"/>
    <n v="600"/>
    <m/>
    <m/>
    <m/>
    <m/>
    <m/>
    <n v="1400"/>
    <n v="112000"/>
    <n v="84000"/>
    <n v="196000"/>
    <n v="24137.279999999999"/>
    <n v="18102.96"/>
    <n v="42240.24"/>
  </r>
  <r>
    <x v="5"/>
    <s v="BBUK"/>
    <s v="CHINA"/>
    <s v="UKS24M27301"/>
    <m/>
    <s v="60% POLYESTER/40% COTTON DOUBLE FACE KNIT 320 GM/M2"/>
    <s v="KNIT"/>
    <s v="6112.12.0050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800"/>
    <n v="600"/>
    <m/>
    <m/>
    <m/>
    <m/>
    <m/>
    <n v="1400"/>
    <n v="100000"/>
    <n v="75000"/>
    <n v="175000"/>
    <n v="20370"/>
    <n v="15277.5"/>
    <n v="35647.5"/>
  </r>
  <r>
    <x v="4"/>
    <s v="BBUK"/>
    <s v="CHINA"/>
    <s v="UKS24M27300"/>
    <m/>
    <s v="60% POLYESTER/40% COTTON DOUBLE FACE KNIT 280 GM/M2"/>
    <s v="KNIT"/>
    <s v="6112.12.0010"/>
    <n v="140"/>
    <n v="30.171599999999998"/>
    <n v="20.8"/>
    <n v="0.28199999999999997"/>
    <n v="5.8655999999999997"/>
    <n v="7.4999999999999997E-2"/>
    <n v="1.56"/>
    <n v="7.0000000000000007E-2"/>
    <n v="1.4560000000000002"/>
    <n v="0.49"/>
    <n v="400"/>
    <n v="250"/>
    <m/>
    <m/>
    <m/>
    <m/>
    <m/>
    <n v="650"/>
    <n v="56000"/>
    <n v="35000"/>
    <n v="91000"/>
    <n v="12068.64"/>
    <n v="7542.9"/>
    <n v="19611.54"/>
  </r>
  <r>
    <x v="5"/>
    <s v="BBUK"/>
    <s v="CHINA"/>
    <s v="UKS24M27301"/>
    <m/>
    <s v="60% POLYESTER/40% COTTON DOUBLE FACE KNIT 320 GM/M2"/>
    <s v="KNIT"/>
    <s v="6112.12.0050"/>
    <n v="125"/>
    <n v="25.462499999999999"/>
    <n v="17.5"/>
    <n v="0.28199999999999997"/>
    <n v="4.9349999999999996"/>
    <n v="7.4999999999999997E-2"/>
    <n v="1.3125"/>
    <n v="7.0000000000000007E-2"/>
    <n v="1.2250000000000001"/>
    <n v="0.49"/>
    <n v="400"/>
    <n v="250"/>
    <m/>
    <m/>
    <m/>
    <m/>
    <m/>
    <n v="650"/>
    <n v="50000"/>
    <n v="31250"/>
    <n v="81250"/>
    <n v="10185"/>
    <n v="6365.625"/>
    <n v="16550.625"/>
  </r>
  <r>
    <x v="4"/>
    <s v="PORTA ASIATACA"/>
    <s v="CHINA"/>
    <s v="STS24W50856"/>
    <m/>
    <s v="93% POLYESTER/7% SPANDEX 300 GM/M2 VELOUR"/>
    <s v="KNIT"/>
    <s v="6112.12.0020"/>
    <n v="150"/>
    <n v="27.602999999999998"/>
    <n v="19"/>
    <n v="0.28199999999999997"/>
    <n v="5.3579999999999997"/>
    <n v="7.4999999999999997E-2"/>
    <n v="1.425"/>
    <n v="7.0000000000000007E-2"/>
    <n v="1.33"/>
    <n v="0.49"/>
    <n v="350"/>
    <n v="150"/>
    <m/>
    <m/>
    <m/>
    <m/>
    <m/>
    <n v="500"/>
    <n v="52500"/>
    <n v="22500"/>
    <n v="75000"/>
    <n v="9661.0499999999993"/>
    <n v="4140.45"/>
    <n v="13801.5"/>
  </r>
  <r>
    <x v="5"/>
    <s v="PORTA ASIATACA"/>
    <s v="CHINA"/>
    <s v="STS24W50770"/>
    <m/>
    <s v="93% POLYESTER/7% SPANDEX 300 GM/M2 VELOUR"/>
    <s v="KNIT"/>
    <s v="6112.12.006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350"/>
    <n v="150"/>
    <m/>
    <m/>
    <m/>
    <m/>
    <m/>
    <n v="500"/>
    <n v="43750"/>
    <n v="18750"/>
    <n v="62500"/>
    <n v="8162.7"/>
    <n v="3498.2999999999997"/>
    <n v="11661"/>
  </r>
  <r>
    <x v="4"/>
    <s v="PORTA ASIATACA"/>
    <s v="CHINA"/>
    <s v="STS24W50856"/>
    <m/>
    <s v="93% POLYESTER/7% SPANDEX 300 GM/M2 VELOUR"/>
    <s v="KNIT"/>
    <s v="6112.12.0020"/>
    <n v="150"/>
    <n v="27.602999999999998"/>
    <n v="19"/>
    <n v="0.28199999999999997"/>
    <n v="5.3579999999999997"/>
    <n v="7.4999999999999997E-2"/>
    <n v="1.425"/>
    <n v="7.0000000000000007E-2"/>
    <n v="1.33"/>
    <n v="0.49"/>
    <n v="350"/>
    <n v="150"/>
    <m/>
    <m/>
    <m/>
    <m/>
    <m/>
    <n v="500"/>
    <n v="52500"/>
    <n v="22500"/>
    <n v="75000"/>
    <n v="9661.0499999999993"/>
    <n v="4140.45"/>
    <n v="13801.5"/>
  </r>
  <r>
    <x v="5"/>
    <s v="PORTA ASIATACA"/>
    <s v="CHINA"/>
    <s v="STS24W50770"/>
    <m/>
    <s v="93% POLYESTER/7% SPANDEX 300 GM/M2 VELOUR"/>
    <s v="KNIT"/>
    <s v="6112.12.0060"/>
    <n v="125"/>
    <n v="23.321999999999999"/>
    <n v="16"/>
    <n v="0.28199999999999997"/>
    <n v="4.5119999999999996"/>
    <n v="7.4999999999999997E-2"/>
    <n v="1.2"/>
    <n v="7.0000000000000007E-2"/>
    <n v="1.1200000000000001"/>
    <n v="0.49"/>
    <n v="350"/>
    <n v="150"/>
    <m/>
    <m/>
    <m/>
    <m/>
    <m/>
    <n v="500"/>
    <n v="43750"/>
    <n v="18750"/>
    <n v="62500"/>
    <n v="8162.7"/>
    <n v="3498.2999999999997"/>
    <n v="11661"/>
  </r>
  <r>
    <x v="2"/>
    <s v="SARA"/>
    <s v="BANGLADESH"/>
    <s v="STS24W50749"/>
    <m/>
    <s v="100% COTTON FRENCH TERRY 360 GM/M2 PEACHED"/>
    <s v="KNIT"/>
    <s v="6110.20.2079"/>
    <n v="88"/>
    <n v="14.620000000000001"/>
    <n v="12"/>
    <n v="0.16500000000000001"/>
    <n v="1.98"/>
    <m/>
    <m/>
    <n v="7.0000000000000007E-2"/>
    <n v="0.15"/>
    <n v="0.49"/>
    <n v="250"/>
    <n v="250"/>
    <m/>
    <m/>
    <m/>
    <m/>
    <m/>
    <n v="500"/>
    <n v="22000"/>
    <n v="22000"/>
    <n v="44000"/>
    <n v="3655.0000000000005"/>
    <n v="3655.0000000000005"/>
    <n v="7310.0000000000009"/>
  </r>
  <r>
    <x v="13"/>
    <s v="SARA"/>
    <s v="BANGLADESH"/>
    <s v="STS24W50764"/>
    <m/>
    <s v="100% COTTON FRENCH TERRY 360 GM/M2 PEACHED"/>
    <s v="KNIT"/>
    <s v="6104.62.2011"/>
    <n v="88"/>
    <n v="16.658749999999998"/>
    <n v="13.75"/>
    <n v="0.16500000000000001"/>
    <n v="2.2687500000000003"/>
    <m/>
    <m/>
    <n v="7.0000000000000007E-2"/>
    <n v="0.15"/>
    <n v="0.49"/>
    <n v="250"/>
    <n v="250"/>
    <m/>
    <m/>
    <m/>
    <m/>
    <m/>
    <n v="500"/>
    <n v="22000"/>
    <n v="22000"/>
    <n v="44000"/>
    <n v="4164.6874999999991"/>
    <n v="4164.6874999999991"/>
    <n v="8329.3749999999982"/>
  </r>
  <r>
    <x v="2"/>
    <s v="SARA"/>
    <s v="BANGLADESH"/>
    <s v="STS24W50749"/>
    <m/>
    <s v="100% COTTON FRENCH TERRY 360 GM/M2 PEACHED"/>
    <s v="KNIT"/>
    <s v="6110.20.2079"/>
    <n v="88"/>
    <n v="14.620000000000001"/>
    <n v="12"/>
    <n v="0.16500000000000001"/>
    <n v="1.98"/>
    <m/>
    <m/>
    <n v="7.0000000000000007E-2"/>
    <n v="0.15"/>
    <n v="0.49"/>
    <n v="250"/>
    <n v="250"/>
    <m/>
    <m/>
    <m/>
    <m/>
    <m/>
    <n v="500"/>
    <n v="22000"/>
    <n v="22000"/>
    <n v="44000"/>
    <n v="3655.0000000000005"/>
    <n v="3655.0000000000005"/>
    <n v="7310.0000000000009"/>
  </r>
  <r>
    <x v="13"/>
    <s v="SARA"/>
    <s v="BANGLADESH"/>
    <s v="STS24W50764"/>
    <m/>
    <s v="100% COTTON FRENCH TERRY 360 GM/M2 PEACHED"/>
    <s v="KNIT"/>
    <s v="6104.62.2011"/>
    <n v="88"/>
    <n v="16.658749999999998"/>
    <n v="13.75"/>
    <n v="0.16500000000000001"/>
    <n v="2.2687500000000003"/>
    <m/>
    <m/>
    <n v="7.0000000000000007E-2"/>
    <n v="0.15"/>
    <n v="0.49"/>
    <n v="250"/>
    <n v="250"/>
    <m/>
    <m/>
    <m/>
    <m/>
    <m/>
    <n v="500"/>
    <n v="22000"/>
    <n v="22000"/>
    <n v="44000"/>
    <n v="4164.6874999999991"/>
    <n v="4164.6874999999991"/>
    <n v="8329.3749999999982"/>
  </r>
  <r>
    <x v="4"/>
    <s v="PORTA ASIATACA"/>
    <s v="CHINA"/>
    <s v="STS24W50744"/>
    <m/>
    <s v="75% COTTON/25% POLYESTER TERRY 230 GM/M2"/>
    <s v="KNIT"/>
    <s v="6112.11.0020"/>
    <n v="135"/>
    <n v="22.751999999999999"/>
    <n v="18"/>
    <n v="0.14899999999999999"/>
    <n v="2.6819999999999999"/>
    <n v="7.4999999999999997E-2"/>
    <n v="1.3499999999999999"/>
    <n v="7.0000000000000007E-2"/>
    <n v="0.23"/>
    <n v="0.49"/>
    <n v="250"/>
    <n v="250"/>
    <m/>
    <m/>
    <m/>
    <m/>
    <m/>
    <n v="500"/>
    <n v="33750"/>
    <n v="33750"/>
    <n v="67500"/>
    <n v="5688"/>
    <n v="5688"/>
    <n v="11376"/>
  </r>
  <r>
    <x v="14"/>
    <s v="PORTA ASIATACA"/>
    <s v="CHINA"/>
    <s v="STS24W50740"/>
    <m/>
    <s v="75% COTTON/25% POLYESTER TERRY 230 GM/M2"/>
    <s v="KNIT"/>
    <s v="6104.42.0010"/>
    <n v="108"/>
    <n v="17.320499999999999"/>
    <n v="13.95"/>
    <n v="0.115"/>
    <n v="1.60425"/>
    <n v="7.4999999999999997E-2"/>
    <n v="1.0462499999999999"/>
    <n v="7.0000000000000007E-2"/>
    <n v="0.23"/>
    <n v="0.49"/>
    <n v="250"/>
    <n v="250"/>
    <m/>
    <m/>
    <m/>
    <m/>
    <m/>
    <n v="500"/>
    <n v="27000"/>
    <n v="27000"/>
    <n v="54000"/>
    <n v="4330.125"/>
    <n v="4330.125"/>
    <n v="8660.25"/>
  </r>
  <r>
    <x v="15"/>
    <s v="PORTA ASIATACA"/>
    <s v="CHINA"/>
    <s v="STS24W50743"/>
    <m/>
    <s v="75% COTTON/25% POLYESTER TERRY 230 GM/M2"/>
    <s v="KNIT"/>
    <s v="6110.20.2035"/>
    <n v="68"/>
    <n v="10.950000000000001"/>
    <n v="8.25"/>
    <n v="0.16500000000000001"/>
    <n v="1.3612500000000001"/>
    <n v="7.4999999999999997E-2"/>
    <n v="0.61875000000000002"/>
    <n v="7.0000000000000007E-2"/>
    <n v="0.23"/>
    <n v="0.49"/>
    <n v="250"/>
    <n v="250"/>
    <m/>
    <m/>
    <m/>
    <m/>
    <m/>
    <n v="500"/>
    <n v="17000"/>
    <n v="17000"/>
    <n v="34000"/>
    <n v="2737.5000000000005"/>
    <n v="2737.5000000000005"/>
    <n v="5475.0000000000009"/>
  </r>
  <r>
    <x v="1"/>
    <s v="PORTA ASIATACA"/>
    <s v="CHINA"/>
    <s v="STS24W50742"/>
    <m/>
    <s v="75% COTTON/25% POLYESTER TERRY 230 GM/M2"/>
    <s v="KNIT"/>
    <s v="6104.62.2030"/>
    <n v="78"/>
    <n v="12.96"/>
    <n v="10"/>
    <n v="0.14899999999999999"/>
    <n v="1.49"/>
    <n v="7.4999999999999997E-2"/>
    <n v="0.75"/>
    <n v="7.0000000000000007E-2"/>
    <n v="0.23"/>
    <n v="0.49"/>
    <n v="250"/>
    <n v="250"/>
    <m/>
    <m/>
    <m/>
    <m/>
    <m/>
    <n v="500"/>
    <n v="19500"/>
    <n v="19500"/>
    <n v="39000"/>
    <n v="3240"/>
    <n v="3240"/>
    <n v="6480"/>
  </r>
  <r>
    <x v="4"/>
    <s v="PORTA ASIATACA"/>
    <s v="CHINA"/>
    <s v="STS24W50744"/>
    <m/>
    <s v="75% COTTON/25% POLYESTER TERRY 230 GM/M2"/>
    <s v="KNIT"/>
    <s v="6112.11.0020"/>
    <n v="135"/>
    <n v="22.751999999999999"/>
    <n v="18"/>
    <n v="0.14899999999999999"/>
    <n v="2.6819999999999999"/>
    <n v="7.4999999999999997E-2"/>
    <n v="1.3499999999999999"/>
    <n v="7.0000000000000007E-2"/>
    <n v="0.23"/>
    <n v="0.49"/>
    <n v="250"/>
    <n v="250"/>
    <m/>
    <m/>
    <m/>
    <m/>
    <m/>
    <n v="500"/>
    <n v="33750"/>
    <n v="33750"/>
    <n v="67500"/>
    <n v="5688"/>
    <n v="5688"/>
    <n v="11376"/>
  </r>
  <r>
    <x v="14"/>
    <s v="PORTA ASIATACA"/>
    <s v="CHINA"/>
    <s v="STS24W50740"/>
    <m/>
    <s v="75% COTTON/25% POLYESTER TERRY 230 GM/M2"/>
    <s v="KNIT"/>
    <s v="6104.42.0010"/>
    <n v="108"/>
    <n v="17.320499999999999"/>
    <n v="13.95"/>
    <n v="0.115"/>
    <n v="1.60425"/>
    <n v="7.4999999999999997E-2"/>
    <n v="1.0462499999999999"/>
    <n v="7.0000000000000007E-2"/>
    <n v="0.23"/>
    <n v="0.49"/>
    <n v="250"/>
    <n v="250"/>
    <m/>
    <m/>
    <m/>
    <m/>
    <m/>
    <n v="500"/>
    <n v="27000"/>
    <n v="27000"/>
    <n v="54000"/>
    <n v="4330.125"/>
    <n v="4330.125"/>
    <n v="8660.25"/>
  </r>
  <r>
    <x v="15"/>
    <s v="PORTA ASIATACA"/>
    <s v="CHINA"/>
    <s v="STS24W50743"/>
    <m/>
    <s v="75% COTTON/25% POLYESTER TERRY 230 GM/M2"/>
    <s v="KNIT"/>
    <s v="6110.20.2035"/>
    <n v="68"/>
    <n v="10.950000000000001"/>
    <n v="8.25"/>
    <n v="0.16500000000000001"/>
    <n v="1.3612500000000001"/>
    <n v="7.4999999999999997E-2"/>
    <n v="0.61875000000000002"/>
    <n v="7.0000000000000007E-2"/>
    <n v="0.23"/>
    <n v="0.49"/>
    <n v="250"/>
    <n v="250"/>
    <m/>
    <m/>
    <m/>
    <m/>
    <m/>
    <n v="500"/>
    <n v="17000"/>
    <n v="17000"/>
    <n v="34000"/>
    <n v="2737.5000000000005"/>
    <n v="2737.5000000000005"/>
    <n v="5475.0000000000009"/>
  </r>
  <r>
    <x v="1"/>
    <s v="PORTA ASIATACA"/>
    <s v="CHINA"/>
    <s v="STS24W50742"/>
    <m/>
    <s v="75% COTTON/25% POLYESTER TERRY 230 GM/M2"/>
    <s v="KNIT"/>
    <s v="6104.62.2030"/>
    <n v="78"/>
    <n v="12.96"/>
    <n v="10"/>
    <n v="0.14899999999999999"/>
    <n v="1.49"/>
    <n v="7.4999999999999997E-2"/>
    <n v="0.75"/>
    <n v="7.0000000000000007E-2"/>
    <n v="0.23"/>
    <n v="0.49"/>
    <n v="250"/>
    <n v="250"/>
    <m/>
    <m/>
    <m/>
    <m/>
    <m/>
    <n v="500"/>
    <n v="19500"/>
    <n v="19500"/>
    <n v="39000"/>
    <n v="3240"/>
    <n v="3240"/>
    <n v="6480"/>
  </r>
  <r>
    <x v="4"/>
    <s v="PORTA ASIATACA"/>
    <s v="CHINA"/>
    <s v="STS24W50777"/>
    <m/>
    <s v="93% POLYESTER/7% SPANDEX 300 GM/M2 VELOUR"/>
    <s v="KNIT"/>
    <s v="6112.12.0020"/>
    <n v="150"/>
    <n v="28.538499999999999"/>
    <n v="20.5"/>
    <n v="0.28199999999999997"/>
    <n v="5.7809999999999997"/>
    <n v="7.4999999999999997E-2"/>
    <n v="1.5374999999999999"/>
    <n v="7.0000000000000007E-2"/>
    <n v="0.23"/>
    <n v="0.49"/>
    <n v="250"/>
    <n v="250"/>
    <m/>
    <m/>
    <m/>
    <m/>
    <m/>
    <n v="500"/>
    <n v="37500"/>
    <n v="37500"/>
    <n v="75000"/>
    <n v="7134.625"/>
    <n v="7134.625"/>
    <n v="14269.25"/>
  </r>
  <r>
    <x v="5"/>
    <s v="PORTA ASIATACA"/>
    <s v="CHINA"/>
    <s v="STS24W50778"/>
    <m/>
    <s v="93% POLYESTER/7% SPANDEX 300 GM/M2 VELOUR"/>
    <s v="KNIT"/>
    <s v="6112.12.0060"/>
    <n v="125"/>
    <n v="24.263949999999998"/>
    <n v="17.350000000000001"/>
    <n v="0.28199999999999997"/>
    <n v="4.8926999999999996"/>
    <n v="7.4999999999999997E-2"/>
    <n v="1.30125"/>
    <n v="7.0000000000000007E-2"/>
    <n v="0.23"/>
    <n v="0.49"/>
    <n v="250"/>
    <n v="250"/>
    <m/>
    <m/>
    <m/>
    <m/>
    <m/>
    <n v="500"/>
    <n v="31250"/>
    <n v="31250"/>
    <n v="62500"/>
    <n v="6065.9874999999993"/>
    <n v="6065.9874999999993"/>
    <n v="12131.974999999999"/>
  </r>
  <r>
    <x v="3"/>
    <s v="PORTA ASIATACA"/>
    <s v="CHINA"/>
    <s v="STS24W50858"/>
    <m/>
    <s v="93% POLYESTER/7% SPANDEX 300 GM/M2 VELOUR"/>
    <s v="KNIT"/>
    <s v="6109.10.0060"/>
    <n v="125"/>
    <n v="19.718"/>
    <n v="14"/>
    <n v="0.28199999999999997"/>
    <n v="3.9479999999999995"/>
    <n v="7.4999999999999997E-2"/>
    <n v="1.05"/>
    <n v="7.0000000000000007E-2"/>
    <n v="0.23"/>
    <n v="0.49"/>
    <n v="200"/>
    <n v="200"/>
    <m/>
    <n v="150"/>
    <m/>
    <m/>
    <m/>
    <n v="550"/>
    <n v="25000"/>
    <n v="43750"/>
    <n v="68750"/>
    <n v="3943.6"/>
    <n v="6043.6"/>
    <n v="9987.2000000000007"/>
  </r>
  <r>
    <x v="1"/>
    <s v="PORTA ASIATACA"/>
    <s v="CHINA"/>
    <s v="STS24W50779"/>
    <m/>
    <s v="93% POLYESTER/7% SPANDEX 300 GM/M2 VELOUR"/>
    <s v="KNIT"/>
    <s v="6104.63.2030"/>
    <n v="98"/>
    <n v="19.4466"/>
    <n v="13.8"/>
    <n v="0.28199999999999997"/>
    <n v="3.8915999999999999"/>
    <n v="7.4999999999999997E-2"/>
    <n v="1.0349999999999999"/>
    <n v="7.0000000000000007E-2"/>
    <n v="0.23"/>
    <n v="0.49"/>
    <n v="200"/>
    <n v="200"/>
    <m/>
    <n v="90"/>
    <m/>
    <m/>
    <m/>
    <n v="490"/>
    <n v="19600"/>
    <n v="28420"/>
    <n v="48020"/>
    <n v="3889.32"/>
    <n v="5131.32"/>
    <n v="9020.64"/>
  </r>
  <r>
    <x v="4"/>
    <s v="HESRRO"/>
    <s v="CHINA"/>
    <s v="STS24W50755"/>
    <m/>
    <s v="100% POLYESTER TWILL 220 GM/M2"/>
    <s v="KNIT"/>
    <s v="6112.12.0020"/>
    <n v="135"/>
    <n v="17.413249999999998"/>
    <n v="12.25"/>
    <n v="0.28199999999999997"/>
    <n v="3.4544999999999995"/>
    <n v="7.4999999999999997E-2"/>
    <n v="0.91874999999999996"/>
    <n v="7.0000000000000007E-2"/>
    <n v="0.3"/>
    <n v="0.49"/>
    <n v="250"/>
    <n v="250"/>
    <m/>
    <m/>
    <m/>
    <m/>
    <m/>
    <n v="500"/>
    <n v="33750"/>
    <n v="33750"/>
    <n v="67500"/>
    <n v="4353.3124999999991"/>
    <n v="4353.3124999999991"/>
    <n v="8706.6249999999982"/>
  </r>
  <r>
    <x v="5"/>
    <s v="HESRRO"/>
    <s v="CHINA"/>
    <s v="STS24W50756"/>
    <m/>
    <s v="100% POLYESTER TWILL 220 GM/M2"/>
    <s v="KNIT"/>
    <s v="6112.12.0060"/>
    <n v="105"/>
    <n v="14.699250000000001"/>
    <n v="10.25"/>
    <n v="0.28199999999999997"/>
    <n v="2.8904999999999998"/>
    <n v="7.4999999999999997E-2"/>
    <n v="0.76874999999999993"/>
    <n v="7.0000000000000007E-2"/>
    <n v="0.3"/>
    <n v="0.49"/>
    <n v="250"/>
    <n v="250"/>
    <m/>
    <m/>
    <m/>
    <m/>
    <m/>
    <n v="500"/>
    <n v="26250"/>
    <n v="26250"/>
    <n v="52500"/>
    <n v="3674.8125000000005"/>
    <n v="3674.8125000000005"/>
    <n v="7349.6250000000009"/>
  </r>
  <r>
    <x v="4"/>
    <s v="HESRRO"/>
    <s v="CHINA"/>
    <s v="STS24W50755"/>
    <m/>
    <s v="100% POLYESTER TWILL 220 GM/M2"/>
    <s v="KNIT"/>
    <s v="6112.12.0020"/>
    <n v="135"/>
    <n v="17.413249999999998"/>
    <n v="12.25"/>
    <n v="0.28199999999999997"/>
    <n v="3.4544999999999995"/>
    <n v="7.4999999999999997E-2"/>
    <n v="0.91874999999999996"/>
    <n v="7.0000000000000007E-2"/>
    <n v="0.3"/>
    <n v="0.49"/>
    <n v="250"/>
    <n v="250"/>
    <m/>
    <m/>
    <m/>
    <m/>
    <m/>
    <n v="500"/>
    <n v="33750"/>
    <n v="33750"/>
    <n v="67500"/>
    <n v="4353.3124999999991"/>
    <n v="4353.3124999999991"/>
    <n v="8706.6249999999982"/>
  </r>
  <r>
    <x v="5"/>
    <s v="HESRRO"/>
    <s v="CHINA"/>
    <s v="STS24W50756"/>
    <m/>
    <s v="100% POLYESTER TWILL 220 GM/M2"/>
    <s v="KNIT"/>
    <s v="6112.12.0060"/>
    <n v="105"/>
    <n v="14.699250000000001"/>
    <n v="10.25"/>
    <n v="0.28199999999999997"/>
    <n v="2.8904999999999998"/>
    <n v="7.4999999999999997E-2"/>
    <n v="0.76874999999999993"/>
    <n v="7.0000000000000007E-2"/>
    <n v="0.3"/>
    <n v="0.49"/>
    <n v="250"/>
    <n v="250"/>
    <m/>
    <m/>
    <m/>
    <m/>
    <m/>
    <n v="500"/>
    <n v="26250"/>
    <n v="26250"/>
    <n v="52500"/>
    <n v="3674.8125000000005"/>
    <n v="3674.8125000000005"/>
    <n v="7349.6250000000009"/>
  </r>
  <r>
    <x v="4"/>
    <s v="HESRRO"/>
    <s v="CHINA"/>
    <s v="STS24W50805"/>
    <m/>
    <s v="100% NYLON 48 GM/M2"/>
    <s v="WOVEN"/>
    <s v="6202.40.7511"/>
    <n v="125"/>
    <n v="22.422000000000001"/>
    <n v="16"/>
    <n v="0.27700000000000002"/>
    <n v="4.4320000000000004"/>
    <n v="7.4999999999999997E-2"/>
    <n v="1.2"/>
    <n v="7.0000000000000007E-2"/>
    <n v="0.3"/>
    <n v="0.49"/>
    <n v="200"/>
    <n v="200"/>
    <m/>
    <m/>
    <m/>
    <m/>
    <m/>
    <n v="400"/>
    <n v="25000"/>
    <n v="25000"/>
    <n v="50000"/>
    <n v="4484.4000000000005"/>
    <n v="4484.4000000000005"/>
    <n v="8968.8000000000011"/>
  </r>
  <r>
    <x v="1"/>
    <s v="HESRRO"/>
    <s v="CHINA"/>
    <s v="STS24W50791"/>
    <m/>
    <s v="100% NYLON 48 GM/M2"/>
    <s v="WOVEN"/>
    <s v="6204.63.9032"/>
    <n v="68"/>
    <n v="12.766800000000002"/>
    <n v="8.8000000000000007"/>
    <n v="0.28599999999999998"/>
    <n v="2.5167999999999999"/>
    <n v="7.4999999999999997E-2"/>
    <n v="0.66"/>
    <n v="7.0000000000000007E-2"/>
    <n v="0.3"/>
    <n v="0.49"/>
    <n v="200"/>
    <n v="200"/>
    <m/>
    <m/>
    <m/>
    <m/>
    <m/>
    <n v="400"/>
    <n v="13600"/>
    <n v="13600"/>
    <n v="27200"/>
    <n v="2553.36"/>
    <n v="2553.36"/>
    <n v="5106.72"/>
  </r>
  <r>
    <x v="5"/>
    <s v="HESRRO"/>
    <s v="CHINA"/>
    <s v="STS24W50870"/>
    <m/>
    <s v="100% CRINKLE NYLON 86 GM/M2"/>
    <s v="WOVEN"/>
    <s v="6203.43.9011"/>
    <n v="78"/>
    <n v="17.345399999999998"/>
    <n v="12.2"/>
    <n v="0.28199999999999997"/>
    <n v="3.4403999999999995"/>
    <n v="7.4999999999999997E-2"/>
    <n v="0.91499999999999992"/>
    <n v="7.0000000000000007E-2"/>
    <n v="0.3"/>
    <n v="0.49"/>
    <n v="200"/>
    <n v="200"/>
    <m/>
    <m/>
    <m/>
    <m/>
    <m/>
    <n v="400"/>
    <n v="15600"/>
    <n v="15600"/>
    <n v="31200"/>
    <n v="3469.0799999999995"/>
    <n v="3469.0799999999995"/>
    <n v="6938.1599999999989"/>
  </r>
  <r>
    <x v="4"/>
    <s v="MEGA"/>
    <s v="CHINA"/>
    <s v="STS24W50793"/>
    <m/>
    <s v="100% POLYESTER MESH 78 GM/M2"/>
    <s v="KNIT"/>
    <s v="6112.12.0020"/>
    <n v="125"/>
    <n v="15.758899999999999"/>
    <n v="10.7"/>
    <n v="0.28199999999999997"/>
    <n v="3.0173999999999994"/>
    <n v="7.4999999999999997E-2"/>
    <n v="0.80249999999999988"/>
    <n v="7.0000000000000007E-2"/>
    <n v="0.749"/>
    <n v="0.49"/>
    <n v="250"/>
    <n v="250"/>
    <m/>
    <m/>
    <m/>
    <m/>
    <m/>
    <n v="500"/>
    <n v="31250"/>
    <n v="31250"/>
    <n v="62500"/>
    <n v="3939.7249999999999"/>
    <n v="3939.7249999999999"/>
    <n v="7879.45"/>
  </r>
  <r>
    <x v="16"/>
    <s v="MEGA"/>
    <s v="CHINA"/>
    <s v="STS24W50794"/>
    <m/>
    <s v="100% POLYESTER MESH 78 GM/M2"/>
    <s v="KNIT"/>
    <s v="6104.53.2010"/>
    <n v="88"/>
    <n v="15.4975"/>
    <n v="11.5"/>
    <n v="0.16"/>
    <n v="1.84"/>
    <n v="7.4999999999999997E-2"/>
    <n v="0.86249999999999993"/>
    <n v="7.0000000000000007E-2"/>
    <n v="0.80500000000000005"/>
    <n v="0.49"/>
    <n v="250"/>
    <n v="250"/>
    <m/>
    <m/>
    <m/>
    <m/>
    <m/>
    <n v="500"/>
    <n v="22000"/>
    <n v="22000"/>
    <n v="44000"/>
    <n v="3874.375"/>
    <n v="3874.375"/>
    <n v="7748.75"/>
  </r>
  <r>
    <x v="14"/>
    <s v="MEGA"/>
    <s v="CHINA"/>
    <s v="STS24W50781"/>
    <m/>
    <s v="TOP: 85% POLYAMIDE/15% SPANDEX COURT POLY PIQUE 175 GM/M2_x000a_SKIRT BODY: 90% POLYESTER/10% SPANDEX 110 GM/M2"/>
    <s v="KNIT"/>
    <s v="6104.43.2010"/>
    <n v="98"/>
    <n v="18.107499999999998"/>
    <n v="13.5"/>
    <n v="0.16"/>
    <n v="2.16"/>
    <n v="7.4999999999999997E-2"/>
    <n v="1.0125"/>
    <n v="7.0000000000000007E-2"/>
    <n v="0.94500000000000006"/>
    <n v="0.49"/>
    <n v="250"/>
    <n v="250"/>
    <m/>
    <m/>
    <m/>
    <m/>
    <m/>
    <n v="500"/>
    <n v="24500"/>
    <n v="24500"/>
    <n v="49000"/>
    <n v="4526.8749999999991"/>
    <n v="4526.8749999999991"/>
    <n v="9053.7499999999982"/>
  </r>
  <r>
    <x v="3"/>
    <s v="MEGA"/>
    <s v="CHINA"/>
    <s v="STS24W50782"/>
    <m/>
    <s v="85% POLYAMIDE/15% SPANDEX COURT POLY PIQUE 175 GM/M2"/>
    <s v="KNIT"/>
    <s v="6106.20.2010"/>
    <n v="78"/>
    <n v="15.139999999999999"/>
    <n v="10"/>
    <n v="0.32"/>
    <n v="3.2"/>
    <n v="7.4999999999999997E-2"/>
    <n v="0.75"/>
    <n v="7.0000000000000007E-2"/>
    <n v="0.70000000000000007"/>
    <n v="0.49"/>
    <n v="200"/>
    <n v="200"/>
    <m/>
    <m/>
    <m/>
    <m/>
    <m/>
    <n v="400"/>
    <n v="15600"/>
    <n v="15600"/>
    <n v="31200"/>
    <n v="3027.9999999999995"/>
    <n v="3027.9999999999995"/>
    <n v="6055.9999999999991"/>
  </r>
  <r>
    <x v="17"/>
    <s v="MEGA"/>
    <s v="CHINA"/>
    <s v="STS24W50868"/>
    <m/>
    <s v="90% POLYESTER/10% SPANDEX COURT POPLIN 110 GM/M2"/>
    <s v="WOVEN"/>
    <s v="6204.63.9032"/>
    <n v="78"/>
    <n v="13.83245"/>
    <n v="9.35"/>
    <n v="0.28199999999999997"/>
    <n v="2.6366999999999998"/>
    <n v="7.4999999999999997E-2"/>
    <n v="0.70124999999999993"/>
    <n v="7.0000000000000007E-2"/>
    <n v="0.65450000000000008"/>
    <n v="0.49"/>
    <n v="200"/>
    <n v="200"/>
    <m/>
    <m/>
    <m/>
    <m/>
    <m/>
    <n v="400"/>
    <n v="15600"/>
    <n v="15600"/>
    <n v="31200"/>
    <n v="2766.49"/>
    <n v="2766.49"/>
    <n v="5532.98"/>
  </r>
  <r>
    <x v="15"/>
    <s v="MEGA"/>
    <s v="CHINA"/>
    <s v="STS24W50757"/>
    <m/>
    <s v="88% POLYAMIDE/12% ELASTANE                   225 GM/M2"/>
    <s v="KNIT"/>
    <s v="6109.10.0060"/>
    <n v="78"/>
    <n v="12.6195"/>
    <n v="8.5"/>
    <n v="0.28199999999999997"/>
    <n v="2.3969999999999998"/>
    <n v="7.4999999999999997E-2"/>
    <n v="0.63749999999999996"/>
    <n v="7.0000000000000007E-2"/>
    <n v="0.59500000000000008"/>
    <n v="0.49"/>
    <n v="200"/>
    <n v="200"/>
    <m/>
    <m/>
    <m/>
    <m/>
    <m/>
    <n v="400"/>
    <n v="15600"/>
    <n v="15600"/>
    <n v="31200"/>
    <n v="2523.9"/>
    <n v="2523.9"/>
    <n v="5047.8"/>
  </r>
  <r>
    <x v="17"/>
    <s v="MEGA"/>
    <s v="CHINA"/>
    <s v="STS24W50758"/>
    <m/>
    <s v="100% POLYESTER 135 GM/M2"/>
    <s v="WOVEN"/>
    <s v="6204.63.9032"/>
    <n v="78"/>
    <n v="12.904899999999998"/>
    <n v="8.6999999999999993"/>
    <n v="0.28199999999999997"/>
    <n v="2.4533999999999994"/>
    <n v="7.4999999999999997E-2"/>
    <n v="0.65249999999999997"/>
    <n v="7.0000000000000007E-2"/>
    <n v="0.60899999999999999"/>
    <n v="0.49"/>
    <n v="200"/>
    <n v="200"/>
    <m/>
    <m/>
    <m/>
    <m/>
    <m/>
    <n v="400"/>
    <n v="15600"/>
    <n v="15600"/>
    <n v="31200"/>
    <n v="2580.9799999999996"/>
    <n v="2580.9799999999996"/>
    <n v="5161.9599999999991"/>
  </r>
  <r>
    <x v="18"/>
    <s v="MEGA"/>
    <s v="CHINA"/>
    <s v="STS24W50799"/>
    <m/>
    <s v="88% POLYAMIDE/12% ELASTANE                 225 GM/M2"/>
    <s v="KNIT"/>
    <s v="6212.10.9020"/>
    <n v="64"/>
    <n v="16.1266"/>
    <n v="11.9"/>
    <n v="0.16900000000000001"/>
    <n v="2.0111000000000003"/>
    <n v="7.4999999999999997E-2"/>
    <n v="0.89249999999999996"/>
    <n v="7.0000000000000007E-2"/>
    <n v="0.83300000000000007"/>
    <n v="0.49"/>
    <n v="200"/>
    <m/>
    <m/>
    <m/>
    <m/>
    <m/>
    <m/>
    <n v="200"/>
    <n v="12800"/>
    <n v="0"/>
    <n v="12800"/>
    <n v="3225.32"/>
    <n v="0"/>
    <n v="3225.32"/>
  </r>
  <r>
    <x v="1"/>
    <s v="MEGA"/>
    <s v="CHINA"/>
    <s v="STS24W50797"/>
    <m/>
    <s v="88% POLYAMIDE/12% ELASTANE                 225 GM/M2"/>
    <s v="KNIT"/>
    <s v="6104.63.2030"/>
    <n v="74"/>
    <n v="17.613999999999997"/>
    <n v="12"/>
    <n v="0.28199999999999997"/>
    <n v="3.3839999999999995"/>
    <n v="7.4999999999999997E-2"/>
    <n v="0.89999999999999991"/>
    <n v="7.0000000000000007E-2"/>
    <n v="0.84000000000000008"/>
    <n v="0.49"/>
    <n v="200"/>
    <m/>
    <m/>
    <m/>
    <m/>
    <m/>
    <m/>
    <n v="200"/>
    <n v="14800"/>
    <n v="0"/>
    <n v="14800"/>
    <n v="3522.7999999999993"/>
    <n v="0"/>
    <n v="3522.7999999999993"/>
  </r>
  <r>
    <x v="18"/>
    <s v="MEGA"/>
    <s v="CHINA"/>
    <s v="STS24W51042"/>
    <m/>
    <s v="88% POLYAMIDE/12% ELASTANE                 225 GM/M2"/>
    <s v="KNIT"/>
    <s v="6212.10.9020"/>
    <n v="78"/>
    <n v="16.914999999999999"/>
    <n v="12.5"/>
    <n v="0.16900000000000001"/>
    <n v="2.1125000000000003"/>
    <n v="7.4999999999999997E-2"/>
    <n v="0.9375"/>
    <n v="7.0000000000000007E-2"/>
    <n v="0.87500000000000011"/>
    <n v="0.49"/>
    <n v="300"/>
    <m/>
    <m/>
    <m/>
    <m/>
    <m/>
    <m/>
    <n v="300"/>
    <n v="23400"/>
    <n v="0"/>
    <n v="23400"/>
    <n v="5074.5"/>
    <n v="0"/>
    <n v="5074.5"/>
  </r>
  <r>
    <x v="18"/>
    <s v="MEGA"/>
    <s v="CHINA"/>
    <s v="STS24W51042"/>
    <m/>
    <s v="88% POLYAMIDE/12% ELASTANE                 225 GM/M2"/>
    <s v="KNIT"/>
    <s v="6212.10.9020"/>
    <n v="78"/>
    <n v="16.914999999999999"/>
    <n v="12.5"/>
    <n v="0.16900000000000001"/>
    <n v="2.1125000000000003"/>
    <n v="7.4999999999999997E-2"/>
    <n v="0.9375"/>
    <n v="7.0000000000000007E-2"/>
    <n v="0.87500000000000011"/>
    <n v="0.49"/>
    <n v="250"/>
    <m/>
    <m/>
    <m/>
    <m/>
    <m/>
    <m/>
    <n v="250"/>
    <n v="19500"/>
    <n v="0"/>
    <n v="19500"/>
    <n v="4228.75"/>
    <n v="0"/>
    <n v="4228.75"/>
  </r>
  <r>
    <x v="18"/>
    <s v="MEGA"/>
    <s v="CHINA"/>
    <s v="STS24W51042"/>
    <m/>
    <s v="88% POLYAMIDE/12% ELASTANE                 225 GM/M2"/>
    <s v="KNIT"/>
    <s v="6212.10.9020"/>
    <n v="78"/>
    <n v="16.914999999999999"/>
    <n v="12.5"/>
    <n v="0.16900000000000001"/>
    <n v="2.1125000000000003"/>
    <n v="7.4999999999999997E-2"/>
    <n v="0.9375"/>
    <n v="7.0000000000000007E-2"/>
    <n v="0.87500000000000011"/>
    <n v="0.49"/>
    <n v="300"/>
    <m/>
    <m/>
    <m/>
    <m/>
    <m/>
    <m/>
    <n v="300"/>
    <n v="23400"/>
    <n v="0"/>
    <n v="23400"/>
    <n v="5074.5"/>
    <n v="0"/>
    <n v="5074.5"/>
  </r>
  <r>
    <x v="17"/>
    <s v="MEGA"/>
    <s v="CHINA"/>
    <s v="STS24W51043"/>
    <m/>
    <s v="88% POLYAMIDE/12% ELASTANE                 225 GM/M2"/>
    <s v="KNIT"/>
    <s v="6204.63.9032"/>
    <n v="88"/>
    <n v="19.754499999999997"/>
    <n v="13.5"/>
    <n v="0.28199999999999997"/>
    <n v="3.8069999999999995"/>
    <n v="7.4999999999999997E-2"/>
    <n v="1.0125"/>
    <n v="7.0000000000000007E-2"/>
    <n v="0.94500000000000006"/>
    <n v="0.49"/>
    <n v="300"/>
    <m/>
    <m/>
    <m/>
    <m/>
    <m/>
    <m/>
    <n v="300"/>
    <n v="26400"/>
    <n v="0"/>
    <n v="26400"/>
    <n v="5926.3499999999985"/>
    <n v="0"/>
    <n v="5926.3499999999985"/>
  </r>
  <r>
    <x v="17"/>
    <s v="MEGA"/>
    <s v="CHINA"/>
    <s v="STS24W51043"/>
    <m/>
    <s v="88% POLYAMIDE/12% ELASTANE                 225 GM/M2"/>
    <s v="KNIT"/>
    <s v="6204.63.9032"/>
    <n v="88"/>
    <n v="19.754499999999997"/>
    <n v="13.5"/>
    <n v="0.28199999999999997"/>
    <n v="3.8069999999999995"/>
    <n v="7.4999999999999997E-2"/>
    <n v="1.0125"/>
    <n v="7.0000000000000007E-2"/>
    <n v="0.94500000000000006"/>
    <n v="0.49"/>
    <n v="250"/>
    <m/>
    <m/>
    <m/>
    <m/>
    <m/>
    <m/>
    <n v="250"/>
    <n v="22000"/>
    <n v="0"/>
    <n v="22000"/>
    <n v="4938.6249999999991"/>
    <n v="0"/>
    <n v="4938.6249999999991"/>
  </r>
  <r>
    <x v="17"/>
    <s v="MEGA"/>
    <s v="CHINA"/>
    <s v="STS24W51043"/>
    <m/>
    <s v="88% POLYAMIDE/12% ELASTANE                 225 GM/M2"/>
    <s v="KNIT"/>
    <s v="6204.63.9032"/>
    <n v="88"/>
    <n v="19.754499999999997"/>
    <n v="13.5"/>
    <n v="0.28199999999999997"/>
    <n v="3.8069999999999995"/>
    <n v="7.4999999999999997E-2"/>
    <n v="1.0125"/>
    <n v="7.0000000000000007E-2"/>
    <n v="0.94500000000000006"/>
    <n v="0.49"/>
    <n v="300"/>
    <m/>
    <m/>
    <m/>
    <m/>
    <m/>
    <m/>
    <n v="300"/>
    <n v="26400"/>
    <n v="0"/>
    <n v="26400"/>
    <n v="5926.3499999999985"/>
    <n v="0"/>
    <n v="5926.3499999999985"/>
  </r>
  <r>
    <x v="14"/>
    <s v="MEGA"/>
    <s v="CHINA"/>
    <s v="STS24W51041"/>
    <m/>
    <s v="88% POLYAMIDE/12% ELASTANE                 225 GM/M2"/>
    <s v="KNIT"/>
    <s v="6104.43.2010"/>
    <n v="88"/>
    <n v="20.064999999999998"/>
    <n v="15"/>
    <n v="0.16"/>
    <n v="2.4"/>
    <n v="7.4999999999999997E-2"/>
    <n v="1.125"/>
    <n v="7.0000000000000007E-2"/>
    <n v="1.05"/>
    <n v="0.49"/>
    <n v="250"/>
    <m/>
    <m/>
    <m/>
    <m/>
    <m/>
    <m/>
    <n v="250"/>
    <n v="22000"/>
    <n v="0"/>
    <n v="22000"/>
    <n v="5016.2499999999991"/>
    <n v="0"/>
    <n v="5016.2499999999991"/>
  </r>
  <r>
    <x v="14"/>
    <s v="MEGA"/>
    <s v="CHINA"/>
    <s v="STS24W51041"/>
    <m/>
    <s v="88% POLYAMIDE/12% ELASTANE                 225 GM/M2"/>
    <s v="KNIT"/>
    <s v="6104.43.2010"/>
    <n v="88"/>
    <n v="20.064999999999998"/>
    <n v="15"/>
    <n v="0.16"/>
    <n v="2.4"/>
    <n v="7.4999999999999997E-2"/>
    <n v="1.125"/>
    <n v="7.0000000000000007E-2"/>
    <n v="1.05"/>
    <n v="0.49"/>
    <n v="250"/>
    <m/>
    <m/>
    <m/>
    <m/>
    <m/>
    <m/>
    <n v="250"/>
    <n v="22000"/>
    <n v="0"/>
    <n v="22000"/>
    <n v="5016.2499999999991"/>
    <n v="0"/>
    <n v="5016.2499999999991"/>
  </r>
  <r>
    <x v="14"/>
    <s v="MEGA"/>
    <s v="CHINA"/>
    <s v="STS24W51041"/>
    <m/>
    <s v="88% POLYAMIDE/12% ELASTANE                 225 GM/M2"/>
    <s v="KNIT"/>
    <s v="6104.43.2010"/>
    <n v="88"/>
    <n v="20.064999999999998"/>
    <n v="15"/>
    <n v="0.16"/>
    <n v="2.4"/>
    <n v="7.4999999999999997E-2"/>
    <n v="1.125"/>
    <n v="7.0000000000000007E-2"/>
    <n v="1.05"/>
    <n v="0.49"/>
    <n v="300"/>
    <m/>
    <m/>
    <m/>
    <m/>
    <m/>
    <m/>
    <n v="300"/>
    <n v="26400"/>
    <n v="0"/>
    <n v="26400"/>
    <n v="6019.4999999999991"/>
    <n v="0"/>
    <n v="6019.4999999999991"/>
  </r>
  <r>
    <x v="1"/>
    <s v="MEGA"/>
    <s v="CHINA"/>
    <s v="STS24W51044"/>
    <m/>
    <s v="88% POLYAMIDE/12% ELASTANE                 225 GM/M2"/>
    <s v="KNIT"/>
    <s v="6104.63.2030"/>
    <n v="54"/>
    <n v="15.830249999999999"/>
    <n v="10.75"/>
    <n v="0.28199999999999997"/>
    <n v="3.0314999999999999"/>
    <n v="7.4999999999999997E-2"/>
    <n v="0.80625000000000002"/>
    <n v="7.0000000000000007E-2"/>
    <n v="0.75250000000000006"/>
    <n v="0.49"/>
    <n v="250"/>
    <m/>
    <m/>
    <m/>
    <m/>
    <m/>
    <m/>
    <n v="250"/>
    <n v="13500"/>
    <n v="0"/>
    <n v="13500"/>
    <n v="3957.5625"/>
    <n v="0"/>
    <n v="3957.5625"/>
  </r>
  <r>
    <x v="1"/>
    <s v="MEGA"/>
    <s v="CHINA"/>
    <s v="STS24W51044"/>
    <m/>
    <s v="88% POLYAMIDE/12% ELASTANE                 225 GM/M2"/>
    <s v="KNIT"/>
    <s v="6104.63.2030"/>
    <n v="54"/>
    <n v="15.830249999999999"/>
    <n v="10.75"/>
    <n v="0.28199999999999997"/>
    <n v="3.0314999999999999"/>
    <n v="7.4999999999999997E-2"/>
    <n v="0.80625000000000002"/>
    <n v="7.0000000000000007E-2"/>
    <n v="0.75250000000000006"/>
    <n v="0.49"/>
    <n v="250"/>
    <m/>
    <m/>
    <m/>
    <m/>
    <m/>
    <m/>
    <n v="250"/>
    <n v="13500"/>
    <n v="0"/>
    <n v="13500"/>
    <n v="3957.5625"/>
    <n v="0"/>
    <n v="3957.5625"/>
  </r>
  <r>
    <x v="1"/>
    <s v="MEGA"/>
    <s v="CHINA"/>
    <s v="STS24W51044"/>
    <m/>
    <s v="88% POLYAMIDE/12% ELASTANE                 225 GM/M2"/>
    <s v="KNIT"/>
    <s v="6104.63.2030"/>
    <n v="54"/>
    <n v="15.830249999999999"/>
    <n v="10.75"/>
    <n v="0.28199999999999997"/>
    <n v="3.0314999999999999"/>
    <n v="7.4999999999999997E-2"/>
    <n v="0.80625000000000002"/>
    <n v="7.0000000000000007E-2"/>
    <n v="0.75250000000000006"/>
    <n v="0.49"/>
    <n v="300"/>
    <m/>
    <m/>
    <m/>
    <m/>
    <m/>
    <m/>
    <n v="300"/>
    <n v="16200"/>
    <n v="0"/>
    <n v="16200"/>
    <n v="4749.0749999999998"/>
    <n v="0"/>
    <n v="4749.0749999999998"/>
  </r>
  <r>
    <x v="4"/>
    <s v="BBUK"/>
    <s v="CHINA"/>
    <s v="UKS24W10105"/>
    <m/>
    <s v="95% POLYESTER/5% ELASTANE VELOUR 220 GM/M2"/>
    <s v="KNIT"/>
    <s v="6112.12.0020"/>
    <n v="135"/>
    <n v="20.499499999999998"/>
    <n v="13.5"/>
    <n v="0.28199999999999997"/>
    <n v="3.8069999999999995"/>
    <n v="7.4999999999999997E-2"/>
    <n v="1.0125"/>
    <n v="7.0000000000000007E-2"/>
    <n v="1.69"/>
    <n v="0.49"/>
    <n v="300"/>
    <n v="300"/>
    <m/>
    <m/>
    <m/>
    <m/>
    <m/>
    <n v="600"/>
    <n v="40500"/>
    <n v="40500"/>
    <n v="81000"/>
    <n v="6149.8499999999995"/>
    <n v="6149.8499999999995"/>
    <n v="12299.699999999999"/>
  </r>
  <r>
    <x v="5"/>
    <s v="BBUK"/>
    <s v="CHINA"/>
    <s v="UKS24W10106"/>
    <m/>
    <s v="95% POLYESTER/5% ELASTANE VELOUR 220 GM/M2"/>
    <s v="KNIT"/>
    <s v="6112.12.0060"/>
    <n v="125"/>
    <n v="17.446249999999999"/>
    <n v="11.25"/>
    <n v="0.28199999999999997"/>
    <n v="3.1724999999999999"/>
    <n v="7.4999999999999997E-2"/>
    <n v="0.84375"/>
    <n v="7.0000000000000007E-2"/>
    <n v="1.69"/>
    <n v="0.49"/>
    <n v="300"/>
    <n v="300"/>
    <m/>
    <m/>
    <m/>
    <m/>
    <m/>
    <n v="600"/>
    <n v="37500"/>
    <n v="37500"/>
    <n v="75000"/>
    <n v="5233.875"/>
    <n v="5233.875"/>
    <n v="10467.75"/>
  </r>
  <r>
    <x v="4"/>
    <s v="BBUK"/>
    <s v="CHINA"/>
    <s v="UKS24W10105"/>
    <m/>
    <s v="95% POLYESTER/5% ELASTANE VELOUR 220 GM/M2"/>
    <s v="KNIT"/>
    <s v="6112.12.0020"/>
    <n v="135"/>
    <n v="19.754499999999997"/>
    <n v="13.5"/>
    <n v="0.28199999999999997"/>
    <n v="3.8069999999999995"/>
    <n v="7.4999999999999997E-2"/>
    <n v="1.0125"/>
    <n v="7.0000000000000007E-2"/>
    <n v="0.94500000000000006"/>
    <n v="0.49"/>
    <n v="300"/>
    <n v="300"/>
    <m/>
    <m/>
    <m/>
    <m/>
    <m/>
    <n v="600"/>
    <n v="40500"/>
    <n v="40500"/>
    <n v="81000"/>
    <n v="5926.3499999999985"/>
    <n v="5926.3499999999985"/>
    <n v="11852.699999999997"/>
  </r>
  <r>
    <x v="5"/>
    <s v="BBUK"/>
    <s v="CHINA"/>
    <s v="UKS24W10106"/>
    <m/>
    <s v="95% POLYESTER/5% ELASTANE VELOUR 220 GM/M2"/>
    <s v="KNIT"/>
    <s v="6112.12.0060"/>
    <n v="125"/>
    <n v="16.543749999999999"/>
    <n v="11.25"/>
    <n v="0.28199999999999997"/>
    <n v="3.1724999999999999"/>
    <n v="7.4999999999999997E-2"/>
    <n v="0.84375"/>
    <n v="7.0000000000000007E-2"/>
    <n v="0.78750000000000009"/>
    <n v="0.49"/>
    <n v="300"/>
    <n v="300"/>
    <m/>
    <m/>
    <m/>
    <m/>
    <m/>
    <n v="600"/>
    <n v="37500"/>
    <n v="37500"/>
    <n v="75000"/>
    <n v="4963.125"/>
    <n v="4963.125"/>
    <n v="9926.25"/>
  </r>
  <r>
    <x v="4"/>
    <s v="BBUK"/>
    <s v="CHINA"/>
    <s v="UKS24W10105"/>
    <m/>
    <s v="95% POLYESTER/5% ELASTANE VELOUR 220 GM/M2"/>
    <s v="KNIT"/>
    <s v="6112.12.0020"/>
    <n v="135"/>
    <n v="19.754499999999997"/>
    <n v="13.5"/>
    <n v="0.28199999999999997"/>
    <n v="3.8069999999999995"/>
    <n v="7.4999999999999997E-2"/>
    <n v="1.0125"/>
    <n v="7.0000000000000007E-2"/>
    <n v="0.94500000000000006"/>
    <n v="0.49"/>
    <n v="300"/>
    <n v="300"/>
    <m/>
    <m/>
    <m/>
    <m/>
    <m/>
    <n v="600"/>
    <n v="40500"/>
    <n v="40500"/>
    <n v="81000"/>
    <n v="5926.3499999999985"/>
    <n v="5926.3499999999985"/>
    <n v="11852.699999999997"/>
  </r>
  <r>
    <x v="5"/>
    <s v="BBUK"/>
    <s v="CHINA"/>
    <s v="UKS24W10106"/>
    <m/>
    <s v="95% POLYESTER/5% ELASTANE VELOUR 220 GM/M2"/>
    <s v="KNIT"/>
    <s v="6112.12.0060"/>
    <n v="125"/>
    <n v="16.543749999999999"/>
    <n v="11.25"/>
    <n v="0.28199999999999997"/>
    <n v="3.1724999999999999"/>
    <n v="7.4999999999999997E-2"/>
    <n v="0.84375"/>
    <n v="7.0000000000000007E-2"/>
    <n v="0.78750000000000009"/>
    <n v="0.49"/>
    <n v="300"/>
    <n v="300"/>
    <m/>
    <m/>
    <m/>
    <m/>
    <m/>
    <n v="600"/>
    <n v="37500"/>
    <n v="37500"/>
    <n v="75000"/>
    <n v="4963.125"/>
    <n v="4963.125"/>
    <n v="9926.25"/>
  </r>
  <r>
    <x v="18"/>
    <s v="BBUK"/>
    <s v="CHINA"/>
    <s v="UKS24W10129"/>
    <m/>
    <s v="95% POLYESTER/5% ELASTANE VELOUR 220 GM/M2"/>
    <s v="KNIT"/>
    <s v="6212.10.9020"/>
    <n v="48"/>
    <n v="7.4542000000000002"/>
    <n v="5.3"/>
    <n v="0.16900000000000001"/>
    <n v="0.89570000000000005"/>
    <n v="7.4999999999999997E-2"/>
    <n v="0.39749999999999996"/>
    <n v="7.0000000000000007E-2"/>
    <n v="0.371"/>
    <n v="0.49"/>
    <n v="250"/>
    <n v="250"/>
    <m/>
    <m/>
    <m/>
    <m/>
    <m/>
    <n v="500"/>
    <n v="12000"/>
    <n v="12000"/>
    <n v="24000"/>
    <n v="1863.55"/>
    <n v="1863.55"/>
    <n v="3727.1"/>
  </r>
  <r>
    <x v="19"/>
    <s v="BBUK"/>
    <s v="CHINA"/>
    <s v="UKS24W10130"/>
    <m/>
    <s v="95% POLYESTER/5% ELASTANE VELOUR 220 GM/M2"/>
    <s v="KNIT"/>
    <s v="6104.53.2010"/>
    <n v="68"/>
    <n v="9.7554999999999996"/>
    <n v="7.1"/>
    <n v="0.16"/>
    <n v="1.1359999999999999"/>
    <n v="7.4999999999999997E-2"/>
    <n v="0.53249999999999997"/>
    <n v="7.0000000000000007E-2"/>
    <n v="0.497"/>
    <n v="0.49"/>
    <n v="250"/>
    <n v="250"/>
    <m/>
    <m/>
    <m/>
    <m/>
    <m/>
    <n v="500"/>
    <n v="17000"/>
    <n v="17000"/>
    <n v="34000"/>
    <n v="2438.875"/>
    <n v="2438.875"/>
    <n v="4877.75"/>
  </r>
  <r>
    <x v="18"/>
    <s v="BBUK"/>
    <s v="CHINA"/>
    <s v="UKS24W10129"/>
    <m/>
    <s v="95% POLYESTER/5% ELASTANE VELOUR 220 GM/M2"/>
    <s v="KNIT"/>
    <s v="6212.10.9020"/>
    <n v="48"/>
    <n v="7.4542000000000002"/>
    <n v="5.3"/>
    <n v="0.16900000000000001"/>
    <n v="0.89570000000000005"/>
    <n v="7.4999999999999997E-2"/>
    <n v="0.39749999999999996"/>
    <n v="7.0000000000000007E-2"/>
    <n v="0.371"/>
    <n v="0.49"/>
    <n v="250"/>
    <n v="250"/>
    <m/>
    <m/>
    <m/>
    <m/>
    <m/>
    <n v="500"/>
    <n v="12000"/>
    <n v="12000"/>
    <n v="24000"/>
    <n v="1863.55"/>
    <n v="1863.55"/>
    <n v="3727.1"/>
  </r>
  <r>
    <x v="19"/>
    <s v="BBUK"/>
    <s v="CHINA"/>
    <s v="UKS24W10130"/>
    <m/>
    <s v="95% POLYESTER/5% ELASTANE VELOUR 220 GM/M2"/>
    <s v="KNIT"/>
    <s v="6104.53.2010"/>
    <n v="68"/>
    <n v="9.7554999999999996"/>
    <n v="7.1"/>
    <n v="0.16"/>
    <n v="1.1359999999999999"/>
    <n v="7.4999999999999997E-2"/>
    <n v="0.53249999999999997"/>
    <n v="7.0000000000000007E-2"/>
    <n v="0.497"/>
    <n v="0.49"/>
    <n v="250"/>
    <n v="250"/>
    <m/>
    <m/>
    <m/>
    <m/>
    <m/>
    <n v="500"/>
    <n v="17000"/>
    <n v="17000"/>
    <n v="34000"/>
    <n v="2438.875"/>
    <n v="2438.875"/>
    <n v="4877.75"/>
  </r>
  <r>
    <x v="18"/>
    <s v="BBUK"/>
    <s v="CHINA"/>
    <s v="UKS24W10129"/>
    <m/>
    <s v="95% POLYESTER/5% ELASTANE VELOUR 220 GM/M2"/>
    <s v="KNIT"/>
    <s v="6212.10.9020"/>
    <n v="48"/>
    <n v="7.4542000000000002"/>
    <n v="5.3"/>
    <n v="0.16900000000000001"/>
    <n v="0.89570000000000005"/>
    <n v="7.4999999999999997E-2"/>
    <n v="0.39749999999999996"/>
    <n v="7.0000000000000007E-2"/>
    <n v="0.371"/>
    <n v="0.49"/>
    <n v="250"/>
    <n v="250"/>
    <m/>
    <m/>
    <m/>
    <m/>
    <m/>
    <n v="500"/>
    <n v="12000"/>
    <n v="12000"/>
    <n v="24000"/>
    <n v="1863.55"/>
    <n v="1863.55"/>
    <n v="3727.1"/>
  </r>
  <r>
    <x v="19"/>
    <s v="BBUK"/>
    <s v="CHINA"/>
    <s v="UKS24W10130"/>
    <m/>
    <s v="95% POLYESTER/5% ELASTANE VELOUR 220 GM/M2"/>
    <s v="KNIT"/>
    <s v="6104.53.2010"/>
    <n v="68"/>
    <n v="9.7554999999999996"/>
    <n v="7.1"/>
    <n v="0.16"/>
    <n v="1.1359999999999999"/>
    <n v="7.4999999999999997E-2"/>
    <n v="0.53249999999999997"/>
    <n v="7.0000000000000007E-2"/>
    <n v="0.497"/>
    <n v="0.49"/>
    <n v="250"/>
    <n v="250"/>
    <m/>
    <m/>
    <m/>
    <m/>
    <m/>
    <n v="500"/>
    <n v="17000"/>
    <n v="17000"/>
    <n v="34000"/>
    <n v="2438.875"/>
    <n v="2438.875"/>
    <n v="4877.75"/>
  </r>
  <r>
    <x v="20"/>
    <s v="BBUK"/>
    <s v="CHINA"/>
    <s v="UKS24W10110"/>
    <m/>
    <s v="75% COTTON/25% POLYESTER TOWELING 270 GM/M2"/>
    <s v="KNIT"/>
    <s v="6114.20.0010"/>
    <n v="48"/>
    <n v="9.0104000000000006"/>
    <n v="6.8"/>
    <n v="0.108"/>
    <n v="0.73439999999999994"/>
    <n v="7.4999999999999997E-2"/>
    <n v="0.51"/>
    <n v="7.0000000000000007E-2"/>
    <n v="0.47600000000000003"/>
    <n v="0.49"/>
    <n v="250"/>
    <n v="250"/>
    <m/>
    <m/>
    <m/>
    <m/>
    <m/>
    <n v="500"/>
    <n v="12000"/>
    <n v="12000"/>
    <n v="24000"/>
    <n v="2252.6000000000004"/>
    <n v="2252.6000000000004"/>
    <n v="4505.2000000000007"/>
  </r>
  <r>
    <x v="1"/>
    <s v="BBUK"/>
    <s v="CHINA"/>
    <s v="UKS24W10111"/>
    <m/>
    <s v="75% COTTON/25% POLYESTER TOWELING 270 GM/M2"/>
    <s v="KNIT"/>
    <s v="6104.62.2030"/>
    <n v="78"/>
    <n v="14.982799999999999"/>
    <n v="11.2"/>
    <n v="0.14899999999999999"/>
    <n v="1.6687999999999998"/>
    <n v="7.4999999999999997E-2"/>
    <n v="0.84"/>
    <n v="7.0000000000000007E-2"/>
    <n v="0.78400000000000003"/>
    <n v="0.49"/>
    <n v="250"/>
    <n v="250"/>
    <m/>
    <m/>
    <m/>
    <m/>
    <m/>
    <n v="500"/>
    <n v="19500"/>
    <n v="19500"/>
    <n v="39000"/>
    <n v="3745.7"/>
    <n v="3745.7"/>
    <n v="7491.4"/>
  </r>
  <r>
    <x v="20"/>
    <s v="BBUK"/>
    <s v="CHINA"/>
    <s v="UKS24W10110"/>
    <m/>
    <s v="75% COTTON/25% POLYESTER TOWELING 270 GM/M2"/>
    <s v="KNIT"/>
    <s v="6114.20.0010"/>
    <n v="48"/>
    <n v="9.0104000000000006"/>
    <n v="6.8"/>
    <n v="0.108"/>
    <n v="0.73439999999999994"/>
    <n v="7.4999999999999997E-2"/>
    <n v="0.51"/>
    <n v="7.0000000000000007E-2"/>
    <n v="0.47600000000000003"/>
    <n v="0.49"/>
    <n v="250"/>
    <n v="250"/>
    <m/>
    <m/>
    <m/>
    <m/>
    <m/>
    <n v="500"/>
    <n v="12000"/>
    <n v="12000"/>
    <n v="24000"/>
    <n v="2252.6000000000004"/>
    <n v="2252.6000000000004"/>
    <n v="4505.2000000000007"/>
  </r>
  <r>
    <x v="1"/>
    <s v="BBUK"/>
    <s v="CHINA"/>
    <s v="UKS24W10111"/>
    <m/>
    <s v="75% COTTON/25% POLYESTER TOWELING 270 GM/M2"/>
    <s v="KNIT"/>
    <s v="6104.62.2030"/>
    <n v="78"/>
    <n v="14.982799999999999"/>
    <n v="11.2"/>
    <n v="0.14899999999999999"/>
    <n v="1.6687999999999998"/>
    <n v="7.4999999999999997E-2"/>
    <n v="0.84"/>
    <n v="7.0000000000000007E-2"/>
    <n v="0.78400000000000003"/>
    <n v="0.49"/>
    <n v="250"/>
    <n v="250"/>
    <m/>
    <m/>
    <m/>
    <m/>
    <m/>
    <n v="500"/>
    <n v="19500"/>
    <n v="19500"/>
    <n v="39000"/>
    <n v="3745.7"/>
    <n v="3745.7"/>
    <n v="7491.4"/>
  </r>
  <r>
    <x v="3"/>
    <s v="BBUK"/>
    <s v="INDIA"/>
    <s v="UKS24W10118"/>
    <m/>
    <s v="100% COTTON 2/30, 4 ENDS*12 GAUGE"/>
    <s v="SWEATER"/>
    <s v="6106.10.0010"/>
    <n v="88"/>
    <n v="16.860099999999999"/>
    <n v="13.3"/>
    <n v="0.19700000000000001"/>
    <n v="2.6201000000000003"/>
    <m/>
    <m/>
    <n v="7.0000000000000007E-2"/>
    <n v="0.45"/>
    <n v="0.49"/>
    <n v="250"/>
    <n v="250"/>
    <m/>
    <m/>
    <m/>
    <m/>
    <m/>
    <n v="500"/>
    <n v="22000"/>
    <n v="22000"/>
    <n v="44000"/>
    <n v="4215.0249999999996"/>
    <n v="4215.0249999999996"/>
    <n v="8430.0499999999993"/>
  </r>
  <r>
    <x v="19"/>
    <s v="BBUK"/>
    <s v="CHINA"/>
    <s v="UKS24W13450"/>
    <m/>
    <s v="90% POLYESTER/10% SPANDEX JERSEY 235 GM/M2"/>
    <s v="KNIT"/>
    <s v="6104.53.2010"/>
    <n v="78"/>
    <n v="17.12875"/>
    <n v="12.75"/>
    <n v="0.16"/>
    <n v="2.04"/>
    <n v="7.4999999999999997E-2"/>
    <n v="0.95624999999999993"/>
    <n v="7.0000000000000007E-2"/>
    <n v="0.89250000000000007"/>
    <n v="0.49"/>
    <n v="250"/>
    <n v="250"/>
    <m/>
    <m/>
    <m/>
    <m/>
    <m/>
    <n v="500"/>
    <n v="19500"/>
    <n v="19500"/>
    <n v="39000"/>
    <n v="4282.1875"/>
    <n v="4282.1875"/>
    <n v="8564.375"/>
  </r>
  <r>
    <x v="3"/>
    <s v="BBUK"/>
    <s v="INDIA"/>
    <s v="UKS24W10118"/>
    <m/>
    <s v="100% COTTON 2/30, 4 ENDS*12 GAUGE"/>
    <s v="SWEATER"/>
    <s v="6106.10.0010"/>
    <n v="88"/>
    <n v="16.860099999999999"/>
    <n v="13.3"/>
    <n v="0.19700000000000001"/>
    <n v="2.6201000000000003"/>
    <m/>
    <m/>
    <n v="7.0000000000000007E-2"/>
    <n v="0.45"/>
    <n v="0.49"/>
    <n v="250"/>
    <n v="250"/>
    <m/>
    <m/>
    <m/>
    <m/>
    <m/>
    <n v="500"/>
    <n v="22000"/>
    <n v="22000"/>
    <n v="44000"/>
    <n v="4215.0249999999996"/>
    <n v="4215.0249999999996"/>
    <n v="8430.0499999999993"/>
  </r>
  <r>
    <x v="19"/>
    <s v="BBUK"/>
    <s v="CHINA"/>
    <s v="UKS24W13450"/>
    <m/>
    <s v="90% POLYESTER/10% SPANDEX JERSEY 235 GM/M2"/>
    <s v="KNIT"/>
    <s v="6104.53.2010"/>
    <n v="78"/>
    <n v="17.12875"/>
    <n v="12.75"/>
    <n v="0.16"/>
    <n v="2.04"/>
    <n v="7.4999999999999997E-2"/>
    <n v="0.95624999999999993"/>
    <n v="7.0000000000000007E-2"/>
    <n v="0.89250000000000007"/>
    <n v="0.49"/>
    <n v="250"/>
    <n v="250"/>
    <m/>
    <m/>
    <m/>
    <m/>
    <m/>
    <n v="500"/>
    <n v="19500"/>
    <n v="19500"/>
    <n v="39000"/>
    <n v="4282.1875"/>
    <n v="4282.1875"/>
    <n v="8564.375"/>
  </r>
  <r>
    <x v="0"/>
    <s v="BBUK"/>
    <s v="INDIA"/>
    <s v="UKS24W10122"/>
    <m/>
    <s v="100% COTTON JERSEY 190 GM/M2"/>
    <s v="SWEATER"/>
    <s v="6109.10.0012"/>
    <n v="38"/>
    <n v="5.6770000000000014"/>
    <n v="4.2"/>
    <n v="0.16500000000000001"/>
    <n v="0.69300000000000006"/>
    <m/>
    <m/>
    <n v="7.0000000000000007E-2"/>
    <n v="0.29400000000000004"/>
    <n v="0.49"/>
    <n v="500"/>
    <m/>
    <m/>
    <m/>
    <m/>
    <m/>
    <m/>
    <n v="500"/>
    <n v="19000"/>
    <n v="0"/>
    <n v="19000"/>
    <n v="2838.5000000000009"/>
    <n v="0"/>
    <n v="2838.5000000000009"/>
  </r>
  <r>
    <x v="0"/>
    <s v="BBUK"/>
    <s v="INDIA"/>
    <s v="UKS24W10122"/>
    <m/>
    <s v="100% COTTON JERSEY 190 GM/M2"/>
    <s v="SWEATER"/>
    <s v="6109.10.0012"/>
    <n v="38"/>
    <n v="5.6770000000000014"/>
    <n v="4.2"/>
    <n v="0.16500000000000001"/>
    <n v="0.69300000000000006"/>
    <m/>
    <m/>
    <n v="7.0000000000000007E-2"/>
    <n v="0.29400000000000004"/>
    <n v="0.49"/>
    <n v="500"/>
    <m/>
    <m/>
    <m/>
    <m/>
    <m/>
    <m/>
    <n v="500"/>
    <n v="19000"/>
    <n v="0"/>
    <n v="19000"/>
    <n v="2838.5000000000009"/>
    <n v="0"/>
    <n v="2838.5000000000009"/>
  </r>
  <r>
    <x v="3"/>
    <s v="BBUK"/>
    <s v="INDIA"/>
    <s v="UKS24W10131"/>
    <m/>
    <s v="100% COTTON PIQUE 240 GM/M2"/>
    <s v="KNIT"/>
    <s v="6106.10.0010"/>
    <n v="68"/>
    <n v="10.752699999999999"/>
    <n v="8.1"/>
    <n v="0.19700000000000001"/>
    <n v="1.5956999999999999"/>
    <m/>
    <m/>
    <n v="7.0000000000000007E-2"/>
    <n v="0.56700000000000006"/>
    <n v="0.49"/>
    <n v="250"/>
    <n v="250"/>
    <m/>
    <m/>
    <m/>
    <m/>
    <m/>
    <n v="500"/>
    <n v="17000"/>
    <n v="17000"/>
    <n v="34000"/>
    <n v="2688.1749999999997"/>
    <n v="2688.1749999999997"/>
    <n v="5376.3499999999995"/>
  </r>
  <r>
    <x v="19"/>
    <s v="BBUK"/>
    <s v="CHINA"/>
    <s v="UKS24W10132"/>
    <m/>
    <s v="100% POLYESTER TWILL 220 GM/M2"/>
    <s v="KNIT"/>
    <s v="6104.53.2010"/>
    <n v="78"/>
    <n v="15.4975"/>
    <n v="11.5"/>
    <n v="0.16"/>
    <n v="1.84"/>
    <n v="7.4999999999999997E-2"/>
    <n v="0.86249999999999993"/>
    <n v="7.0000000000000007E-2"/>
    <n v="0.80500000000000005"/>
    <n v="0.49"/>
    <n v="250"/>
    <n v="250"/>
    <m/>
    <m/>
    <m/>
    <m/>
    <m/>
    <n v="500"/>
    <n v="19500"/>
    <n v="19500"/>
    <n v="39000"/>
    <n v="3874.375"/>
    <n v="3874.375"/>
    <n v="7748.75"/>
  </r>
  <r>
    <x v="3"/>
    <s v="BBUK"/>
    <s v="INDIA"/>
    <s v="UKS24W10131"/>
    <m/>
    <s v="100% COTTON PIQUE 240 GM/M2"/>
    <s v="KNIT"/>
    <s v="6106.10.0010"/>
    <n v="68"/>
    <n v="10.752699999999999"/>
    <n v="8.1"/>
    <n v="0.19700000000000001"/>
    <n v="1.5956999999999999"/>
    <m/>
    <m/>
    <n v="7.0000000000000007E-2"/>
    <n v="0.56700000000000006"/>
    <n v="0.49"/>
    <n v="250"/>
    <n v="250"/>
    <m/>
    <m/>
    <m/>
    <m/>
    <m/>
    <n v="500"/>
    <n v="17000"/>
    <n v="17000"/>
    <n v="34000"/>
    <n v="2688.1749999999997"/>
    <n v="2688.1749999999997"/>
    <n v="5376.3499999999995"/>
  </r>
  <r>
    <x v="19"/>
    <s v="BBUK"/>
    <s v="CHINA"/>
    <s v="UKS24W10132"/>
    <m/>
    <s v="100% POLYESTER TWILL 220 GM/M2"/>
    <s v="KNIT"/>
    <s v="6104.53.2010"/>
    <n v="78"/>
    <n v="15.4975"/>
    <n v="11.5"/>
    <n v="0.16"/>
    <n v="1.84"/>
    <n v="7.4999999999999997E-2"/>
    <n v="0.86249999999999993"/>
    <n v="7.0000000000000007E-2"/>
    <n v="0.80500000000000005"/>
    <n v="0.49"/>
    <n v="250"/>
    <n v="250"/>
    <m/>
    <m/>
    <m/>
    <m/>
    <m/>
    <n v="500"/>
    <n v="19500"/>
    <n v="19500"/>
    <n v="39000"/>
    <n v="3874.375"/>
    <n v="3874.375"/>
    <n v="7748.75"/>
  </r>
  <r>
    <x v="21"/>
    <s v="BBUK"/>
    <s v="INDIA"/>
    <s v="UKS24W10123"/>
    <m/>
    <s v="100% COTTON 2/30, 4 ENDS*12 GAUGE"/>
    <s v="SWEATER"/>
    <s v="6114.20.0010"/>
    <n v="108"/>
    <n v="18.667999999999999"/>
    <n v="16"/>
    <n v="0.108"/>
    <n v="1.728"/>
    <m/>
    <m/>
    <n v="7.0000000000000007E-2"/>
    <n v="0.45"/>
    <n v="0.49"/>
    <n v="250"/>
    <n v="250"/>
    <m/>
    <m/>
    <m/>
    <m/>
    <m/>
    <n v="500"/>
    <n v="27000"/>
    <n v="27000"/>
    <n v="54000"/>
    <n v="4667"/>
    <n v="4667"/>
    <n v="9334"/>
  </r>
  <r>
    <x v="21"/>
    <s v="BBUK"/>
    <s v="INDIA"/>
    <s v="UKS24W10123"/>
    <m/>
    <s v="100% COTTON 2/30, 4 ENDS*12 GAUGE"/>
    <s v="SWEATER"/>
    <s v="6114.20.0010"/>
    <n v="108"/>
    <n v="18.667999999999999"/>
    <n v="16"/>
    <n v="0.108"/>
    <n v="1.728"/>
    <m/>
    <m/>
    <n v="7.0000000000000007E-2"/>
    <n v="0.45"/>
    <n v="0.49"/>
    <n v="250"/>
    <n v="250"/>
    <m/>
    <m/>
    <m/>
    <m/>
    <m/>
    <n v="500"/>
    <n v="27000"/>
    <n v="27000"/>
    <n v="54000"/>
    <n v="4667"/>
    <n v="4667"/>
    <n v="9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D89AD-0D1F-4ACA-8A54-FA5EE5FB9041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41" firstHeaderRow="0" firstDataRow="1" firstDataCol="1"/>
  <pivotFields count="37"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27">
        <item x="11"/>
        <item x="5"/>
        <item x="14"/>
        <item x="19"/>
        <item x="25"/>
        <item x="8"/>
        <item x="12"/>
        <item x="20"/>
        <item x="13"/>
        <item x="10"/>
        <item x="4"/>
        <item x="22"/>
        <item x="6"/>
        <item x="3"/>
        <item x="17"/>
        <item x="18"/>
        <item x="15"/>
        <item x="24"/>
        <item x="21"/>
        <item x="23"/>
        <item x="9"/>
        <item x="16"/>
        <item x="0"/>
        <item x="1"/>
        <item x="2"/>
        <item x="7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77" showAll="0"/>
    <pivotField numFmtId="177" showAll="0"/>
    <pivotField numFmtId="177" showAll="0"/>
    <pivotField numFmtId="10" showAll="0"/>
    <pivotField numFmtId="177" showAll="0"/>
    <pivotField showAll="0"/>
    <pivotField showAll="0"/>
    <pivotField showAll="0"/>
    <pivotField numFmtId="177" showAll="0"/>
    <pivotField numFmtId="177"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24" showAll="0"/>
    <pivotField numFmtId="24" showAll="0"/>
    <pivotField dataField="1" numFmtId="24" showAll="0"/>
    <pivotField numFmtId="24" showAll="0"/>
    <pivotField numFmtId="24" showAll="0"/>
    <pivotField dataField="1" numFmtId="24" showAll="0"/>
    <pivotField numFmtId="24" showAll="0"/>
    <pivotField numFmtId="24" showAll="0"/>
    <pivotField dataField="1" numFmtId="24" showAll="0"/>
  </pivotFields>
  <rowFields count="2">
    <field x="1"/>
    <field x="2"/>
  </rowFields>
  <rowItems count="38">
    <i>
      <x/>
    </i>
    <i r="1">
      <x/>
    </i>
    <i r="1">
      <x v="1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20"/>
    </i>
    <i r="1">
      <x v="22"/>
    </i>
    <i r="1">
      <x v="23"/>
    </i>
    <i r="1">
      <x v="24"/>
    </i>
    <i r="1">
      <x v="25"/>
    </i>
    <i>
      <x v="1"/>
    </i>
    <i r="1">
      <x v="4"/>
    </i>
    <i r="1">
      <x v="17"/>
    </i>
    <i>
      <x v="2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MSRP Total" fld="30" baseField="0" baseItem="0" numFmtId="24"/>
    <dataField name="합계 : LDP Total" fld="33" baseField="0" baseItem="0" numFmtId="24"/>
    <dataField name="합계 : FOB Total" fld="36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C062B-4C17-4DC9-8349-58E7AE7CEC3B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37" firstHeaderRow="0" firstDataRow="1" firstDataCol="1"/>
  <pivotFields count="37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21">
        <item x="12"/>
        <item x="10"/>
        <item x="8"/>
        <item x="15"/>
        <item x="6"/>
        <item x="14"/>
        <item x="1"/>
        <item x="9"/>
        <item x="0"/>
        <item x="2"/>
        <item x="19"/>
        <item x="16"/>
        <item x="13"/>
        <item x="11"/>
        <item x="18"/>
        <item x="7"/>
        <item x="17"/>
        <item x="4"/>
        <item x="5"/>
        <item x="3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77" showAll="0"/>
    <pivotField numFmtId="177" showAll="0"/>
    <pivotField numFmtId="177" showAll="0"/>
    <pivotField numFmtId="10" showAll="0"/>
    <pivotField numFmtId="177" showAll="0"/>
    <pivotField showAll="0"/>
    <pivotField showAll="0"/>
    <pivotField numFmtId="10" showAll="0"/>
    <pivotField numFmtId="177" showAll="0"/>
    <pivotField numFmtId="177"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numFmtId="24" showAll="0"/>
    <pivotField numFmtId="24" showAll="0"/>
    <pivotField dataField="1" numFmtId="24" showAll="0"/>
    <pivotField numFmtId="24" showAll="0"/>
    <pivotField numFmtId="24" showAll="0"/>
    <pivotField dataField="1" numFmtId="24" showAll="0"/>
    <pivotField numFmtId="24" showAll="0"/>
    <pivotField numFmtId="24" showAll="0"/>
    <pivotField dataField="1" numFmtId="24" showAll="0"/>
  </pivotFields>
  <rowFields count="2">
    <field x="1"/>
    <field x="2"/>
  </rowFields>
  <rowItems count="34">
    <i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3"/>
    </i>
    <i r="1">
      <x v="15"/>
    </i>
    <i r="1">
      <x v="17"/>
    </i>
    <i r="1">
      <x v="18"/>
    </i>
    <i r="1">
      <x v="19"/>
    </i>
    <i>
      <x v="1"/>
    </i>
    <i r="1">
      <x/>
    </i>
    <i>
      <x v="2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MSRP Total" fld="30" baseField="0" baseItem="0" numFmtId="24"/>
    <dataField name="합계 : LDP Total" fld="33" baseField="0" baseItem="0" numFmtId="24"/>
    <dataField name="합계 : FOB Total" fld="36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8D98C-58A4-494E-ACDF-8EEEDC9F6693}" name="피벗 테이블4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40" firstHeaderRow="0" firstDataRow="1" firstDataCol="1"/>
  <pivotFields count="32">
    <pivotField axis="axisRow" showAll="0" sortType="descending">
      <items count="37">
        <item x="35"/>
        <item x="32"/>
        <item x="29"/>
        <item x="33"/>
        <item x="16"/>
        <item x="11"/>
        <item x="30"/>
        <item x="17"/>
        <item x="10"/>
        <item x="4"/>
        <item x="27"/>
        <item x="14"/>
        <item x="31"/>
        <item x="28"/>
        <item x="19"/>
        <item x="5"/>
        <item x="0"/>
        <item x="12"/>
        <item x="21"/>
        <item x="6"/>
        <item x="1"/>
        <item x="15"/>
        <item x="23"/>
        <item x="22"/>
        <item x="26"/>
        <item x="34"/>
        <item x="9"/>
        <item x="8"/>
        <item x="25"/>
        <item x="18"/>
        <item x="2"/>
        <item x="3"/>
        <item x="20"/>
        <item x="7"/>
        <item x="2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showAll="0"/>
    <pivotField numFmtId="10" showAll="0"/>
    <pivotField numFmtId="177" showAll="0"/>
    <pivotField showAll="0"/>
    <pivotField showAll="0"/>
    <pivotField numFmtId="10"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dataField="1" numFmtId="24" showAll="0"/>
    <pivotField numFmtId="24" showAll="0"/>
    <pivotField numFmtId="24" showAll="0"/>
    <pivotField dataField="1" numFmtId="24" showAll="0"/>
    <pivotField numFmtId="24" showAll="0"/>
    <pivotField numFmtId="24" showAll="0"/>
  </pivotFields>
  <rowFields count="1">
    <field x="0"/>
  </rowFields>
  <rowItems count="37">
    <i>
      <x v="30"/>
    </i>
    <i>
      <x v="31"/>
    </i>
    <i>
      <x v="11"/>
    </i>
    <i>
      <x v="33"/>
    </i>
    <i>
      <x v="19"/>
    </i>
    <i>
      <x v="16"/>
    </i>
    <i>
      <x v="20"/>
    </i>
    <i>
      <x/>
    </i>
    <i>
      <x v="4"/>
    </i>
    <i>
      <x v="9"/>
    </i>
    <i>
      <x v="6"/>
    </i>
    <i>
      <x v="12"/>
    </i>
    <i>
      <x v="24"/>
    </i>
    <i>
      <x v="8"/>
    </i>
    <i>
      <x v="21"/>
    </i>
    <i>
      <x v="26"/>
    </i>
    <i>
      <x v="2"/>
    </i>
    <i>
      <x v="25"/>
    </i>
    <i>
      <x v="28"/>
    </i>
    <i>
      <x v="5"/>
    </i>
    <i>
      <x v="15"/>
    </i>
    <i>
      <x v="34"/>
    </i>
    <i>
      <x v="3"/>
    </i>
    <i>
      <x v="27"/>
    </i>
    <i>
      <x v="14"/>
    </i>
    <i>
      <x v="22"/>
    </i>
    <i>
      <x v="1"/>
    </i>
    <i>
      <x v="7"/>
    </i>
    <i>
      <x v="35"/>
    </i>
    <i>
      <x v="29"/>
    </i>
    <i>
      <x v="17"/>
    </i>
    <i>
      <x v="18"/>
    </i>
    <i>
      <x v="32"/>
    </i>
    <i>
      <x v="10"/>
    </i>
    <i>
      <x v="13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Ecomm LDP" fld="29" baseField="0" baseItem="0" numFmtId="24"/>
    <dataField name="합계 : Ecomm MSRP" fld="26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BC439-255A-4ABC-AE03-B0D12D9D2653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31" firstHeaderRow="0" firstDataRow="1" firstDataCol="1"/>
  <pivotFields count="32">
    <pivotField showAll="0"/>
    <pivotField showAll="0"/>
    <pivotField axis="axisRow" showAll="0" sortType="descending">
      <items count="28">
        <item x="11"/>
        <item x="5"/>
        <item x="14"/>
        <item x="19"/>
        <item x="25"/>
        <item x="8"/>
        <item x="12"/>
        <item x="20"/>
        <item x="13"/>
        <item x="10"/>
        <item x="4"/>
        <item x="22"/>
        <item x="6"/>
        <item x="3"/>
        <item x="17"/>
        <item x="18"/>
        <item x="15"/>
        <item x="24"/>
        <item x="21"/>
        <item x="23"/>
        <item x="9"/>
        <item x="16"/>
        <item x="0"/>
        <item x="1"/>
        <item x="2"/>
        <item x="7"/>
        <item x="2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dataField="1" numFmtId="24" showAll="0"/>
    <pivotField numFmtId="24" showAll="0"/>
    <pivotField numFmtId="24" showAll="0"/>
    <pivotField dataField="1" numFmtId="24" showAll="0"/>
  </pivotFields>
  <rowFields count="1">
    <field x="2"/>
  </rowFields>
  <rowItems count="28">
    <i>
      <x v="26"/>
    </i>
    <i>
      <x v="22"/>
    </i>
    <i>
      <x v="23"/>
    </i>
    <i>
      <x v="6"/>
    </i>
    <i>
      <x v="13"/>
    </i>
    <i>
      <x v="1"/>
    </i>
    <i>
      <x v="24"/>
    </i>
    <i>
      <x v="5"/>
    </i>
    <i>
      <x v="10"/>
    </i>
    <i>
      <x v="20"/>
    </i>
    <i>
      <x v="12"/>
    </i>
    <i>
      <x v="9"/>
    </i>
    <i>
      <x/>
    </i>
    <i>
      <x v="3"/>
    </i>
    <i>
      <x v="16"/>
    </i>
    <i>
      <x v="25"/>
    </i>
    <i>
      <x v="19"/>
    </i>
    <i>
      <x v="7"/>
    </i>
    <i>
      <x v="11"/>
    </i>
    <i>
      <x v="2"/>
    </i>
    <i>
      <x v="21"/>
    </i>
    <i>
      <x v="18"/>
    </i>
    <i>
      <x v="14"/>
    </i>
    <i>
      <x v="15"/>
    </i>
    <i>
      <x v="8"/>
    </i>
    <i>
      <x v="17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Ecomm LDP" fld="31" baseField="0" baseItem="0" numFmtId="24"/>
    <dataField name="합계 : Ecomm MSRP" fld="28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1E82E-2EAF-4C8B-9837-B01A916BFD85}" name="피벗 테이블3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24" firstHeaderRow="0" firstDataRow="1" firstDataCol="1"/>
  <pivotFields count="30">
    <pivotField axis="axisRow" showAll="0" sortType="descending">
      <items count="21">
        <item x="12"/>
        <item x="10"/>
        <item x="8"/>
        <item x="15"/>
        <item x="6"/>
        <item x="14"/>
        <item x="1"/>
        <item x="9"/>
        <item x="0"/>
        <item x="2"/>
        <item x="19"/>
        <item x="16"/>
        <item x="13"/>
        <item x="11"/>
        <item x="18"/>
        <item x="7"/>
        <item x="17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77" showAll="0"/>
    <pivotField numFmtId="177" showAll="0"/>
    <pivotField numFmtId="177" showAll="0"/>
    <pivotField numFmtId="10" showAll="0"/>
    <pivotField numFmtId="177" showAll="0"/>
    <pivotField showAll="0"/>
    <pivotField showAll="0"/>
    <pivotField numFmtId="10" showAll="0"/>
    <pivotField numFmtId="177" showAll="0"/>
    <pivotField numFmtId="177" showAll="0"/>
    <pivotField numFmtId="41" showAll="0"/>
    <pivotField showAll="0"/>
    <pivotField showAll="0"/>
    <pivotField showAll="0"/>
    <pivotField showAll="0"/>
    <pivotField showAll="0"/>
    <pivotField showAll="0"/>
    <pivotField numFmtId="41" showAll="0"/>
    <pivotField dataField="1" numFmtId="24" showAll="0"/>
    <pivotField numFmtId="24" showAll="0"/>
    <pivotField numFmtId="24" showAll="0"/>
    <pivotField dataField="1" numFmtId="24" showAll="0"/>
  </pivotFields>
  <rowFields count="1">
    <field x="0"/>
  </rowFields>
  <rowItems count="21">
    <i>
      <x v="17"/>
    </i>
    <i>
      <x v="18"/>
    </i>
    <i>
      <x v="13"/>
    </i>
    <i>
      <x v="9"/>
    </i>
    <i>
      <x v="19"/>
    </i>
    <i>
      <x v="6"/>
    </i>
    <i>
      <x v="4"/>
    </i>
    <i>
      <x v="3"/>
    </i>
    <i>
      <x v="7"/>
    </i>
    <i>
      <x v="8"/>
    </i>
    <i>
      <x v="15"/>
    </i>
    <i>
      <x v="1"/>
    </i>
    <i>
      <x v="5"/>
    </i>
    <i>
      <x v="12"/>
    </i>
    <i>
      <x v="14"/>
    </i>
    <i>
      <x/>
    </i>
    <i>
      <x v="2"/>
    </i>
    <i>
      <x v="10"/>
    </i>
    <i>
      <x v="16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Ecomm LDP" fld="29" baseField="0" baseItem="0" numFmtId="24"/>
    <dataField name="합계 : Ecomm MSRP" fld="26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7AFCC-3A36-4E19-944F-56E59418F74C}" name="피벗 테이블6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26" firstHeaderRow="0" firstDataRow="1" firstDataCol="1"/>
  <pivotFields count="32">
    <pivotField axis="axisRow" showAll="0" sortType="descending">
      <items count="23">
        <item x="12"/>
        <item x="11"/>
        <item x="21"/>
        <item x="14"/>
        <item x="9"/>
        <item x="7"/>
        <item x="2"/>
        <item x="8"/>
        <item x="3"/>
        <item x="1"/>
        <item x="19"/>
        <item x="16"/>
        <item x="17"/>
        <item x="18"/>
        <item x="10"/>
        <item x="13"/>
        <item x="20"/>
        <item x="15"/>
        <item x="4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showAll="0"/>
    <pivotField showAll="0"/>
    <pivotField numFmtId="10"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dataField="1" numFmtId="24" showAll="0"/>
    <pivotField numFmtId="24" showAll="0"/>
    <pivotField numFmtId="24" showAll="0"/>
    <pivotField dataField="1" numFmtId="24" showAll="0"/>
    <pivotField numFmtId="24" showAll="0"/>
    <pivotField numFmtId="24" showAll="0"/>
  </pivotFields>
  <rowFields count="1">
    <field x="0"/>
  </rowFields>
  <rowItems count="23">
    <i>
      <x v="18"/>
    </i>
    <i>
      <x v="19"/>
    </i>
    <i>
      <x v="9"/>
    </i>
    <i>
      <x v="21"/>
    </i>
    <i>
      <x v="8"/>
    </i>
    <i>
      <x v="14"/>
    </i>
    <i>
      <x v="1"/>
    </i>
    <i>
      <x v="7"/>
    </i>
    <i>
      <x v="3"/>
    </i>
    <i>
      <x v="10"/>
    </i>
    <i>
      <x v="13"/>
    </i>
    <i>
      <x v="5"/>
    </i>
    <i>
      <x v="12"/>
    </i>
    <i>
      <x v="6"/>
    </i>
    <i>
      <x/>
    </i>
    <i>
      <x v="2"/>
    </i>
    <i>
      <x v="17"/>
    </i>
    <i>
      <x v="15"/>
    </i>
    <i>
      <x v="4"/>
    </i>
    <i>
      <x v="16"/>
    </i>
    <i>
      <x v="11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Ecomm LDP" fld="29" baseField="0" baseItem="0" numFmtId="24"/>
    <dataField name="합계 : Ecomm MSRP" fld="26" baseField="0" baseItem="0" numFmtId="2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5059-9353-47AD-AAAF-17B5CEE8CE7E}">
  <dimension ref="A3:D41"/>
  <sheetViews>
    <sheetView workbookViewId="0">
      <selection activeCell="A3" sqref="A3:D37"/>
    </sheetView>
  </sheetViews>
  <sheetFormatPr defaultRowHeight="16.5"/>
  <cols>
    <col min="1" max="1" width="19.75" bestFit="1" customWidth="1"/>
    <col min="2" max="2" width="18.25" bestFit="1" customWidth="1"/>
    <col min="3" max="3" width="16.5" bestFit="1" customWidth="1"/>
    <col min="4" max="4" width="16.75" bestFit="1" customWidth="1"/>
  </cols>
  <sheetData>
    <row r="3" spans="1:4">
      <c r="A3" s="98" t="s">
        <v>442</v>
      </c>
      <c r="B3" t="s">
        <v>449</v>
      </c>
      <c r="C3" t="s">
        <v>450</v>
      </c>
      <c r="D3" t="s">
        <v>451</v>
      </c>
    </row>
    <row r="4" spans="1:4">
      <c r="A4" s="99" t="s">
        <v>13</v>
      </c>
      <c r="B4" s="100">
        <v>23192029</v>
      </c>
      <c r="C4" s="100">
        <v>4408528.7633799994</v>
      </c>
      <c r="D4" s="100">
        <v>3091865.92</v>
      </c>
    </row>
    <row r="5" spans="1:4">
      <c r="A5" s="129" t="s">
        <v>133</v>
      </c>
      <c r="B5" s="100">
        <v>370440</v>
      </c>
      <c r="C5" s="100">
        <v>71830.053499999995</v>
      </c>
      <c r="D5" s="100">
        <v>50867.599999999991</v>
      </c>
    </row>
    <row r="6" spans="1:4">
      <c r="A6" s="129" t="s">
        <v>48</v>
      </c>
      <c r="B6" s="100">
        <v>823452</v>
      </c>
      <c r="C6" s="100">
        <v>152301.13169999997</v>
      </c>
      <c r="D6" s="100">
        <v>107292.6</v>
      </c>
    </row>
    <row r="7" spans="1:4">
      <c r="A7" s="129" t="s">
        <v>76</v>
      </c>
      <c r="B7" s="100">
        <v>799624</v>
      </c>
      <c r="C7" s="100">
        <v>151397.07200000001</v>
      </c>
      <c r="D7" s="100">
        <v>111205.20000000001</v>
      </c>
    </row>
    <row r="8" spans="1:4">
      <c r="A8" s="129" t="s">
        <v>164</v>
      </c>
      <c r="B8" s="100">
        <v>1128052</v>
      </c>
      <c r="C8" s="100">
        <v>244031.14689999996</v>
      </c>
      <c r="D8" s="100">
        <v>181391.24000000002</v>
      </c>
    </row>
    <row r="9" spans="1:4">
      <c r="A9" s="129" t="s">
        <v>235</v>
      </c>
      <c r="B9" s="100">
        <v>36192</v>
      </c>
      <c r="C9" s="100">
        <v>5527.9800000000014</v>
      </c>
      <c r="D9" s="100">
        <v>4292</v>
      </c>
    </row>
    <row r="10" spans="1:4">
      <c r="A10" s="129" t="s">
        <v>124</v>
      </c>
      <c r="B10" s="100">
        <v>336300</v>
      </c>
      <c r="C10" s="100">
        <v>64429.650799999996</v>
      </c>
      <c r="D10" s="100">
        <v>45385.399999999994</v>
      </c>
    </row>
    <row r="11" spans="1:4">
      <c r="A11" s="129" t="s">
        <v>44</v>
      </c>
      <c r="B11" s="100">
        <v>557366</v>
      </c>
      <c r="C11" s="100">
        <v>112211.93425000001</v>
      </c>
      <c r="D11" s="100">
        <v>74649.45</v>
      </c>
    </row>
    <row r="12" spans="1:4">
      <c r="A12" s="129" t="s">
        <v>50</v>
      </c>
      <c r="B12" s="100">
        <v>479020</v>
      </c>
      <c r="C12" s="100">
        <v>93890.562739999994</v>
      </c>
      <c r="D12" s="100">
        <v>64743.46</v>
      </c>
    </row>
    <row r="13" spans="1:4">
      <c r="A13" s="129" t="s">
        <v>29</v>
      </c>
      <c r="B13" s="100">
        <v>1159928</v>
      </c>
      <c r="C13" s="100">
        <v>234295.92662999997</v>
      </c>
      <c r="D13" s="100">
        <v>162923.68</v>
      </c>
    </row>
    <row r="14" spans="1:4">
      <c r="A14" s="129" t="s">
        <v>81</v>
      </c>
      <c r="B14" s="100">
        <v>586132</v>
      </c>
      <c r="C14" s="100">
        <v>115747.606</v>
      </c>
      <c r="D14" s="100">
        <v>85444</v>
      </c>
    </row>
    <row r="15" spans="1:4">
      <c r="A15" s="129" t="s">
        <v>14</v>
      </c>
      <c r="B15" s="100">
        <v>9022040</v>
      </c>
      <c r="C15" s="100">
        <v>1678236.7077899992</v>
      </c>
      <c r="D15" s="100">
        <v>1173705.71</v>
      </c>
    </row>
    <row r="16" spans="1:4">
      <c r="A16" s="129" t="s">
        <v>21</v>
      </c>
      <c r="B16" s="100">
        <v>7053211</v>
      </c>
      <c r="C16" s="100">
        <v>1321556.2856200004</v>
      </c>
      <c r="D16" s="100">
        <v>917283.54</v>
      </c>
    </row>
    <row r="17" spans="1:4">
      <c r="A17" s="129" t="s">
        <v>24</v>
      </c>
      <c r="B17" s="100">
        <v>732912</v>
      </c>
      <c r="C17" s="100">
        <v>141645.01545000001</v>
      </c>
      <c r="D17" s="100">
        <v>96578.04</v>
      </c>
    </row>
    <row r="18" spans="1:4">
      <c r="A18" s="129" t="s">
        <v>55</v>
      </c>
      <c r="B18" s="100">
        <v>107360</v>
      </c>
      <c r="C18" s="100">
        <v>21427.690000000002</v>
      </c>
      <c r="D18" s="100">
        <v>16104</v>
      </c>
    </row>
    <row r="19" spans="1:4">
      <c r="A19" s="99" t="s">
        <v>361</v>
      </c>
      <c r="B19" s="100">
        <v>46200</v>
      </c>
      <c r="C19" s="100">
        <v>9991.16</v>
      </c>
      <c r="D19" s="100">
        <v>7092</v>
      </c>
    </row>
    <row r="20" spans="1:4">
      <c r="A20" s="129" t="s">
        <v>368</v>
      </c>
      <c r="B20" s="100">
        <v>21000</v>
      </c>
      <c r="C20" s="100">
        <v>4109.2</v>
      </c>
      <c r="D20" s="100">
        <v>2780</v>
      </c>
    </row>
    <row r="21" spans="1:4">
      <c r="A21" s="129" t="s">
        <v>362</v>
      </c>
      <c r="B21" s="100">
        <v>25200</v>
      </c>
      <c r="C21" s="100">
        <v>5881.9600000000009</v>
      </c>
      <c r="D21" s="100">
        <v>4312</v>
      </c>
    </row>
    <row r="22" spans="1:4">
      <c r="A22" s="99" t="s">
        <v>252</v>
      </c>
      <c r="B22" s="100">
        <v>3715947</v>
      </c>
      <c r="C22" s="100">
        <v>724791.14114999992</v>
      </c>
      <c r="D22" s="100">
        <v>518600.47</v>
      </c>
    </row>
    <row r="23" spans="1:4">
      <c r="A23" s="129" t="s">
        <v>48</v>
      </c>
      <c r="B23" s="100">
        <v>59772</v>
      </c>
      <c r="C23" s="100">
        <v>10360.375750000001</v>
      </c>
      <c r="D23" s="100">
        <v>8394.4500000000007</v>
      </c>
    </row>
    <row r="24" spans="1:4">
      <c r="A24" s="129" t="s">
        <v>253</v>
      </c>
      <c r="B24" s="100">
        <v>77368</v>
      </c>
      <c r="C24" s="100">
        <v>15557.481599999999</v>
      </c>
      <c r="D24" s="100">
        <v>10266.24</v>
      </c>
    </row>
    <row r="25" spans="1:4">
      <c r="A25" s="129" t="s">
        <v>293</v>
      </c>
      <c r="B25" s="100">
        <v>191275</v>
      </c>
      <c r="C25" s="100">
        <v>38767.868000000002</v>
      </c>
      <c r="D25" s="100">
        <v>29418.799999999999</v>
      </c>
    </row>
    <row r="26" spans="1:4">
      <c r="A26" s="129" t="s">
        <v>164</v>
      </c>
      <c r="B26" s="100">
        <v>306505</v>
      </c>
      <c r="C26" s="100">
        <v>63291.330999999998</v>
      </c>
      <c r="D26" s="100">
        <v>44502.76</v>
      </c>
    </row>
    <row r="27" spans="1:4">
      <c r="A27" s="129" t="s">
        <v>306</v>
      </c>
      <c r="B27" s="100">
        <v>111688</v>
      </c>
      <c r="C27" s="100">
        <v>19867.381999999998</v>
      </c>
      <c r="D27" s="100">
        <v>13906</v>
      </c>
    </row>
    <row r="28" spans="1:4">
      <c r="A28" s="129" t="s">
        <v>124</v>
      </c>
      <c r="B28" s="100">
        <v>63800</v>
      </c>
      <c r="C28" s="100">
        <v>13331.880000000001</v>
      </c>
      <c r="D28" s="100">
        <v>9976</v>
      </c>
    </row>
    <row r="29" spans="1:4">
      <c r="A29" s="129" t="s">
        <v>44</v>
      </c>
      <c r="B29" s="100">
        <v>45240</v>
      </c>
      <c r="C29" s="100">
        <v>10480.599999999999</v>
      </c>
      <c r="D29" s="100">
        <v>6960</v>
      </c>
    </row>
    <row r="30" spans="1:4">
      <c r="A30" s="129" t="s">
        <v>338</v>
      </c>
      <c r="B30" s="100">
        <v>75000</v>
      </c>
      <c r="C30" s="100">
        <v>12673.499999999996</v>
      </c>
      <c r="D30" s="100">
        <v>9450</v>
      </c>
    </row>
    <row r="31" spans="1:4">
      <c r="A31" s="129" t="s">
        <v>267</v>
      </c>
      <c r="B31" s="100">
        <v>44000</v>
      </c>
      <c r="C31" s="100">
        <v>9968.6449999999986</v>
      </c>
      <c r="D31" s="100">
        <v>6795</v>
      </c>
    </row>
    <row r="32" spans="1:4">
      <c r="A32" s="129" t="s">
        <v>275</v>
      </c>
      <c r="B32" s="100">
        <v>39156</v>
      </c>
      <c r="C32" s="100">
        <v>7697.8099999999995</v>
      </c>
      <c r="D32" s="100">
        <v>5722</v>
      </c>
    </row>
    <row r="33" spans="1:4">
      <c r="A33" s="129" t="s">
        <v>257</v>
      </c>
      <c r="B33" s="100">
        <v>168068</v>
      </c>
      <c r="C33" s="100">
        <v>34250.787900000003</v>
      </c>
      <c r="D33" s="100">
        <v>26057.1</v>
      </c>
    </row>
    <row r="34" spans="1:4">
      <c r="A34" s="129" t="s">
        <v>309</v>
      </c>
      <c r="B34" s="100">
        <v>45800</v>
      </c>
      <c r="C34" s="100">
        <v>8254.7799999999988</v>
      </c>
      <c r="D34" s="100">
        <v>6145</v>
      </c>
    </row>
    <row r="35" spans="1:4">
      <c r="A35" s="129" t="s">
        <v>347</v>
      </c>
      <c r="B35" s="100">
        <v>130856</v>
      </c>
      <c r="C35" s="100">
        <v>24591.470999999998</v>
      </c>
      <c r="D35" s="100">
        <v>19959</v>
      </c>
    </row>
    <row r="36" spans="1:4">
      <c r="A36" s="129" t="s">
        <v>262</v>
      </c>
      <c r="B36" s="100">
        <v>63414</v>
      </c>
      <c r="C36" s="100">
        <v>13607.059049999998</v>
      </c>
      <c r="D36" s="100">
        <v>9016.17</v>
      </c>
    </row>
    <row r="37" spans="1:4">
      <c r="A37" s="129" t="s">
        <v>14</v>
      </c>
      <c r="B37" s="100">
        <v>1218119</v>
      </c>
      <c r="C37" s="100">
        <v>235663.89135999998</v>
      </c>
      <c r="D37" s="100">
        <v>167142.48000000001</v>
      </c>
    </row>
    <row r="38" spans="1:4">
      <c r="A38" s="129" t="s">
        <v>21</v>
      </c>
      <c r="B38" s="100">
        <v>912760</v>
      </c>
      <c r="C38" s="100">
        <v>176954.25873999999</v>
      </c>
      <c r="D38" s="100">
        <v>123934.62000000001</v>
      </c>
    </row>
    <row r="39" spans="1:4">
      <c r="A39" s="129" t="s">
        <v>24</v>
      </c>
      <c r="B39" s="100">
        <v>104718</v>
      </c>
      <c r="C39" s="100">
        <v>15646.309750000002</v>
      </c>
      <c r="D39" s="100">
        <v>11716.85</v>
      </c>
    </row>
    <row r="40" spans="1:4">
      <c r="A40" s="129" t="s">
        <v>55</v>
      </c>
      <c r="B40" s="100">
        <v>58408</v>
      </c>
      <c r="C40" s="100">
        <v>13825.71</v>
      </c>
      <c r="D40" s="100">
        <v>9238</v>
      </c>
    </row>
    <row r="41" spans="1:4">
      <c r="A41" s="99" t="s">
        <v>443</v>
      </c>
      <c r="B41" s="100">
        <v>26954176</v>
      </c>
      <c r="C41" s="100">
        <v>5143311.0645299982</v>
      </c>
      <c r="D41" s="100">
        <v>3617558.39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D6A9-2BBA-4E08-ACB6-0991D60EF299}">
  <dimension ref="A3:D37"/>
  <sheetViews>
    <sheetView topLeftCell="A7" workbookViewId="0">
      <selection activeCell="A3" sqref="A3:D37"/>
    </sheetView>
  </sheetViews>
  <sheetFormatPr defaultRowHeight="16.5"/>
  <cols>
    <col min="1" max="1" width="23.5" bestFit="1" customWidth="1"/>
    <col min="2" max="2" width="18.25" bestFit="1" customWidth="1"/>
    <col min="3" max="3" width="16.5" bestFit="1" customWidth="1"/>
    <col min="4" max="4" width="16.75" bestFit="1" customWidth="1"/>
  </cols>
  <sheetData>
    <row r="3" spans="1:4">
      <c r="A3" s="98" t="s">
        <v>442</v>
      </c>
      <c r="B3" t="s">
        <v>449</v>
      </c>
      <c r="C3" t="s">
        <v>450</v>
      </c>
      <c r="D3" t="s">
        <v>451</v>
      </c>
    </row>
    <row r="4" spans="1:4">
      <c r="A4" s="99" t="s">
        <v>463</v>
      </c>
      <c r="B4" s="100">
        <v>11814322</v>
      </c>
      <c r="C4" s="100">
        <v>2266876.6103300001</v>
      </c>
      <c r="D4" s="100">
        <v>1582909.3299999998</v>
      </c>
    </row>
    <row r="5" spans="1:4">
      <c r="A5" s="129" t="s">
        <v>527</v>
      </c>
      <c r="B5" s="100">
        <v>232650</v>
      </c>
      <c r="C5" s="100">
        <v>48224.618700000006</v>
      </c>
      <c r="D5" s="100">
        <v>34739.850000000006</v>
      </c>
    </row>
    <row r="6" spans="1:4">
      <c r="A6" s="129" t="s">
        <v>48</v>
      </c>
      <c r="B6" s="100">
        <v>111210</v>
      </c>
      <c r="C6" s="100">
        <v>25068.220199999996</v>
      </c>
      <c r="D6" s="100">
        <v>19067.46</v>
      </c>
    </row>
    <row r="7" spans="1:4">
      <c r="A7" s="129" t="s">
        <v>76</v>
      </c>
      <c r="B7" s="100">
        <v>511040</v>
      </c>
      <c r="C7" s="100">
        <v>108203.01984999998</v>
      </c>
      <c r="D7" s="100">
        <v>77553.25</v>
      </c>
    </row>
    <row r="8" spans="1:4">
      <c r="A8" s="129" t="s">
        <v>468</v>
      </c>
      <c r="B8" s="100">
        <v>621595</v>
      </c>
      <c r="C8" s="100">
        <v>117928.24175</v>
      </c>
      <c r="D8" s="100">
        <v>80645.75</v>
      </c>
    </row>
    <row r="9" spans="1:4">
      <c r="A9" s="129" t="s">
        <v>124</v>
      </c>
      <c r="B9" s="100">
        <v>163400</v>
      </c>
      <c r="C9" s="100">
        <v>33414.992000000006</v>
      </c>
      <c r="D9" s="100">
        <v>23256</v>
      </c>
    </row>
    <row r="10" spans="1:4">
      <c r="A10" s="129" t="s">
        <v>44</v>
      </c>
      <c r="B10" s="100">
        <v>320056</v>
      </c>
      <c r="C10" s="100">
        <v>61259.039049999992</v>
      </c>
      <c r="D10" s="100">
        <v>41728.449999999997</v>
      </c>
    </row>
    <row r="11" spans="1:4">
      <c r="A11" s="129" t="s">
        <v>267</v>
      </c>
      <c r="B11" s="100">
        <v>945849</v>
      </c>
      <c r="C11" s="100">
        <v>186890.04634</v>
      </c>
      <c r="D11" s="100">
        <v>130511.01000000001</v>
      </c>
    </row>
    <row r="12" spans="1:4">
      <c r="A12" s="129" t="s">
        <v>167</v>
      </c>
      <c r="B12" s="100">
        <v>998485</v>
      </c>
      <c r="C12" s="100">
        <v>231062.91825000002</v>
      </c>
      <c r="D12" s="100">
        <v>163241.25</v>
      </c>
    </row>
    <row r="13" spans="1:4">
      <c r="A13" s="129" t="s">
        <v>81</v>
      </c>
      <c r="B13" s="100">
        <v>318136</v>
      </c>
      <c r="C13" s="100">
        <v>65592.188000000009</v>
      </c>
      <c r="D13" s="100">
        <v>47898</v>
      </c>
    </row>
    <row r="14" spans="1:4">
      <c r="A14" s="129" t="s">
        <v>14</v>
      </c>
      <c r="B14" s="100">
        <v>3920495</v>
      </c>
      <c r="C14" s="100">
        <v>728860.84473999997</v>
      </c>
      <c r="D14" s="100">
        <v>505354.63</v>
      </c>
    </row>
    <row r="15" spans="1:4">
      <c r="A15" s="129" t="s">
        <v>21</v>
      </c>
      <c r="B15" s="100">
        <v>3162630</v>
      </c>
      <c r="C15" s="100">
        <v>579032.56944999995</v>
      </c>
      <c r="D15" s="100">
        <v>399823.27999999997</v>
      </c>
    </row>
    <row r="16" spans="1:4">
      <c r="A16" s="129" t="s">
        <v>24</v>
      </c>
      <c r="B16" s="100">
        <v>508776</v>
      </c>
      <c r="C16" s="100">
        <v>81339.911999999997</v>
      </c>
      <c r="D16" s="100">
        <v>59090.399999999994</v>
      </c>
    </row>
    <row r="17" spans="1:4">
      <c r="A17" s="99" t="s">
        <v>361</v>
      </c>
      <c r="B17" s="100">
        <v>77280</v>
      </c>
      <c r="C17" s="100">
        <v>16048.145</v>
      </c>
      <c r="D17" s="100">
        <v>10883</v>
      </c>
    </row>
    <row r="18" spans="1:4">
      <c r="A18" s="129" t="s">
        <v>585</v>
      </c>
      <c r="B18" s="100">
        <v>77280</v>
      </c>
      <c r="C18" s="100">
        <v>16048.145</v>
      </c>
      <c r="D18" s="100">
        <v>10883</v>
      </c>
    </row>
    <row r="19" spans="1:4">
      <c r="A19" s="99" t="s">
        <v>252</v>
      </c>
      <c r="B19" s="100">
        <v>3092780</v>
      </c>
      <c r="C19" s="100">
        <v>660957.38977000001</v>
      </c>
      <c r="D19" s="100">
        <v>469876.8</v>
      </c>
    </row>
    <row r="20" spans="1:4">
      <c r="A20" s="129" t="s">
        <v>527</v>
      </c>
      <c r="B20" s="100">
        <v>28080</v>
      </c>
      <c r="C20" s="100">
        <v>6542.9727999999996</v>
      </c>
      <c r="D20" s="100">
        <v>4555.2</v>
      </c>
    </row>
    <row r="21" spans="1:4">
      <c r="A21" s="129" t="s">
        <v>293</v>
      </c>
      <c r="B21" s="100">
        <v>352995</v>
      </c>
      <c r="C21" s="100">
        <v>77591.051999999996</v>
      </c>
      <c r="D21" s="100">
        <v>61044.399999999994</v>
      </c>
    </row>
    <row r="22" spans="1:4">
      <c r="A22" s="129" t="s">
        <v>76</v>
      </c>
      <c r="B22" s="100">
        <v>65750</v>
      </c>
      <c r="C22" s="100">
        <v>14894.478999999998</v>
      </c>
      <c r="D22" s="100">
        <v>10257</v>
      </c>
    </row>
    <row r="23" spans="1:4">
      <c r="A23" s="129" t="s">
        <v>619</v>
      </c>
      <c r="B23" s="100">
        <v>165110</v>
      </c>
      <c r="C23" s="100">
        <v>32190.446</v>
      </c>
      <c r="D23" s="100">
        <v>23265.5</v>
      </c>
    </row>
    <row r="24" spans="1:4">
      <c r="A24" s="129" t="s">
        <v>468</v>
      </c>
      <c r="B24" s="100">
        <v>72688</v>
      </c>
      <c r="C24" s="100">
        <v>14614</v>
      </c>
      <c r="D24" s="100">
        <v>9856</v>
      </c>
    </row>
    <row r="25" spans="1:4">
      <c r="A25" s="129" t="s">
        <v>124</v>
      </c>
      <c r="B25" s="100">
        <v>124645</v>
      </c>
      <c r="C25" s="100">
        <v>22669.0671</v>
      </c>
      <c r="D25" s="100">
        <v>15748.05</v>
      </c>
    </row>
    <row r="26" spans="1:4">
      <c r="A26" s="129" t="s">
        <v>44</v>
      </c>
      <c r="B26" s="100">
        <v>36972</v>
      </c>
      <c r="C26" s="100">
        <v>6724.9934999999987</v>
      </c>
      <c r="D26" s="100">
        <v>4431.8999999999996</v>
      </c>
    </row>
    <row r="27" spans="1:4">
      <c r="A27" s="129" t="s">
        <v>267</v>
      </c>
      <c r="B27" s="100">
        <v>76842</v>
      </c>
      <c r="C27" s="100">
        <v>18049.593889999996</v>
      </c>
      <c r="D27" s="100">
        <v>12380.789999999999</v>
      </c>
    </row>
    <row r="28" spans="1:4">
      <c r="A28" s="129" t="s">
        <v>275</v>
      </c>
      <c r="B28" s="100">
        <v>54560</v>
      </c>
      <c r="C28" s="100">
        <v>9946.6</v>
      </c>
      <c r="D28" s="100">
        <v>7440</v>
      </c>
    </row>
    <row r="29" spans="1:4">
      <c r="A29" s="129" t="s">
        <v>257</v>
      </c>
      <c r="B29" s="100">
        <v>38376</v>
      </c>
      <c r="C29" s="100">
        <v>9087.3383999999987</v>
      </c>
      <c r="D29" s="100">
        <v>6199.2000000000007</v>
      </c>
    </row>
    <row r="30" spans="1:4">
      <c r="A30" s="129" t="s">
        <v>309</v>
      </c>
      <c r="B30" s="100">
        <v>102136</v>
      </c>
      <c r="C30" s="100">
        <v>28650.649999999994</v>
      </c>
      <c r="D30" s="100">
        <v>22530</v>
      </c>
    </row>
    <row r="31" spans="1:4">
      <c r="A31" s="129" t="s">
        <v>167</v>
      </c>
      <c r="B31" s="100">
        <v>514255</v>
      </c>
      <c r="C31" s="100">
        <v>124970.49320000001</v>
      </c>
      <c r="D31" s="100">
        <v>85849.200000000012</v>
      </c>
    </row>
    <row r="32" spans="1:4">
      <c r="A32" s="129" t="s">
        <v>347</v>
      </c>
      <c r="B32" s="100">
        <v>119810</v>
      </c>
      <c r="C32" s="100">
        <v>25674.857069999998</v>
      </c>
      <c r="D32" s="100">
        <v>18416.41</v>
      </c>
    </row>
    <row r="33" spans="1:4">
      <c r="A33" s="129" t="s">
        <v>643</v>
      </c>
      <c r="B33" s="100">
        <v>62500</v>
      </c>
      <c r="C33" s="100">
        <v>12755.5</v>
      </c>
      <c r="D33" s="100">
        <v>9550.0000000000018</v>
      </c>
    </row>
    <row r="34" spans="1:4">
      <c r="A34" s="129" t="s">
        <v>14</v>
      </c>
      <c r="B34" s="100">
        <v>653685</v>
      </c>
      <c r="C34" s="100">
        <v>127532.22936000001</v>
      </c>
      <c r="D34" s="100">
        <v>88280</v>
      </c>
    </row>
    <row r="35" spans="1:4">
      <c r="A35" s="129" t="s">
        <v>21</v>
      </c>
      <c r="B35" s="100">
        <v>458720</v>
      </c>
      <c r="C35" s="100">
        <v>91274.063699999999</v>
      </c>
      <c r="D35" s="100">
        <v>63013.9</v>
      </c>
    </row>
    <row r="36" spans="1:4">
      <c r="A36" s="129" t="s">
        <v>24</v>
      </c>
      <c r="B36" s="100">
        <v>165656</v>
      </c>
      <c r="C36" s="100">
        <v>37789.053750000006</v>
      </c>
      <c r="D36" s="100">
        <v>27059.25</v>
      </c>
    </row>
    <row r="37" spans="1:4">
      <c r="A37" s="99" t="s">
        <v>443</v>
      </c>
      <c r="B37" s="100">
        <v>14984382</v>
      </c>
      <c r="C37" s="100">
        <v>2943882.1450999998</v>
      </c>
      <c r="D37" s="100">
        <v>2063669.1299999994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FFD0-6F3B-4A0A-A33E-755B85F938A8}">
  <dimension ref="A2:K40"/>
  <sheetViews>
    <sheetView zoomScale="145" zoomScaleNormal="145" workbookViewId="0">
      <selection activeCell="J8" sqref="J8"/>
    </sheetView>
  </sheetViews>
  <sheetFormatPr defaultRowHeight="16.5"/>
  <cols>
    <col min="1" max="1" width="18.875" bestFit="1" customWidth="1"/>
    <col min="2" max="2" width="20.75" bestFit="1" customWidth="1"/>
    <col min="3" max="3" width="22.5" bestFit="1" customWidth="1"/>
    <col min="8" max="8" width="13.75" customWidth="1"/>
    <col min="10" max="11" width="12.875" customWidth="1"/>
  </cols>
  <sheetData>
    <row r="2" spans="1:11">
      <c r="I2">
        <v>5.3</v>
      </c>
      <c r="J2" s="137">
        <v>5.4</v>
      </c>
    </row>
    <row r="3" spans="1:11">
      <c r="A3" s="98" t="s">
        <v>442</v>
      </c>
      <c r="B3" t="s">
        <v>1315</v>
      </c>
      <c r="C3" t="s">
        <v>1314</v>
      </c>
      <c r="H3" t="s">
        <v>1321</v>
      </c>
      <c r="I3" t="s">
        <v>1319</v>
      </c>
      <c r="J3" t="s">
        <v>1320</v>
      </c>
    </row>
    <row r="4" spans="1:11">
      <c r="A4" s="99" t="s">
        <v>14</v>
      </c>
      <c r="B4" s="100">
        <v>1057444.3847699997</v>
      </c>
      <c r="C4" s="100">
        <v>5851445</v>
      </c>
      <c r="D4" s="134">
        <f>+B4/C4</f>
        <v>0.18071508572156103</v>
      </c>
      <c r="E4" s="137">
        <f>1/D4</f>
        <v>5.5335723412751614</v>
      </c>
      <c r="H4" s="99" t="s">
        <v>14</v>
      </c>
      <c r="I4" s="137">
        <v>5.5335723412751614</v>
      </c>
      <c r="J4" s="137">
        <v>5.5416865325190097</v>
      </c>
    </row>
    <row r="5" spans="1:11">
      <c r="A5" s="99" t="s">
        <v>21</v>
      </c>
      <c r="B5" s="100">
        <v>883111.27924999956</v>
      </c>
      <c r="C5" s="100">
        <v>4937425</v>
      </c>
      <c r="D5" s="134">
        <f t="shared" ref="D5:D9" si="0">+B5/C5</f>
        <v>0.17886069747894895</v>
      </c>
      <c r="E5" s="137">
        <f t="shared" ref="E5:E40" si="1">1/D5</f>
        <v>5.5909431982266264</v>
      </c>
      <c r="H5" s="99" t="s">
        <v>21</v>
      </c>
      <c r="I5" s="137">
        <v>5.5909431982266264</v>
      </c>
      <c r="J5" s="137">
        <v>5.696471918562656</v>
      </c>
    </row>
    <row r="6" spans="1:11">
      <c r="A6" s="99" t="s">
        <v>164</v>
      </c>
      <c r="B6" s="100">
        <v>404534.88910000003</v>
      </c>
      <c r="C6" s="100">
        <v>1928830</v>
      </c>
      <c r="D6" s="134">
        <f t="shared" si="0"/>
        <v>0.20973071193417772</v>
      </c>
      <c r="E6" s="137">
        <f t="shared" si="1"/>
        <v>4.7680189075686821</v>
      </c>
      <c r="H6" s="99" t="s">
        <v>164</v>
      </c>
      <c r="I6" s="137">
        <v>4.7680189075686821</v>
      </c>
      <c r="J6" s="137">
        <v>4.7</v>
      </c>
    </row>
    <row r="7" spans="1:11">
      <c r="A7" s="99" t="s">
        <v>24</v>
      </c>
      <c r="B7" s="100">
        <v>310056.72500000003</v>
      </c>
      <c r="C7" s="100">
        <v>1784300</v>
      </c>
      <c r="D7" s="134">
        <f t="shared" si="0"/>
        <v>0.17376939135795552</v>
      </c>
      <c r="E7" s="137">
        <f t="shared" si="1"/>
        <v>5.7547534245548126</v>
      </c>
      <c r="H7" s="99" t="s">
        <v>24</v>
      </c>
      <c r="I7" s="137">
        <v>5.7547534245548126</v>
      </c>
      <c r="J7" s="137">
        <v>5.9</v>
      </c>
    </row>
    <row r="8" spans="1:11">
      <c r="A8" s="99" t="s">
        <v>982</v>
      </c>
      <c r="B8" s="100">
        <v>327206.576</v>
      </c>
      <c r="C8" s="100">
        <v>1644400</v>
      </c>
      <c r="D8" s="134">
        <f t="shared" si="0"/>
        <v>0.19898234979323765</v>
      </c>
      <c r="E8" s="137">
        <f t="shared" si="1"/>
        <v>5.0255713687123453</v>
      </c>
      <c r="H8" s="99" t="s">
        <v>982</v>
      </c>
      <c r="I8" s="137">
        <v>5.0255713687123453</v>
      </c>
      <c r="J8" s="137">
        <v>5.2</v>
      </c>
    </row>
    <row r="9" spans="1:11">
      <c r="A9" s="99" t="s">
        <v>44</v>
      </c>
      <c r="B9" s="100">
        <v>261281.87250000003</v>
      </c>
      <c r="C9" s="100">
        <v>1424300</v>
      </c>
      <c r="D9" s="134">
        <f t="shared" si="0"/>
        <v>0.18344581373306187</v>
      </c>
      <c r="E9" s="137">
        <f t="shared" si="1"/>
        <v>5.4512009821883067</v>
      </c>
    </row>
    <row r="10" spans="1:11">
      <c r="A10" s="99" t="s">
        <v>29</v>
      </c>
      <c r="B10" s="100">
        <v>131888.01750000002</v>
      </c>
      <c r="C10" s="100">
        <v>667900</v>
      </c>
      <c r="D10" s="134">
        <f t="shared" ref="D10:D40" si="2">+B10/C10</f>
        <v>0.19746671283126219</v>
      </c>
      <c r="E10" s="137">
        <f t="shared" si="1"/>
        <v>5.0641446634831695</v>
      </c>
      <c r="I10" s="134">
        <f>+I2/J2</f>
        <v>0.9814814814814814</v>
      </c>
    </row>
    <row r="11" spans="1:11">
      <c r="A11" s="99" t="s">
        <v>816</v>
      </c>
      <c r="B11" s="100">
        <v>102656.99999999999</v>
      </c>
      <c r="C11" s="100">
        <v>532000</v>
      </c>
      <c r="D11" s="134">
        <f t="shared" si="2"/>
        <v>0.1929642857142857</v>
      </c>
      <c r="E11" s="137">
        <f t="shared" si="1"/>
        <v>5.1823061262261714</v>
      </c>
    </row>
    <row r="12" spans="1:11">
      <c r="A12" s="99" t="s">
        <v>1099</v>
      </c>
      <c r="B12" s="100">
        <v>69267.485000000001</v>
      </c>
      <c r="C12" s="100">
        <v>327750</v>
      </c>
      <c r="D12" s="134">
        <f t="shared" si="2"/>
        <v>0.21134244088482074</v>
      </c>
      <c r="E12" s="137">
        <f t="shared" si="1"/>
        <v>4.7316572847996436</v>
      </c>
    </row>
    <row r="13" spans="1:11">
      <c r="A13" s="99" t="s">
        <v>976</v>
      </c>
      <c r="B13" s="100">
        <v>55884.789999999994</v>
      </c>
      <c r="C13" s="100">
        <v>295000</v>
      </c>
      <c r="D13" s="134">
        <f t="shared" si="2"/>
        <v>0.18943996610169489</v>
      </c>
      <c r="E13" s="137">
        <f t="shared" si="1"/>
        <v>5.2787171607873988</v>
      </c>
    </row>
    <row r="14" spans="1:11">
      <c r="A14" s="99" t="s">
        <v>293</v>
      </c>
      <c r="B14" s="100">
        <v>52255.421749999994</v>
      </c>
      <c r="C14" s="100">
        <v>273450</v>
      </c>
      <c r="D14" s="134">
        <f t="shared" si="2"/>
        <v>0.19109680654598646</v>
      </c>
      <c r="E14" s="137">
        <f t="shared" si="1"/>
        <v>5.2329498230487443</v>
      </c>
      <c r="K14" s="137"/>
    </row>
    <row r="15" spans="1:11">
      <c r="A15" s="99" t="s">
        <v>306</v>
      </c>
      <c r="B15" s="100">
        <v>46909.19999999999</v>
      </c>
      <c r="C15" s="100">
        <v>252300</v>
      </c>
      <c r="D15" s="134">
        <f t="shared" si="2"/>
        <v>0.1859262782401902</v>
      </c>
      <c r="E15" s="137">
        <f t="shared" si="1"/>
        <v>5.3784758640096202</v>
      </c>
      <c r="K15" s="137"/>
    </row>
    <row r="16" spans="1:11">
      <c r="A16" s="99" t="s">
        <v>1201</v>
      </c>
      <c r="B16" s="100">
        <v>44826.8125</v>
      </c>
      <c r="C16" s="100">
        <v>202800</v>
      </c>
      <c r="D16" s="134">
        <f t="shared" si="2"/>
        <v>0.22103950936883629</v>
      </c>
      <c r="E16" s="137">
        <f t="shared" si="1"/>
        <v>4.5240780838476971</v>
      </c>
      <c r="K16" s="137"/>
    </row>
    <row r="17" spans="1:11">
      <c r="A17" s="99" t="s">
        <v>76</v>
      </c>
      <c r="B17" s="100">
        <v>41627.3125</v>
      </c>
      <c r="C17" s="100">
        <v>196350</v>
      </c>
      <c r="D17" s="134">
        <f t="shared" si="2"/>
        <v>0.21200566590272474</v>
      </c>
      <c r="E17" s="137">
        <f t="shared" si="1"/>
        <v>4.7168550696132492</v>
      </c>
      <c r="K17" s="137"/>
    </row>
    <row r="18" spans="1:11">
      <c r="A18" s="99" t="s">
        <v>267</v>
      </c>
      <c r="B18" s="100">
        <v>35558.099999999991</v>
      </c>
      <c r="C18" s="100">
        <v>180000</v>
      </c>
      <c r="D18" s="134">
        <f t="shared" si="2"/>
        <v>0.19754499999999994</v>
      </c>
      <c r="E18" s="137">
        <f t="shared" si="1"/>
        <v>5.0621377407679278</v>
      </c>
      <c r="K18" s="137"/>
    </row>
    <row r="19" spans="1:11">
      <c r="A19" s="99" t="s">
        <v>347</v>
      </c>
      <c r="B19" s="100">
        <v>25756.499999999996</v>
      </c>
      <c r="C19" s="100">
        <v>129700</v>
      </c>
      <c r="D19" s="134">
        <f t="shared" si="2"/>
        <v>0.19858519660755586</v>
      </c>
      <c r="E19" s="137">
        <f t="shared" si="1"/>
        <v>5.0356220759808217</v>
      </c>
    </row>
    <row r="20" spans="1:11">
      <c r="A20" s="99" t="s">
        <v>1215</v>
      </c>
      <c r="B20" s="100">
        <v>28743.893499999998</v>
      </c>
      <c r="C20" s="100">
        <v>124200</v>
      </c>
      <c r="D20" s="134">
        <f t="shared" si="2"/>
        <v>0.2314323148148148</v>
      </c>
      <c r="E20" s="137">
        <f t="shared" si="1"/>
        <v>4.3209177629328472</v>
      </c>
    </row>
    <row r="21" spans="1:11">
      <c r="A21" s="99" t="s">
        <v>362</v>
      </c>
      <c r="B21" s="100">
        <v>28053.375</v>
      </c>
      <c r="C21" s="100">
        <v>124200</v>
      </c>
      <c r="D21" s="134">
        <f t="shared" si="2"/>
        <v>0.22587258454106279</v>
      </c>
      <c r="E21" s="137">
        <f t="shared" si="1"/>
        <v>4.4272747931398628</v>
      </c>
    </row>
    <row r="22" spans="1:11">
      <c r="A22" s="99" t="s">
        <v>1199</v>
      </c>
      <c r="B22" s="100">
        <v>23526.487500000003</v>
      </c>
      <c r="C22" s="100">
        <v>124100</v>
      </c>
      <c r="D22" s="134">
        <f t="shared" si="2"/>
        <v>0.18957685334407737</v>
      </c>
      <c r="E22" s="137">
        <f t="shared" si="1"/>
        <v>5.2749055718581026</v>
      </c>
    </row>
    <row r="23" spans="1:11">
      <c r="A23" s="99" t="s">
        <v>48</v>
      </c>
      <c r="B23" s="100">
        <v>18397.499999999996</v>
      </c>
      <c r="C23" s="100">
        <v>110000</v>
      </c>
      <c r="D23" s="134">
        <f t="shared" si="2"/>
        <v>0.16724999999999995</v>
      </c>
      <c r="E23" s="137">
        <f t="shared" si="1"/>
        <v>5.9790732436472362</v>
      </c>
    </row>
    <row r="24" spans="1:11">
      <c r="A24" s="99" t="s">
        <v>980</v>
      </c>
      <c r="B24" s="100">
        <v>18575.14</v>
      </c>
      <c r="C24" s="100">
        <v>109250</v>
      </c>
      <c r="D24" s="134">
        <f t="shared" si="2"/>
        <v>0.1700241647597254</v>
      </c>
      <c r="E24" s="137">
        <f t="shared" si="1"/>
        <v>5.881516909159231</v>
      </c>
    </row>
    <row r="25" spans="1:11">
      <c r="A25" s="99" t="s">
        <v>1196</v>
      </c>
      <c r="B25" s="100">
        <v>20264.575000000001</v>
      </c>
      <c r="C25" s="100">
        <v>103200</v>
      </c>
      <c r="D25" s="134">
        <f t="shared" si="2"/>
        <v>0.19636216085271319</v>
      </c>
      <c r="E25" s="137">
        <f t="shared" si="1"/>
        <v>5.0926308595171621</v>
      </c>
    </row>
    <row r="26" spans="1:11">
      <c r="A26" s="99" t="s">
        <v>133</v>
      </c>
      <c r="B26" s="100">
        <v>20373.82</v>
      </c>
      <c r="C26" s="100">
        <v>98500</v>
      </c>
      <c r="D26" s="134">
        <f t="shared" si="2"/>
        <v>0.20684081218274111</v>
      </c>
      <c r="E26" s="137">
        <f t="shared" si="1"/>
        <v>4.8346358218537322</v>
      </c>
    </row>
    <row r="27" spans="1:11">
      <c r="A27" s="99" t="s">
        <v>643</v>
      </c>
      <c r="B27" s="100">
        <v>16391.024999999998</v>
      </c>
      <c r="C27" s="100">
        <v>88200</v>
      </c>
      <c r="D27" s="134">
        <f t="shared" si="2"/>
        <v>0.18583928571428568</v>
      </c>
      <c r="E27" s="137">
        <f t="shared" si="1"/>
        <v>5.3809935620255605</v>
      </c>
    </row>
    <row r="28" spans="1:11">
      <c r="A28" s="99" t="s">
        <v>1136</v>
      </c>
      <c r="B28" s="100">
        <v>17776.5</v>
      </c>
      <c r="C28" s="100">
        <v>87500</v>
      </c>
      <c r="D28" s="134">
        <f t="shared" si="2"/>
        <v>0.20316000000000001</v>
      </c>
      <c r="E28" s="137">
        <f t="shared" si="1"/>
        <v>4.9222287851939353</v>
      </c>
    </row>
    <row r="29" spans="1:11">
      <c r="A29" s="99" t="s">
        <v>275</v>
      </c>
      <c r="B29" s="100">
        <v>16619.467499999999</v>
      </c>
      <c r="C29" s="100">
        <v>84800</v>
      </c>
      <c r="D29" s="134">
        <f t="shared" si="2"/>
        <v>0.19598428655660377</v>
      </c>
      <c r="E29" s="137">
        <f t="shared" si="1"/>
        <v>5.1024498829460088</v>
      </c>
    </row>
    <row r="30" spans="1:11">
      <c r="A30" s="99" t="s">
        <v>1241</v>
      </c>
      <c r="B30" s="100">
        <v>15705.6</v>
      </c>
      <c r="C30" s="100">
        <v>75000</v>
      </c>
      <c r="D30" s="134">
        <f t="shared" si="2"/>
        <v>0.20940800000000001</v>
      </c>
      <c r="E30" s="137">
        <f t="shared" si="1"/>
        <v>4.7753667481662587</v>
      </c>
    </row>
    <row r="31" spans="1:11">
      <c r="A31" s="99" t="s">
        <v>368</v>
      </c>
      <c r="B31" s="100">
        <v>11689.750000000004</v>
      </c>
      <c r="C31" s="100">
        <v>55100</v>
      </c>
      <c r="D31" s="134">
        <f t="shared" si="2"/>
        <v>0.21215517241379317</v>
      </c>
      <c r="E31" s="137">
        <f t="shared" si="1"/>
        <v>4.713531084924826</v>
      </c>
    </row>
    <row r="32" spans="1:11">
      <c r="A32" s="99" t="s">
        <v>55</v>
      </c>
      <c r="B32" s="100">
        <v>8370.6999999999989</v>
      </c>
      <c r="C32" s="100">
        <v>44000</v>
      </c>
      <c r="D32" s="134">
        <f t="shared" si="2"/>
        <v>0.19024318181818178</v>
      </c>
      <c r="E32" s="137">
        <f t="shared" si="1"/>
        <v>5.2564301671305875</v>
      </c>
    </row>
    <row r="33" spans="1:5">
      <c r="A33" s="99" t="s">
        <v>262</v>
      </c>
      <c r="B33" s="100">
        <v>10000.125</v>
      </c>
      <c r="C33" s="100">
        <v>43200</v>
      </c>
      <c r="D33" s="134">
        <f t="shared" si="2"/>
        <v>0.23148437499999999</v>
      </c>
      <c r="E33" s="137">
        <f t="shared" si="1"/>
        <v>4.3199460006749915</v>
      </c>
    </row>
    <row r="34" spans="1:5">
      <c r="A34" s="99" t="s">
        <v>1010</v>
      </c>
      <c r="B34" s="100">
        <v>9416.4</v>
      </c>
      <c r="C34" s="100">
        <v>40800</v>
      </c>
      <c r="D34" s="134">
        <f t="shared" si="2"/>
        <v>0.23079411764705882</v>
      </c>
      <c r="E34" s="137">
        <f t="shared" si="1"/>
        <v>4.3328660634637446</v>
      </c>
    </row>
    <row r="35" spans="1:5">
      <c r="A35" s="99" t="s">
        <v>1186</v>
      </c>
      <c r="B35" s="100">
        <v>6736.2119999999995</v>
      </c>
      <c r="C35" s="100">
        <v>39600</v>
      </c>
      <c r="D35" s="134">
        <f t="shared" si="2"/>
        <v>0.17010636363636361</v>
      </c>
      <c r="E35" s="137">
        <f t="shared" si="1"/>
        <v>5.8786748398061111</v>
      </c>
    </row>
    <row r="36" spans="1:5">
      <c r="A36" s="99" t="s">
        <v>1183</v>
      </c>
      <c r="B36" s="100">
        <v>8398.6649999999991</v>
      </c>
      <c r="C36" s="100">
        <v>39600</v>
      </c>
      <c r="D36" s="134">
        <f t="shared" si="2"/>
        <v>0.21208749999999998</v>
      </c>
      <c r="E36" s="137">
        <f t="shared" si="1"/>
        <v>4.7150350680733188</v>
      </c>
    </row>
    <row r="37" spans="1:5">
      <c r="A37" s="99" t="s">
        <v>1204</v>
      </c>
      <c r="B37" s="100">
        <v>6291</v>
      </c>
      <c r="C37" s="100">
        <v>31200</v>
      </c>
      <c r="D37" s="134">
        <f t="shared" si="2"/>
        <v>0.20163461538461538</v>
      </c>
      <c r="E37" s="137">
        <f t="shared" si="1"/>
        <v>4.9594659036719122</v>
      </c>
    </row>
    <row r="38" spans="1:5">
      <c r="A38" s="99" t="s">
        <v>468</v>
      </c>
      <c r="B38" s="100">
        <v>5166</v>
      </c>
      <c r="C38" s="100">
        <v>25000</v>
      </c>
      <c r="D38" s="134">
        <f t="shared" si="2"/>
        <v>0.20663999999999999</v>
      </c>
      <c r="E38" s="137">
        <f t="shared" si="1"/>
        <v>4.8393341076267911</v>
      </c>
    </row>
    <row r="39" spans="1:5">
      <c r="A39" s="99" t="s">
        <v>895</v>
      </c>
      <c r="B39" s="100">
        <v>2333.5939999999996</v>
      </c>
      <c r="C39" s="100">
        <v>15600</v>
      </c>
      <c r="D39" s="134">
        <f t="shared" si="2"/>
        <v>0.14958935897435896</v>
      </c>
      <c r="E39" s="137">
        <f t="shared" si="1"/>
        <v>6.684967479347308</v>
      </c>
    </row>
    <row r="40" spans="1:5">
      <c r="A40" s="99" t="s">
        <v>443</v>
      </c>
      <c r="B40" s="100">
        <v>4143096.1953700003</v>
      </c>
      <c r="C40" s="100">
        <v>22091000</v>
      </c>
      <c r="D40" s="134">
        <f t="shared" si="2"/>
        <v>0.18754679260196461</v>
      </c>
      <c r="E40" s="137">
        <f t="shared" si="1"/>
        <v>5.3320026758459464</v>
      </c>
    </row>
  </sheetData>
  <autoFilter ref="A3:C40" xr:uid="{860AFFD0-6F3B-4A0A-A33E-755B85F938A8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A3ED-6509-4111-B854-95503E282F6C}">
  <dimension ref="A2:J31"/>
  <sheetViews>
    <sheetView tabSelected="1" zoomScale="130" zoomScaleNormal="130" workbookViewId="0">
      <selection activeCell="E8" sqref="E8"/>
    </sheetView>
  </sheetViews>
  <sheetFormatPr defaultRowHeight="16.5"/>
  <cols>
    <col min="1" max="1" width="15.125" bestFit="1" customWidth="1"/>
    <col min="2" max="2" width="20.75" bestFit="1" customWidth="1"/>
    <col min="3" max="3" width="22.5" bestFit="1" customWidth="1"/>
    <col min="5" max="5" width="9.875" bestFit="1" customWidth="1"/>
    <col min="8" max="8" width="14.625" bestFit="1" customWidth="1"/>
  </cols>
  <sheetData>
    <row r="2" spans="1:10">
      <c r="I2" s="138">
        <v>5.2228645305205141</v>
      </c>
      <c r="J2" s="137">
        <v>5.0634763621479193</v>
      </c>
    </row>
    <row r="3" spans="1:10">
      <c r="A3" s="98" t="s">
        <v>442</v>
      </c>
      <c r="B3" t="s">
        <v>1315</v>
      </c>
      <c r="C3" t="s">
        <v>1314</v>
      </c>
      <c r="I3" t="s">
        <v>1317</v>
      </c>
      <c r="J3" t="s">
        <v>1318</v>
      </c>
    </row>
    <row r="4" spans="1:10" hidden="1">
      <c r="A4" s="99" t="s">
        <v>1316</v>
      </c>
      <c r="B4" s="100">
        <v>4238315.9414999988</v>
      </c>
      <c r="C4" s="100">
        <v>22136150</v>
      </c>
    </row>
    <row r="5" spans="1:10">
      <c r="A5" s="99" t="s">
        <v>14</v>
      </c>
      <c r="B5" s="100">
        <v>1576271.5009999995</v>
      </c>
      <c r="C5" s="100">
        <v>8404000</v>
      </c>
      <c r="D5" s="134">
        <f>+B5/C5</f>
        <v>0.18756205390290331</v>
      </c>
      <c r="E5" s="135">
        <f>1/D5</f>
        <v>5.3315688285098313</v>
      </c>
      <c r="H5" t="s">
        <v>14</v>
      </c>
      <c r="I5" s="137">
        <v>5.3315688285098313</v>
      </c>
      <c r="J5" s="137">
        <v>5.3150400671373115</v>
      </c>
    </row>
    <row r="6" spans="1:10">
      <c r="A6" s="99" t="s">
        <v>21</v>
      </c>
      <c r="B6" s="100">
        <v>1209607.5185</v>
      </c>
      <c r="C6" s="100">
        <v>6407300</v>
      </c>
      <c r="D6" s="134">
        <f t="shared" ref="D6:D31" si="0">+B6/C6</f>
        <v>0.18878584091583039</v>
      </c>
      <c r="E6" s="135">
        <f t="shared" ref="E6:E31" si="1">1/D6</f>
        <v>5.297007419353271</v>
      </c>
      <c r="H6" t="s">
        <v>21</v>
      </c>
      <c r="I6" s="137">
        <v>5.297007419353271</v>
      </c>
      <c r="J6" s="137">
        <v>5.3513200611438112</v>
      </c>
    </row>
    <row r="7" spans="1:10">
      <c r="A7" s="99" t="s">
        <v>164</v>
      </c>
      <c r="B7" s="100">
        <v>261116.00999999998</v>
      </c>
      <c r="C7" s="100">
        <v>1216250</v>
      </c>
      <c r="D7" s="134">
        <f t="shared" si="0"/>
        <v>0.21468942240493319</v>
      </c>
      <c r="E7" s="135">
        <f t="shared" si="1"/>
        <v>4.6578913334345149</v>
      </c>
      <c r="H7" t="s">
        <v>164</v>
      </c>
      <c r="I7" s="137">
        <v>4.6578913334345149</v>
      </c>
      <c r="J7" s="137">
        <v>4.2146587228117536</v>
      </c>
    </row>
    <row r="8" spans="1:10">
      <c r="A8" s="99" t="s">
        <v>29</v>
      </c>
      <c r="B8" s="100">
        <v>190988.022</v>
      </c>
      <c r="C8" s="100">
        <v>940700</v>
      </c>
      <c r="D8" s="134">
        <f t="shared" si="0"/>
        <v>0.2030275560752631</v>
      </c>
      <c r="E8" s="135">
        <f t="shared" si="1"/>
        <v>4.925439774437792</v>
      </c>
      <c r="H8" t="s">
        <v>29</v>
      </c>
      <c r="I8" s="137">
        <v>4.925439774437792</v>
      </c>
      <c r="J8" s="137">
        <v>5.0055753413033255</v>
      </c>
    </row>
    <row r="9" spans="1:10">
      <c r="A9" s="99" t="s">
        <v>48</v>
      </c>
      <c r="B9" s="100">
        <v>148004.46</v>
      </c>
      <c r="C9" s="100">
        <v>797400</v>
      </c>
      <c r="D9" s="134">
        <f t="shared" si="0"/>
        <v>0.18560880361173815</v>
      </c>
      <c r="E9" s="135">
        <f t="shared" si="1"/>
        <v>5.3876754795091983</v>
      </c>
      <c r="H9" t="s">
        <v>48</v>
      </c>
      <c r="I9" s="137">
        <v>5.3876754795091983</v>
      </c>
      <c r="J9" s="137">
        <v>4.3656683838295649</v>
      </c>
    </row>
    <row r="10" spans="1:10">
      <c r="A10" s="99" t="s">
        <v>24</v>
      </c>
      <c r="B10" s="100">
        <v>131418.67749999999</v>
      </c>
      <c r="C10" s="100">
        <v>699900</v>
      </c>
      <c r="D10" s="134">
        <f t="shared" si="0"/>
        <v>0.18776779182740391</v>
      </c>
      <c r="E10" s="135">
        <f t="shared" si="1"/>
        <v>5.3257270071067335</v>
      </c>
    </row>
    <row r="11" spans="1:10">
      <c r="A11" s="99" t="s">
        <v>76</v>
      </c>
      <c r="B11" s="100">
        <v>123120.65000000001</v>
      </c>
      <c r="C11" s="100">
        <v>650200</v>
      </c>
      <c r="D11" s="134">
        <f t="shared" si="0"/>
        <v>0.18935812057828361</v>
      </c>
      <c r="E11" s="135">
        <f t="shared" si="1"/>
        <v>5.2809987601592425</v>
      </c>
    </row>
    <row r="12" spans="1:10">
      <c r="A12" s="99" t="s">
        <v>44</v>
      </c>
      <c r="B12" s="100">
        <v>103353.53</v>
      </c>
      <c r="C12" s="100">
        <v>505600</v>
      </c>
      <c r="D12" s="134">
        <f t="shared" si="0"/>
        <v>0.20441758306962024</v>
      </c>
      <c r="E12" s="135">
        <f t="shared" si="1"/>
        <v>4.8919470868580879</v>
      </c>
    </row>
    <row r="13" spans="1:10">
      <c r="A13" s="99" t="s">
        <v>81</v>
      </c>
      <c r="B13" s="100">
        <v>93000.150000000009</v>
      </c>
      <c r="C13" s="100">
        <v>472500</v>
      </c>
      <c r="D13" s="134">
        <f t="shared" si="0"/>
        <v>0.1968257142857143</v>
      </c>
      <c r="E13" s="135">
        <f t="shared" si="1"/>
        <v>5.0806369667145699</v>
      </c>
    </row>
    <row r="14" spans="1:10">
      <c r="A14" s="99" t="s">
        <v>50</v>
      </c>
      <c r="B14" s="100">
        <v>79728.589000000007</v>
      </c>
      <c r="C14" s="100">
        <v>405500</v>
      </c>
      <c r="D14" s="134">
        <f t="shared" si="0"/>
        <v>0.19661797533908756</v>
      </c>
      <c r="E14" s="135">
        <f t="shared" si="1"/>
        <v>5.0860049711904463</v>
      </c>
      <c r="H14" t="s">
        <v>14</v>
      </c>
      <c r="I14">
        <v>0.18814533613452164</v>
      </c>
    </row>
    <row r="15" spans="1:10">
      <c r="A15" s="99" t="s">
        <v>124</v>
      </c>
      <c r="B15" s="100">
        <v>68795.55</v>
      </c>
      <c r="C15" s="100">
        <v>354500</v>
      </c>
      <c r="D15" s="134">
        <f t="shared" si="0"/>
        <v>0.19406361071932299</v>
      </c>
      <c r="E15" s="135">
        <f t="shared" si="1"/>
        <v>5.1529495730465129</v>
      </c>
      <c r="H15" t="s">
        <v>21</v>
      </c>
      <c r="I15">
        <v>0.18686977952618597</v>
      </c>
    </row>
    <row r="16" spans="1:10">
      <c r="A16" s="99" t="s">
        <v>133</v>
      </c>
      <c r="B16" s="100">
        <v>53579.824999999997</v>
      </c>
      <c r="C16" s="100">
        <v>276750</v>
      </c>
      <c r="D16" s="134">
        <f t="shared" si="0"/>
        <v>0.19360370370370369</v>
      </c>
      <c r="E16" s="135">
        <f t="shared" si="1"/>
        <v>5.165190442484648</v>
      </c>
      <c r="H16" t="s">
        <v>167</v>
      </c>
      <c r="I16">
        <v>0.23726713496101606</v>
      </c>
    </row>
    <row r="17" spans="1:10">
      <c r="A17" s="99" t="s">
        <v>293</v>
      </c>
      <c r="B17" s="100">
        <v>34220.637499999997</v>
      </c>
      <c r="C17" s="100">
        <v>168750</v>
      </c>
      <c r="D17" s="134">
        <f t="shared" si="0"/>
        <v>0.20278896296296295</v>
      </c>
      <c r="E17" s="135">
        <f t="shared" si="1"/>
        <v>4.9312348433017945</v>
      </c>
      <c r="H17" t="s">
        <v>267</v>
      </c>
      <c r="I17">
        <v>0.19977723474633094</v>
      </c>
    </row>
    <row r="18" spans="1:10">
      <c r="A18" s="99" t="s">
        <v>257</v>
      </c>
      <c r="B18" s="100">
        <v>28820.335000000003</v>
      </c>
      <c r="C18" s="100">
        <v>141300</v>
      </c>
      <c r="D18" s="134">
        <f t="shared" si="0"/>
        <v>0.20396556970983726</v>
      </c>
      <c r="E18" s="135">
        <f t="shared" si="1"/>
        <v>4.9027882569720296</v>
      </c>
      <c r="H18" t="s">
        <v>48</v>
      </c>
      <c r="I18">
        <v>0.22905999999999996</v>
      </c>
    </row>
    <row r="19" spans="1:10">
      <c r="A19" s="99" t="s">
        <v>55</v>
      </c>
      <c r="B19" s="100">
        <v>29216.75</v>
      </c>
      <c r="C19" s="100">
        <v>137000</v>
      </c>
      <c r="D19" s="134">
        <f t="shared" si="0"/>
        <v>0.21326094890510949</v>
      </c>
      <c r="E19" s="135">
        <f t="shared" si="1"/>
        <v>4.6890910179948149</v>
      </c>
      <c r="J19" s="136"/>
    </row>
    <row r="20" spans="1:10">
      <c r="A20" s="99" t="s">
        <v>347</v>
      </c>
      <c r="B20" s="100">
        <v>18580.199999999997</v>
      </c>
      <c r="C20" s="100">
        <v>96800</v>
      </c>
      <c r="D20" s="134">
        <f t="shared" si="0"/>
        <v>0.19194421487603303</v>
      </c>
      <c r="E20" s="135">
        <f t="shared" si="1"/>
        <v>5.2098470414742586</v>
      </c>
      <c r="J20" s="136"/>
    </row>
    <row r="21" spans="1:10">
      <c r="A21" s="99" t="s">
        <v>306</v>
      </c>
      <c r="B21" s="100">
        <v>15707.749999999998</v>
      </c>
      <c r="C21" s="100">
        <v>86500</v>
      </c>
      <c r="D21" s="134">
        <f t="shared" si="0"/>
        <v>0.18159248554913293</v>
      </c>
      <c r="E21" s="135">
        <f t="shared" si="1"/>
        <v>5.5068357976158273</v>
      </c>
      <c r="J21" s="136"/>
    </row>
    <row r="22" spans="1:10">
      <c r="A22" s="99" t="s">
        <v>338</v>
      </c>
      <c r="B22" s="100">
        <v>12673.499999999996</v>
      </c>
      <c r="C22" s="100">
        <v>75000</v>
      </c>
      <c r="D22" s="134">
        <f t="shared" si="0"/>
        <v>0.16897999999999996</v>
      </c>
      <c r="E22" s="135">
        <f t="shared" si="1"/>
        <v>5.9178601017871948</v>
      </c>
    </row>
    <row r="23" spans="1:10">
      <c r="A23" s="99" t="s">
        <v>253</v>
      </c>
      <c r="B23" s="100">
        <v>12526.922500000001</v>
      </c>
      <c r="C23" s="100">
        <v>62300</v>
      </c>
      <c r="D23" s="134">
        <f t="shared" si="0"/>
        <v>0.2010741974317817</v>
      </c>
      <c r="E23" s="135">
        <f t="shared" si="1"/>
        <v>4.9732885311615842</v>
      </c>
    </row>
    <row r="24" spans="1:10">
      <c r="A24" s="99" t="s">
        <v>262</v>
      </c>
      <c r="B24" s="100">
        <v>12552.637499999999</v>
      </c>
      <c r="C24" s="100">
        <v>58500</v>
      </c>
      <c r="D24" s="134">
        <f t="shared" si="0"/>
        <v>0.21457499999999999</v>
      </c>
      <c r="E24" s="135">
        <f t="shared" si="1"/>
        <v>4.6603751602003962</v>
      </c>
    </row>
    <row r="25" spans="1:10">
      <c r="A25" s="99" t="s">
        <v>309</v>
      </c>
      <c r="B25" s="100">
        <v>8254.7799999999988</v>
      </c>
      <c r="C25" s="100">
        <v>45800</v>
      </c>
      <c r="D25" s="134">
        <f t="shared" si="0"/>
        <v>0.18023537117903929</v>
      </c>
      <c r="E25" s="135">
        <f t="shared" si="1"/>
        <v>5.5483004998316128</v>
      </c>
    </row>
    <row r="26" spans="1:10">
      <c r="A26" s="99" t="s">
        <v>267</v>
      </c>
      <c r="B26" s="100">
        <v>7974.9159999999993</v>
      </c>
      <c r="C26" s="100">
        <v>35200</v>
      </c>
      <c r="D26" s="134">
        <f t="shared" si="0"/>
        <v>0.22656011363636361</v>
      </c>
      <c r="E26" s="135">
        <f t="shared" si="1"/>
        <v>4.4138395940471353</v>
      </c>
    </row>
    <row r="27" spans="1:10">
      <c r="A27" s="99" t="s">
        <v>275</v>
      </c>
      <c r="B27" s="100">
        <v>6941.2499999999991</v>
      </c>
      <c r="C27" s="100">
        <v>35100</v>
      </c>
      <c r="D27" s="134">
        <f t="shared" si="0"/>
        <v>0.19775641025641022</v>
      </c>
      <c r="E27" s="135">
        <f t="shared" si="1"/>
        <v>5.0567260940032428</v>
      </c>
    </row>
    <row r="28" spans="1:10">
      <c r="A28" s="99" t="s">
        <v>235</v>
      </c>
      <c r="B28" s="100">
        <v>4765.5000000000009</v>
      </c>
      <c r="C28" s="100">
        <v>31200</v>
      </c>
      <c r="D28" s="134">
        <f t="shared" si="0"/>
        <v>0.15274038461538464</v>
      </c>
      <c r="E28" s="135">
        <f t="shared" si="1"/>
        <v>6.5470569719861498</v>
      </c>
    </row>
    <row r="29" spans="1:10">
      <c r="A29" s="99" t="s">
        <v>362</v>
      </c>
      <c r="B29" s="100">
        <v>5041.68</v>
      </c>
      <c r="C29" s="100">
        <v>21600</v>
      </c>
      <c r="D29" s="134">
        <f t="shared" si="0"/>
        <v>0.23341111111111112</v>
      </c>
      <c r="E29" s="135">
        <f t="shared" si="1"/>
        <v>4.2842861903175127</v>
      </c>
    </row>
    <row r="30" spans="1:10">
      <c r="A30" s="99" t="s">
        <v>368</v>
      </c>
      <c r="B30" s="100">
        <v>2054.6</v>
      </c>
      <c r="C30" s="100">
        <v>10500</v>
      </c>
      <c r="D30" s="134">
        <f t="shared" si="0"/>
        <v>0.19567619047619048</v>
      </c>
      <c r="E30" s="135">
        <f t="shared" si="1"/>
        <v>5.1104837924656872</v>
      </c>
    </row>
    <row r="31" spans="1:10">
      <c r="A31" s="99" t="s">
        <v>443</v>
      </c>
      <c r="B31" s="100">
        <v>8476631.8829999976</v>
      </c>
      <c r="C31" s="100">
        <v>44272300</v>
      </c>
      <c r="D31" s="134">
        <f t="shared" si="0"/>
        <v>0.19146581232508808</v>
      </c>
      <c r="E31" s="135">
        <f t="shared" si="1"/>
        <v>5.2228645305205141</v>
      </c>
    </row>
  </sheetData>
  <autoFilter ref="A3:C31" xr:uid="{5719A3ED-6509-4111-B854-95503E282F6C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A329-5B1D-4815-936C-E383ED97B769}">
  <dimension ref="A2:AK397"/>
  <sheetViews>
    <sheetView showGridLines="0" zoomScale="90" zoomScaleNormal="90" workbookViewId="0">
      <pane ySplit="3" topLeftCell="A4" activePane="bottomLeft" state="frozen"/>
      <selection activeCell="B1" sqref="B1"/>
      <selection pane="bottomLeft" activeCell="AF353" sqref="A3:AF353"/>
    </sheetView>
  </sheetViews>
  <sheetFormatPr defaultColWidth="12.125" defaultRowHeight="13.5"/>
  <cols>
    <col min="1" max="1" width="22.125" style="2" customWidth="1"/>
    <col min="2" max="2" width="13.75" style="6" bestFit="1" customWidth="1"/>
    <col min="3" max="3" width="15.875" style="6" bestFit="1" customWidth="1"/>
    <col min="4" max="4" width="26.875" style="7" bestFit="1" customWidth="1"/>
    <col min="5" max="5" width="13.75" style="6" bestFit="1" customWidth="1"/>
    <col min="6" max="6" width="13.75" style="3" customWidth="1"/>
    <col min="7" max="7" width="14.5" style="4" customWidth="1"/>
    <col min="8" max="8" width="88.75" style="7" customWidth="1"/>
    <col min="9" max="9" width="12.75" style="6" customWidth="1"/>
    <col min="10" max="10" width="13" style="5" customWidth="1"/>
    <col min="11" max="13" width="10.625" style="11" customWidth="1"/>
    <col min="14" max="14" width="8.625" style="12" customWidth="1"/>
    <col min="15" max="15" width="8.625" style="13" customWidth="1"/>
    <col min="16" max="16" width="8.625" style="12" customWidth="1"/>
    <col min="17" max="17" width="8.625" style="13" customWidth="1"/>
    <col min="18" max="18" width="8.625" style="12" customWidth="1"/>
    <col min="19" max="20" width="8.625" style="13" customWidth="1"/>
    <col min="21" max="21" width="9.125" style="1" bestFit="1" customWidth="1"/>
    <col min="22" max="22" width="7.625" style="1" customWidth="1"/>
    <col min="23" max="23" width="7.625" style="8" customWidth="1"/>
    <col min="24" max="24" width="7.625" style="1" customWidth="1"/>
    <col min="25" max="27" width="7.625" style="9" customWidth="1"/>
    <col min="28" max="28" width="11.375" style="2" bestFit="1" customWidth="1"/>
    <col min="29" max="29" width="12.125" style="11" bestFit="1" customWidth="1"/>
    <col min="30" max="30" width="10.625" style="11" customWidth="1"/>
    <col min="31" max="31" width="14" style="11" bestFit="1" customWidth="1"/>
    <col min="32" max="32" width="12.125" style="11" bestFit="1" customWidth="1"/>
    <col min="33" max="33" width="10.625" style="11" customWidth="1"/>
    <col min="34" max="35" width="12.125" style="11" bestFit="1" customWidth="1"/>
    <col min="36" max="36" width="10.625" style="11" customWidth="1"/>
    <col min="37" max="37" width="12.125" style="11" bestFit="1" customWidth="1"/>
    <col min="38" max="16384" width="12.125" style="1"/>
  </cols>
  <sheetData>
    <row r="2" spans="1:37" ht="30" customHeight="1">
      <c r="L2" s="128" t="s">
        <v>461</v>
      </c>
      <c r="M2" s="11" t="s">
        <v>456</v>
      </c>
      <c r="O2" s="13" t="s">
        <v>457</v>
      </c>
      <c r="Q2" s="13" t="s">
        <v>460</v>
      </c>
      <c r="S2" s="13" t="s">
        <v>458</v>
      </c>
      <c r="T2" s="13" t="s">
        <v>459</v>
      </c>
      <c r="U2" s="144" t="s">
        <v>452</v>
      </c>
      <c r="V2" s="144"/>
      <c r="W2" s="144"/>
      <c r="X2" s="144"/>
      <c r="Y2" s="144"/>
      <c r="Z2" s="144"/>
      <c r="AA2" s="144"/>
      <c r="AB2" s="145"/>
      <c r="AC2" s="139" t="s">
        <v>453</v>
      </c>
      <c r="AD2" s="139"/>
      <c r="AE2" s="140"/>
      <c r="AF2" s="139" t="s">
        <v>454</v>
      </c>
      <c r="AG2" s="139"/>
      <c r="AH2" s="140"/>
      <c r="AI2" s="139" t="s">
        <v>455</v>
      </c>
      <c r="AJ2" s="139"/>
      <c r="AK2" s="140"/>
    </row>
    <row r="3" spans="1:37" ht="30" customHeight="1">
      <c r="A3" s="56" t="s">
        <v>0</v>
      </c>
      <c r="B3" s="57" t="s">
        <v>1</v>
      </c>
      <c r="C3" s="57" t="s">
        <v>2</v>
      </c>
      <c r="D3" s="57" t="s">
        <v>3</v>
      </c>
      <c r="E3" s="57" t="s">
        <v>4</v>
      </c>
      <c r="F3" s="58" t="s">
        <v>5</v>
      </c>
      <c r="G3" s="59" t="s">
        <v>6</v>
      </c>
      <c r="H3" s="57" t="s">
        <v>7</v>
      </c>
      <c r="I3" s="57" t="s">
        <v>8</v>
      </c>
      <c r="J3" s="60" t="s">
        <v>9</v>
      </c>
      <c r="K3" s="61" t="s">
        <v>11</v>
      </c>
      <c r="L3" s="61" t="s">
        <v>397</v>
      </c>
      <c r="M3" s="61" t="s">
        <v>396</v>
      </c>
      <c r="N3" s="62" t="s">
        <v>430</v>
      </c>
      <c r="O3" s="63" t="s">
        <v>431</v>
      </c>
      <c r="P3" s="62" t="s">
        <v>432</v>
      </c>
      <c r="Q3" s="63" t="s">
        <v>433</v>
      </c>
      <c r="R3" s="62" t="s">
        <v>434</v>
      </c>
      <c r="S3" s="63" t="s">
        <v>435</v>
      </c>
      <c r="T3" s="97" t="s">
        <v>398</v>
      </c>
      <c r="U3" s="64" t="s">
        <v>423</v>
      </c>
      <c r="V3" s="65" t="s">
        <v>422</v>
      </c>
      <c r="W3" s="66" t="s">
        <v>426</v>
      </c>
      <c r="X3" s="66" t="s">
        <v>427</v>
      </c>
      <c r="Y3" s="67" t="s">
        <v>424</v>
      </c>
      <c r="Z3" s="67" t="s">
        <v>425</v>
      </c>
      <c r="AA3" s="68" t="s">
        <v>428</v>
      </c>
      <c r="AB3" s="101" t="s">
        <v>429</v>
      </c>
      <c r="AC3" s="102" t="s">
        <v>436</v>
      </c>
      <c r="AD3" s="103" t="s">
        <v>437</v>
      </c>
      <c r="AE3" s="96" t="s">
        <v>446</v>
      </c>
      <c r="AF3" s="102" t="s">
        <v>438</v>
      </c>
      <c r="AG3" s="103" t="s">
        <v>439</v>
      </c>
      <c r="AH3" s="96" t="s">
        <v>447</v>
      </c>
      <c r="AI3" s="102" t="s">
        <v>440</v>
      </c>
      <c r="AJ3" s="103" t="s">
        <v>441</v>
      </c>
      <c r="AK3" s="96" t="s">
        <v>448</v>
      </c>
    </row>
    <row r="4" spans="1:37" ht="15.95" customHeight="1">
      <c r="A4" s="14" t="s">
        <v>12</v>
      </c>
      <c r="B4" s="14" t="s">
        <v>13</v>
      </c>
      <c r="C4" s="15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6" t="s">
        <v>379</v>
      </c>
      <c r="I4" s="15" t="s">
        <v>19</v>
      </c>
      <c r="J4" s="17" t="s">
        <v>20</v>
      </c>
      <c r="K4" s="122">
        <v>165</v>
      </c>
      <c r="L4" s="18">
        <f>M4+O4+Q4+S4+T4</f>
        <v>33.039580000000008</v>
      </c>
      <c r="M4" s="109">
        <v>22.89</v>
      </c>
      <c r="N4" s="19">
        <v>0.27700000000000002</v>
      </c>
      <c r="O4" s="114">
        <v>6.3405300000000011</v>
      </c>
      <c r="P4" s="19">
        <v>7.4999999999999997E-2</v>
      </c>
      <c r="Q4" s="114">
        <v>1.71675</v>
      </c>
      <c r="R4" s="19">
        <v>7.0000000000000007E-2</v>
      </c>
      <c r="S4" s="114">
        <v>1.6023000000000003</v>
      </c>
      <c r="T4" s="115">
        <v>0.49</v>
      </c>
      <c r="U4" s="20">
        <v>550</v>
      </c>
      <c r="V4" s="21">
        <v>139</v>
      </c>
      <c r="W4" s="22"/>
      <c r="X4" s="21"/>
      <c r="Y4" s="21"/>
      <c r="Z4" s="21"/>
      <c r="AA4" s="23"/>
      <c r="AB4" s="24">
        <f>SUM(U4:AA4)</f>
        <v>689</v>
      </c>
      <c r="AC4" s="74">
        <f>$K4*U4</f>
        <v>90750</v>
      </c>
      <c r="AD4" s="77">
        <f>$K4*SUM(V4:AA4)</f>
        <v>22935</v>
      </c>
      <c r="AE4" s="71">
        <f>SUM(AC4:AD4)</f>
        <v>113685</v>
      </c>
      <c r="AF4" s="74">
        <f>$L4*U4</f>
        <v>18171.769000000004</v>
      </c>
      <c r="AG4" s="77">
        <f>$L4*SUM(V4:W4)+M4*SUM(X4:AA4)</f>
        <v>4592.5016200000009</v>
      </c>
      <c r="AH4" s="71">
        <f>SUM(AF4:AG4)</f>
        <v>22764.270620000003</v>
      </c>
      <c r="AI4" s="74">
        <f>$M4*U4</f>
        <v>12589.5</v>
      </c>
      <c r="AJ4" s="77">
        <f>$M4*SUM(V4:AA4)</f>
        <v>3181.71</v>
      </c>
      <c r="AK4" s="71">
        <f>SUM(AI4:AJ4)</f>
        <v>15771.21</v>
      </c>
    </row>
    <row r="5" spans="1:37" ht="15.95" customHeight="1">
      <c r="A5" s="25" t="s">
        <v>12</v>
      </c>
      <c r="B5" s="25" t="s">
        <v>13</v>
      </c>
      <c r="C5" s="26" t="s">
        <v>21</v>
      </c>
      <c r="D5" s="26" t="s">
        <v>15</v>
      </c>
      <c r="E5" s="26" t="s">
        <v>16</v>
      </c>
      <c r="F5" s="26" t="s">
        <v>22</v>
      </c>
      <c r="G5" s="26" t="s">
        <v>18</v>
      </c>
      <c r="H5" s="27" t="s">
        <v>378</v>
      </c>
      <c r="I5" s="26" t="s">
        <v>19</v>
      </c>
      <c r="J5" s="28" t="s">
        <v>23</v>
      </c>
      <c r="K5" s="123">
        <v>135</v>
      </c>
      <c r="L5" s="29">
        <f t="shared" ref="L5:L68" si="0">M5+O5+Q5+S5+T5</f>
        <v>25.253360000000001</v>
      </c>
      <c r="M5" s="110">
        <v>17.39</v>
      </c>
      <c r="N5" s="30">
        <v>0.27900000000000003</v>
      </c>
      <c r="O5" s="116">
        <v>4.8518100000000004</v>
      </c>
      <c r="P5" s="30">
        <v>7.4999999999999997E-2</v>
      </c>
      <c r="Q5" s="116">
        <v>1.3042499999999999</v>
      </c>
      <c r="R5" s="30">
        <v>7.0000000000000007E-2</v>
      </c>
      <c r="S5" s="116">
        <v>1.2173</v>
      </c>
      <c r="T5" s="117">
        <v>0.49</v>
      </c>
      <c r="U5" s="31">
        <v>450</v>
      </c>
      <c r="V5" s="32">
        <v>140</v>
      </c>
      <c r="W5" s="33"/>
      <c r="X5" s="32"/>
      <c r="Y5" s="32"/>
      <c r="Z5" s="32"/>
      <c r="AA5" s="34"/>
      <c r="AB5" s="35">
        <f t="shared" ref="AB5:AB68" si="1">SUM(U5:AA5)</f>
        <v>590</v>
      </c>
      <c r="AC5" s="75">
        <f t="shared" ref="AC5:AC68" si="2">$K5*U5</f>
        <v>60750</v>
      </c>
      <c r="AD5" s="78">
        <f>$K5*SUM(V5:AA5)</f>
        <v>18900</v>
      </c>
      <c r="AE5" s="72">
        <f t="shared" ref="AE5:AE68" si="3">SUM(AC5:AD5)</f>
        <v>79650</v>
      </c>
      <c r="AF5" s="75">
        <f t="shared" ref="AF5:AF68" si="4">$L5*U5</f>
        <v>11364.012000000001</v>
      </c>
      <c r="AG5" s="78">
        <f t="shared" ref="AG5:AG68" si="5">$L5*SUM(V5:W5)+M5*SUM(X5:AA5)</f>
        <v>3535.4704000000002</v>
      </c>
      <c r="AH5" s="72">
        <f t="shared" ref="AH5:AH68" si="6">SUM(AF5:AG5)</f>
        <v>14899.482400000001</v>
      </c>
      <c r="AI5" s="75">
        <f t="shared" ref="AI5:AI68" si="7">$M5*U5</f>
        <v>7825.5</v>
      </c>
      <c r="AJ5" s="78">
        <f t="shared" ref="AJ5:AJ68" si="8">$M5*SUM(V5:AA5)</f>
        <v>2434.6</v>
      </c>
      <c r="AK5" s="72">
        <f t="shared" ref="AK5:AK68" si="9">SUM(AI5:AJ5)</f>
        <v>10260.1</v>
      </c>
    </row>
    <row r="6" spans="1:37" ht="15.95" customHeight="1">
      <c r="A6" s="25" t="s">
        <v>12</v>
      </c>
      <c r="B6" s="25" t="s">
        <v>13</v>
      </c>
      <c r="C6" s="26" t="s">
        <v>14</v>
      </c>
      <c r="D6" s="26" t="s">
        <v>15</v>
      </c>
      <c r="E6" s="26" t="s">
        <v>16</v>
      </c>
      <c r="F6" s="26" t="s">
        <v>17</v>
      </c>
      <c r="G6" s="26" t="s">
        <v>18</v>
      </c>
      <c r="H6" s="27" t="s">
        <v>378</v>
      </c>
      <c r="I6" s="26" t="s">
        <v>19</v>
      </c>
      <c r="J6" s="28" t="s">
        <v>20</v>
      </c>
      <c r="K6" s="123">
        <v>165</v>
      </c>
      <c r="L6" s="29">
        <f t="shared" si="0"/>
        <v>33.039580000000008</v>
      </c>
      <c r="M6" s="110">
        <v>22.89</v>
      </c>
      <c r="N6" s="30">
        <v>0.27700000000000002</v>
      </c>
      <c r="O6" s="116">
        <v>6.3405300000000011</v>
      </c>
      <c r="P6" s="30">
        <v>7.4999999999999997E-2</v>
      </c>
      <c r="Q6" s="116">
        <v>1.71675</v>
      </c>
      <c r="R6" s="30">
        <v>7.0000000000000007E-2</v>
      </c>
      <c r="S6" s="116">
        <v>1.6023000000000003</v>
      </c>
      <c r="T6" s="117">
        <v>0.49</v>
      </c>
      <c r="U6" s="31">
        <v>450</v>
      </c>
      <c r="V6" s="32">
        <v>15</v>
      </c>
      <c r="W6" s="33">
        <v>35</v>
      </c>
      <c r="X6" s="32"/>
      <c r="Y6" s="32"/>
      <c r="Z6" s="32"/>
      <c r="AA6" s="34"/>
      <c r="AB6" s="35">
        <f t="shared" si="1"/>
        <v>500</v>
      </c>
      <c r="AC6" s="75">
        <f t="shared" si="2"/>
        <v>74250</v>
      </c>
      <c r="AD6" s="78">
        <f>$K6*SUM(V6:AA6)</f>
        <v>8250</v>
      </c>
      <c r="AE6" s="72">
        <f t="shared" si="3"/>
        <v>82500</v>
      </c>
      <c r="AF6" s="75">
        <f t="shared" si="4"/>
        <v>14867.811000000003</v>
      </c>
      <c r="AG6" s="78">
        <f t="shared" si="5"/>
        <v>1651.9790000000005</v>
      </c>
      <c r="AH6" s="72">
        <f t="shared" si="6"/>
        <v>16519.790000000005</v>
      </c>
      <c r="AI6" s="75">
        <f t="shared" si="7"/>
        <v>10300.5</v>
      </c>
      <c r="AJ6" s="78">
        <f t="shared" si="8"/>
        <v>1144.5</v>
      </c>
      <c r="AK6" s="72">
        <f t="shared" si="9"/>
        <v>11445</v>
      </c>
    </row>
    <row r="7" spans="1:37" ht="15.95" customHeight="1">
      <c r="A7" s="25" t="s">
        <v>12</v>
      </c>
      <c r="B7" s="25" t="s">
        <v>13</v>
      </c>
      <c r="C7" s="26" t="s">
        <v>21</v>
      </c>
      <c r="D7" s="26" t="s">
        <v>15</v>
      </c>
      <c r="E7" s="26" t="s">
        <v>16</v>
      </c>
      <c r="F7" s="26" t="s">
        <v>22</v>
      </c>
      <c r="G7" s="26" t="s">
        <v>18</v>
      </c>
      <c r="H7" s="27" t="s">
        <v>378</v>
      </c>
      <c r="I7" s="26" t="s">
        <v>19</v>
      </c>
      <c r="J7" s="28" t="s">
        <v>23</v>
      </c>
      <c r="K7" s="123">
        <v>135</v>
      </c>
      <c r="L7" s="29">
        <f t="shared" si="0"/>
        <v>25.253360000000001</v>
      </c>
      <c r="M7" s="110">
        <v>17.39</v>
      </c>
      <c r="N7" s="30">
        <v>0.27900000000000003</v>
      </c>
      <c r="O7" s="116">
        <v>4.8518100000000004</v>
      </c>
      <c r="P7" s="30">
        <v>7.4999999999999997E-2</v>
      </c>
      <c r="Q7" s="116">
        <v>1.3042499999999999</v>
      </c>
      <c r="R7" s="30">
        <v>7.0000000000000007E-2</v>
      </c>
      <c r="S7" s="116">
        <v>1.2173</v>
      </c>
      <c r="T7" s="117">
        <v>0.49</v>
      </c>
      <c r="U7" s="31">
        <v>400</v>
      </c>
      <c r="V7" s="32">
        <v>15</v>
      </c>
      <c r="W7" s="33">
        <v>85</v>
      </c>
      <c r="X7" s="32"/>
      <c r="Y7" s="32"/>
      <c r="Z7" s="32"/>
      <c r="AA7" s="34"/>
      <c r="AB7" s="35">
        <f t="shared" si="1"/>
        <v>500</v>
      </c>
      <c r="AC7" s="75">
        <f t="shared" si="2"/>
        <v>54000</v>
      </c>
      <c r="AD7" s="78">
        <f t="shared" ref="AD7:AD70" si="10">$K7*SUM(V7:AA7)</f>
        <v>13500</v>
      </c>
      <c r="AE7" s="72">
        <f t="shared" si="3"/>
        <v>67500</v>
      </c>
      <c r="AF7" s="75">
        <f t="shared" si="4"/>
        <v>10101.344000000001</v>
      </c>
      <c r="AG7" s="78">
        <f t="shared" si="5"/>
        <v>2525.3360000000002</v>
      </c>
      <c r="AH7" s="72">
        <f t="shared" si="6"/>
        <v>12626.68</v>
      </c>
      <c r="AI7" s="75">
        <f t="shared" si="7"/>
        <v>6956</v>
      </c>
      <c r="AJ7" s="78">
        <f t="shared" si="8"/>
        <v>1739</v>
      </c>
      <c r="AK7" s="72">
        <f t="shared" si="9"/>
        <v>8695</v>
      </c>
    </row>
    <row r="8" spans="1:37" ht="15.95" customHeight="1">
      <c r="A8" s="25" t="s">
        <v>12</v>
      </c>
      <c r="B8" s="25" t="s">
        <v>13</v>
      </c>
      <c r="C8" s="26" t="s">
        <v>24</v>
      </c>
      <c r="D8" s="26" t="s">
        <v>15</v>
      </c>
      <c r="E8" s="26" t="s">
        <v>16</v>
      </c>
      <c r="F8" s="26" t="s">
        <v>25</v>
      </c>
      <c r="G8" s="36" t="s">
        <v>26</v>
      </c>
      <c r="H8" s="27" t="s">
        <v>381</v>
      </c>
      <c r="I8" s="26" t="s">
        <v>27</v>
      </c>
      <c r="J8" s="28" t="s">
        <v>28</v>
      </c>
      <c r="K8" s="123">
        <v>58</v>
      </c>
      <c r="L8" s="29">
        <f t="shared" si="0"/>
        <v>10.876850000000001</v>
      </c>
      <c r="M8" s="110">
        <v>7.09</v>
      </c>
      <c r="N8" s="30">
        <v>0.32</v>
      </c>
      <c r="O8" s="116">
        <v>2.2688000000000001</v>
      </c>
      <c r="P8" s="30">
        <v>7.4999999999999997E-2</v>
      </c>
      <c r="Q8" s="116">
        <v>0.53174999999999994</v>
      </c>
      <c r="R8" s="30">
        <v>7.0000000000000007E-2</v>
      </c>
      <c r="S8" s="116">
        <v>0.49630000000000002</v>
      </c>
      <c r="T8" s="117">
        <v>0.49</v>
      </c>
      <c r="U8" s="31">
        <v>500</v>
      </c>
      <c r="V8" s="32">
        <v>13</v>
      </c>
      <c r="W8" s="33"/>
      <c r="X8" s="32"/>
      <c r="Y8" s="32"/>
      <c r="Z8" s="32"/>
      <c r="AA8" s="34"/>
      <c r="AB8" s="35">
        <f t="shared" si="1"/>
        <v>513</v>
      </c>
      <c r="AC8" s="75">
        <f t="shared" si="2"/>
        <v>29000</v>
      </c>
      <c r="AD8" s="78">
        <f t="shared" si="10"/>
        <v>754</v>
      </c>
      <c r="AE8" s="72">
        <f t="shared" si="3"/>
        <v>29754</v>
      </c>
      <c r="AF8" s="75">
        <f t="shared" si="4"/>
        <v>5438.4250000000002</v>
      </c>
      <c r="AG8" s="78">
        <f t="shared" si="5"/>
        <v>141.39905000000002</v>
      </c>
      <c r="AH8" s="72">
        <f t="shared" si="6"/>
        <v>5579.8240500000002</v>
      </c>
      <c r="AI8" s="75">
        <f t="shared" si="7"/>
        <v>3545</v>
      </c>
      <c r="AJ8" s="78">
        <f t="shared" si="8"/>
        <v>92.17</v>
      </c>
      <c r="AK8" s="72">
        <f t="shared" si="9"/>
        <v>3637.17</v>
      </c>
    </row>
    <row r="9" spans="1:37" ht="15.95" customHeight="1">
      <c r="A9" s="25" t="s">
        <v>12</v>
      </c>
      <c r="B9" s="25" t="s">
        <v>13</v>
      </c>
      <c r="C9" s="26" t="s">
        <v>24</v>
      </c>
      <c r="D9" s="26" t="s">
        <v>15</v>
      </c>
      <c r="E9" s="26" t="s">
        <v>16</v>
      </c>
      <c r="F9" s="26" t="s">
        <v>25</v>
      </c>
      <c r="G9" s="36" t="s">
        <v>26</v>
      </c>
      <c r="H9" s="27" t="s">
        <v>380</v>
      </c>
      <c r="I9" s="26" t="s">
        <v>27</v>
      </c>
      <c r="J9" s="28" t="s">
        <v>28</v>
      </c>
      <c r="K9" s="123">
        <v>58</v>
      </c>
      <c r="L9" s="29">
        <f t="shared" si="0"/>
        <v>10.876850000000001</v>
      </c>
      <c r="M9" s="110">
        <v>7.09</v>
      </c>
      <c r="N9" s="30">
        <v>0.32</v>
      </c>
      <c r="O9" s="116">
        <v>2.2688000000000001</v>
      </c>
      <c r="P9" s="30">
        <v>7.4999999999999997E-2</v>
      </c>
      <c r="Q9" s="116">
        <v>0.53174999999999994</v>
      </c>
      <c r="R9" s="30">
        <v>7.0000000000000007E-2</v>
      </c>
      <c r="S9" s="116">
        <v>0.49630000000000002</v>
      </c>
      <c r="T9" s="117">
        <v>0.49</v>
      </c>
      <c r="U9" s="31">
        <v>500</v>
      </c>
      <c r="V9" s="32">
        <v>116</v>
      </c>
      <c r="W9" s="33"/>
      <c r="X9" s="32"/>
      <c r="Y9" s="32"/>
      <c r="Z9" s="32"/>
      <c r="AA9" s="34"/>
      <c r="AB9" s="35">
        <f t="shared" si="1"/>
        <v>616</v>
      </c>
      <c r="AC9" s="75">
        <f t="shared" si="2"/>
        <v>29000</v>
      </c>
      <c r="AD9" s="78">
        <f t="shared" si="10"/>
        <v>6728</v>
      </c>
      <c r="AE9" s="72">
        <f t="shared" si="3"/>
        <v>35728</v>
      </c>
      <c r="AF9" s="75">
        <f t="shared" si="4"/>
        <v>5438.4250000000002</v>
      </c>
      <c r="AG9" s="78">
        <f t="shared" si="5"/>
        <v>1261.7146</v>
      </c>
      <c r="AH9" s="72">
        <f t="shared" si="6"/>
        <v>6700.1396000000004</v>
      </c>
      <c r="AI9" s="75">
        <f t="shared" si="7"/>
        <v>3545</v>
      </c>
      <c r="AJ9" s="78">
        <f t="shared" si="8"/>
        <v>822.43999999999994</v>
      </c>
      <c r="AK9" s="72">
        <f t="shared" si="9"/>
        <v>4367.4399999999996</v>
      </c>
    </row>
    <row r="10" spans="1:37" ht="15.95" customHeight="1">
      <c r="A10" s="25" t="s">
        <v>12</v>
      </c>
      <c r="B10" s="25" t="s">
        <v>13</v>
      </c>
      <c r="C10" s="26" t="s">
        <v>29</v>
      </c>
      <c r="D10" s="26" t="s">
        <v>15</v>
      </c>
      <c r="E10" s="26" t="s">
        <v>16</v>
      </c>
      <c r="F10" s="26" t="s">
        <v>30</v>
      </c>
      <c r="G10" s="26" t="s">
        <v>18</v>
      </c>
      <c r="H10" s="27" t="s">
        <v>379</v>
      </c>
      <c r="I10" s="26" t="s">
        <v>19</v>
      </c>
      <c r="J10" s="37" t="s">
        <v>31</v>
      </c>
      <c r="K10" s="123">
        <v>78</v>
      </c>
      <c r="L10" s="29">
        <f t="shared" si="0"/>
        <v>16.282160000000001</v>
      </c>
      <c r="M10" s="110">
        <v>11.09</v>
      </c>
      <c r="N10" s="30">
        <v>0.27900000000000003</v>
      </c>
      <c r="O10" s="116">
        <v>3.0941100000000001</v>
      </c>
      <c r="P10" s="30">
        <v>7.4999999999999997E-2</v>
      </c>
      <c r="Q10" s="116">
        <v>0.83174999999999999</v>
      </c>
      <c r="R10" s="30">
        <v>7.0000000000000007E-2</v>
      </c>
      <c r="S10" s="116">
        <v>0.7763000000000001</v>
      </c>
      <c r="T10" s="117">
        <v>0.49</v>
      </c>
      <c r="U10" s="31">
        <v>500</v>
      </c>
      <c r="V10" s="32">
        <v>13</v>
      </c>
      <c r="W10" s="33"/>
      <c r="X10" s="32"/>
      <c r="Y10" s="32"/>
      <c r="Z10" s="32"/>
      <c r="AA10" s="34"/>
      <c r="AB10" s="35">
        <f t="shared" si="1"/>
        <v>513</v>
      </c>
      <c r="AC10" s="75">
        <f t="shared" si="2"/>
        <v>39000</v>
      </c>
      <c r="AD10" s="78">
        <f t="shared" si="10"/>
        <v>1014</v>
      </c>
      <c r="AE10" s="72">
        <f t="shared" si="3"/>
        <v>40014</v>
      </c>
      <c r="AF10" s="75">
        <f t="shared" si="4"/>
        <v>8141.0800000000008</v>
      </c>
      <c r="AG10" s="78">
        <f t="shared" si="5"/>
        <v>211.66808</v>
      </c>
      <c r="AH10" s="72">
        <f t="shared" si="6"/>
        <v>8352.7480800000012</v>
      </c>
      <c r="AI10" s="75">
        <f t="shared" si="7"/>
        <v>5545</v>
      </c>
      <c r="AJ10" s="78">
        <f t="shared" si="8"/>
        <v>144.16999999999999</v>
      </c>
      <c r="AK10" s="72">
        <f t="shared" si="9"/>
        <v>5689.17</v>
      </c>
    </row>
    <row r="11" spans="1:37" ht="15.95" customHeight="1">
      <c r="A11" s="25" t="s">
        <v>12</v>
      </c>
      <c r="B11" s="25" t="s">
        <v>13</v>
      </c>
      <c r="C11" s="26" t="s">
        <v>29</v>
      </c>
      <c r="D11" s="26" t="s">
        <v>15</v>
      </c>
      <c r="E11" s="26" t="s">
        <v>16</v>
      </c>
      <c r="F11" s="26" t="s">
        <v>30</v>
      </c>
      <c r="G11" s="26" t="s">
        <v>18</v>
      </c>
      <c r="H11" s="27" t="s">
        <v>378</v>
      </c>
      <c r="I11" s="26" t="s">
        <v>19</v>
      </c>
      <c r="J11" s="37" t="s">
        <v>31</v>
      </c>
      <c r="K11" s="123">
        <v>78</v>
      </c>
      <c r="L11" s="29">
        <f t="shared" si="0"/>
        <v>16.282160000000001</v>
      </c>
      <c r="M11" s="110">
        <v>11.09</v>
      </c>
      <c r="N11" s="30">
        <v>0.27900000000000003</v>
      </c>
      <c r="O11" s="116">
        <v>3.0941100000000001</v>
      </c>
      <c r="P11" s="30">
        <v>7.4999999999999997E-2</v>
      </c>
      <c r="Q11" s="116">
        <v>0.83174999999999999</v>
      </c>
      <c r="R11" s="30">
        <v>7.0000000000000007E-2</v>
      </c>
      <c r="S11" s="116">
        <v>0.7763000000000001</v>
      </c>
      <c r="T11" s="117">
        <v>0.49</v>
      </c>
      <c r="U11" s="31">
        <v>500</v>
      </c>
      <c r="V11" s="32">
        <v>116</v>
      </c>
      <c r="W11" s="33"/>
      <c r="X11" s="32"/>
      <c r="Y11" s="32"/>
      <c r="Z11" s="32"/>
      <c r="AA11" s="34"/>
      <c r="AB11" s="35">
        <f t="shared" si="1"/>
        <v>616</v>
      </c>
      <c r="AC11" s="75">
        <f t="shared" si="2"/>
        <v>39000</v>
      </c>
      <c r="AD11" s="78">
        <f t="shared" si="10"/>
        <v>9048</v>
      </c>
      <c r="AE11" s="72">
        <f t="shared" si="3"/>
        <v>48048</v>
      </c>
      <c r="AF11" s="75">
        <f t="shared" si="4"/>
        <v>8141.0800000000008</v>
      </c>
      <c r="AG11" s="78">
        <f t="shared" si="5"/>
        <v>1888.7305600000002</v>
      </c>
      <c r="AH11" s="72">
        <f t="shared" si="6"/>
        <v>10029.810560000002</v>
      </c>
      <c r="AI11" s="75">
        <f t="shared" si="7"/>
        <v>5545</v>
      </c>
      <c r="AJ11" s="78">
        <f t="shared" si="8"/>
        <v>1286.44</v>
      </c>
      <c r="AK11" s="72">
        <f t="shared" si="9"/>
        <v>6831.4400000000005</v>
      </c>
    </row>
    <row r="12" spans="1:37" ht="15.95" customHeight="1">
      <c r="A12" s="25" t="s">
        <v>12</v>
      </c>
      <c r="B12" s="25" t="s">
        <v>13</v>
      </c>
      <c r="C12" s="26" t="s">
        <v>24</v>
      </c>
      <c r="D12" s="26" t="s">
        <v>15</v>
      </c>
      <c r="E12" s="26" t="s">
        <v>16</v>
      </c>
      <c r="F12" s="26" t="s">
        <v>32</v>
      </c>
      <c r="G12" s="26" t="s">
        <v>33</v>
      </c>
      <c r="H12" s="27" t="s">
        <v>383</v>
      </c>
      <c r="I12" s="26" t="s">
        <v>27</v>
      </c>
      <c r="J12" s="28" t="s">
        <v>28</v>
      </c>
      <c r="K12" s="123">
        <v>68</v>
      </c>
      <c r="L12" s="29">
        <f t="shared" si="0"/>
        <v>13.806849999999999</v>
      </c>
      <c r="M12" s="110">
        <v>9.09</v>
      </c>
      <c r="N12" s="30">
        <v>0.32</v>
      </c>
      <c r="O12" s="116">
        <v>2.9087999999999998</v>
      </c>
      <c r="P12" s="30">
        <v>7.4999999999999997E-2</v>
      </c>
      <c r="Q12" s="116">
        <v>0.68174999999999997</v>
      </c>
      <c r="R12" s="30">
        <v>7.0000000000000007E-2</v>
      </c>
      <c r="S12" s="116">
        <v>0.63630000000000009</v>
      </c>
      <c r="T12" s="117">
        <v>0.49</v>
      </c>
      <c r="U12" s="31">
        <v>500</v>
      </c>
      <c r="V12" s="32">
        <v>96</v>
      </c>
      <c r="W12" s="33"/>
      <c r="X12" s="32"/>
      <c r="Y12" s="32"/>
      <c r="Z12" s="32"/>
      <c r="AA12" s="34"/>
      <c r="AB12" s="35">
        <f t="shared" si="1"/>
        <v>596</v>
      </c>
      <c r="AC12" s="75">
        <f t="shared" si="2"/>
        <v>34000</v>
      </c>
      <c r="AD12" s="78">
        <f t="shared" si="10"/>
        <v>6528</v>
      </c>
      <c r="AE12" s="72">
        <f t="shared" si="3"/>
        <v>40528</v>
      </c>
      <c r="AF12" s="75">
        <f t="shared" si="4"/>
        <v>6903.4249999999993</v>
      </c>
      <c r="AG12" s="78">
        <f t="shared" si="5"/>
        <v>1325.4576</v>
      </c>
      <c r="AH12" s="72">
        <f t="shared" si="6"/>
        <v>8228.882599999999</v>
      </c>
      <c r="AI12" s="75">
        <f t="shared" si="7"/>
        <v>4545</v>
      </c>
      <c r="AJ12" s="78">
        <f t="shared" si="8"/>
        <v>872.64</v>
      </c>
      <c r="AK12" s="72">
        <f t="shared" si="9"/>
        <v>5417.64</v>
      </c>
    </row>
    <row r="13" spans="1:37" ht="15.95" customHeight="1">
      <c r="A13" s="25" t="s">
        <v>12</v>
      </c>
      <c r="B13" s="25" t="s">
        <v>13</v>
      </c>
      <c r="C13" s="26" t="s">
        <v>24</v>
      </c>
      <c r="D13" s="26" t="s">
        <v>15</v>
      </c>
      <c r="E13" s="26" t="s">
        <v>16</v>
      </c>
      <c r="F13" s="26" t="s">
        <v>32</v>
      </c>
      <c r="G13" s="36" t="s">
        <v>33</v>
      </c>
      <c r="H13" s="27" t="s">
        <v>382</v>
      </c>
      <c r="I13" s="26" t="s">
        <v>27</v>
      </c>
      <c r="J13" s="28" t="s">
        <v>28</v>
      </c>
      <c r="K13" s="123">
        <v>68</v>
      </c>
      <c r="L13" s="29">
        <f t="shared" si="0"/>
        <v>13.806849999999999</v>
      </c>
      <c r="M13" s="110">
        <v>9.09</v>
      </c>
      <c r="N13" s="30">
        <v>0.32</v>
      </c>
      <c r="O13" s="116">
        <v>2.9087999999999998</v>
      </c>
      <c r="P13" s="30">
        <v>7.4999999999999997E-2</v>
      </c>
      <c r="Q13" s="116">
        <v>0.68174999999999997</v>
      </c>
      <c r="R13" s="30">
        <v>7.0000000000000007E-2</v>
      </c>
      <c r="S13" s="116">
        <v>0.63630000000000009</v>
      </c>
      <c r="T13" s="117">
        <v>0.49</v>
      </c>
      <c r="U13" s="31">
        <v>500</v>
      </c>
      <c r="V13" s="32">
        <v>72</v>
      </c>
      <c r="W13" s="33"/>
      <c r="X13" s="32"/>
      <c r="Y13" s="32"/>
      <c r="Z13" s="32"/>
      <c r="AA13" s="34"/>
      <c r="AB13" s="35">
        <f t="shared" si="1"/>
        <v>572</v>
      </c>
      <c r="AC13" s="75">
        <f t="shared" si="2"/>
        <v>34000</v>
      </c>
      <c r="AD13" s="78">
        <f t="shared" si="10"/>
        <v>4896</v>
      </c>
      <c r="AE13" s="72">
        <f t="shared" si="3"/>
        <v>38896</v>
      </c>
      <c r="AF13" s="75">
        <f t="shared" si="4"/>
        <v>6903.4249999999993</v>
      </c>
      <c r="AG13" s="78">
        <f t="shared" si="5"/>
        <v>994.09319999999991</v>
      </c>
      <c r="AH13" s="72">
        <f t="shared" si="6"/>
        <v>7897.5181999999995</v>
      </c>
      <c r="AI13" s="75">
        <f t="shared" si="7"/>
        <v>4545</v>
      </c>
      <c r="AJ13" s="78">
        <f t="shared" si="8"/>
        <v>654.48</v>
      </c>
      <c r="AK13" s="72">
        <f t="shared" si="9"/>
        <v>5199.4799999999996</v>
      </c>
    </row>
    <row r="14" spans="1:37" ht="15.95" customHeight="1">
      <c r="A14" s="25" t="s">
        <v>12</v>
      </c>
      <c r="B14" s="25" t="s">
        <v>13</v>
      </c>
      <c r="C14" s="26" t="s">
        <v>24</v>
      </c>
      <c r="D14" s="26" t="s">
        <v>15</v>
      </c>
      <c r="E14" s="26" t="s">
        <v>16</v>
      </c>
      <c r="F14" s="26" t="s">
        <v>32</v>
      </c>
      <c r="G14" s="36" t="s">
        <v>33</v>
      </c>
      <c r="H14" s="27" t="s">
        <v>382</v>
      </c>
      <c r="I14" s="26" t="s">
        <v>27</v>
      </c>
      <c r="J14" s="28" t="s">
        <v>28</v>
      </c>
      <c r="K14" s="123">
        <v>68</v>
      </c>
      <c r="L14" s="29">
        <f t="shared" si="0"/>
        <v>13.806849999999999</v>
      </c>
      <c r="M14" s="110">
        <v>9.09</v>
      </c>
      <c r="N14" s="30">
        <v>0.32</v>
      </c>
      <c r="O14" s="116">
        <v>2.9087999999999998</v>
      </c>
      <c r="P14" s="30">
        <v>7.4999999999999997E-2</v>
      </c>
      <c r="Q14" s="116">
        <v>0.68174999999999997</v>
      </c>
      <c r="R14" s="30">
        <v>7.0000000000000007E-2</v>
      </c>
      <c r="S14" s="116">
        <v>0.63630000000000009</v>
      </c>
      <c r="T14" s="117">
        <v>0.49</v>
      </c>
      <c r="U14" s="31">
        <v>500</v>
      </c>
      <c r="V14" s="32">
        <v>72</v>
      </c>
      <c r="W14" s="33"/>
      <c r="X14" s="32"/>
      <c r="Y14" s="32"/>
      <c r="Z14" s="32"/>
      <c r="AA14" s="34"/>
      <c r="AB14" s="35">
        <f t="shared" si="1"/>
        <v>572</v>
      </c>
      <c r="AC14" s="75">
        <f t="shared" si="2"/>
        <v>34000</v>
      </c>
      <c r="AD14" s="78">
        <f t="shared" si="10"/>
        <v>4896</v>
      </c>
      <c r="AE14" s="72">
        <f t="shared" si="3"/>
        <v>38896</v>
      </c>
      <c r="AF14" s="75">
        <f t="shared" si="4"/>
        <v>6903.4249999999993</v>
      </c>
      <c r="AG14" s="78">
        <f t="shared" si="5"/>
        <v>994.09319999999991</v>
      </c>
      <c r="AH14" s="72">
        <f t="shared" si="6"/>
        <v>7897.5181999999995</v>
      </c>
      <c r="AI14" s="75">
        <f t="shared" si="7"/>
        <v>4545</v>
      </c>
      <c r="AJ14" s="78">
        <f t="shared" si="8"/>
        <v>654.48</v>
      </c>
      <c r="AK14" s="72">
        <f t="shared" si="9"/>
        <v>5199.4799999999996</v>
      </c>
    </row>
    <row r="15" spans="1:37" ht="15.95" customHeight="1">
      <c r="A15" s="25" t="s">
        <v>12</v>
      </c>
      <c r="B15" s="25" t="s">
        <v>13</v>
      </c>
      <c r="C15" s="26" t="s">
        <v>29</v>
      </c>
      <c r="D15" s="26" t="s">
        <v>15</v>
      </c>
      <c r="E15" s="26" t="s">
        <v>16</v>
      </c>
      <c r="F15" s="26" t="s">
        <v>34</v>
      </c>
      <c r="G15" s="36" t="s">
        <v>33</v>
      </c>
      <c r="H15" s="27" t="s">
        <v>382</v>
      </c>
      <c r="I15" s="26" t="s">
        <v>27</v>
      </c>
      <c r="J15" s="28" t="s">
        <v>35</v>
      </c>
      <c r="K15" s="123">
        <v>78</v>
      </c>
      <c r="L15" s="29">
        <f t="shared" si="0"/>
        <v>15.601930000000001</v>
      </c>
      <c r="M15" s="110">
        <v>10.59</v>
      </c>
      <c r="N15" s="30">
        <v>0.28199999999999997</v>
      </c>
      <c r="O15" s="116">
        <v>2.9863799999999996</v>
      </c>
      <c r="P15" s="30">
        <v>7.4999999999999997E-2</v>
      </c>
      <c r="Q15" s="116">
        <v>0.79425000000000001</v>
      </c>
      <c r="R15" s="30">
        <v>7.0000000000000007E-2</v>
      </c>
      <c r="S15" s="116">
        <v>0.74130000000000007</v>
      </c>
      <c r="T15" s="117">
        <v>0.49</v>
      </c>
      <c r="U15" s="31">
        <v>500</v>
      </c>
      <c r="V15" s="32">
        <v>72</v>
      </c>
      <c r="W15" s="33"/>
      <c r="X15" s="32"/>
      <c r="Y15" s="32"/>
      <c r="Z15" s="32"/>
      <c r="AA15" s="34"/>
      <c r="AB15" s="35">
        <f t="shared" si="1"/>
        <v>572</v>
      </c>
      <c r="AC15" s="75">
        <f t="shared" si="2"/>
        <v>39000</v>
      </c>
      <c r="AD15" s="78">
        <f t="shared" si="10"/>
        <v>5616</v>
      </c>
      <c r="AE15" s="72">
        <f t="shared" si="3"/>
        <v>44616</v>
      </c>
      <c r="AF15" s="75">
        <f t="shared" si="4"/>
        <v>7800.9650000000001</v>
      </c>
      <c r="AG15" s="78">
        <f t="shared" si="5"/>
        <v>1123.33896</v>
      </c>
      <c r="AH15" s="72">
        <f t="shared" si="6"/>
        <v>8924.3039600000011</v>
      </c>
      <c r="AI15" s="75">
        <f t="shared" si="7"/>
        <v>5295</v>
      </c>
      <c r="AJ15" s="78">
        <f t="shared" si="8"/>
        <v>762.48</v>
      </c>
      <c r="AK15" s="72">
        <f t="shared" si="9"/>
        <v>6057.48</v>
      </c>
    </row>
    <row r="16" spans="1:37" ht="15.95" customHeight="1">
      <c r="A16" s="25" t="s">
        <v>12</v>
      </c>
      <c r="B16" s="25" t="s">
        <v>13</v>
      </c>
      <c r="C16" s="26" t="s">
        <v>29</v>
      </c>
      <c r="D16" s="26" t="s">
        <v>15</v>
      </c>
      <c r="E16" s="26" t="s">
        <v>16</v>
      </c>
      <c r="F16" s="26" t="s">
        <v>34</v>
      </c>
      <c r="G16" s="36" t="s">
        <v>33</v>
      </c>
      <c r="H16" s="27" t="s">
        <v>382</v>
      </c>
      <c r="I16" s="26" t="s">
        <v>27</v>
      </c>
      <c r="J16" s="28" t="s">
        <v>35</v>
      </c>
      <c r="K16" s="123">
        <v>78</v>
      </c>
      <c r="L16" s="29">
        <f t="shared" si="0"/>
        <v>15.601930000000001</v>
      </c>
      <c r="M16" s="110">
        <v>10.59</v>
      </c>
      <c r="N16" s="30">
        <v>0.28199999999999997</v>
      </c>
      <c r="O16" s="116">
        <v>2.9863799999999996</v>
      </c>
      <c r="P16" s="30">
        <v>7.4999999999999997E-2</v>
      </c>
      <c r="Q16" s="116">
        <v>0.79425000000000001</v>
      </c>
      <c r="R16" s="30">
        <v>7.0000000000000007E-2</v>
      </c>
      <c r="S16" s="116">
        <v>0.74130000000000007</v>
      </c>
      <c r="T16" s="117">
        <v>0.49</v>
      </c>
      <c r="U16" s="31">
        <v>500</v>
      </c>
      <c r="V16" s="32">
        <v>96</v>
      </c>
      <c r="W16" s="33"/>
      <c r="X16" s="32"/>
      <c r="Y16" s="32"/>
      <c r="Z16" s="32"/>
      <c r="AA16" s="34"/>
      <c r="AB16" s="35">
        <f t="shared" si="1"/>
        <v>596</v>
      </c>
      <c r="AC16" s="75">
        <f t="shared" si="2"/>
        <v>39000</v>
      </c>
      <c r="AD16" s="78">
        <f t="shared" si="10"/>
        <v>7488</v>
      </c>
      <c r="AE16" s="72">
        <f t="shared" si="3"/>
        <v>46488</v>
      </c>
      <c r="AF16" s="75">
        <f t="shared" si="4"/>
        <v>7800.9650000000001</v>
      </c>
      <c r="AG16" s="78">
        <f t="shared" si="5"/>
        <v>1497.7852800000001</v>
      </c>
      <c r="AH16" s="72">
        <f t="shared" si="6"/>
        <v>9298.7502800000002</v>
      </c>
      <c r="AI16" s="75">
        <f t="shared" si="7"/>
        <v>5295</v>
      </c>
      <c r="AJ16" s="78">
        <f t="shared" si="8"/>
        <v>1016.64</v>
      </c>
      <c r="AK16" s="72">
        <f t="shared" si="9"/>
        <v>6311.64</v>
      </c>
    </row>
    <row r="17" spans="1:37" ht="15.95" customHeight="1">
      <c r="A17" s="25" t="s">
        <v>12</v>
      </c>
      <c r="B17" s="25" t="s">
        <v>13</v>
      </c>
      <c r="C17" s="26" t="s">
        <v>29</v>
      </c>
      <c r="D17" s="26" t="s">
        <v>15</v>
      </c>
      <c r="E17" s="26" t="s">
        <v>16</v>
      </c>
      <c r="F17" s="26" t="s">
        <v>34</v>
      </c>
      <c r="G17" s="36" t="s">
        <v>33</v>
      </c>
      <c r="H17" s="27" t="s">
        <v>382</v>
      </c>
      <c r="I17" s="26" t="s">
        <v>27</v>
      </c>
      <c r="J17" s="28" t="s">
        <v>35</v>
      </c>
      <c r="K17" s="123">
        <v>78</v>
      </c>
      <c r="L17" s="29">
        <f t="shared" si="0"/>
        <v>15.601930000000001</v>
      </c>
      <c r="M17" s="110">
        <v>10.59</v>
      </c>
      <c r="N17" s="30">
        <v>0.28199999999999997</v>
      </c>
      <c r="O17" s="116">
        <v>2.9863799999999996</v>
      </c>
      <c r="P17" s="30">
        <v>7.4999999999999997E-2</v>
      </c>
      <c r="Q17" s="116">
        <v>0.79425000000000001</v>
      </c>
      <c r="R17" s="30">
        <v>7.0000000000000007E-2</v>
      </c>
      <c r="S17" s="116">
        <v>0.74130000000000007</v>
      </c>
      <c r="T17" s="117">
        <v>0.49</v>
      </c>
      <c r="U17" s="31">
        <v>500</v>
      </c>
      <c r="V17" s="32">
        <v>72</v>
      </c>
      <c r="W17" s="33"/>
      <c r="X17" s="32"/>
      <c r="Y17" s="32"/>
      <c r="Z17" s="32"/>
      <c r="AA17" s="34"/>
      <c r="AB17" s="35">
        <f t="shared" si="1"/>
        <v>572</v>
      </c>
      <c r="AC17" s="75">
        <f t="shared" si="2"/>
        <v>39000</v>
      </c>
      <c r="AD17" s="78">
        <f t="shared" si="10"/>
        <v>5616</v>
      </c>
      <c r="AE17" s="72">
        <f t="shared" si="3"/>
        <v>44616</v>
      </c>
      <c r="AF17" s="75">
        <f t="shared" si="4"/>
        <v>7800.9650000000001</v>
      </c>
      <c r="AG17" s="78">
        <f t="shared" si="5"/>
        <v>1123.33896</v>
      </c>
      <c r="AH17" s="72">
        <f t="shared" si="6"/>
        <v>8924.3039600000011</v>
      </c>
      <c r="AI17" s="75">
        <f t="shared" si="7"/>
        <v>5295</v>
      </c>
      <c r="AJ17" s="78">
        <f t="shared" si="8"/>
        <v>762.48</v>
      </c>
      <c r="AK17" s="72">
        <f t="shared" si="9"/>
        <v>6057.48</v>
      </c>
    </row>
    <row r="18" spans="1:37" ht="15.95" customHeight="1">
      <c r="A18" s="25" t="s">
        <v>12</v>
      </c>
      <c r="B18" s="25" t="s">
        <v>13</v>
      </c>
      <c r="C18" s="26" t="s">
        <v>24</v>
      </c>
      <c r="D18" s="26" t="s">
        <v>15</v>
      </c>
      <c r="E18" s="26" t="s">
        <v>16</v>
      </c>
      <c r="F18" s="26" t="s">
        <v>36</v>
      </c>
      <c r="G18" s="26" t="s">
        <v>37</v>
      </c>
      <c r="H18" s="27" t="s">
        <v>385</v>
      </c>
      <c r="I18" s="26" t="s">
        <v>27</v>
      </c>
      <c r="J18" s="28" t="s">
        <v>28</v>
      </c>
      <c r="K18" s="123">
        <v>58</v>
      </c>
      <c r="L18" s="29">
        <f t="shared" si="0"/>
        <v>12.634849999999998</v>
      </c>
      <c r="M18" s="110">
        <v>8.2899999999999991</v>
      </c>
      <c r="N18" s="30">
        <v>0.32</v>
      </c>
      <c r="O18" s="116">
        <v>2.6527999999999996</v>
      </c>
      <c r="P18" s="30">
        <v>7.4999999999999997E-2</v>
      </c>
      <c r="Q18" s="116">
        <v>0.62174999999999991</v>
      </c>
      <c r="R18" s="30">
        <v>7.0000000000000007E-2</v>
      </c>
      <c r="S18" s="116">
        <v>0.58030000000000004</v>
      </c>
      <c r="T18" s="117">
        <v>0.49</v>
      </c>
      <c r="U18" s="31">
        <v>400</v>
      </c>
      <c r="V18" s="32">
        <v>53</v>
      </c>
      <c r="W18" s="38">
        <v>47</v>
      </c>
      <c r="X18" s="32"/>
      <c r="Y18" s="32"/>
      <c r="Z18" s="32"/>
      <c r="AA18" s="34"/>
      <c r="AB18" s="35">
        <f t="shared" si="1"/>
        <v>500</v>
      </c>
      <c r="AC18" s="75">
        <f t="shared" si="2"/>
        <v>23200</v>
      </c>
      <c r="AD18" s="78">
        <f t="shared" si="10"/>
        <v>5800</v>
      </c>
      <c r="AE18" s="72">
        <f t="shared" si="3"/>
        <v>29000</v>
      </c>
      <c r="AF18" s="75">
        <f t="shared" si="4"/>
        <v>5053.9399999999996</v>
      </c>
      <c r="AG18" s="78">
        <f t="shared" si="5"/>
        <v>1263.4849999999999</v>
      </c>
      <c r="AH18" s="72">
        <f t="shared" si="6"/>
        <v>6317.4249999999993</v>
      </c>
      <c r="AI18" s="75">
        <f t="shared" si="7"/>
        <v>3315.9999999999995</v>
      </c>
      <c r="AJ18" s="78">
        <f t="shared" si="8"/>
        <v>828.99999999999989</v>
      </c>
      <c r="AK18" s="72">
        <f t="shared" si="9"/>
        <v>4144.9999999999991</v>
      </c>
    </row>
    <row r="19" spans="1:37" ht="15.95" customHeight="1">
      <c r="A19" s="25" t="s">
        <v>12</v>
      </c>
      <c r="B19" s="25" t="s">
        <v>13</v>
      </c>
      <c r="C19" s="26" t="s">
        <v>24</v>
      </c>
      <c r="D19" s="26" t="s">
        <v>15</v>
      </c>
      <c r="E19" s="26" t="s">
        <v>16</v>
      </c>
      <c r="F19" s="26" t="s">
        <v>36</v>
      </c>
      <c r="G19" s="26" t="s">
        <v>37</v>
      </c>
      <c r="H19" s="27" t="s">
        <v>384</v>
      </c>
      <c r="I19" s="26" t="s">
        <v>27</v>
      </c>
      <c r="J19" s="28" t="s">
        <v>28</v>
      </c>
      <c r="K19" s="123">
        <v>58</v>
      </c>
      <c r="L19" s="29">
        <f t="shared" si="0"/>
        <v>12.634849999999998</v>
      </c>
      <c r="M19" s="110">
        <v>8.2899999999999991</v>
      </c>
      <c r="N19" s="30">
        <v>0.32</v>
      </c>
      <c r="O19" s="116">
        <v>2.6527999999999996</v>
      </c>
      <c r="P19" s="30">
        <v>7.4999999999999997E-2</v>
      </c>
      <c r="Q19" s="116">
        <v>0.62174999999999991</v>
      </c>
      <c r="R19" s="30">
        <v>7.0000000000000007E-2</v>
      </c>
      <c r="S19" s="116">
        <v>0.58030000000000004</v>
      </c>
      <c r="T19" s="117">
        <v>0.49</v>
      </c>
      <c r="U19" s="31">
        <v>400</v>
      </c>
      <c r="V19" s="32">
        <v>48</v>
      </c>
      <c r="W19" s="38">
        <v>52</v>
      </c>
      <c r="X19" s="32"/>
      <c r="Y19" s="32"/>
      <c r="Z19" s="32"/>
      <c r="AA19" s="34"/>
      <c r="AB19" s="35">
        <f t="shared" si="1"/>
        <v>500</v>
      </c>
      <c r="AC19" s="75">
        <f t="shared" si="2"/>
        <v>23200</v>
      </c>
      <c r="AD19" s="78">
        <f t="shared" si="10"/>
        <v>5800</v>
      </c>
      <c r="AE19" s="72">
        <f t="shared" si="3"/>
        <v>29000</v>
      </c>
      <c r="AF19" s="75">
        <f t="shared" si="4"/>
        <v>5053.9399999999996</v>
      </c>
      <c r="AG19" s="78">
        <f t="shared" si="5"/>
        <v>1263.4849999999999</v>
      </c>
      <c r="AH19" s="72">
        <f t="shared" si="6"/>
        <v>6317.4249999999993</v>
      </c>
      <c r="AI19" s="75">
        <f t="shared" si="7"/>
        <v>3315.9999999999995</v>
      </c>
      <c r="AJ19" s="78">
        <f t="shared" si="8"/>
        <v>828.99999999999989</v>
      </c>
      <c r="AK19" s="72">
        <f t="shared" si="9"/>
        <v>4144.9999999999991</v>
      </c>
    </row>
    <row r="20" spans="1:37" ht="15.95" customHeight="1">
      <c r="A20" s="25" t="s">
        <v>12</v>
      </c>
      <c r="B20" s="25" t="s">
        <v>13</v>
      </c>
      <c r="C20" s="26" t="s">
        <v>24</v>
      </c>
      <c r="D20" s="26" t="s">
        <v>15</v>
      </c>
      <c r="E20" s="26" t="s">
        <v>16</v>
      </c>
      <c r="F20" s="26" t="s">
        <v>36</v>
      </c>
      <c r="G20" s="26" t="s">
        <v>37</v>
      </c>
      <c r="H20" s="27" t="s">
        <v>384</v>
      </c>
      <c r="I20" s="26" t="s">
        <v>27</v>
      </c>
      <c r="J20" s="28" t="s">
        <v>28</v>
      </c>
      <c r="K20" s="123">
        <v>58</v>
      </c>
      <c r="L20" s="29">
        <f t="shared" si="0"/>
        <v>12.634849999999998</v>
      </c>
      <c r="M20" s="110">
        <v>8.2899999999999991</v>
      </c>
      <c r="N20" s="30">
        <v>0.32</v>
      </c>
      <c r="O20" s="116">
        <v>2.6527999999999996</v>
      </c>
      <c r="P20" s="30">
        <v>7.4999999999999997E-2</v>
      </c>
      <c r="Q20" s="116">
        <v>0.62174999999999991</v>
      </c>
      <c r="R20" s="30">
        <v>7.0000000000000007E-2</v>
      </c>
      <c r="S20" s="116">
        <v>0.58030000000000004</v>
      </c>
      <c r="T20" s="117">
        <v>0.49</v>
      </c>
      <c r="U20" s="31">
        <v>500</v>
      </c>
      <c r="V20" s="32">
        <v>48</v>
      </c>
      <c r="W20" s="33"/>
      <c r="X20" s="32"/>
      <c r="Y20" s="32"/>
      <c r="Z20" s="32"/>
      <c r="AA20" s="34"/>
      <c r="AB20" s="35">
        <f t="shared" si="1"/>
        <v>548</v>
      </c>
      <c r="AC20" s="75">
        <f t="shared" si="2"/>
        <v>29000</v>
      </c>
      <c r="AD20" s="78">
        <f t="shared" si="10"/>
        <v>2784</v>
      </c>
      <c r="AE20" s="72">
        <f t="shared" si="3"/>
        <v>31784</v>
      </c>
      <c r="AF20" s="75">
        <f t="shared" si="4"/>
        <v>6317.4249999999993</v>
      </c>
      <c r="AG20" s="78">
        <f t="shared" si="5"/>
        <v>606.47279999999989</v>
      </c>
      <c r="AH20" s="72">
        <f t="shared" si="6"/>
        <v>6923.8977999999988</v>
      </c>
      <c r="AI20" s="75">
        <f t="shared" si="7"/>
        <v>4145</v>
      </c>
      <c r="AJ20" s="78">
        <f t="shared" si="8"/>
        <v>397.91999999999996</v>
      </c>
      <c r="AK20" s="72">
        <f t="shared" si="9"/>
        <v>4542.92</v>
      </c>
    </row>
    <row r="21" spans="1:37" ht="15.95" customHeight="1">
      <c r="A21" s="25" t="s">
        <v>12</v>
      </c>
      <c r="B21" s="25" t="s">
        <v>13</v>
      </c>
      <c r="C21" s="26" t="s">
        <v>24</v>
      </c>
      <c r="D21" s="26" t="s">
        <v>15</v>
      </c>
      <c r="E21" s="26" t="s">
        <v>16</v>
      </c>
      <c r="F21" s="26" t="s">
        <v>38</v>
      </c>
      <c r="G21" s="26" t="s">
        <v>37</v>
      </c>
      <c r="H21" s="27" t="s">
        <v>384</v>
      </c>
      <c r="I21" s="26" t="s">
        <v>27</v>
      </c>
      <c r="J21" s="28" t="s">
        <v>28</v>
      </c>
      <c r="K21" s="123">
        <v>78</v>
      </c>
      <c r="L21" s="29">
        <f t="shared" si="0"/>
        <v>16.004349999999999</v>
      </c>
      <c r="M21" s="110">
        <v>10.59</v>
      </c>
      <c r="N21" s="30">
        <v>0.32</v>
      </c>
      <c r="O21" s="116">
        <v>3.3887999999999998</v>
      </c>
      <c r="P21" s="30">
        <v>7.4999999999999997E-2</v>
      </c>
      <c r="Q21" s="116">
        <v>0.79425000000000001</v>
      </c>
      <c r="R21" s="30">
        <v>7.0000000000000007E-2</v>
      </c>
      <c r="S21" s="116">
        <v>0.74130000000000007</v>
      </c>
      <c r="T21" s="117">
        <v>0.49</v>
      </c>
      <c r="U21" s="39">
        <v>450</v>
      </c>
      <c r="V21" s="32">
        <v>101</v>
      </c>
      <c r="W21" s="33"/>
      <c r="X21" s="32"/>
      <c r="Y21" s="32"/>
      <c r="Z21" s="32"/>
      <c r="AA21" s="34">
        <v>12</v>
      </c>
      <c r="AB21" s="35">
        <f t="shared" si="1"/>
        <v>563</v>
      </c>
      <c r="AC21" s="75">
        <f t="shared" si="2"/>
        <v>35100</v>
      </c>
      <c r="AD21" s="78">
        <f t="shared" si="10"/>
        <v>8814</v>
      </c>
      <c r="AE21" s="72">
        <f t="shared" si="3"/>
        <v>43914</v>
      </c>
      <c r="AF21" s="75">
        <f t="shared" si="4"/>
        <v>7201.9574999999995</v>
      </c>
      <c r="AG21" s="78">
        <f t="shared" si="5"/>
        <v>1743.5193499999998</v>
      </c>
      <c r="AH21" s="72">
        <f t="shared" si="6"/>
        <v>8945.4768499999991</v>
      </c>
      <c r="AI21" s="75">
        <f t="shared" si="7"/>
        <v>4765.5</v>
      </c>
      <c r="AJ21" s="78">
        <f t="shared" si="8"/>
        <v>1196.67</v>
      </c>
      <c r="AK21" s="72">
        <f t="shared" si="9"/>
        <v>5962.17</v>
      </c>
    </row>
    <row r="22" spans="1:37" ht="15.95" customHeight="1">
      <c r="A22" s="25" t="s">
        <v>12</v>
      </c>
      <c r="B22" s="25" t="s">
        <v>13</v>
      </c>
      <c r="C22" s="26" t="s">
        <v>24</v>
      </c>
      <c r="D22" s="26" t="s">
        <v>15</v>
      </c>
      <c r="E22" s="26" t="s">
        <v>16</v>
      </c>
      <c r="F22" s="26" t="s">
        <v>38</v>
      </c>
      <c r="G22" s="26" t="s">
        <v>37</v>
      </c>
      <c r="H22" s="27" t="s">
        <v>384</v>
      </c>
      <c r="I22" s="26" t="s">
        <v>27</v>
      </c>
      <c r="J22" s="28" t="s">
        <v>28</v>
      </c>
      <c r="K22" s="123">
        <v>78</v>
      </c>
      <c r="L22" s="29">
        <f t="shared" si="0"/>
        <v>16.004349999999999</v>
      </c>
      <c r="M22" s="110">
        <v>10.59</v>
      </c>
      <c r="N22" s="30">
        <v>0.32</v>
      </c>
      <c r="O22" s="116">
        <v>3.3887999999999998</v>
      </c>
      <c r="P22" s="30">
        <v>7.4999999999999997E-2</v>
      </c>
      <c r="Q22" s="116">
        <v>0.79425000000000001</v>
      </c>
      <c r="R22" s="30">
        <v>7.0000000000000007E-2</v>
      </c>
      <c r="S22" s="116">
        <v>0.74130000000000007</v>
      </c>
      <c r="T22" s="117">
        <v>0.49</v>
      </c>
      <c r="U22" s="39">
        <v>400</v>
      </c>
      <c r="V22" s="32">
        <v>103</v>
      </c>
      <c r="W22" s="33"/>
      <c r="X22" s="32"/>
      <c r="Y22" s="32"/>
      <c r="Z22" s="32"/>
      <c r="AA22" s="34">
        <v>12</v>
      </c>
      <c r="AB22" s="35">
        <f t="shared" si="1"/>
        <v>515</v>
      </c>
      <c r="AC22" s="75">
        <f t="shared" si="2"/>
        <v>31200</v>
      </c>
      <c r="AD22" s="78">
        <f t="shared" si="10"/>
        <v>8970</v>
      </c>
      <c r="AE22" s="72">
        <f t="shared" si="3"/>
        <v>40170</v>
      </c>
      <c r="AF22" s="75">
        <f t="shared" si="4"/>
        <v>6401.74</v>
      </c>
      <c r="AG22" s="78">
        <f t="shared" si="5"/>
        <v>1775.5280499999999</v>
      </c>
      <c r="AH22" s="72">
        <f t="shared" si="6"/>
        <v>8177.2680499999997</v>
      </c>
      <c r="AI22" s="75">
        <f t="shared" si="7"/>
        <v>4236</v>
      </c>
      <c r="AJ22" s="78">
        <f t="shared" si="8"/>
        <v>1217.8499999999999</v>
      </c>
      <c r="AK22" s="72">
        <f t="shared" si="9"/>
        <v>5453.85</v>
      </c>
    </row>
    <row r="23" spans="1:37" ht="15.95" customHeight="1">
      <c r="A23" s="25" t="s">
        <v>12</v>
      </c>
      <c r="B23" s="25" t="s">
        <v>13</v>
      </c>
      <c r="C23" s="26" t="s">
        <v>24</v>
      </c>
      <c r="D23" s="26" t="s">
        <v>15</v>
      </c>
      <c r="E23" s="26" t="s">
        <v>16</v>
      </c>
      <c r="F23" s="26" t="s">
        <v>38</v>
      </c>
      <c r="G23" s="26" t="s">
        <v>37</v>
      </c>
      <c r="H23" s="27" t="s">
        <v>384</v>
      </c>
      <c r="I23" s="26" t="s">
        <v>27</v>
      </c>
      <c r="J23" s="28" t="s">
        <v>28</v>
      </c>
      <c r="K23" s="123">
        <v>78</v>
      </c>
      <c r="L23" s="29">
        <f t="shared" si="0"/>
        <v>16.004349999999999</v>
      </c>
      <c r="M23" s="110">
        <v>10.59</v>
      </c>
      <c r="N23" s="30">
        <v>0.32</v>
      </c>
      <c r="O23" s="116">
        <v>3.3887999999999998</v>
      </c>
      <c r="P23" s="30">
        <v>7.4999999999999997E-2</v>
      </c>
      <c r="Q23" s="116">
        <v>0.79425000000000001</v>
      </c>
      <c r="R23" s="30">
        <v>7.0000000000000007E-2</v>
      </c>
      <c r="S23" s="116">
        <v>0.74130000000000007</v>
      </c>
      <c r="T23" s="117">
        <v>0.49</v>
      </c>
      <c r="U23" s="39">
        <v>500</v>
      </c>
      <c r="V23" s="32">
        <v>96</v>
      </c>
      <c r="W23" s="33"/>
      <c r="X23" s="32"/>
      <c r="Y23" s="32"/>
      <c r="Z23" s="32"/>
      <c r="AA23" s="34"/>
      <c r="AB23" s="35">
        <f t="shared" si="1"/>
        <v>596</v>
      </c>
      <c r="AC23" s="75">
        <f t="shared" si="2"/>
        <v>39000</v>
      </c>
      <c r="AD23" s="78">
        <f t="shared" si="10"/>
        <v>7488</v>
      </c>
      <c r="AE23" s="72">
        <f t="shared" si="3"/>
        <v>46488</v>
      </c>
      <c r="AF23" s="75">
        <f t="shared" si="4"/>
        <v>8002.1749999999993</v>
      </c>
      <c r="AG23" s="78">
        <f t="shared" si="5"/>
        <v>1536.4175999999998</v>
      </c>
      <c r="AH23" s="72">
        <f t="shared" si="6"/>
        <v>9538.5925999999999</v>
      </c>
      <c r="AI23" s="75">
        <f t="shared" si="7"/>
        <v>5295</v>
      </c>
      <c r="AJ23" s="78">
        <f t="shared" si="8"/>
        <v>1016.64</v>
      </c>
      <c r="AK23" s="72">
        <f t="shared" si="9"/>
        <v>6311.64</v>
      </c>
    </row>
    <row r="24" spans="1:37" ht="15.95" customHeight="1">
      <c r="A24" s="25" t="s">
        <v>12</v>
      </c>
      <c r="B24" s="25" t="s">
        <v>13</v>
      </c>
      <c r="C24" s="26" t="s">
        <v>14</v>
      </c>
      <c r="D24" s="26" t="s">
        <v>15</v>
      </c>
      <c r="E24" s="26" t="s">
        <v>16</v>
      </c>
      <c r="F24" s="26" t="s">
        <v>39</v>
      </c>
      <c r="G24" s="26" t="s">
        <v>40</v>
      </c>
      <c r="H24" s="27" t="s">
        <v>387</v>
      </c>
      <c r="I24" s="26" t="s">
        <v>27</v>
      </c>
      <c r="J24" s="28" t="s">
        <v>41</v>
      </c>
      <c r="K24" s="123">
        <v>145</v>
      </c>
      <c r="L24" s="29">
        <f t="shared" si="0"/>
        <v>25.59093</v>
      </c>
      <c r="M24" s="110">
        <v>17.59</v>
      </c>
      <c r="N24" s="30">
        <v>0.28199999999999997</v>
      </c>
      <c r="O24" s="116">
        <v>4.9603799999999998</v>
      </c>
      <c r="P24" s="30">
        <v>7.4999999999999997E-2</v>
      </c>
      <c r="Q24" s="116">
        <v>1.31925</v>
      </c>
      <c r="R24" s="30">
        <v>7.0000000000000007E-2</v>
      </c>
      <c r="S24" s="116">
        <v>1.2313000000000001</v>
      </c>
      <c r="T24" s="117">
        <v>0.49</v>
      </c>
      <c r="U24" s="39">
        <v>550</v>
      </c>
      <c r="V24" s="32">
        <v>159</v>
      </c>
      <c r="W24" s="33"/>
      <c r="X24" s="32"/>
      <c r="Y24" s="32"/>
      <c r="Z24" s="32"/>
      <c r="AA24" s="34">
        <v>6</v>
      </c>
      <c r="AB24" s="35">
        <f t="shared" si="1"/>
        <v>715</v>
      </c>
      <c r="AC24" s="75">
        <f t="shared" si="2"/>
        <v>79750</v>
      </c>
      <c r="AD24" s="78">
        <f t="shared" si="10"/>
        <v>23925</v>
      </c>
      <c r="AE24" s="72">
        <f t="shared" si="3"/>
        <v>103675</v>
      </c>
      <c r="AF24" s="75">
        <f t="shared" si="4"/>
        <v>14075.011500000001</v>
      </c>
      <c r="AG24" s="78">
        <f t="shared" si="5"/>
        <v>4174.4978700000001</v>
      </c>
      <c r="AH24" s="72">
        <f t="shared" si="6"/>
        <v>18249.50937</v>
      </c>
      <c r="AI24" s="75">
        <f t="shared" si="7"/>
        <v>9674.5</v>
      </c>
      <c r="AJ24" s="78">
        <f t="shared" si="8"/>
        <v>2902.35</v>
      </c>
      <c r="AK24" s="72">
        <f t="shared" si="9"/>
        <v>12576.85</v>
      </c>
    </row>
    <row r="25" spans="1:37" ht="15.95" customHeight="1">
      <c r="A25" s="25" t="s">
        <v>12</v>
      </c>
      <c r="B25" s="25" t="s">
        <v>13</v>
      </c>
      <c r="C25" s="26" t="s">
        <v>21</v>
      </c>
      <c r="D25" s="26" t="s">
        <v>15</v>
      </c>
      <c r="E25" s="26" t="s">
        <v>16</v>
      </c>
      <c r="F25" s="26" t="s">
        <v>42</v>
      </c>
      <c r="G25" s="26" t="s">
        <v>40</v>
      </c>
      <c r="H25" s="27" t="s">
        <v>386</v>
      </c>
      <c r="I25" s="26" t="s">
        <v>27</v>
      </c>
      <c r="J25" s="28" t="s">
        <v>43</v>
      </c>
      <c r="K25" s="123">
        <v>125</v>
      </c>
      <c r="L25" s="29">
        <f t="shared" si="0"/>
        <v>22.451530000000002</v>
      </c>
      <c r="M25" s="110">
        <v>15.39</v>
      </c>
      <c r="N25" s="30">
        <v>0.28199999999999997</v>
      </c>
      <c r="O25" s="116">
        <v>4.3399799999999997</v>
      </c>
      <c r="P25" s="30">
        <v>7.4999999999999997E-2</v>
      </c>
      <c r="Q25" s="116">
        <v>1.15425</v>
      </c>
      <c r="R25" s="30">
        <v>7.0000000000000007E-2</v>
      </c>
      <c r="S25" s="116">
        <v>1.0773000000000001</v>
      </c>
      <c r="T25" s="117">
        <v>0.49</v>
      </c>
      <c r="U25" s="39">
        <v>450</v>
      </c>
      <c r="V25" s="32">
        <v>160</v>
      </c>
      <c r="W25" s="33"/>
      <c r="X25" s="32"/>
      <c r="Y25" s="32"/>
      <c r="Z25" s="32"/>
      <c r="AA25" s="34">
        <v>6</v>
      </c>
      <c r="AB25" s="35">
        <f t="shared" si="1"/>
        <v>616</v>
      </c>
      <c r="AC25" s="75">
        <f t="shared" si="2"/>
        <v>56250</v>
      </c>
      <c r="AD25" s="78">
        <f t="shared" si="10"/>
        <v>20750</v>
      </c>
      <c r="AE25" s="72">
        <f t="shared" si="3"/>
        <v>77000</v>
      </c>
      <c r="AF25" s="75">
        <f t="shared" si="4"/>
        <v>10103.1885</v>
      </c>
      <c r="AG25" s="78">
        <f t="shared" si="5"/>
        <v>3684.5848000000005</v>
      </c>
      <c r="AH25" s="72">
        <f t="shared" si="6"/>
        <v>13787.773300000001</v>
      </c>
      <c r="AI25" s="75">
        <f t="shared" si="7"/>
        <v>6925.5</v>
      </c>
      <c r="AJ25" s="78">
        <f t="shared" si="8"/>
        <v>2554.7400000000002</v>
      </c>
      <c r="AK25" s="72">
        <f t="shared" si="9"/>
        <v>9480.24</v>
      </c>
    </row>
    <row r="26" spans="1:37" ht="15.95" customHeight="1">
      <c r="A26" s="25" t="s">
        <v>12</v>
      </c>
      <c r="B26" s="25" t="s">
        <v>13</v>
      </c>
      <c r="C26" s="26" t="s">
        <v>14</v>
      </c>
      <c r="D26" s="26" t="s">
        <v>15</v>
      </c>
      <c r="E26" s="26" t="s">
        <v>16</v>
      </c>
      <c r="F26" s="26" t="s">
        <v>39</v>
      </c>
      <c r="G26" s="26" t="s">
        <v>40</v>
      </c>
      <c r="H26" s="27" t="s">
        <v>386</v>
      </c>
      <c r="I26" s="26" t="s">
        <v>27</v>
      </c>
      <c r="J26" s="28" t="s">
        <v>41</v>
      </c>
      <c r="K26" s="123">
        <v>145</v>
      </c>
      <c r="L26" s="29">
        <f t="shared" si="0"/>
        <v>25.59093</v>
      </c>
      <c r="M26" s="110">
        <v>17.59</v>
      </c>
      <c r="N26" s="30">
        <v>0.28199999999999997</v>
      </c>
      <c r="O26" s="116">
        <v>4.9603799999999998</v>
      </c>
      <c r="P26" s="30">
        <v>7.4999999999999997E-2</v>
      </c>
      <c r="Q26" s="116">
        <v>1.31925</v>
      </c>
      <c r="R26" s="30">
        <v>7.0000000000000007E-2</v>
      </c>
      <c r="S26" s="116">
        <v>1.2313000000000001</v>
      </c>
      <c r="T26" s="117">
        <v>0.49</v>
      </c>
      <c r="U26" s="39">
        <v>450</v>
      </c>
      <c r="V26" s="32">
        <v>23</v>
      </c>
      <c r="W26" s="33">
        <v>27</v>
      </c>
      <c r="X26" s="32"/>
      <c r="Y26" s="32"/>
      <c r="Z26" s="32"/>
      <c r="AA26" s="34"/>
      <c r="AB26" s="35">
        <f t="shared" si="1"/>
        <v>500</v>
      </c>
      <c r="AC26" s="75">
        <f t="shared" si="2"/>
        <v>65250</v>
      </c>
      <c r="AD26" s="78">
        <f t="shared" si="10"/>
        <v>7250</v>
      </c>
      <c r="AE26" s="72">
        <f t="shared" si="3"/>
        <v>72500</v>
      </c>
      <c r="AF26" s="75">
        <f t="shared" si="4"/>
        <v>11515.9185</v>
      </c>
      <c r="AG26" s="78">
        <f t="shared" si="5"/>
        <v>1279.5464999999999</v>
      </c>
      <c r="AH26" s="72">
        <f t="shared" si="6"/>
        <v>12795.465</v>
      </c>
      <c r="AI26" s="75">
        <f t="shared" si="7"/>
        <v>7915.5</v>
      </c>
      <c r="AJ26" s="78">
        <f t="shared" si="8"/>
        <v>879.5</v>
      </c>
      <c r="AK26" s="72">
        <f t="shared" si="9"/>
        <v>8795</v>
      </c>
    </row>
    <row r="27" spans="1:37" ht="15.95" customHeight="1">
      <c r="A27" s="25" t="s">
        <v>12</v>
      </c>
      <c r="B27" s="25" t="s">
        <v>13</v>
      </c>
      <c r="C27" s="26" t="s">
        <v>21</v>
      </c>
      <c r="D27" s="26" t="s">
        <v>15</v>
      </c>
      <c r="E27" s="26" t="s">
        <v>16</v>
      </c>
      <c r="F27" s="26" t="s">
        <v>42</v>
      </c>
      <c r="G27" s="26" t="s">
        <v>40</v>
      </c>
      <c r="H27" s="27" t="s">
        <v>386</v>
      </c>
      <c r="I27" s="26" t="s">
        <v>27</v>
      </c>
      <c r="J27" s="28" t="s">
        <v>43</v>
      </c>
      <c r="K27" s="123">
        <v>125</v>
      </c>
      <c r="L27" s="29">
        <f t="shared" si="0"/>
        <v>22.451530000000002</v>
      </c>
      <c r="M27" s="110">
        <v>15.39</v>
      </c>
      <c r="N27" s="30">
        <v>0.28199999999999997</v>
      </c>
      <c r="O27" s="116">
        <v>4.3399799999999997</v>
      </c>
      <c r="P27" s="30">
        <v>7.4999999999999997E-2</v>
      </c>
      <c r="Q27" s="116">
        <v>1.15425</v>
      </c>
      <c r="R27" s="30">
        <v>7.0000000000000007E-2</v>
      </c>
      <c r="S27" s="116">
        <v>1.0773000000000001</v>
      </c>
      <c r="T27" s="117">
        <v>0.49</v>
      </c>
      <c r="U27" s="39">
        <v>400</v>
      </c>
      <c r="V27" s="32">
        <v>23</v>
      </c>
      <c r="W27" s="33">
        <v>77</v>
      </c>
      <c r="X27" s="32"/>
      <c r="Y27" s="32"/>
      <c r="Z27" s="32"/>
      <c r="AA27" s="34"/>
      <c r="AB27" s="35">
        <f t="shared" si="1"/>
        <v>500</v>
      </c>
      <c r="AC27" s="75">
        <f t="shared" si="2"/>
        <v>50000</v>
      </c>
      <c r="AD27" s="78">
        <f t="shared" si="10"/>
        <v>12500</v>
      </c>
      <c r="AE27" s="72">
        <f t="shared" si="3"/>
        <v>62500</v>
      </c>
      <c r="AF27" s="75">
        <f t="shared" si="4"/>
        <v>8980.612000000001</v>
      </c>
      <c r="AG27" s="78">
        <f t="shared" si="5"/>
        <v>2245.1530000000002</v>
      </c>
      <c r="AH27" s="72">
        <f t="shared" si="6"/>
        <v>11225.765000000001</v>
      </c>
      <c r="AI27" s="75">
        <f t="shared" si="7"/>
        <v>6156</v>
      </c>
      <c r="AJ27" s="78">
        <f t="shared" si="8"/>
        <v>1539</v>
      </c>
      <c r="AK27" s="72">
        <f t="shared" si="9"/>
        <v>7695</v>
      </c>
    </row>
    <row r="28" spans="1:37" ht="15.95" customHeight="1">
      <c r="A28" s="25" t="s">
        <v>12</v>
      </c>
      <c r="B28" s="25" t="s">
        <v>13</v>
      </c>
      <c r="C28" s="26" t="s">
        <v>44</v>
      </c>
      <c r="D28" s="26" t="s">
        <v>15</v>
      </c>
      <c r="E28" s="26" t="s">
        <v>16</v>
      </c>
      <c r="F28" s="26" t="s">
        <v>45</v>
      </c>
      <c r="G28" s="36" t="s">
        <v>26</v>
      </c>
      <c r="H28" s="27" t="s">
        <v>381</v>
      </c>
      <c r="I28" s="26" t="s">
        <v>27</v>
      </c>
      <c r="J28" s="28" t="s">
        <v>46</v>
      </c>
      <c r="K28" s="123">
        <v>78</v>
      </c>
      <c r="L28" s="29">
        <f t="shared" si="0"/>
        <v>15.56485</v>
      </c>
      <c r="M28" s="110">
        <v>10.29</v>
      </c>
      <c r="N28" s="30">
        <v>0.32</v>
      </c>
      <c r="O28" s="116">
        <v>3.2927999999999997</v>
      </c>
      <c r="P28" s="30">
        <v>7.4999999999999997E-2</v>
      </c>
      <c r="Q28" s="116">
        <v>0.77174999999999994</v>
      </c>
      <c r="R28" s="30">
        <v>7.0000000000000007E-2</v>
      </c>
      <c r="S28" s="116">
        <v>0.72030000000000005</v>
      </c>
      <c r="T28" s="117">
        <v>0.49</v>
      </c>
      <c r="U28" s="39">
        <v>450</v>
      </c>
      <c r="V28" s="32">
        <v>165</v>
      </c>
      <c r="W28" s="33"/>
      <c r="X28" s="32"/>
      <c r="Y28" s="32"/>
      <c r="Z28" s="32"/>
      <c r="AA28" s="34"/>
      <c r="AB28" s="35">
        <f t="shared" si="1"/>
        <v>615</v>
      </c>
      <c r="AC28" s="75">
        <f t="shared" si="2"/>
        <v>35100</v>
      </c>
      <c r="AD28" s="78">
        <f t="shared" si="10"/>
        <v>12870</v>
      </c>
      <c r="AE28" s="72">
        <f t="shared" si="3"/>
        <v>47970</v>
      </c>
      <c r="AF28" s="75">
        <f t="shared" si="4"/>
        <v>7004.1824999999999</v>
      </c>
      <c r="AG28" s="78">
        <f t="shared" si="5"/>
        <v>2568.2002499999999</v>
      </c>
      <c r="AH28" s="72">
        <f t="shared" si="6"/>
        <v>9572.3827500000007</v>
      </c>
      <c r="AI28" s="75">
        <f t="shared" si="7"/>
        <v>4630.5</v>
      </c>
      <c r="AJ28" s="78">
        <f t="shared" si="8"/>
        <v>1697.85</v>
      </c>
      <c r="AK28" s="72">
        <f t="shared" si="9"/>
        <v>6328.35</v>
      </c>
    </row>
    <row r="29" spans="1:37" ht="15.95" customHeight="1">
      <c r="A29" s="25" t="s">
        <v>12</v>
      </c>
      <c r="B29" s="25" t="s">
        <v>13</v>
      </c>
      <c r="C29" s="26" t="s">
        <v>44</v>
      </c>
      <c r="D29" s="26" t="s">
        <v>15</v>
      </c>
      <c r="E29" s="26" t="s">
        <v>16</v>
      </c>
      <c r="F29" s="26" t="s">
        <v>45</v>
      </c>
      <c r="G29" s="36" t="s">
        <v>26</v>
      </c>
      <c r="H29" s="27" t="s">
        <v>380</v>
      </c>
      <c r="I29" s="26" t="s">
        <v>27</v>
      </c>
      <c r="J29" s="28" t="s">
        <v>46</v>
      </c>
      <c r="K29" s="123">
        <v>78</v>
      </c>
      <c r="L29" s="29">
        <f t="shared" si="0"/>
        <v>15.56485</v>
      </c>
      <c r="M29" s="110">
        <v>10.29</v>
      </c>
      <c r="N29" s="30">
        <v>0.32</v>
      </c>
      <c r="O29" s="116">
        <v>3.2927999999999997</v>
      </c>
      <c r="P29" s="30">
        <v>7.4999999999999997E-2</v>
      </c>
      <c r="Q29" s="116">
        <v>0.77174999999999994</v>
      </c>
      <c r="R29" s="30">
        <v>7.0000000000000007E-2</v>
      </c>
      <c r="S29" s="116">
        <v>0.72030000000000005</v>
      </c>
      <c r="T29" s="117">
        <v>0.49</v>
      </c>
      <c r="U29" s="39">
        <v>350</v>
      </c>
      <c r="V29" s="32">
        <v>39</v>
      </c>
      <c r="W29" s="33">
        <v>111</v>
      </c>
      <c r="X29" s="32"/>
      <c r="Y29" s="32"/>
      <c r="Z29" s="32"/>
      <c r="AA29" s="34"/>
      <c r="AB29" s="35">
        <f t="shared" si="1"/>
        <v>500</v>
      </c>
      <c r="AC29" s="75">
        <f t="shared" si="2"/>
        <v>27300</v>
      </c>
      <c r="AD29" s="78">
        <f t="shared" si="10"/>
        <v>11700</v>
      </c>
      <c r="AE29" s="72">
        <f t="shared" si="3"/>
        <v>39000</v>
      </c>
      <c r="AF29" s="75">
        <f t="shared" si="4"/>
        <v>5447.6975000000002</v>
      </c>
      <c r="AG29" s="78">
        <f t="shared" si="5"/>
        <v>2334.7275</v>
      </c>
      <c r="AH29" s="72">
        <f t="shared" si="6"/>
        <v>7782.4250000000002</v>
      </c>
      <c r="AI29" s="75">
        <f t="shared" si="7"/>
        <v>3601.4999999999995</v>
      </c>
      <c r="AJ29" s="78">
        <f t="shared" si="8"/>
        <v>1543.4999999999998</v>
      </c>
      <c r="AK29" s="72">
        <f t="shared" si="9"/>
        <v>5144.9999999999991</v>
      </c>
    </row>
    <row r="30" spans="1:37" ht="15.95" customHeight="1">
      <c r="A30" s="25" t="s">
        <v>12</v>
      </c>
      <c r="B30" s="25" t="s">
        <v>13</v>
      </c>
      <c r="C30" s="26" t="s">
        <v>29</v>
      </c>
      <c r="D30" s="26" t="s">
        <v>15</v>
      </c>
      <c r="E30" s="26" t="s">
        <v>16</v>
      </c>
      <c r="F30" s="26" t="s">
        <v>47</v>
      </c>
      <c r="G30" s="26" t="s">
        <v>40</v>
      </c>
      <c r="H30" s="27" t="s">
        <v>387</v>
      </c>
      <c r="I30" s="26" t="s">
        <v>27</v>
      </c>
      <c r="J30" s="28" t="s">
        <v>35</v>
      </c>
      <c r="K30" s="123">
        <v>78</v>
      </c>
      <c r="L30" s="29">
        <f t="shared" si="0"/>
        <v>16.315429999999999</v>
      </c>
      <c r="M30" s="110">
        <v>11.09</v>
      </c>
      <c r="N30" s="30">
        <v>0.28199999999999997</v>
      </c>
      <c r="O30" s="116">
        <v>3.1273799999999996</v>
      </c>
      <c r="P30" s="30">
        <v>7.4999999999999997E-2</v>
      </c>
      <c r="Q30" s="116">
        <v>0.83174999999999999</v>
      </c>
      <c r="R30" s="30">
        <v>7.0000000000000007E-2</v>
      </c>
      <c r="S30" s="116">
        <v>0.7763000000000001</v>
      </c>
      <c r="T30" s="117">
        <v>0.49</v>
      </c>
      <c r="U30" s="39">
        <v>400</v>
      </c>
      <c r="V30" s="32">
        <v>163</v>
      </c>
      <c r="W30" s="33"/>
      <c r="X30" s="32"/>
      <c r="Y30" s="32"/>
      <c r="Z30" s="32"/>
      <c r="AA30" s="34"/>
      <c r="AB30" s="35">
        <f t="shared" si="1"/>
        <v>563</v>
      </c>
      <c r="AC30" s="75">
        <f t="shared" si="2"/>
        <v>31200</v>
      </c>
      <c r="AD30" s="78">
        <f t="shared" si="10"/>
        <v>12714</v>
      </c>
      <c r="AE30" s="72">
        <f t="shared" si="3"/>
        <v>43914</v>
      </c>
      <c r="AF30" s="75">
        <f t="shared" si="4"/>
        <v>6526.1719999999996</v>
      </c>
      <c r="AG30" s="78">
        <f t="shared" si="5"/>
        <v>2659.41509</v>
      </c>
      <c r="AH30" s="72">
        <f t="shared" si="6"/>
        <v>9185.5870899999991</v>
      </c>
      <c r="AI30" s="75">
        <f t="shared" si="7"/>
        <v>4436</v>
      </c>
      <c r="AJ30" s="78">
        <f t="shared" si="8"/>
        <v>1807.67</v>
      </c>
      <c r="AK30" s="72">
        <f t="shared" si="9"/>
        <v>6243.67</v>
      </c>
    </row>
    <row r="31" spans="1:37" ht="15.95" customHeight="1">
      <c r="A31" s="25" t="s">
        <v>12</v>
      </c>
      <c r="B31" s="25" t="s">
        <v>13</v>
      </c>
      <c r="C31" s="26" t="s">
        <v>29</v>
      </c>
      <c r="D31" s="26" t="s">
        <v>15</v>
      </c>
      <c r="E31" s="26" t="s">
        <v>16</v>
      </c>
      <c r="F31" s="26" t="s">
        <v>47</v>
      </c>
      <c r="G31" s="26" t="s">
        <v>40</v>
      </c>
      <c r="H31" s="27" t="s">
        <v>386</v>
      </c>
      <c r="I31" s="26" t="s">
        <v>27</v>
      </c>
      <c r="J31" s="28" t="s">
        <v>35</v>
      </c>
      <c r="K31" s="123">
        <v>78</v>
      </c>
      <c r="L31" s="29">
        <f t="shared" si="0"/>
        <v>16.315429999999999</v>
      </c>
      <c r="M31" s="110">
        <v>11.09</v>
      </c>
      <c r="N31" s="30">
        <v>0.28199999999999997</v>
      </c>
      <c r="O31" s="116">
        <v>3.1273799999999996</v>
      </c>
      <c r="P31" s="30">
        <v>7.4999999999999997E-2</v>
      </c>
      <c r="Q31" s="116">
        <v>0.83174999999999999</v>
      </c>
      <c r="R31" s="30">
        <v>7.0000000000000007E-2</v>
      </c>
      <c r="S31" s="116">
        <v>0.7763000000000001</v>
      </c>
      <c r="T31" s="117">
        <v>0.49</v>
      </c>
      <c r="U31" s="39">
        <v>300</v>
      </c>
      <c r="V31" s="32">
        <v>33</v>
      </c>
      <c r="W31" s="33">
        <v>167</v>
      </c>
      <c r="X31" s="32"/>
      <c r="Y31" s="32"/>
      <c r="Z31" s="32"/>
      <c r="AA31" s="34"/>
      <c r="AB31" s="35">
        <f t="shared" si="1"/>
        <v>500</v>
      </c>
      <c r="AC31" s="75">
        <f t="shared" si="2"/>
        <v>23400</v>
      </c>
      <c r="AD31" s="78">
        <f t="shared" si="10"/>
        <v>15600</v>
      </c>
      <c r="AE31" s="72">
        <f t="shared" si="3"/>
        <v>39000</v>
      </c>
      <c r="AF31" s="75">
        <f t="shared" si="4"/>
        <v>4894.6289999999999</v>
      </c>
      <c r="AG31" s="78">
        <f t="shared" si="5"/>
        <v>3263.0859999999998</v>
      </c>
      <c r="AH31" s="72">
        <f t="shared" si="6"/>
        <v>8157.7150000000001</v>
      </c>
      <c r="AI31" s="75">
        <f t="shared" si="7"/>
        <v>3327</v>
      </c>
      <c r="AJ31" s="78">
        <f t="shared" si="8"/>
        <v>2218</v>
      </c>
      <c r="AK31" s="72">
        <f t="shared" si="9"/>
        <v>5545</v>
      </c>
    </row>
    <row r="32" spans="1:37" ht="15.95" customHeight="1">
      <c r="A32" s="25" t="s">
        <v>12</v>
      </c>
      <c r="B32" s="25" t="s">
        <v>13</v>
      </c>
      <c r="C32" s="26" t="s">
        <v>48</v>
      </c>
      <c r="D32" s="26" t="s">
        <v>15</v>
      </c>
      <c r="E32" s="26" t="s">
        <v>16</v>
      </c>
      <c r="F32" s="26" t="s">
        <v>49</v>
      </c>
      <c r="G32" s="26" t="s">
        <v>40</v>
      </c>
      <c r="H32" s="27" t="s">
        <v>386</v>
      </c>
      <c r="I32" s="26" t="s">
        <v>27</v>
      </c>
      <c r="J32" s="28" t="s">
        <v>28</v>
      </c>
      <c r="K32" s="123">
        <v>110</v>
      </c>
      <c r="L32" s="29">
        <f t="shared" si="0"/>
        <v>19.959849999999996</v>
      </c>
      <c r="M32" s="110">
        <v>13.29</v>
      </c>
      <c r="N32" s="30">
        <v>0.32</v>
      </c>
      <c r="O32" s="116">
        <v>4.2527999999999997</v>
      </c>
      <c r="P32" s="30">
        <v>7.4999999999999997E-2</v>
      </c>
      <c r="Q32" s="116">
        <v>0.99674999999999991</v>
      </c>
      <c r="R32" s="30">
        <v>7.0000000000000007E-2</v>
      </c>
      <c r="S32" s="116">
        <v>0.93030000000000002</v>
      </c>
      <c r="T32" s="117">
        <v>0.49</v>
      </c>
      <c r="U32" s="39">
        <v>600</v>
      </c>
      <c r="V32" s="32">
        <v>122</v>
      </c>
      <c r="W32" s="33"/>
      <c r="X32" s="32"/>
      <c r="Y32" s="32"/>
      <c r="Z32" s="32"/>
      <c r="AA32" s="34">
        <v>18</v>
      </c>
      <c r="AB32" s="35">
        <f t="shared" si="1"/>
        <v>740</v>
      </c>
      <c r="AC32" s="75">
        <f t="shared" si="2"/>
        <v>66000</v>
      </c>
      <c r="AD32" s="78">
        <f t="shared" si="10"/>
        <v>15400</v>
      </c>
      <c r="AE32" s="72">
        <f t="shared" si="3"/>
        <v>81400</v>
      </c>
      <c r="AF32" s="75">
        <f t="shared" si="4"/>
        <v>11975.909999999998</v>
      </c>
      <c r="AG32" s="78">
        <f t="shared" si="5"/>
        <v>2674.3216999999995</v>
      </c>
      <c r="AH32" s="72">
        <f t="shared" si="6"/>
        <v>14650.231699999997</v>
      </c>
      <c r="AI32" s="75">
        <f t="shared" si="7"/>
        <v>7973.9999999999991</v>
      </c>
      <c r="AJ32" s="78">
        <f t="shared" si="8"/>
        <v>1860.6</v>
      </c>
      <c r="AK32" s="72">
        <f t="shared" si="9"/>
        <v>9834.5999999999985</v>
      </c>
    </row>
    <row r="33" spans="1:37" ht="15.95" customHeight="1">
      <c r="A33" s="25" t="s">
        <v>12</v>
      </c>
      <c r="B33" s="25" t="s">
        <v>13</v>
      </c>
      <c r="C33" s="26" t="s">
        <v>50</v>
      </c>
      <c r="D33" s="26" t="s">
        <v>15</v>
      </c>
      <c r="E33" s="26" t="s">
        <v>16</v>
      </c>
      <c r="F33" s="26" t="s">
        <v>51</v>
      </c>
      <c r="G33" s="26" t="s">
        <v>52</v>
      </c>
      <c r="H33" s="27" t="s">
        <v>389</v>
      </c>
      <c r="I33" s="26" t="s">
        <v>27</v>
      </c>
      <c r="J33" s="37" t="s">
        <v>53</v>
      </c>
      <c r="K33" s="123">
        <v>125</v>
      </c>
      <c r="L33" s="29">
        <f t="shared" si="0"/>
        <v>24.592030000000001</v>
      </c>
      <c r="M33" s="110">
        <v>16.89</v>
      </c>
      <c r="N33" s="30">
        <v>0.28199999999999997</v>
      </c>
      <c r="O33" s="116">
        <v>4.7629799999999998</v>
      </c>
      <c r="P33" s="30">
        <v>7.4999999999999997E-2</v>
      </c>
      <c r="Q33" s="116">
        <v>1.26675</v>
      </c>
      <c r="R33" s="30">
        <v>7.0000000000000007E-2</v>
      </c>
      <c r="S33" s="116">
        <v>1.1823000000000001</v>
      </c>
      <c r="T33" s="117">
        <v>0.49</v>
      </c>
      <c r="U33" s="39">
        <v>600</v>
      </c>
      <c r="V33" s="32">
        <v>124</v>
      </c>
      <c r="W33" s="33"/>
      <c r="X33" s="32"/>
      <c r="Y33" s="32"/>
      <c r="Z33" s="32"/>
      <c r="AA33" s="34">
        <v>6</v>
      </c>
      <c r="AB33" s="35">
        <f t="shared" si="1"/>
        <v>730</v>
      </c>
      <c r="AC33" s="75">
        <f t="shared" si="2"/>
        <v>75000</v>
      </c>
      <c r="AD33" s="78">
        <f t="shared" si="10"/>
        <v>16250</v>
      </c>
      <c r="AE33" s="72">
        <f t="shared" si="3"/>
        <v>91250</v>
      </c>
      <c r="AF33" s="75">
        <f t="shared" si="4"/>
        <v>14755.218000000001</v>
      </c>
      <c r="AG33" s="78">
        <f t="shared" si="5"/>
        <v>3150.7517200000002</v>
      </c>
      <c r="AH33" s="72">
        <f t="shared" si="6"/>
        <v>17905.969720000001</v>
      </c>
      <c r="AI33" s="75">
        <f t="shared" si="7"/>
        <v>10134</v>
      </c>
      <c r="AJ33" s="78">
        <f t="shared" si="8"/>
        <v>2195.7000000000003</v>
      </c>
      <c r="AK33" s="72">
        <f t="shared" si="9"/>
        <v>12329.7</v>
      </c>
    </row>
    <row r="34" spans="1:37" ht="15.95" customHeight="1">
      <c r="A34" s="25" t="s">
        <v>12</v>
      </c>
      <c r="B34" s="25" t="s">
        <v>13</v>
      </c>
      <c r="C34" s="26" t="s">
        <v>21</v>
      </c>
      <c r="D34" s="26" t="s">
        <v>15</v>
      </c>
      <c r="E34" s="26" t="s">
        <v>16</v>
      </c>
      <c r="F34" s="26" t="s">
        <v>54</v>
      </c>
      <c r="G34" s="26" t="s">
        <v>52</v>
      </c>
      <c r="H34" s="27" t="s">
        <v>388</v>
      </c>
      <c r="I34" s="26" t="s">
        <v>27</v>
      </c>
      <c r="J34" s="28" t="s">
        <v>43</v>
      </c>
      <c r="K34" s="123">
        <v>110</v>
      </c>
      <c r="L34" s="29">
        <f t="shared" si="0"/>
        <v>22.023429999999998</v>
      </c>
      <c r="M34" s="110">
        <v>15.09</v>
      </c>
      <c r="N34" s="30">
        <v>0.28199999999999997</v>
      </c>
      <c r="O34" s="116">
        <v>4.2553799999999997</v>
      </c>
      <c r="P34" s="30">
        <v>7.4999999999999997E-2</v>
      </c>
      <c r="Q34" s="116">
        <v>1.13175</v>
      </c>
      <c r="R34" s="30">
        <v>7.0000000000000007E-2</v>
      </c>
      <c r="S34" s="116">
        <v>1.0563</v>
      </c>
      <c r="T34" s="117">
        <v>0.49</v>
      </c>
      <c r="U34" s="39">
        <v>500</v>
      </c>
      <c r="V34" s="32">
        <v>124</v>
      </c>
      <c r="W34" s="33"/>
      <c r="X34" s="32"/>
      <c r="Y34" s="32"/>
      <c r="Z34" s="32"/>
      <c r="AA34" s="34">
        <v>6</v>
      </c>
      <c r="AB34" s="35">
        <f t="shared" si="1"/>
        <v>630</v>
      </c>
      <c r="AC34" s="75">
        <f t="shared" si="2"/>
        <v>55000</v>
      </c>
      <c r="AD34" s="78">
        <f t="shared" si="10"/>
        <v>14300</v>
      </c>
      <c r="AE34" s="72">
        <f t="shared" si="3"/>
        <v>69300</v>
      </c>
      <c r="AF34" s="75">
        <f t="shared" si="4"/>
        <v>11011.714999999998</v>
      </c>
      <c r="AG34" s="78">
        <f t="shared" si="5"/>
        <v>2821.4453199999998</v>
      </c>
      <c r="AH34" s="72">
        <f t="shared" si="6"/>
        <v>13833.160319999999</v>
      </c>
      <c r="AI34" s="75">
        <f t="shared" si="7"/>
        <v>7545</v>
      </c>
      <c r="AJ34" s="78">
        <f t="shared" si="8"/>
        <v>1961.7</v>
      </c>
      <c r="AK34" s="72">
        <f t="shared" si="9"/>
        <v>9506.7000000000007</v>
      </c>
    </row>
    <row r="35" spans="1:37" ht="15.95" customHeight="1">
      <c r="A35" s="25" t="s">
        <v>12</v>
      </c>
      <c r="B35" s="25" t="s">
        <v>13</v>
      </c>
      <c r="C35" s="26" t="s">
        <v>50</v>
      </c>
      <c r="D35" s="26" t="s">
        <v>15</v>
      </c>
      <c r="E35" s="26" t="s">
        <v>16</v>
      </c>
      <c r="F35" s="26" t="s">
        <v>51</v>
      </c>
      <c r="G35" s="26" t="s">
        <v>52</v>
      </c>
      <c r="H35" s="27" t="s">
        <v>388</v>
      </c>
      <c r="I35" s="26" t="s">
        <v>27</v>
      </c>
      <c r="J35" s="37" t="s">
        <v>53</v>
      </c>
      <c r="K35" s="123">
        <v>125</v>
      </c>
      <c r="L35" s="29">
        <f t="shared" si="0"/>
        <v>24.592030000000001</v>
      </c>
      <c r="M35" s="110">
        <v>16.89</v>
      </c>
      <c r="N35" s="30">
        <v>0.28199999999999997</v>
      </c>
      <c r="O35" s="116">
        <v>4.7629799999999998</v>
      </c>
      <c r="P35" s="30">
        <v>7.4999999999999997E-2</v>
      </c>
      <c r="Q35" s="116">
        <v>1.26675</v>
      </c>
      <c r="R35" s="30">
        <v>7.0000000000000007E-2</v>
      </c>
      <c r="S35" s="116">
        <v>1.1823000000000001</v>
      </c>
      <c r="T35" s="117">
        <v>0.49</v>
      </c>
      <c r="U35" s="39">
        <v>700</v>
      </c>
      <c r="V35" s="32">
        <v>159</v>
      </c>
      <c r="W35" s="33"/>
      <c r="X35" s="32"/>
      <c r="Y35" s="32"/>
      <c r="Z35" s="32"/>
      <c r="AA35" s="34"/>
      <c r="AB35" s="35">
        <f t="shared" si="1"/>
        <v>859</v>
      </c>
      <c r="AC35" s="75">
        <f t="shared" si="2"/>
        <v>87500</v>
      </c>
      <c r="AD35" s="78">
        <f t="shared" si="10"/>
        <v>19875</v>
      </c>
      <c r="AE35" s="72">
        <f t="shared" si="3"/>
        <v>107375</v>
      </c>
      <c r="AF35" s="75">
        <f t="shared" si="4"/>
        <v>17214.421000000002</v>
      </c>
      <c r="AG35" s="78">
        <f t="shared" si="5"/>
        <v>3910.1327700000002</v>
      </c>
      <c r="AH35" s="72">
        <f t="shared" si="6"/>
        <v>21124.553770000002</v>
      </c>
      <c r="AI35" s="75">
        <f t="shared" si="7"/>
        <v>11823</v>
      </c>
      <c r="AJ35" s="78">
        <f t="shared" si="8"/>
        <v>2685.51</v>
      </c>
      <c r="AK35" s="72">
        <f t="shared" si="9"/>
        <v>14508.51</v>
      </c>
    </row>
    <row r="36" spans="1:37" ht="15.95" customHeight="1">
      <c r="A36" s="25" t="s">
        <v>12</v>
      </c>
      <c r="B36" s="25" t="s">
        <v>13</v>
      </c>
      <c r="C36" s="26" t="s">
        <v>21</v>
      </c>
      <c r="D36" s="26" t="s">
        <v>15</v>
      </c>
      <c r="E36" s="26" t="s">
        <v>16</v>
      </c>
      <c r="F36" s="26" t="s">
        <v>54</v>
      </c>
      <c r="G36" s="26" t="s">
        <v>52</v>
      </c>
      <c r="H36" s="27" t="s">
        <v>388</v>
      </c>
      <c r="I36" s="26" t="s">
        <v>27</v>
      </c>
      <c r="J36" s="28" t="s">
        <v>43</v>
      </c>
      <c r="K36" s="123">
        <v>110</v>
      </c>
      <c r="L36" s="29">
        <f t="shared" si="0"/>
        <v>22.023429999999998</v>
      </c>
      <c r="M36" s="110">
        <v>15.09</v>
      </c>
      <c r="N36" s="30">
        <v>0.28199999999999997</v>
      </c>
      <c r="O36" s="116">
        <v>4.2553799999999997</v>
      </c>
      <c r="P36" s="30">
        <v>7.4999999999999997E-2</v>
      </c>
      <c r="Q36" s="116">
        <v>1.13175</v>
      </c>
      <c r="R36" s="30">
        <v>7.0000000000000007E-2</v>
      </c>
      <c r="S36" s="116">
        <v>1.0563</v>
      </c>
      <c r="T36" s="117">
        <v>0.49</v>
      </c>
      <c r="U36" s="39">
        <v>600</v>
      </c>
      <c r="V36" s="32">
        <v>160</v>
      </c>
      <c r="W36" s="33"/>
      <c r="X36" s="32"/>
      <c r="Y36" s="32"/>
      <c r="Z36" s="32"/>
      <c r="AA36" s="34"/>
      <c r="AB36" s="35">
        <f t="shared" si="1"/>
        <v>760</v>
      </c>
      <c r="AC36" s="75">
        <f t="shared" si="2"/>
        <v>66000</v>
      </c>
      <c r="AD36" s="78">
        <f t="shared" si="10"/>
        <v>17600</v>
      </c>
      <c r="AE36" s="72">
        <f t="shared" si="3"/>
        <v>83600</v>
      </c>
      <c r="AF36" s="75">
        <f t="shared" si="4"/>
        <v>13214.057999999999</v>
      </c>
      <c r="AG36" s="78">
        <f t="shared" si="5"/>
        <v>3523.7487999999994</v>
      </c>
      <c r="AH36" s="72">
        <f t="shared" si="6"/>
        <v>16737.806799999998</v>
      </c>
      <c r="AI36" s="75">
        <f t="shared" si="7"/>
        <v>9054</v>
      </c>
      <c r="AJ36" s="78">
        <f t="shared" si="8"/>
        <v>2414.4</v>
      </c>
      <c r="AK36" s="72">
        <f t="shared" si="9"/>
        <v>11468.4</v>
      </c>
    </row>
    <row r="37" spans="1:37" ht="15.95" customHeight="1">
      <c r="A37" s="25" t="s">
        <v>12</v>
      </c>
      <c r="B37" s="25" t="s">
        <v>13</v>
      </c>
      <c r="C37" s="26" t="s">
        <v>55</v>
      </c>
      <c r="D37" s="26" t="s">
        <v>374</v>
      </c>
      <c r="E37" s="26" t="s">
        <v>16</v>
      </c>
      <c r="F37" s="26" t="s">
        <v>56</v>
      </c>
      <c r="G37" s="26" t="s">
        <v>57</v>
      </c>
      <c r="H37" s="27" t="s">
        <v>58</v>
      </c>
      <c r="I37" s="26" t="s">
        <v>19</v>
      </c>
      <c r="J37" s="28" t="s">
        <v>59</v>
      </c>
      <c r="K37" s="123">
        <v>110</v>
      </c>
      <c r="L37" s="29">
        <f t="shared" si="0"/>
        <v>22.022500000000001</v>
      </c>
      <c r="M37" s="110">
        <v>16.5</v>
      </c>
      <c r="N37" s="30">
        <v>0.16</v>
      </c>
      <c r="O37" s="116">
        <v>2.64</v>
      </c>
      <c r="P37" s="30">
        <v>7.4999999999999997E-2</v>
      </c>
      <c r="Q37" s="116">
        <v>1.2375</v>
      </c>
      <c r="R37" s="30">
        <v>7.0000000000000007E-2</v>
      </c>
      <c r="S37" s="116">
        <v>1.155</v>
      </c>
      <c r="T37" s="117">
        <v>0.49</v>
      </c>
      <c r="U37" s="39">
        <v>400</v>
      </c>
      <c r="V37" s="32">
        <v>85</v>
      </c>
      <c r="W37" s="33"/>
      <c r="X37" s="32"/>
      <c r="Y37" s="32"/>
      <c r="Z37" s="32"/>
      <c r="AA37" s="34">
        <v>6</v>
      </c>
      <c r="AB37" s="35">
        <f t="shared" si="1"/>
        <v>491</v>
      </c>
      <c r="AC37" s="75">
        <f t="shared" si="2"/>
        <v>44000</v>
      </c>
      <c r="AD37" s="78">
        <f t="shared" si="10"/>
        <v>10010</v>
      </c>
      <c r="AE37" s="72">
        <f t="shared" si="3"/>
        <v>54010</v>
      </c>
      <c r="AF37" s="75">
        <f t="shared" si="4"/>
        <v>8809</v>
      </c>
      <c r="AG37" s="78">
        <f t="shared" si="5"/>
        <v>1970.9125000000001</v>
      </c>
      <c r="AH37" s="72">
        <f t="shared" si="6"/>
        <v>10779.9125</v>
      </c>
      <c r="AI37" s="75">
        <f t="shared" si="7"/>
        <v>6600</v>
      </c>
      <c r="AJ37" s="78">
        <f t="shared" si="8"/>
        <v>1501.5</v>
      </c>
      <c r="AK37" s="72">
        <f t="shared" si="9"/>
        <v>8101.5</v>
      </c>
    </row>
    <row r="38" spans="1:37" ht="15.95" customHeight="1">
      <c r="A38" s="25" t="s">
        <v>12</v>
      </c>
      <c r="B38" s="25" t="s">
        <v>13</v>
      </c>
      <c r="C38" s="26" t="s">
        <v>55</v>
      </c>
      <c r="D38" s="26" t="s">
        <v>373</v>
      </c>
      <c r="E38" s="26" t="s">
        <v>16</v>
      </c>
      <c r="F38" s="26" t="s">
        <v>56</v>
      </c>
      <c r="G38" s="26" t="s">
        <v>57</v>
      </c>
      <c r="H38" s="27" t="s">
        <v>58</v>
      </c>
      <c r="I38" s="26" t="s">
        <v>19</v>
      </c>
      <c r="J38" s="28" t="s">
        <v>59</v>
      </c>
      <c r="K38" s="123">
        <v>110</v>
      </c>
      <c r="L38" s="29">
        <f t="shared" si="0"/>
        <v>22.022500000000001</v>
      </c>
      <c r="M38" s="110">
        <v>16.5</v>
      </c>
      <c r="N38" s="30">
        <v>0.16</v>
      </c>
      <c r="O38" s="116">
        <v>2.64</v>
      </c>
      <c r="P38" s="30">
        <v>7.4999999999999997E-2</v>
      </c>
      <c r="Q38" s="116">
        <v>1.2375</v>
      </c>
      <c r="R38" s="30">
        <v>7.0000000000000007E-2</v>
      </c>
      <c r="S38" s="116">
        <v>1.155</v>
      </c>
      <c r="T38" s="117">
        <v>0.49</v>
      </c>
      <c r="U38" s="39">
        <v>400</v>
      </c>
      <c r="V38" s="32">
        <v>79</v>
      </c>
      <c r="W38" s="33"/>
      <c r="X38" s="32"/>
      <c r="Y38" s="32"/>
      <c r="Z38" s="32"/>
      <c r="AA38" s="34">
        <v>6</v>
      </c>
      <c r="AB38" s="35">
        <f t="shared" si="1"/>
        <v>485</v>
      </c>
      <c r="AC38" s="75">
        <f t="shared" si="2"/>
        <v>44000</v>
      </c>
      <c r="AD38" s="78">
        <f t="shared" si="10"/>
        <v>9350</v>
      </c>
      <c r="AE38" s="72">
        <f t="shared" si="3"/>
        <v>53350</v>
      </c>
      <c r="AF38" s="75">
        <f t="shared" si="4"/>
        <v>8809</v>
      </c>
      <c r="AG38" s="78">
        <f t="shared" si="5"/>
        <v>1838.7775000000001</v>
      </c>
      <c r="AH38" s="72">
        <f t="shared" si="6"/>
        <v>10647.7775</v>
      </c>
      <c r="AI38" s="75">
        <f t="shared" si="7"/>
        <v>6600</v>
      </c>
      <c r="AJ38" s="78">
        <f t="shared" si="8"/>
        <v>1402.5</v>
      </c>
      <c r="AK38" s="72">
        <f t="shared" si="9"/>
        <v>8002.5</v>
      </c>
    </row>
    <row r="39" spans="1:37" ht="15.95" customHeight="1">
      <c r="A39" s="25" t="s">
        <v>12</v>
      </c>
      <c r="B39" s="25" t="s">
        <v>13</v>
      </c>
      <c r="C39" s="26" t="s">
        <v>29</v>
      </c>
      <c r="D39" s="26" t="s">
        <v>373</v>
      </c>
      <c r="E39" s="26" t="s">
        <v>16</v>
      </c>
      <c r="F39" s="26" t="s">
        <v>60</v>
      </c>
      <c r="G39" s="26" t="s">
        <v>57</v>
      </c>
      <c r="H39" s="27" t="s">
        <v>58</v>
      </c>
      <c r="I39" s="26" t="s">
        <v>19</v>
      </c>
      <c r="J39" s="37" t="s">
        <v>31</v>
      </c>
      <c r="K39" s="123">
        <v>78</v>
      </c>
      <c r="L39" s="29">
        <f t="shared" si="0"/>
        <v>14.729999999999999</v>
      </c>
      <c r="M39" s="110">
        <v>10</v>
      </c>
      <c r="N39" s="30">
        <v>0.27900000000000003</v>
      </c>
      <c r="O39" s="116">
        <v>2.79</v>
      </c>
      <c r="P39" s="30">
        <v>7.4999999999999997E-2</v>
      </c>
      <c r="Q39" s="116">
        <v>0.75</v>
      </c>
      <c r="R39" s="30">
        <v>7.0000000000000007E-2</v>
      </c>
      <c r="S39" s="116">
        <v>0.70000000000000007</v>
      </c>
      <c r="T39" s="117">
        <v>0.49</v>
      </c>
      <c r="U39" s="39">
        <v>400</v>
      </c>
      <c r="V39" s="32">
        <v>130</v>
      </c>
      <c r="W39" s="33"/>
      <c r="X39" s="32"/>
      <c r="Y39" s="32"/>
      <c r="Z39" s="32"/>
      <c r="AA39" s="34">
        <v>6</v>
      </c>
      <c r="AB39" s="35">
        <f t="shared" si="1"/>
        <v>536</v>
      </c>
      <c r="AC39" s="75">
        <f t="shared" si="2"/>
        <v>31200</v>
      </c>
      <c r="AD39" s="78">
        <f t="shared" si="10"/>
        <v>10608</v>
      </c>
      <c r="AE39" s="72">
        <f t="shared" si="3"/>
        <v>41808</v>
      </c>
      <c r="AF39" s="75">
        <f t="shared" si="4"/>
        <v>5891.9999999999991</v>
      </c>
      <c r="AG39" s="78">
        <f t="shared" si="5"/>
        <v>1974.8999999999999</v>
      </c>
      <c r="AH39" s="72">
        <f t="shared" si="6"/>
        <v>7866.8999999999987</v>
      </c>
      <c r="AI39" s="75">
        <f t="shared" si="7"/>
        <v>4000</v>
      </c>
      <c r="AJ39" s="78">
        <f t="shared" si="8"/>
        <v>1360</v>
      </c>
      <c r="AK39" s="72">
        <f t="shared" si="9"/>
        <v>5360</v>
      </c>
    </row>
    <row r="40" spans="1:37" ht="15.95" customHeight="1">
      <c r="A40" s="25" t="s">
        <v>12</v>
      </c>
      <c r="B40" s="25" t="s">
        <v>13</v>
      </c>
      <c r="C40" s="26" t="s">
        <v>29</v>
      </c>
      <c r="D40" s="26" t="s">
        <v>373</v>
      </c>
      <c r="E40" s="26" t="s">
        <v>16</v>
      </c>
      <c r="F40" s="26" t="s">
        <v>60</v>
      </c>
      <c r="G40" s="26" t="s">
        <v>57</v>
      </c>
      <c r="H40" s="27" t="s">
        <v>58</v>
      </c>
      <c r="I40" s="26" t="s">
        <v>19</v>
      </c>
      <c r="J40" s="37" t="s">
        <v>31</v>
      </c>
      <c r="K40" s="123">
        <v>78</v>
      </c>
      <c r="L40" s="29">
        <f t="shared" si="0"/>
        <v>14.729999999999999</v>
      </c>
      <c r="M40" s="110">
        <v>10</v>
      </c>
      <c r="N40" s="30">
        <v>0.27900000000000003</v>
      </c>
      <c r="O40" s="116">
        <v>2.79</v>
      </c>
      <c r="P40" s="30">
        <v>7.4999999999999997E-2</v>
      </c>
      <c r="Q40" s="116">
        <v>0.75</v>
      </c>
      <c r="R40" s="30">
        <v>7.0000000000000007E-2</v>
      </c>
      <c r="S40" s="116">
        <v>0.70000000000000007</v>
      </c>
      <c r="T40" s="117">
        <v>0.49</v>
      </c>
      <c r="U40" s="39">
        <v>400</v>
      </c>
      <c r="V40" s="32">
        <v>119</v>
      </c>
      <c r="W40" s="33"/>
      <c r="X40" s="32"/>
      <c r="Y40" s="32"/>
      <c r="Z40" s="32"/>
      <c r="AA40" s="34">
        <v>6</v>
      </c>
      <c r="AB40" s="35">
        <f t="shared" si="1"/>
        <v>525</v>
      </c>
      <c r="AC40" s="75">
        <f t="shared" si="2"/>
        <v>31200</v>
      </c>
      <c r="AD40" s="78">
        <f t="shared" si="10"/>
        <v>9750</v>
      </c>
      <c r="AE40" s="72">
        <f t="shared" si="3"/>
        <v>40950</v>
      </c>
      <c r="AF40" s="75">
        <f t="shared" si="4"/>
        <v>5891.9999999999991</v>
      </c>
      <c r="AG40" s="78">
        <f t="shared" si="5"/>
        <v>1812.87</v>
      </c>
      <c r="AH40" s="72">
        <f t="shared" si="6"/>
        <v>7704.869999999999</v>
      </c>
      <c r="AI40" s="75">
        <f t="shared" si="7"/>
        <v>4000</v>
      </c>
      <c r="AJ40" s="78">
        <f t="shared" si="8"/>
        <v>1250</v>
      </c>
      <c r="AK40" s="72">
        <f t="shared" si="9"/>
        <v>5250</v>
      </c>
    </row>
    <row r="41" spans="1:37" ht="15.95" customHeight="1">
      <c r="A41" s="25" t="s">
        <v>12</v>
      </c>
      <c r="B41" s="25" t="s">
        <v>13</v>
      </c>
      <c r="C41" s="26" t="s">
        <v>48</v>
      </c>
      <c r="D41" s="26" t="s">
        <v>373</v>
      </c>
      <c r="E41" s="26" t="s">
        <v>16</v>
      </c>
      <c r="F41" s="26" t="s">
        <v>61</v>
      </c>
      <c r="G41" s="26" t="s">
        <v>57</v>
      </c>
      <c r="H41" s="27" t="s">
        <v>58</v>
      </c>
      <c r="I41" s="26" t="s">
        <v>19</v>
      </c>
      <c r="J41" s="28" t="s">
        <v>62</v>
      </c>
      <c r="K41" s="123">
        <v>125</v>
      </c>
      <c r="L41" s="29">
        <f t="shared" si="0"/>
        <v>21.369999999999997</v>
      </c>
      <c r="M41" s="110">
        <v>16</v>
      </c>
      <c r="N41" s="30">
        <v>0.16</v>
      </c>
      <c r="O41" s="116">
        <v>2.56</v>
      </c>
      <c r="P41" s="30">
        <v>7.4999999999999997E-2</v>
      </c>
      <c r="Q41" s="116">
        <v>1.2</v>
      </c>
      <c r="R41" s="30">
        <v>7.0000000000000007E-2</v>
      </c>
      <c r="S41" s="116">
        <v>1.1200000000000001</v>
      </c>
      <c r="T41" s="117">
        <v>0.49</v>
      </c>
      <c r="U41" s="39">
        <v>500</v>
      </c>
      <c r="V41" s="32">
        <v>69</v>
      </c>
      <c r="W41" s="33"/>
      <c r="X41" s="32"/>
      <c r="Y41" s="32"/>
      <c r="Z41" s="32">
        <v>16</v>
      </c>
      <c r="AA41" s="34">
        <v>6</v>
      </c>
      <c r="AB41" s="35">
        <f t="shared" si="1"/>
        <v>591</v>
      </c>
      <c r="AC41" s="75">
        <f t="shared" si="2"/>
        <v>62500</v>
      </c>
      <c r="AD41" s="78">
        <f t="shared" si="10"/>
        <v>11375</v>
      </c>
      <c r="AE41" s="72">
        <f t="shared" si="3"/>
        <v>73875</v>
      </c>
      <c r="AF41" s="75">
        <f t="shared" si="4"/>
        <v>10684.999999999998</v>
      </c>
      <c r="AG41" s="78">
        <f t="shared" si="5"/>
        <v>1826.5299999999997</v>
      </c>
      <c r="AH41" s="72">
        <f t="shared" si="6"/>
        <v>12511.529999999999</v>
      </c>
      <c r="AI41" s="75">
        <f t="shared" si="7"/>
        <v>8000</v>
      </c>
      <c r="AJ41" s="78">
        <f t="shared" si="8"/>
        <v>1456</v>
      </c>
      <c r="AK41" s="72">
        <f t="shared" si="9"/>
        <v>9456</v>
      </c>
    </row>
    <row r="42" spans="1:37" ht="15.95" customHeight="1">
      <c r="A42" s="25" t="s">
        <v>12</v>
      </c>
      <c r="B42" s="25" t="s">
        <v>13</v>
      </c>
      <c r="C42" s="26" t="s">
        <v>48</v>
      </c>
      <c r="D42" s="26" t="s">
        <v>373</v>
      </c>
      <c r="E42" s="26" t="s">
        <v>16</v>
      </c>
      <c r="F42" s="26" t="s">
        <v>61</v>
      </c>
      <c r="G42" s="26" t="s">
        <v>57</v>
      </c>
      <c r="H42" s="27" t="s">
        <v>58</v>
      </c>
      <c r="I42" s="26" t="s">
        <v>19</v>
      </c>
      <c r="J42" s="28" t="s">
        <v>62</v>
      </c>
      <c r="K42" s="123">
        <v>125</v>
      </c>
      <c r="L42" s="29">
        <f t="shared" si="0"/>
        <v>21.369999999999997</v>
      </c>
      <c r="M42" s="110">
        <v>16</v>
      </c>
      <c r="N42" s="30">
        <v>0.16</v>
      </c>
      <c r="O42" s="116">
        <v>2.56</v>
      </c>
      <c r="P42" s="30">
        <v>7.4999999999999997E-2</v>
      </c>
      <c r="Q42" s="116">
        <v>1.2</v>
      </c>
      <c r="R42" s="30">
        <v>7.0000000000000007E-2</v>
      </c>
      <c r="S42" s="116">
        <v>1.1200000000000001</v>
      </c>
      <c r="T42" s="117">
        <v>0.49</v>
      </c>
      <c r="U42" s="39">
        <v>500</v>
      </c>
      <c r="V42" s="32">
        <v>55</v>
      </c>
      <c r="W42" s="33"/>
      <c r="X42" s="32"/>
      <c r="Y42" s="32"/>
      <c r="Z42" s="32"/>
      <c r="AA42" s="34">
        <v>6</v>
      </c>
      <c r="AB42" s="35">
        <f t="shared" si="1"/>
        <v>561</v>
      </c>
      <c r="AC42" s="75">
        <f t="shared" si="2"/>
        <v>62500</v>
      </c>
      <c r="AD42" s="78">
        <f t="shared" si="10"/>
        <v>7625</v>
      </c>
      <c r="AE42" s="72">
        <f t="shared" si="3"/>
        <v>70125</v>
      </c>
      <c r="AF42" s="75">
        <f t="shared" si="4"/>
        <v>10684.999999999998</v>
      </c>
      <c r="AG42" s="78">
        <f t="shared" si="5"/>
        <v>1271.3499999999999</v>
      </c>
      <c r="AH42" s="72">
        <f t="shared" si="6"/>
        <v>11956.349999999999</v>
      </c>
      <c r="AI42" s="75">
        <f t="shared" si="7"/>
        <v>8000</v>
      </c>
      <c r="AJ42" s="78">
        <f t="shared" si="8"/>
        <v>976</v>
      </c>
      <c r="AK42" s="72">
        <f t="shared" si="9"/>
        <v>8976</v>
      </c>
    </row>
    <row r="43" spans="1:37" ht="15.95" customHeight="1">
      <c r="A43" s="25" t="s">
        <v>12</v>
      </c>
      <c r="B43" s="25" t="s">
        <v>13</v>
      </c>
      <c r="C43" s="26" t="s">
        <v>14</v>
      </c>
      <c r="D43" s="26" t="s">
        <v>373</v>
      </c>
      <c r="E43" s="26" t="s">
        <v>16</v>
      </c>
      <c r="F43" s="26" t="s">
        <v>63</v>
      </c>
      <c r="G43" s="26" t="s">
        <v>57</v>
      </c>
      <c r="H43" s="27" t="s">
        <v>64</v>
      </c>
      <c r="I43" s="26" t="s">
        <v>19</v>
      </c>
      <c r="J43" s="28" t="s">
        <v>20</v>
      </c>
      <c r="K43" s="123">
        <v>150</v>
      </c>
      <c r="L43" s="29">
        <f t="shared" si="0"/>
        <v>28.3612</v>
      </c>
      <c r="M43" s="110">
        <v>19.600000000000001</v>
      </c>
      <c r="N43" s="30">
        <v>0.27700000000000002</v>
      </c>
      <c r="O43" s="116">
        <v>5.4292000000000007</v>
      </c>
      <c r="P43" s="30">
        <v>7.4999999999999997E-2</v>
      </c>
      <c r="Q43" s="116">
        <v>1.47</v>
      </c>
      <c r="R43" s="30">
        <v>7.0000000000000007E-2</v>
      </c>
      <c r="S43" s="116">
        <v>1.3720000000000003</v>
      </c>
      <c r="T43" s="117">
        <v>0.49</v>
      </c>
      <c r="U43" s="39">
        <v>600</v>
      </c>
      <c r="V43" s="32">
        <v>244</v>
      </c>
      <c r="W43" s="33"/>
      <c r="X43" s="32"/>
      <c r="Y43" s="32"/>
      <c r="Z43" s="32">
        <v>16</v>
      </c>
      <c r="AA43" s="34">
        <v>12</v>
      </c>
      <c r="AB43" s="35">
        <f t="shared" si="1"/>
        <v>872</v>
      </c>
      <c r="AC43" s="75">
        <f t="shared" si="2"/>
        <v>90000</v>
      </c>
      <c r="AD43" s="78">
        <f t="shared" si="10"/>
        <v>40800</v>
      </c>
      <c r="AE43" s="72">
        <f t="shared" si="3"/>
        <v>130800</v>
      </c>
      <c r="AF43" s="75">
        <f t="shared" si="4"/>
        <v>17016.72</v>
      </c>
      <c r="AG43" s="78">
        <f t="shared" si="5"/>
        <v>7468.9328000000005</v>
      </c>
      <c r="AH43" s="72">
        <f t="shared" si="6"/>
        <v>24485.652800000003</v>
      </c>
      <c r="AI43" s="75">
        <f t="shared" si="7"/>
        <v>11760</v>
      </c>
      <c r="AJ43" s="78">
        <f t="shared" si="8"/>
        <v>5331.2000000000007</v>
      </c>
      <c r="AK43" s="72">
        <f t="shared" si="9"/>
        <v>17091.2</v>
      </c>
    </row>
    <row r="44" spans="1:37" ht="15.95" customHeight="1">
      <c r="A44" s="25" t="s">
        <v>12</v>
      </c>
      <c r="B44" s="25" t="s">
        <v>13</v>
      </c>
      <c r="C44" s="26" t="s">
        <v>21</v>
      </c>
      <c r="D44" s="26" t="s">
        <v>373</v>
      </c>
      <c r="E44" s="26" t="s">
        <v>16</v>
      </c>
      <c r="F44" s="26" t="s">
        <v>65</v>
      </c>
      <c r="G44" s="26" t="s">
        <v>57</v>
      </c>
      <c r="H44" s="27" t="s">
        <v>64</v>
      </c>
      <c r="I44" s="26" t="s">
        <v>19</v>
      </c>
      <c r="J44" s="28" t="s">
        <v>23</v>
      </c>
      <c r="K44" s="123">
        <v>135</v>
      </c>
      <c r="L44" s="29">
        <f t="shared" si="0"/>
        <v>20.710799999999999</v>
      </c>
      <c r="M44" s="110">
        <v>14.2</v>
      </c>
      <c r="N44" s="30">
        <v>0.27900000000000003</v>
      </c>
      <c r="O44" s="116">
        <v>3.9618000000000002</v>
      </c>
      <c r="P44" s="30">
        <v>7.4999999999999997E-2</v>
      </c>
      <c r="Q44" s="116">
        <v>1.0649999999999999</v>
      </c>
      <c r="R44" s="30">
        <v>7.0000000000000007E-2</v>
      </c>
      <c r="S44" s="116">
        <v>0.99399999999999999</v>
      </c>
      <c r="T44" s="117">
        <v>0.49</v>
      </c>
      <c r="U44" s="39">
        <v>500</v>
      </c>
      <c r="V44" s="32">
        <v>268</v>
      </c>
      <c r="W44" s="33"/>
      <c r="X44" s="32"/>
      <c r="Y44" s="32"/>
      <c r="Z44" s="32">
        <v>16</v>
      </c>
      <c r="AA44" s="34">
        <v>12</v>
      </c>
      <c r="AB44" s="35">
        <f t="shared" si="1"/>
        <v>796</v>
      </c>
      <c r="AC44" s="75">
        <f t="shared" si="2"/>
        <v>67500</v>
      </c>
      <c r="AD44" s="78">
        <f t="shared" si="10"/>
        <v>39960</v>
      </c>
      <c r="AE44" s="72">
        <f t="shared" si="3"/>
        <v>107460</v>
      </c>
      <c r="AF44" s="75">
        <f t="shared" si="4"/>
        <v>10355.4</v>
      </c>
      <c r="AG44" s="78">
        <f t="shared" si="5"/>
        <v>5948.0944</v>
      </c>
      <c r="AH44" s="72">
        <f t="shared" si="6"/>
        <v>16303.4944</v>
      </c>
      <c r="AI44" s="75">
        <f t="shared" si="7"/>
        <v>7100</v>
      </c>
      <c r="AJ44" s="78">
        <f t="shared" si="8"/>
        <v>4203.2</v>
      </c>
      <c r="AK44" s="72">
        <f t="shared" si="9"/>
        <v>11303.2</v>
      </c>
    </row>
    <row r="45" spans="1:37" ht="15.95" customHeight="1">
      <c r="A45" s="25" t="s">
        <v>12</v>
      </c>
      <c r="B45" s="25" t="s">
        <v>13</v>
      </c>
      <c r="C45" s="26" t="s">
        <v>14</v>
      </c>
      <c r="D45" s="26" t="s">
        <v>373</v>
      </c>
      <c r="E45" s="26" t="s">
        <v>16</v>
      </c>
      <c r="F45" s="26" t="s">
        <v>63</v>
      </c>
      <c r="G45" s="26" t="s">
        <v>57</v>
      </c>
      <c r="H45" s="27" t="s">
        <v>64</v>
      </c>
      <c r="I45" s="26" t="s">
        <v>19</v>
      </c>
      <c r="J45" s="28" t="s">
        <v>20</v>
      </c>
      <c r="K45" s="123">
        <v>150</v>
      </c>
      <c r="L45" s="29">
        <f t="shared" si="0"/>
        <v>28.3612</v>
      </c>
      <c r="M45" s="110">
        <v>19.600000000000001</v>
      </c>
      <c r="N45" s="30">
        <v>0.27700000000000002</v>
      </c>
      <c r="O45" s="116">
        <v>5.4292000000000007</v>
      </c>
      <c r="P45" s="30">
        <v>7.4999999999999997E-2</v>
      </c>
      <c r="Q45" s="116">
        <v>1.47</v>
      </c>
      <c r="R45" s="30">
        <v>7.0000000000000007E-2</v>
      </c>
      <c r="S45" s="116">
        <v>1.3720000000000003</v>
      </c>
      <c r="T45" s="117">
        <v>0.49</v>
      </c>
      <c r="U45" s="39">
        <v>600</v>
      </c>
      <c r="V45" s="32">
        <v>238</v>
      </c>
      <c r="W45" s="33"/>
      <c r="X45" s="32"/>
      <c r="Y45" s="32"/>
      <c r="Z45" s="32"/>
      <c r="AA45" s="34">
        <v>12</v>
      </c>
      <c r="AB45" s="35">
        <f t="shared" si="1"/>
        <v>850</v>
      </c>
      <c r="AC45" s="75">
        <f t="shared" si="2"/>
        <v>90000</v>
      </c>
      <c r="AD45" s="78">
        <f t="shared" si="10"/>
        <v>37500</v>
      </c>
      <c r="AE45" s="72">
        <f t="shared" si="3"/>
        <v>127500</v>
      </c>
      <c r="AF45" s="75">
        <f t="shared" si="4"/>
        <v>17016.72</v>
      </c>
      <c r="AG45" s="78">
        <f t="shared" si="5"/>
        <v>6985.1656000000003</v>
      </c>
      <c r="AH45" s="72">
        <f t="shared" si="6"/>
        <v>24001.885600000001</v>
      </c>
      <c r="AI45" s="75">
        <f t="shared" si="7"/>
        <v>11760</v>
      </c>
      <c r="AJ45" s="78">
        <f t="shared" si="8"/>
        <v>4900</v>
      </c>
      <c r="AK45" s="72">
        <f t="shared" si="9"/>
        <v>16660</v>
      </c>
    </row>
    <row r="46" spans="1:37" ht="15.95" customHeight="1">
      <c r="A46" s="25" t="s">
        <v>12</v>
      </c>
      <c r="B46" s="25" t="s">
        <v>13</v>
      </c>
      <c r="C46" s="26" t="s">
        <v>21</v>
      </c>
      <c r="D46" s="26" t="s">
        <v>373</v>
      </c>
      <c r="E46" s="26" t="s">
        <v>16</v>
      </c>
      <c r="F46" s="26" t="s">
        <v>65</v>
      </c>
      <c r="G46" s="26" t="s">
        <v>57</v>
      </c>
      <c r="H46" s="27" t="s">
        <v>64</v>
      </c>
      <c r="I46" s="26" t="s">
        <v>19</v>
      </c>
      <c r="J46" s="28" t="s">
        <v>23</v>
      </c>
      <c r="K46" s="123">
        <v>135</v>
      </c>
      <c r="L46" s="29">
        <f t="shared" si="0"/>
        <v>20.710799999999999</v>
      </c>
      <c r="M46" s="110">
        <v>14.2</v>
      </c>
      <c r="N46" s="30">
        <v>0.27900000000000003</v>
      </c>
      <c r="O46" s="116">
        <v>3.9618000000000002</v>
      </c>
      <c r="P46" s="30">
        <v>7.4999999999999997E-2</v>
      </c>
      <c r="Q46" s="116">
        <v>1.0649999999999999</v>
      </c>
      <c r="R46" s="30">
        <v>7.0000000000000007E-2</v>
      </c>
      <c r="S46" s="116">
        <v>0.99399999999999999</v>
      </c>
      <c r="T46" s="117">
        <v>0.49</v>
      </c>
      <c r="U46" s="39">
        <v>500</v>
      </c>
      <c r="V46" s="32">
        <v>214</v>
      </c>
      <c r="W46" s="33"/>
      <c r="X46" s="32"/>
      <c r="Y46" s="32"/>
      <c r="Z46" s="32"/>
      <c r="AA46" s="34">
        <v>12</v>
      </c>
      <c r="AB46" s="35">
        <f t="shared" si="1"/>
        <v>726</v>
      </c>
      <c r="AC46" s="75">
        <f t="shared" si="2"/>
        <v>67500</v>
      </c>
      <c r="AD46" s="78">
        <f t="shared" si="10"/>
        <v>30510</v>
      </c>
      <c r="AE46" s="72">
        <f t="shared" si="3"/>
        <v>98010</v>
      </c>
      <c r="AF46" s="75">
        <f t="shared" si="4"/>
        <v>10355.4</v>
      </c>
      <c r="AG46" s="78">
        <f t="shared" si="5"/>
        <v>4602.511199999999</v>
      </c>
      <c r="AH46" s="72">
        <f t="shared" si="6"/>
        <v>14957.911199999999</v>
      </c>
      <c r="AI46" s="75">
        <f t="shared" si="7"/>
        <v>7100</v>
      </c>
      <c r="AJ46" s="78">
        <f t="shared" si="8"/>
        <v>3209.2</v>
      </c>
      <c r="AK46" s="72">
        <f t="shared" si="9"/>
        <v>10309.200000000001</v>
      </c>
    </row>
    <row r="47" spans="1:37" ht="15.95" customHeight="1">
      <c r="A47" s="25" t="s">
        <v>12</v>
      </c>
      <c r="B47" s="25" t="s">
        <v>13</v>
      </c>
      <c r="C47" s="26" t="s">
        <v>44</v>
      </c>
      <c r="D47" s="26" t="s">
        <v>373</v>
      </c>
      <c r="E47" s="26" t="s">
        <v>16</v>
      </c>
      <c r="F47" s="26" t="s">
        <v>66</v>
      </c>
      <c r="G47" s="26" t="s">
        <v>67</v>
      </c>
      <c r="H47" s="27" t="s">
        <v>68</v>
      </c>
      <c r="I47" s="26" t="s">
        <v>27</v>
      </c>
      <c r="J47" s="28" t="s">
        <v>46</v>
      </c>
      <c r="K47" s="123">
        <v>78</v>
      </c>
      <c r="L47" s="29">
        <f t="shared" si="0"/>
        <v>16.604999999999997</v>
      </c>
      <c r="M47" s="110">
        <v>11</v>
      </c>
      <c r="N47" s="30">
        <v>0.32</v>
      </c>
      <c r="O47" s="116">
        <v>3.52</v>
      </c>
      <c r="P47" s="30">
        <v>7.4999999999999997E-2</v>
      </c>
      <c r="Q47" s="116">
        <v>0.82499999999999996</v>
      </c>
      <c r="R47" s="30">
        <v>7.0000000000000007E-2</v>
      </c>
      <c r="S47" s="116">
        <v>0.77</v>
      </c>
      <c r="T47" s="117">
        <v>0.49</v>
      </c>
      <c r="U47" s="39">
        <v>400</v>
      </c>
      <c r="V47" s="32">
        <v>23</v>
      </c>
      <c r="W47" s="33"/>
      <c r="X47" s="32"/>
      <c r="Y47" s="32"/>
      <c r="Z47" s="32"/>
      <c r="AA47" s="34"/>
      <c r="AB47" s="35">
        <f t="shared" si="1"/>
        <v>423</v>
      </c>
      <c r="AC47" s="75">
        <f t="shared" si="2"/>
        <v>31200</v>
      </c>
      <c r="AD47" s="78">
        <f t="shared" si="10"/>
        <v>1794</v>
      </c>
      <c r="AE47" s="72">
        <f t="shared" si="3"/>
        <v>32994</v>
      </c>
      <c r="AF47" s="75">
        <f t="shared" si="4"/>
        <v>6641.9999999999991</v>
      </c>
      <c r="AG47" s="78">
        <f t="shared" si="5"/>
        <v>381.91499999999991</v>
      </c>
      <c r="AH47" s="72">
        <f t="shared" si="6"/>
        <v>7023.9149999999991</v>
      </c>
      <c r="AI47" s="75">
        <f t="shared" si="7"/>
        <v>4400</v>
      </c>
      <c r="AJ47" s="78">
        <f t="shared" si="8"/>
        <v>253</v>
      </c>
      <c r="AK47" s="72">
        <f t="shared" si="9"/>
        <v>4653</v>
      </c>
    </row>
    <row r="48" spans="1:37" ht="15.95" customHeight="1">
      <c r="A48" s="25" t="s">
        <v>12</v>
      </c>
      <c r="B48" s="25" t="s">
        <v>13</v>
      </c>
      <c r="C48" s="26" t="s">
        <v>44</v>
      </c>
      <c r="D48" s="26" t="s">
        <v>373</v>
      </c>
      <c r="E48" s="26" t="s">
        <v>16</v>
      </c>
      <c r="F48" s="26" t="s">
        <v>66</v>
      </c>
      <c r="G48" s="26" t="s">
        <v>67</v>
      </c>
      <c r="H48" s="27" t="s">
        <v>68</v>
      </c>
      <c r="I48" s="26" t="s">
        <v>27</v>
      </c>
      <c r="J48" s="28" t="s">
        <v>46</v>
      </c>
      <c r="K48" s="124">
        <v>78</v>
      </c>
      <c r="L48" s="29">
        <f t="shared" si="0"/>
        <v>16.604999999999997</v>
      </c>
      <c r="M48" s="110">
        <v>11</v>
      </c>
      <c r="N48" s="30">
        <v>0.32</v>
      </c>
      <c r="O48" s="116">
        <v>3.52</v>
      </c>
      <c r="P48" s="30">
        <v>7.4999999999999997E-2</v>
      </c>
      <c r="Q48" s="116">
        <v>0.82499999999999996</v>
      </c>
      <c r="R48" s="30">
        <v>7.0000000000000007E-2</v>
      </c>
      <c r="S48" s="116">
        <v>0.77</v>
      </c>
      <c r="T48" s="117">
        <v>0.49</v>
      </c>
      <c r="U48" s="39">
        <v>500</v>
      </c>
      <c r="V48" s="32"/>
      <c r="W48" s="33"/>
      <c r="X48" s="32"/>
      <c r="Y48" s="32"/>
      <c r="Z48" s="32"/>
      <c r="AA48" s="34"/>
      <c r="AB48" s="35">
        <f t="shared" si="1"/>
        <v>500</v>
      </c>
      <c r="AC48" s="75">
        <f t="shared" si="2"/>
        <v>39000</v>
      </c>
      <c r="AD48" s="78">
        <f t="shared" si="10"/>
        <v>0</v>
      </c>
      <c r="AE48" s="72">
        <f t="shared" si="3"/>
        <v>39000</v>
      </c>
      <c r="AF48" s="75">
        <f t="shared" si="4"/>
        <v>8302.4999999999982</v>
      </c>
      <c r="AG48" s="78">
        <f t="shared" si="5"/>
        <v>0</v>
      </c>
      <c r="AH48" s="72">
        <f t="shared" si="6"/>
        <v>8302.4999999999982</v>
      </c>
      <c r="AI48" s="75">
        <f t="shared" si="7"/>
        <v>5500</v>
      </c>
      <c r="AJ48" s="78">
        <f t="shared" si="8"/>
        <v>0</v>
      </c>
      <c r="AK48" s="72">
        <f t="shared" si="9"/>
        <v>5500</v>
      </c>
    </row>
    <row r="49" spans="1:37" ht="15.95" customHeight="1">
      <c r="A49" s="25" t="s">
        <v>12</v>
      </c>
      <c r="B49" s="25" t="s">
        <v>13</v>
      </c>
      <c r="C49" s="26" t="s">
        <v>29</v>
      </c>
      <c r="D49" s="26" t="s">
        <v>373</v>
      </c>
      <c r="E49" s="26" t="s">
        <v>16</v>
      </c>
      <c r="F49" s="26" t="s">
        <v>69</v>
      </c>
      <c r="G49" s="26" t="s">
        <v>67</v>
      </c>
      <c r="H49" s="27" t="s">
        <v>68</v>
      </c>
      <c r="I49" s="26" t="s">
        <v>27</v>
      </c>
      <c r="J49" s="28" t="s">
        <v>35</v>
      </c>
      <c r="K49" s="123">
        <v>68</v>
      </c>
      <c r="L49" s="29">
        <f t="shared" si="0"/>
        <v>14.0465</v>
      </c>
      <c r="M49" s="110">
        <v>9.5</v>
      </c>
      <c r="N49" s="30">
        <v>0.28199999999999997</v>
      </c>
      <c r="O49" s="116">
        <v>2.6789999999999998</v>
      </c>
      <c r="P49" s="30">
        <v>7.4999999999999997E-2</v>
      </c>
      <c r="Q49" s="116">
        <v>0.71250000000000002</v>
      </c>
      <c r="R49" s="30">
        <v>7.0000000000000007E-2</v>
      </c>
      <c r="S49" s="116">
        <v>0.66500000000000004</v>
      </c>
      <c r="T49" s="117">
        <v>0.49</v>
      </c>
      <c r="U49" s="39">
        <v>400</v>
      </c>
      <c r="V49" s="32">
        <v>97</v>
      </c>
      <c r="W49" s="33"/>
      <c r="X49" s="32"/>
      <c r="Y49" s="32"/>
      <c r="Z49" s="32"/>
      <c r="AA49" s="34"/>
      <c r="AB49" s="35">
        <f t="shared" si="1"/>
        <v>497</v>
      </c>
      <c r="AC49" s="75">
        <f t="shared" si="2"/>
        <v>27200</v>
      </c>
      <c r="AD49" s="78">
        <f t="shared" si="10"/>
        <v>6596</v>
      </c>
      <c r="AE49" s="72">
        <f t="shared" si="3"/>
        <v>33796</v>
      </c>
      <c r="AF49" s="75">
        <f t="shared" si="4"/>
        <v>5618.6</v>
      </c>
      <c r="AG49" s="78">
        <f t="shared" si="5"/>
        <v>1362.5105000000001</v>
      </c>
      <c r="AH49" s="72">
        <f t="shared" si="6"/>
        <v>6981.1105000000007</v>
      </c>
      <c r="AI49" s="75">
        <f t="shared" si="7"/>
        <v>3800</v>
      </c>
      <c r="AJ49" s="78">
        <f t="shared" si="8"/>
        <v>921.5</v>
      </c>
      <c r="AK49" s="72">
        <f t="shared" si="9"/>
        <v>4721.5</v>
      </c>
    </row>
    <row r="50" spans="1:37" ht="15.95" customHeight="1">
      <c r="A50" s="25" t="s">
        <v>12</v>
      </c>
      <c r="B50" s="25" t="s">
        <v>13</v>
      </c>
      <c r="C50" s="26" t="s">
        <v>29</v>
      </c>
      <c r="D50" s="26" t="s">
        <v>373</v>
      </c>
      <c r="E50" s="26" t="s">
        <v>16</v>
      </c>
      <c r="F50" s="26" t="s">
        <v>69</v>
      </c>
      <c r="G50" s="26" t="s">
        <v>67</v>
      </c>
      <c r="H50" s="27" t="s">
        <v>68</v>
      </c>
      <c r="I50" s="26" t="s">
        <v>27</v>
      </c>
      <c r="J50" s="28" t="s">
        <v>35</v>
      </c>
      <c r="K50" s="123">
        <v>68</v>
      </c>
      <c r="L50" s="29">
        <f t="shared" si="0"/>
        <v>14.0465</v>
      </c>
      <c r="M50" s="110">
        <v>9.5</v>
      </c>
      <c r="N50" s="30">
        <v>0.28199999999999997</v>
      </c>
      <c r="O50" s="116">
        <v>2.6789999999999998</v>
      </c>
      <c r="P50" s="30">
        <v>7.4999999999999997E-2</v>
      </c>
      <c r="Q50" s="116">
        <v>0.71250000000000002</v>
      </c>
      <c r="R50" s="30">
        <v>7.0000000000000007E-2</v>
      </c>
      <c r="S50" s="116">
        <v>0.66500000000000004</v>
      </c>
      <c r="T50" s="117">
        <v>0.49</v>
      </c>
      <c r="U50" s="39">
        <v>500</v>
      </c>
      <c r="V50" s="32">
        <v>93</v>
      </c>
      <c r="W50" s="33"/>
      <c r="X50" s="32"/>
      <c r="Y50" s="32"/>
      <c r="Z50" s="32"/>
      <c r="AA50" s="34"/>
      <c r="AB50" s="35">
        <f t="shared" si="1"/>
        <v>593</v>
      </c>
      <c r="AC50" s="75">
        <f t="shared" si="2"/>
        <v>34000</v>
      </c>
      <c r="AD50" s="78">
        <f t="shared" si="10"/>
        <v>6324</v>
      </c>
      <c r="AE50" s="72">
        <f t="shared" si="3"/>
        <v>40324</v>
      </c>
      <c r="AF50" s="75">
        <f t="shared" si="4"/>
        <v>7023.25</v>
      </c>
      <c r="AG50" s="78">
        <f t="shared" si="5"/>
        <v>1306.3244999999999</v>
      </c>
      <c r="AH50" s="72">
        <f t="shared" si="6"/>
        <v>8329.5745000000006</v>
      </c>
      <c r="AI50" s="75">
        <f t="shared" si="7"/>
        <v>4750</v>
      </c>
      <c r="AJ50" s="78">
        <f t="shared" si="8"/>
        <v>883.5</v>
      </c>
      <c r="AK50" s="72">
        <f t="shared" si="9"/>
        <v>5633.5</v>
      </c>
    </row>
    <row r="51" spans="1:37" ht="15.95" customHeight="1">
      <c r="A51" s="25" t="s">
        <v>12</v>
      </c>
      <c r="B51" s="25" t="s">
        <v>13</v>
      </c>
      <c r="C51" s="26" t="s">
        <v>24</v>
      </c>
      <c r="D51" s="26" t="s">
        <v>373</v>
      </c>
      <c r="E51" s="26" t="s">
        <v>16</v>
      </c>
      <c r="F51" s="26" t="s">
        <v>70</v>
      </c>
      <c r="G51" s="26" t="s">
        <v>67</v>
      </c>
      <c r="H51" s="27" t="s">
        <v>68</v>
      </c>
      <c r="I51" s="26" t="s">
        <v>27</v>
      </c>
      <c r="J51" s="28" t="s">
        <v>28</v>
      </c>
      <c r="K51" s="123">
        <v>58</v>
      </c>
      <c r="L51" s="29">
        <f t="shared" si="0"/>
        <v>12.21</v>
      </c>
      <c r="M51" s="110">
        <v>8</v>
      </c>
      <c r="N51" s="30">
        <v>0.32</v>
      </c>
      <c r="O51" s="116">
        <v>2.56</v>
      </c>
      <c r="P51" s="30">
        <v>7.4999999999999997E-2</v>
      </c>
      <c r="Q51" s="116">
        <v>0.6</v>
      </c>
      <c r="R51" s="30">
        <v>7.0000000000000007E-2</v>
      </c>
      <c r="S51" s="116">
        <v>0.56000000000000005</v>
      </c>
      <c r="T51" s="117">
        <v>0.49</v>
      </c>
      <c r="U51" s="39">
        <v>500</v>
      </c>
      <c r="V51" s="32">
        <v>140</v>
      </c>
      <c r="W51" s="33"/>
      <c r="X51" s="32"/>
      <c r="Y51" s="32"/>
      <c r="Z51" s="32"/>
      <c r="AA51" s="34"/>
      <c r="AB51" s="35">
        <f t="shared" si="1"/>
        <v>640</v>
      </c>
      <c r="AC51" s="75">
        <f t="shared" si="2"/>
        <v>29000</v>
      </c>
      <c r="AD51" s="78">
        <f t="shared" si="10"/>
        <v>8120</v>
      </c>
      <c r="AE51" s="72">
        <f t="shared" si="3"/>
        <v>37120</v>
      </c>
      <c r="AF51" s="75">
        <f t="shared" si="4"/>
        <v>6105</v>
      </c>
      <c r="AG51" s="78">
        <f t="shared" si="5"/>
        <v>1709.4</v>
      </c>
      <c r="AH51" s="72">
        <f t="shared" si="6"/>
        <v>7814.4</v>
      </c>
      <c r="AI51" s="75">
        <f t="shared" si="7"/>
        <v>4000</v>
      </c>
      <c r="AJ51" s="78">
        <f t="shared" si="8"/>
        <v>1120</v>
      </c>
      <c r="AK51" s="72">
        <f t="shared" si="9"/>
        <v>5120</v>
      </c>
    </row>
    <row r="52" spans="1:37" ht="15.95" customHeight="1">
      <c r="A52" s="25" t="s">
        <v>12</v>
      </c>
      <c r="B52" s="25" t="s">
        <v>13</v>
      </c>
      <c r="C52" s="26" t="s">
        <v>24</v>
      </c>
      <c r="D52" s="26" t="s">
        <v>373</v>
      </c>
      <c r="E52" s="26" t="s">
        <v>16</v>
      </c>
      <c r="F52" s="26" t="s">
        <v>70</v>
      </c>
      <c r="G52" s="26" t="s">
        <v>67</v>
      </c>
      <c r="H52" s="27" t="s">
        <v>68</v>
      </c>
      <c r="I52" s="26" t="s">
        <v>27</v>
      </c>
      <c r="J52" s="28" t="s">
        <v>28</v>
      </c>
      <c r="K52" s="123">
        <v>58</v>
      </c>
      <c r="L52" s="29">
        <f t="shared" si="0"/>
        <v>12.21</v>
      </c>
      <c r="M52" s="110">
        <v>8</v>
      </c>
      <c r="N52" s="30">
        <v>0.32</v>
      </c>
      <c r="O52" s="116">
        <v>2.56</v>
      </c>
      <c r="P52" s="30">
        <v>7.4999999999999997E-2</v>
      </c>
      <c r="Q52" s="116">
        <v>0.6</v>
      </c>
      <c r="R52" s="30">
        <v>7.0000000000000007E-2</v>
      </c>
      <c r="S52" s="116">
        <v>0.56000000000000005</v>
      </c>
      <c r="T52" s="117">
        <v>0.49</v>
      </c>
      <c r="U52" s="39">
        <v>500</v>
      </c>
      <c r="V52" s="32">
        <v>140</v>
      </c>
      <c r="W52" s="33"/>
      <c r="X52" s="32"/>
      <c r="Y52" s="32"/>
      <c r="Z52" s="32"/>
      <c r="AA52" s="34"/>
      <c r="AB52" s="35">
        <f t="shared" si="1"/>
        <v>640</v>
      </c>
      <c r="AC52" s="75">
        <f t="shared" si="2"/>
        <v>29000</v>
      </c>
      <c r="AD52" s="78">
        <f t="shared" si="10"/>
        <v>8120</v>
      </c>
      <c r="AE52" s="72">
        <f t="shared" si="3"/>
        <v>37120</v>
      </c>
      <c r="AF52" s="75">
        <f t="shared" si="4"/>
        <v>6105</v>
      </c>
      <c r="AG52" s="78">
        <f t="shared" si="5"/>
        <v>1709.4</v>
      </c>
      <c r="AH52" s="72">
        <f t="shared" si="6"/>
        <v>7814.4</v>
      </c>
      <c r="AI52" s="75">
        <f t="shared" si="7"/>
        <v>4000</v>
      </c>
      <c r="AJ52" s="78">
        <f t="shared" si="8"/>
        <v>1120</v>
      </c>
      <c r="AK52" s="72">
        <f t="shared" si="9"/>
        <v>5120</v>
      </c>
    </row>
    <row r="53" spans="1:37" ht="15.95" customHeight="1">
      <c r="A53" s="25" t="s">
        <v>12</v>
      </c>
      <c r="B53" s="25" t="s">
        <v>13</v>
      </c>
      <c r="C53" s="26" t="s">
        <v>50</v>
      </c>
      <c r="D53" s="26" t="s">
        <v>373</v>
      </c>
      <c r="E53" s="26" t="s">
        <v>16</v>
      </c>
      <c r="F53" s="26" t="s">
        <v>71</v>
      </c>
      <c r="G53" s="26" t="s">
        <v>72</v>
      </c>
      <c r="H53" s="27" t="s">
        <v>390</v>
      </c>
      <c r="I53" s="26" t="s">
        <v>27</v>
      </c>
      <c r="J53" s="37" t="s">
        <v>53</v>
      </c>
      <c r="K53" s="123">
        <v>135</v>
      </c>
      <c r="L53" s="29">
        <f t="shared" si="0"/>
        <v>26.532749999999997</v>
      </c>
      <c r="M53" s="110">
        <v>18.25</v>
      </c>
      <c r="N53" s="30">
        <v>0.28199999999999997</v>
      </c>
      <c r="O53" s="116">
        <v>5.1464999999999996</v>
      </c>
      <c r="P53" s="30">
        <v>7.4999999999999997E-2</v>
      </c>
      <c r="Q53" s="116">
        <v>1.3687499999999999</v>
      </c>
      <c r="R53" s="30">
        <v>7.0000000000000007E-2</v>
      </c>
      <c r="S53" s="116">
        <v>1.2775000000000001</v>
      </c>
      <c r="T53" s="117">
        <v>0.49</v>
      </c>
      <c r="U53" s="39">
        <v>900</v>
      </c>
      <c r="V53" s="32">
        <v>85</v>
      </c>
      <c r="W53" s="33"/>
      <c r="X53" s="32"/>
      <c r="Y53" s="32"/>
      <c r="Z53" s="32"/>
      <c r="AA53" s="34">
        <v>12</v>
      </c>
      <c r="AB53" s="35">
        <f t="shared" si="1"/>
        <v>997</v>
      </c>
      <c r="AC53" s="75">
        <f t="shared" si="2"/>
        <v>121500</v>
      </c>
      <c r="AD53" s="78">
        <f t="shared" si="10"/>
        <v>13095</v>
      </c>
      <c r="AE53" s="72">
        <f t="shared" si="3"/>
        <v>134595</v>
      </c>
      <c r="AF53" s="75">
        <f t="shared" si="4"/>
        <v>23879.474999999999</v>
      </c>
      <c r="AG53" s="78">
        <f t="shared" si="5"/>
        <v>2474.2837499999996</v>
      </c>
      <c r="AH53" s="72">
        <f t="shared" si="6"/>
        <v>26353.758749999997</v>
      </c>
      <c r="AI53" s="75">
        <f t="shared" si="7"/>
        <v>16425</v>
      </c>
      <c r="AJ53" s="78">
        <f t="shared" si="8"/>
        <v>1770.25</v>
      </c>
      <c r="AK53" s="72">
        <f t="shared" si="9"/>
        <v>18195.25</v>
      </c>
    </row>
    <row r="54" spans="1:37" ht="15.95" customHeight="1">
      <c r="A54" s="25" t="s">
        <v>12</v>
      </c>
      <c r="B54" s="25" t="s">
        <v>13</v>
      </c>
      <c r="C54" s="26" t="s">
        <v>21</v>
      </c>
      <c r="D54" s="26" t="s">
        <v>373</v>
      </c>
      <c r="E54" s="26" t="s">
        <v>16</v>
      </c>
      <c r="F54" s="26" t="s">
        <v>73</v>
      </c>
      <c r="G54" s="26" t="s">
        <v>72</v>
      </c>
      <c r="H54" s="27" t="s">
        <v>390</v>
      </c>
      <c r="I54" s="26" t="s">
        <v>27</v>
      </c>
      <c r="J54" s="28" t="s">
        <v>43</v>
      </c>
      <c r="K54" s="123">
        <v>118</v>
      </c>
      <c r="L54" s="29">
        <f t="shared" si="0"/>
        <v>22.608499999999999</v>
      </c>
      <c r="M54" s="110">
        <v>15.5</v>
      </c>
      <c r="N54" s="30">
        <v>0.28199999999999997</v>
      </c>
      <c r="O54" s="116">
        <v>4.3709999999999996</v>
      </c>
      <c r="P54" s="30">
        <v>7.4999999999999997E-2</v>
      </c>
      <c r="Q54" s="116">
        <v>1.1624999999999999</v>
      </c>
      <c r="R54" s="30">
        <v>7.0000000000000007E-2</v>
      </c>
      <c r="S54" s="116">
        <v>1.0850000000000002</v>
      </c>
      <c r="T54" s="117">
        <v>0.49</v>
      </c>
      <c r="U54" s="39">
        <v>800</v>
      </c>
      <c r="V54" s="32">
        <v>85</v>
      </c>
      <c r="W54" s="33"/>
      <c r="X54" s="32"/>
      <c r="Y54" s="32"/>
      <c r="Z54" s="32"/>
      <c r="AA54" s="34">
        <v>12</v>
      </c>
      <c r="AB54" s="35">
        <f t="shared" si="1"/>
        <v>897</v>
      </c>
      <c r="AC54" s="75">
        <f t="shared" si="2"/>
        <v>94400</v>
      </c>
      <c r="AD54" s="78">
        <f t="shared" si="10"/>
        <v>11446</v>
      </c>
      <c r="AE54" s="72">
        <f t="shared" si="3"/>
        <v>105846</v>
      </c>
      <c r="AF54" s="75">
        <f t="shared" si="4"/>
        <v>18086.8</v>
      </c>
      <c r="AG54" s="78">
        <f t="shared" si="5"/>
        <v>2107.7224999999999</v>
      </c>
      <c r="AH54" s="72">
        <f t="shared" si="6"/>
        <v>20194.522499999999</v>
      </c>
      <c r="AI54" s="75">
        <f t="shared" si="7"/>
        <v>12400</v>
      </c>
      <c r="AJ54" s="78">
        <f t="shared" si="8"/>
        <v>1503.5</v>
      </c>
      <c r="AK54" s="72">
        <f t="shared" si="9"/>
        <v>13903.5</v>
      </c>
    </row>
    <row r="55" spans="1:37" ht="15.95" customHeight="1">
      <c r="A55" s="25" t="s">
        <v>12</v>
      </c>
      <c r="B55" s="25" t="s">
        <v>13</v>
      </c>
      <c r="C55" s="26" t="s">
        <v>50</v>
      </c>
      <c r="D55" s="26" t="s">
        <v>373</v>
      </c>
      <c r="E55" s="26" t="s">
        <v>16</v>
      </c>
      <c r="F55" s="26" t="s">
        <v>71</v>
      </c>
      <c r="G55" s="26" t="s">
        <v>72</v>
      </c>
      <c r="H55" s="27" t="s">
        <v>390</v>
      </c>
      <c r="I55" s="26" t="s">
        <v>27</v>
      </c>
      <c r="J55" s="37" t="s">
        <v>53</v>
      </c>
      <c r="K55" s="123">
        <v>135</v>
      </c>
      <c r="L55" s="29">
        <f t="shared" si="0"/>
        <v>26.532749999999997</v>
      </c>
      <c r="M55" s="110">
        <v>18.25</v>
      </c>
      <c r="N55" s="30">
        <v>0.28199999999999997</v>
      </c>
      <c r="O55" s="116">
        <v>5.1464999999999996</v>
      </c>
      <c r="P55" s="30">
        <v>7.4999999999999997E-2</v>
      </c>
      <c r="Q55" s="116">
        <v>1.3687499999999999</v>
      </c>
      <c r="R55" s="30">
        <v>7.0000000000000007E-2</v>
      </c>
      <c r="S55" s="116">
        <v>1.2775000000000001</v>
      </c>
      <c r="T55" s="117">
        <v>0.49</v>
      </c>
      <c r="U55" s="39">
        <v>900</v>
      </c>
      <c r="V55" s="32">
        <v>162</v>
      </c>
      <c r="W55" s="33"/>
      <c r="X55" s="32"/>
      <c r="Y55" s="32"/>
      <c r="Z55" s="32"/>
      <c r="AA55" s="34">
        <v>18</v>
      </c>
      <c r="AB55" s="35">
        <f t="shared" si="1"/>
        <v>1080</v>
      </c>
      <c r="AC55" s="75">
        <f t="shared" si="2"/>
        <v>121500</v>
      </c>
      <c r="AD55" s="78">
        <f t="shared" si="10"/>
        <v>24300</v>
      </c>
      <c r="AE55" s="72">
        <f t="shared" si="3"/>
        <v>145800</v>
      </c>
      <c r="AF55" s="75">
        <f t="shared" si="4"/>
        <v>23879.474999999999</v>
      </c>
      <c r="AG55" s="78">
        <f t="shared" si="5"/>
        <v>4626.8054999999995</v>
      </c>
      <c r="AH55" s="72">
        <f t="shared" si="6"/>
        <v>28506.280499999997</v>
      </c>
      <c r="AI55" s="75">
        <f t="shared" si="7"/>
        <v>16425</v>
      </c>
      <c r="AJ55" s="78">
        <f t="shared" si="8"/>
        <v>3285</v>
      </c>
      <c r="AK55" s="72">
        <f t="shared" si="9"/>
        <v>19710</v>
      </c>
    </row>
    <row r="56" spans="1:37" ht="15.95" customHeight="1">
      <c r="A56" s="25" t="s">
        <v>12</v>
      </c>
      <c r="B56" s="25" t="s">
        <v>13</v>
      </c>
      <c r="C56" s="26" t="s">
        <v>21</v>
      </c>
      <c r="D56" s="26" t="s">
        <v>373</v>
      </c>
      <c r="E56" s="26" t="s">
        <v>16</v>
      </c>
      <c r="F56" s="26" t="s">
        <v>73</v>
      </c>
      <c r="G56" s="26" t="s">
        <v>72</v>
      </c>
      <c r="H56" s="27" t="s">
        <v>390</v>
      </c>
      <c r="I56" s="26" t="s">
        <v>27</v>
      </c>
      <c r="J56" s="28" t="s">
        <v>43</v>
      </c>
      <c r="K56" s="123">
        <v>118</v>
      </c>
      <c r="L56" s="29">
        <f t="shared" si="0"/>
        <v>22.608499999999999</v>
      </c>
      <c r="M56" s="110">
        <v>15.5</v>
      </c>
      <c r="N56" s="30">
        <v>0.28199999999999997</v>
      </c>
      <c r="O56" s="116">
        <v>4.3709999999999996</v>
      </c>
      <c r="P56" s="30">
        <v>7.4999999999999997E-2</v>
      </c>
      <c r="Q56" s="116">
        <v>1.1624999999999999</v>
      </c>
      <c r="R56" s="30">
        <v>7.0000000000000007E-2</v>
      </c>
      <c r="S56" s="116">
        <v>1.0850000000000002</v>
      </c>
      <c r="T56" s="117">
        <v>0.49</v>
      </c>
      <c r="U56" s="39">
        <v>800</v>
      </c>
      <c r="V56" s="32">
        <v>162</v>
      </c>
      <c r="W56" s="33"/>
      <c r="X56" s="32"/>
      <c r="Y56" s="32"/>
      <c r="Z56" s="32"/>
      <c r="AA56" s="34">
        <v>18</v>
      </c>
      <c r="AB56" s="35">
        <f t="shared" si="1"/>
        <v>980</v>
      </c>
      <c r="AC56" s="75">
        <f t="shared" si="2"/>
        <v>94400</v>
      </c>
      <c r="AD56" s="78">
        <f t="shared" si="10"/>
        <v>21240</v>
      </c>
      <c r="AE56" s="72">
        <f t="shared" si="3"/>
        <v>115640</v>
      </c>
      <c r="AF56" s="75">
        <f t="shared" si="4"/>
        <v>18086.8</v>
      </c>
      <c r="AG56" s="78">
        <f t="shared" si="5"/>
        <v>3941.5769999999998</v>
      </c>
      <c r="AH56" s="72">
        <f t="shared" si="6"/>
        <v>22028.377</v>
      </c>
      <c r="AI56" s="75">
        <f t="shared" si="7"/>
        <v>12400</v>
      </c>
      <c r="AJ56" s="78">
        <f t="shared" si="8"/>
        <v>2790</v>
      </c>
      <c r="AK56" s="72">
        <f t="shared" si="9"/>
        <v>15190</v>
      </c>
    </row>
    <row r="57" spans="1:37" ht="15.95" customHeight="1">
      <c r="A57" s="25" t="s">
        <v>12</v>
      </c>
      <c r="B57" s="25" t="s">
        <v>13</v>
      </c>
      <c r="C57" s="26" t="s">
        <v>44</v>
      </c>
      <c r="D57" s="26" t="s">
        <v>373</v>
      </c>
      <c r="E57" s="26" t="s">
        <v>16</v>
      </c>
      <c r="F57" s="26" t="s">
        <v>74</v>
      </c>
      <c r="G57" s="26" t="s">
        <v>67</v>
      </c>
      <c r="H57" s="27" t="s">
        <v>75</v>
      </c>
      <c r="I57" s="26" t="s">
        <v>27</v>
      </c>
      <c r="J57" s="28" t="s">
        <v>46</v>
      </c>
      <c r="K57" s="123">
        <v>68</v>
      </c>
      <c r="L57" s="29">
        <f t="shared" si="0"/>
        <v>13.675000000000001</v>
      </c>
      <c r="M57" s="110">
        <v>9</v>
      </c>
      <c r="N57" s="30">
        <v>0.32</v>
      </c>
      <c r="O57" s="116">
        <v>2.88</v>
      </c>
      <c r="P57" s="30">
        <v>7.4999999999999997E-2</v>
      </c>
      <c r="Q57" s="116">
        <v>0.67499999999999993</v>
      </c>
      <c r="R57" s="30">
        <v>7.0000000000000007E-2</v>
      </c>
      <c r="S57" s="116">
        <v>0.63000000000000012</v>
      </c>
      <c r="T57" s="117">
        <v>0.49</v>
      </c>
      <c r="U57" s="39">
        <v>600</v>
      </c>
      <c r="V57" s="32"/>
      <c r="W57" s="33"/>
      <c r="X57" s="32"/>
      <c r="Y57" s="32"/>
      <c r="Z57" s="32"/>
      <c r="AA57" s="34"/>
      <c r="AB57" s="35">
        <f t="shared" si="1"/>
        <v>600</v>
      </c>
      <c r="AC57" s="75">
        <f t="shared" si="2"/>
        <v>40800</v>
      </c>
      <c r="AD57" s="78">
        <f t="shared" si="10"/>
        <v>0</v>
      </c>
      <c r="AE57" s="72">
        <f t="shared" si="3"/>
        <v>40800</v>
      </c>
      <c r="AF57" s="75">
        <f t="shared" si="4"/>
        <v>8205</v>
      </c>
      <c r="AG57" s="78">
        <f t="shared" si="5"/>
        <v>0</v>
      </c>
      <c r="AH57" s="72">
        <f t="shared" si="6"/>
        <v>8205</v>
      </c>
      <c r="AI57" s="75">
        <f t="shared" si="7"/>
        <v>5400</v>
      </c>
      <c r="AJ57" s="78">
        <f t="shared" si="8"/>
        <v>0</v>
      </c>
      <c r="AK57" s="72">
        <f t="shared" si="9"/>
        <v>5400</v>
      </c>
    </row>
    <row r="58" spans="1:37" ht="15.95" customHeight="1">
      <c r="A58" s="25" t="s">
        <v>12</v>
      </c>
      <c r="B58" s="25" t="s">
        <v>13</v>
      </c>
      <c r="C58" s="26" t="s">
        <v>44</v>
      </c>
      <c r="D58" s="26" t="s">
        <v>373</v>
      </c>
      <c r="E58" s="26" t="s">
        <v>16</v>
      </c>
      <c r="F58" s="26" t="s">
        <v>74</v>
      </c>
      <c r="G58" s="26" t="s">
        <v>67</v>
      </c>
      <c r="H58" s="27" t="s">
        <v>75</v>
      </c>
      <c r="I58" s="26" t="s">
        <v>27</v>
      </c>
      <c r="J58" s="28" t="s">
        <v>46</v>
      </c>
      <c r="K58" s="123">
        <v>68</v>
      </c>
      <c r="L58" s="29">
        <f t="shared" si="0"/>
        <v>13.675000000000001</v>
      </c>
      <c r="M58" s="110">
        <v>9</v>
      </c>
      <c r="N58" s="30">
        <v>0.32</v>
      </c>
      <c r="O58" s="116">
        <v>2.88</v>
      </c>
      <c r="P58" s="30">
        <v>7.4999999999999997E-2</v>
      </c>
      <c r="Q58" s="116">
        <v>0.67499999999999993</v>
      </c>
      <c r="R58" s="30">
        <v>7.0000000000000007E-2</v>
      </c>
      <c r="S58" s="116">
        <v>0.63000000000000012</v>
      </c>
      <c r="T58" s="117">
        <v>0.49</v>
      </c>
      <c r="U58" s="39">
        <v>500</v>
      </c>
      <c r="V58" s="32"/>
      <c r="W58" s="33"/>
      <c r="X58" s="32"/>
      <c r="Y58" s="32"/>
      <c r="Z58" s="32"/>
      <c r="AA58" s="34"/>
      <c r="AB58" s="35">
        <f t="shared" si="1"/>
        <v>500</v>
      </c>
      <c r="AC58" s="75">
        <f t="shared" si="2"/>
        <v>34000</v>
      </c>
      <c r="AD58" s="78">
        <f t="shared" si="10"/>
        <v>0</v>
      </c>
      <c r="AE58" s="72">
        <f t="shared" si="3"/>
        <v>34000</v>
      </c>
      <c r="AF58" s="75">
        <f t="shared" si="4"/>
        <v>6837.5</v>
      </c>
      <c r="AG58" s="78">
        <f t="shared" si="5"/>
        <v>0</v>
      </c>
      <c r="AH58" s="72">
        <f t="shared" si="6"/>
        <v>6837.5</v>
      </c>
      <c r="AI58" s="75">
        <f t="shared" si="7"/>
        <v>4500</v>
      </c>
      <c r="AJ58" s="78">
        <f t="shared" si="8"/>
        <v>0</v>
      </c>
      <c r="AK58" s="72">
        <f t="shared" si="9"/>
        <v>4500</v>
      </c>
    </row>
    <row r="59" spans="1:37" ht="15.95" customHeight="1">
      <c r="A59" s="25" t="s">
        <v>12</v>
      </c>
      <c r="B59" s="25" t="s">
        <v>13</v>
      </c>
      <c r="C59" s="40" t="s">
        <v>76</v>
      </c>
      <c r="D59" s="26" t="s">
        <v>373</v>
      </c>
      <c r="E59" s="26" t="s">
        <v>16</v>
      </c>
      <c r="F59" s="26" t="s">
        <v>77</v>
      </c>
      <c r="G59" s="41" t="s">
        <v>78</v>
      </c>
      <c r="H59" s="27" t="s">
        <v>79</v>
      </c>
      <c r="I59" s="26" t="s">
        <v>27</v>
      </c>
      <c r="J59" s="28" t="s">
        <v>80</v>
      </c>
      <c r="K59" s="123">
        <v>150</v>
      </c>
      <c r="L59" s="29">
        <f t="shared" si="0"/>
        <v>29.057500000000001</v>
      </c>
      <c r="M59" s="110">
        <v>19.5</v>
      </c>
      <c r="N59" s="30">
        <v>0.32</v>
      </c>
      <c r="O59" s="116">
        <v>6.24</v>
      </c>
      <c r="P59" s="30">
        <v>7.4999999999999997E-2</v>
      </c>
      <c r="Q59" s="116">
        <v>1.4624999999999999</v>
      </c>
      <c r="R59" s="30">
        <v>7.0000000000000007E-2</v>
      </c>
      <c r="S59" s="116">
        <v>1.3650000000000002</v>
      </c>
      <c r="T59" s="117">
        <v>0.49</v>
      </c>
      <c r="U59" s="39">
        <v>600</v>
      </c>
      <c r="V59" s="32">
        <v>228</v>
      </c>
      <c r="W59" s="33"/>
      <c r="X59" s="32"/>
      <c r="Y59" s="32"/>
      <c r="Z59" s="32"/>
      <c r="AA59" s="34"/>
      <c r="AB59" s="35">
        <f t="shared" si="1"/>
        <v>828</v>
      </c>
      <c r="AC59" s="75">
        <f t="shared" si="2"/>
        <v>90000</v>
      </c>
      <c r="AD59" s="78">
        <f t="shared" si="10"/>
        <v>34200</v>
      </c>
      <c r="AE59" s="72">
        <f t="shared" si="3"/>
        <v>124200</v>
      </c>
      <c r="AF59" s="75">
        <f t="shared" si="4"/>
        <v>17434.5</v>
      </c>
      <c r="AG59" s="78">
        <f t="shared" si="5"/>
        <v>6625.1100000000006</v>
      </c>
      <c r="AH59" s="72">
        <f t="shared" si="6"/>
        <v>24059.61</v>
      </c>
      <c r="AI59" s="75">
        <f t="shared" si="7"/>
        <v>11700</v>
      </c>
      <c r="AJ59" s="78">
        <f t="shared" si="8"/>
        <v>4446</v>
      </c>
      <c r="AK59" s="72">
        <f t="shared" si="9"/>
        <v>16146</v>
      </c>
    </row>
    <row r="60" spans="1:37" ht="15.95" customHeight="1">
      <c r="A60" s="25" t="s">
        <v>12</v>
      </c>
      <c r="B60" s="25" t="s">
        <v>13</v>
      </c>
      <c r="C60" s="26" t="s">
        <v>81</v>
      </c>
      <c r="D60" s="26" t="s">
        <v>373</v>
      </c>
      <c r="E60" s="26" t="s">
        <v>16</v>
      </c>
      <c r="F60" s="26" t="s">
        <v>82</v>
      </c>
      <c r="G60" s="41" t="s">
        <v>78</v>
      </c>
      <c r="H60" s="27" t="s">
        <v>79</v>
      </c>
      <c r="I60" s="26" t="s">
        <v>27</v>
      </c>
      <c r="J60" s="37" t="s">
        <v>83</v>
      </c>
      <c r="K60" s="123">
        <v>125</v>
      </c>
      <c r="L60" s="29">
        <f t="shared" si="0"/>
        <v>25.462499999999999</v>
      </c>
      <c r="M60" s="110">
        <v>17.5</v>
      </c>
      <c r="N60" s="30">
        <v>0.28199999999999997</v>
      </c>
      <c r="O60" s="116">
        <v>4.9349999999999996</v>
      </c>
      <c r="P60" s="30">
        <v>7.4999999999999997E-2</v>
      </c>
      <c r="Q60" s="116">
        <v>1.3125</v>
      </c>
      <c r="R60" s="30">
        <v>7.0000000000000007E-2</v>
      </c>
      <c r="S60" s="116">
        <v>1.2250000000000001</v>
      </c>
      <c r="T60" s="117">
        <v>0.49</v>
      </c>
      <c r="U60" s="39">
        <v>600</v>
      </c>
      <c r="V60" s="32">
        <v>228</v>
      </c>
      <c r="W60" s="33"/>
      <c r="X60" s="32"/>
      <c r="Y60" s="32"/>
      <c r="Z60" s="32"/>
      <c r="AA60" s="34"/>
      <c r="AB60" s="35">
        <f t="shared" si="1"/>
        <v>828</v>
      </c>
      <c r="AC60" s="75">
        <f t="shared" si="2"/>
        <v>75000</v>
      </c>
      <c r="AD60" s="78">
        <f t="shared" si="10"/>
        <v>28500</v>
      </c>
      <c r="AE60" s="72">
        <f t="shared" si="3"/>
        <v>103500</v>
      </c>
      <c r="AF60" s="75">
        <f t="shared" si="4"/>
        <v>15277.5</v>
      </c>
      <c r="AG60" s="78">
        <f t="shared" si="5"/>
        <v>5805.45</v>
      </c>
      <c r="AH60" s="72">
        <f t="shared" si="6"/>
        <v>21082.95</v>
      </c>
      <c r="AI60" s="75">
        <f t="shared" si="7"/>
        <v>10500</v>
      </c>
      <c r="AJ60" s="78">
        <f t="shared" si="8"/>
        <v>3990</v>
      </c>
      <c r="AK60" s="72">
        <f t="shared" si="9"/>
        <v>14490</v>
      </c>
    </row>
    <row r="61" spans="1:37" ht="15.95" customHeight="1">
      <c r="A61" s="25" t="s">
        <v>12</v>
      </c>
      <c r="B61" s="25" t="s">
        <v>13</v>
      </c>
      <c r="C61" s="40" t="s">
        <v>76</v>
      </c>
      <c r="D61" s="26" t="s">
        <v>373</v>
      </c>
      <c r="E61" s="26" t="s">
        <v>16</v>
      </c>
      <c r="F61" s="26" t="s">
        <v>77</v>
      </c>
      <c r="G61" s="41" t="s">
        <v>78</v>
      </c>
      <c r="H61" s="27" t="s">
        <v>79</v>
      </c>
      <c r="I61" s="26" t="s">
        <v>27</v>
      </c>
      <c r="J61" s="28" t="s">
        <v>80</v>
      </c>
      <c r="K61" s="123">
        <v>150</v>
      </c>
      <c r="L61" s="29">
        <f t="shared" si="0"/>
        <v>29.057500000000001</v>
      </c>
      <c r="M61" s="110">
        <v>19.5</v>
      </c>
      <c r="N61" s="30">
        <v>0.32</v>
      </c>
      <c r="O61" s="116">
        <v>6.24</v>
      </c>
      <c r="P61" s="30">
        <v>7.4999999999999997E-2</v>
      </c>
      <c r="Q61" s="116">
        <v>1.4624999999999999</v>
      </c>
      <c r="R61" s="30">
        <v>7.0000000000000007E-2</v>
      </c>
      <c r="S61" s="116">
        <v>1.3650000000000002</v>
      </c>
      <c r="T61" s="117">
        <v>0.49</v>
      </c>
      <c r="U61" s="39">
        <v>600</v>
      </c>
      <c r="V61" s="32">
        <v>228</v>
      </c>
      <c r="W61" s="33"/>
      <c r="X61" s="32"/>
      <c r="Y61" s="32"/>
      <c r="Z61" s="32"/>
      <c r="AA61" s="34"/>
      <c r="AB61" s="35">
        <f t="shared" si="1"/>
        <v>828</v>
      </c>
      <c r="AC61" s="75">
        <f t="shared" si="2"/>
        <v>90000</v>
      </c>
      <c r="AD61" s="78">
        <f t="shared" si="10"/>
        <v>34200</v>
      </c>
      <c r="AE61" s="72">
        <f t="shared" si="3"/>
        <v>124200</v>
      </c>
      <c r="AF61" s="75">
        <f t="shared" si="4"/>
        <v>17434.5</v>
      </c>
      <c r="AG61" s="78">
        <f t="shared" si="5"/>
        <v>6625.1100000000006</v>
      </c>
      <c r="AH61" s="72">
        <f t="shared" si="6"/>
        <v>24059.61</v>
      </c>
      <c r="AI61" s="75">
        <f t="shared" si="7"/>
        <v>11700</v>
      </c>
      <c r="AJ61" s="78">
        <f t="shared" si="8"/>
        <v>4446</v>
      </c>
      <c r="AK61" s="72">
        <f t="shared" si="9"/>
        <v>16146</v>
      </c>
    </row>
    <row r="62" spans="1:37" ht="15.95" customHeight="1">
      <c r="A62" s="25" t="s">
        <v>12</v>
      </c>
      <c r="B62" s="25" t="s">
        <v>13</v>
      </c>
      <c r="C62" s="26" t="s">
        <v>81</v>
      </c>
      <c r="D62" s="26" t="s">
        <v>373</v>
      </c>
      <c r="E62" s="26" t="s">
        <v>16</v>
      </c>
      <c r="F62" s="26" t="s">
        <v>82</v>
      </c>
      <c r="G62" s="41" t="s">
        <v>78</v>
      </c>
      <c r="H62" s="27" t="s">
        <v>79</v>
      </c>
      <c r="I62" s="26" t="s">
        <v>27</v>
      </c>
      <c r="J62" s="37" t="s">
        <v>83</v>
      </c>
      <c r="K62" s="123">
        <v>125</v>
      </c>
      <c r="L62" s="29">
        <f t="shared" si="0"/>
        <v>25.462499999999999</v>
      </c>
      <c r="M62" s="110">
        <v>17.5</v>
      </c>
      <c r="N62" s="30">
        <v>0.28199999999999997</v>
      </c>
      <c r="O62" s="116">
        <v>4.9349999999999996</v>
      </c>
      <c r="P62" s="30">
        <v>7.4999999999999997E-2</v>
      </c>
      <c r="Q62" s="116">
        <v>1.3125</v>
      </c>
      <c r="R62" s="30">
        <v>7.0000000000000007E-2</v>
      </c>
      <c r="S62" s="116">
        <v>1.2250000000000001</v>
      </c>
      <c r="T62" s="117">
        <v>0.49</v>
      </c>
      <c r="U62" s="39">
        <v>600</v>
      </c>
      <c r="V62" s="32">
        <v>228</v>
      </c>
      <c r="W62" s="33"/>
      <c r="X62" s="32"/>
      <c r="Y62" s="32"/>
      <c r="Z62" s="32"/>
      <c r="AA62" s="34"/>
      <c r="AB62" s="35">
        <f t="shared" si="1"/>
        <v>828</v>
      </c>
      <c r="AC62" s="75">
        <f t="shared" si="2"/>
        <v>75000</v>
      </c>
      <c r="AD62" s="78">
        <f t="shared" si="10"/>
        <v>28500</v>
      </c>
      <c r="AE62" s="72">
        <f t="shared" si="3"/>
        <v>103500</v>
      </c>
      <c r="AF62" s="75">
        <f t="shared" si="4"/>
        <v>15277.5</v>
      </c>
      <c r="AG62" s="78">
        <f t="shared" si="5"/>
        <v>5805.45</v>
      </c>
      <c r="AH62" s="72">
        <f t="shared" si="6"/>
        <v>21082.95</v>
      </c>
      <c r="AI62" s="75">
        <f t="shared" si="7"/>
        <v>10500</v>
      </c>
      <c r="AJ62" s="78">
        <f t="shared" si="8"/>
        <v>3990</v>
      </c>
      <c r="AK62" s="72">
        <f t="shared" si="9"/>
        <v>14490</v>
      </c>
    </row>
    <row r="63" spans="1:37" ht="15.95" customHeight="1">
      <c r="A63" s="25" t="s">
        <v>84</v>
      </c>
      <c r="B63" s="25" t="s">
        <v>13</v>
      </c>
      <c r="C63" s="40" t="s">
        <v>76</v>
      </c>
      <c r="D63" s="26" t="s">
        <v>373</v>
      </c>
      <c r="E63" s="26" t="s">
        <v>16</v>
      </c>
      <c r="F63" s="26" t="s">
        <v>85</v>
      </c>
      <c r="G63" s="41" t="s">
        <v>78</v>
      </c>
      <c r="H63" s="27" t="s">
        <v>79</v>
      </c>
      <c r="I63" s="26" t="s">
        <v>27</v>
      </c>
      <c r="J63" s="28" t="s">
        <v>80</v>
      </c>
      <c r="K63" s="123">
        <v>150</v>
      </c>
      <c r="L63" s="29">
        <f t="shared" si="0"/>
        <v>29.057500000000001</v>
      </c>
      <c r="M63" s="110">
        <v>19.5</v>
      </c>
      <c r="N63" s="30">
        <v>0.32</v>
      </c>
      <c r="O63" s="116">
        <v>6.24</v>
      </c>
      <c r="P63" s="30">
        <v>7.4999999999999997E-2</v>
      </c>
      <c r="Q63" s="116">
        <v>1.4624999999999999</v>
      </c>
      <c r="R63" s="30">
        <v>7.0000000000000007E-2</v>
      </c>
      <c r="S63" s="116">
        <v>1.3650000000000002</v>
      </c>
      <c r="T63" s="117">
        <v>0.49</v>
      </c>
      <c r="U63" s="39">
        <v>700</v>
      </c>
      <c r="V63" s="32">
        <v>96</v>
      </c>
      <c r="W63" s="33"/>
      <c r="X63" s="32"/>
      <c r="Y63" s="32"/>
      <c r="Z63" s="32"/>
      <c r="AA63" s="34"/>
      <c r="AB63" s="35">
        <f t="shared" si="1"/>
        <v>796</v>
      </c>
      <c r="AC63" s="75">
        <f t="shared" si="2"/>
        <v>105000</v>
      </c>
      <c r="AD63" s="78">
        <f t="shared" si="10"/>
        <v>14400</v>
      </c>
      <c r="AE63" s="72">
        <f t="shared" si="3"/>
        <v>119400</v>
      </c>
      <c r="AF63" s="75">
        <f t="shared" si="4"/>
        <v>20340.25</v>
      </c>
      <c r="AG63" s="78">
        <f t="shared" si="5"/>
        <v>2789.52</v>
      </c>
      <c r="AH63" s="72">
        <f t="shared" si="6"/>
        <v>23129.77</v>
      </c>
      <c r="AI63" s="75">
        <f t="shared" si="7"/>
        <v>13650</v>
      </c>
      <c r="AJ63" s="78">
        <f t="shared" si="8"/>
        <v>1872</v>
      </c>
      <c r="AK63" s="72">
        <f t="shared" si="9"/>
        <v>15522</v>
      </c>
    </row>
    <row r="64" spans="1:37" ht="15.95" customHeight="1">
      <c r="A64" s="25" t="s">
        <v>84</v>
      </c>
      <c r="B64" s="25" t="s">
        <v>13</v>
      </c>
      <c r="C64" s="26" t="s">
        <v>81</v>
      </c>
      <c r="D64" s="26" t="s">
        <v>373</v>
      </c>
      <c r="E64" s="26" t="s">
        <v>16</v>
      </c>
      <c r="F64" s="26" t="s">
        <v>86</v>
      </c>
      <c r="G64" s="41" t="s">
        <v>78</v>
      </c>
      <c r="H64" s="27" t="s">
        <v>79</v>
      </c>
      <c r="I64" s="26" t="s">
        <v>27</v>
      </c>
      <c r="J64" s="37" t="s">
        <v>83</v>
      </c>
      <c r="K64" s="123">
        <v>125</v>
      </c>
      <c r="L64" s="29">
        <f t="shared" si="0"/>
        <v>25.462499999999999</v>
      </c>
      <c r="M64" s="110">
        <v>17.5</v>
      </c>
      <c r="N64" s="30">
        <v>0.28199999999999997</v>
      </c>
      <c r="O64" s="116">
        <v>4.9349999999999996</v>
      </c>
      <c r="P64" s="30">
        <v>7.4999999999999997E-2</v>
      </c>
      <c r="Q64" s="116">
        <v>1.3125</v>
      </c>
      <c r="R64" s="30">
        <v>7.0000000000000007E-2</v>
      </c>
      <c r="S64" s="116">
        <v>1.2250000000000001</v>
      </c>
      <c r="T64" s="117">
        <v>0.49</v>
      </c>
      <c r="U64" s="39">
        <v>700</v>
      </c>
      <c r="V64" s="32">
        <v>96</v>
      </c>
      <c r="W64" s="33"/>
      <c r="X64" s="32"/>
      <c r="Y64" s="32"/>
      <c r="Z64" s="32"/>
      <c r="AA64" s="34"/>
      <c r="AB64" s="35">
        <f t="shared" si="1"/>
        <v>796</v>
      </c>
      <c r="AC64" s="75">
        <f t="shared" si="2"/>
        <v>87500</v>
      </c>
      <c r="AD64" s="78">
        <f t="shared" si="10"/>
        <v>12000</v>
      </c>
      <c r="AE64" s="72">
        <f t="shared" si="3"/>
        <v>99500</v>
      </c>
      <c r="AF64" s="75">
        <f t="shared" si="4"/>
        <v>17823.75</v>
      </c>
      <c r="AG64" s="78">
        <f t="shared" si="5"/>
        <v>2444.3999999999996</v>
      </c>
      <c r="AH64" s="72">
        <f t="shared" si="6"/>
        <v>20268.150000000001</v>
      </c>
      <c r="AI64" s="75">
        <f t="shared" si="7"/>
        <v>12250</v>
      </c>
      <c r="AJ64" s="78">
        <f t="shared" si="8"/>
        <v>1680</v>
      </c>
      <c r="AK64" s="72">
        <f t="shared" si="9"/>
        <v>13930</v>
      </c>
    </row>
    <row r="65" spans="1:37" ht="15.95" customHeight="1">
      <c r="A65" s="25" t="s">
        <v>12</v>
      </c>
      <c r="B65" s="25" t="s">
        <v>13</v>
      </c>
      <c r="C65" s="26" t="s">
        <v>14</v>
      </c>
      <c r="D65" s="26" t="s">
        <v>373</v>
      </c>
      <c r="E65" s="26" t="s">
        <v>16</v>
      </c>
      <c r="F65" s="26" t="s">
        <v>87</v>
      </c>
      <c r="G65" s="26" t="s">
        <v>88</v>
      </c>
      <c r="H65" s="27" t="s">
        <v>89</v>
      </c>
      <c r="I65" s="26" t="s">
        <v>27</v>
      </c>
      <c r="J65" s="28" t="s">
        <v>41</v>
      </c>
      <c r="K65" s="123">
        <v>140</v>
      </c>
      <c r="L65" s="29">
        <f t="shared" si="0"/>
        <v>22.608499999999999</v>
      </c>
      <c r="M65" s="110">
        <v>15.5</v>
      </c>
      <c r="N65" s="30">
        <v>0.28199999999999997</v>
      </c>
      <c r="O65" s="116">
        <v>4.3709999999999996</v>
      </c>
      <c r="P65" s="30">
        <v>7.4999999999999997E-2</v>
      </c>
      <c r="Q65" s="116">
        <v>1.1624999999999999</v>
      </c>
      <c r="R65" s="30">
        <v>7.0000000000000007E-2</v>
      </c>
      <c r="S65" s="116">
        <v>1.0850000000000002</v>
      </c>
      <c r="T65" s="117">
        <v>0.49</v>
      </c>
      <c r="U65" s="39">
        <v>1100</v>
      </c>
      <c r="V65" s="32">
        <v>190</v>
      </c>
      <c r="W65" s="33"/>
      <c r="X65" s="32"/>
      <c r="Y65" s="32"/>
      <c r="Z65" s="32"/>
      <c r="AA65" s="34"/>
      <c r="AB65" s="35">
        <f t="shared" si="1"/>
        <v>1290</v>
      </c>
      <c r="AC65" s="75">
        <f t="shared" si="2"/>
        <v>154000</v>
      </c>
      <c r="AD65" s="78">
        <f t="shared" si="10"/>
        <v>26600</v>
      </c>
      <c r="AE65" s="72">
        <f t="shared" si="3"/>
        <v>180600</v>
      </c>
      <c r="AF65" s="75">
        <f t="shared" si="4"/>
        <v>24869.35</v>
      </c>
      <c r="AG65" s="78">
        <f t="shared" si="5"/>
        <v>4295.6149999999998</v>
      </c>
      <c r="AH65" s="72">
        <f t="shared" si="6"/>
        <v>29164.964999999997</v>
      </c>
      <c r="AI65" s="75">
        <f t="shared" si="7"/>
        <v>17050</v>
      </c>
      <c r="AJ65" s="78">
        <f t="shared" si="8"/>
        <v>2945</v>
      </c>
      <c r="AK65" s="72">
        <f t="shared" si="9"/>
        <v>19995</v>
      </c>
    </row>
    <row r="66" spans="1:37" ht="15.95" customHeight="1">
      <c r="A66" s="25" t="s">
        <v>12</v>
      </c>
      <c r="B66" s="25" t="s">
        <v>13</v>
      </c>
      <c r="C66" s="26" t="s">
        <v>21</v>
      </c>
      <c r="D66" s="26" t="s">
        <v>373</v>
      </c>
      <c r="E66" s="26" t="s">
        <v>16</v>
      </c>
      <c r="F66" s="26" t="s">
        <v>90</v>
      </c>
      <c r="G66" s="26" t="s">
        <v>88</v>
      </c>
      <c r="H66" s="27" t="s">
        <v>89</v>
      </c>
      <c r="I66" s="26" t="s">
        <v>27</v>
      </c>
      <c r="J66" s="28" t="s">
        <v>43</v>
      </c>
      <c r="K66" s="123">
        <v>125</v>
      </c>
      <c r="L66" s="29">
        <f t="shared" si="0"/>
        <v>20.896100000000001</v>
      </c>
      <c r="M66" s="110">
        <v>14.3</v>
      </c>
      <c r="N66" s="30">
        <v>0.28199999999999997</v>
      </c>
      <c r="O66" s="116">
        <v>4.0325999999999995</v>
      </c>
      <c r="P66" s="30">
        <v>7.4999999999999997E-2</v>
      </c>
      <c r="Q66" s="116">
        <v>1.0725</v>
      </c>
      <c r="R66" s="30">
        <v>7.0000000000000007E-2</v>
      </c>
      <c r="S66" s="116">
        <v>1.0010000000000001</v>
      </c>
      <c r="T66" s="117">
        <v>0.49</v>
      </c>
      <c r="U66" s="39">
        <v>1000</v>
      </c>
      <c r="V66" s="32">
        <v>190</v>
      </c>
      <c r="W66" s="33"/>
      <c r="X66" s="32"/>
      <c r="Y66" s="32"/>
      <c r="Z66" s="32"/>
      <c r="AA66" s="34"/>
      <c r="AB66" s="35">
        <f t="shared" si="1"/>
        <v>1190</v>
      </c>
      <c r="AC66" s="75">
        <f t="shared" si="2"/>
        <v>125000</v>
      </c>
      <c r="AD66" s="78">
        <f t="shared" si="10"/>
        <v>23750</v>
      </c>
      <c r="AE66" s="72">
        <f t="shared" si="3"/>
        <v>148750</v>
      </c>
      <c r="AF66" s="75">
        <f t="shared" si="4"/>
        <v>20896.100000000002</v>
      </c>
      <c r="AG66" s="78">
        <f t="shared" si="5"/>
        <v>3970.259</v>
      </c>
      <c r="AH66" s="72">
        <f t="shared" si="6"/>
        <v>24866.359000000004</v>
      </c>
      <c r="AI66" s="75">
        <f t="shared" si="7"/>
        <v>14300</v>
      </c>
      <c r="AJ66" s="78">
        <f t="shared" si="8"/>
        <v>2717</v>
      </c>
      <c r="AK66" s="72">
        <f t="shared" si="9"/>
        <v>17017</v>
      </c>
    </row>
    <row r="67" spans="1:37" ht="15.95" customHeight="1">
      <c r="A67" s="25" t="s">
        <v>12</v>
      </c>
      <c r="B67" s="25" t="s">
        <v>13</v>
      </c>
      <c r="C67" s="26" t="s">
        <v>14</v>
      </c>
      <c r="D67" s="26" t="s">
        <v>373</v>
      </c>
      <c r="E67" s="26" t="s">
        <v>16</v>
      </c>
      <c r="F67" s="26" t="s">
        <v>87</v>
      </c>
      <c r="G67" s="26" t="s">
        <v>88</v>
      </c>
      <c r="H67" s="27" t="s">
        <v>89</v>
      </c>
      <c r="I67" s="26" t="s">
        <v>27</v>
      </c>
      <c r="J67" s="28" t="s">
        <v>41</v>
      </c>
      <c r="K67" s="123">
        <v>140</v>
      </c>
      <c r="L67" s="29">
        <f t="shared" si="0"/>
        <v>23.321999999999999</v>
      </c>
      <c r="M67" s="110">
        <v>16</v>
      </c>
      <c r="N67" s="30">
        <v>0.28199999999999997</v>
      </c>
      <c r="O67" s="116">
        <v>4.5119999999999996</v>
      </c>
      <c r="P67" s="30">
        <v>7.4999999999999997E-2</v>
      </c>
      <c r="Q67" s="116">
        <v>1.2</v>
      </c>
      <c r="R67" s="30">
        <v>7.0000000000000007E-2</v>
      </c>
      <c r="S67" s="116">
        <v>1.1200000000000001</v>
      </c>
      <c r="T67" s="117">
        <v>0.49</v>
      </c>
      <c r="U67" s="39">
        <v>1200</v>
      </c>
      <c r="V67" s="32">
        <v>287</v>
      </c>
      <c r="W67" s="33"/>
      <c r="X67" s="32"/>
      <c r="Y67" s="32"/>
      <c r="Z67" s="32"/>
      <c r="AA67" s="34"/>
      <c r="AB67" s="35">
        <f t="shared" si="1"/>
        <v>1487</v>
      </c>
      <c r="AC67" s="75">
        <f t="shared" si="2"/>
        <v>168000</v>
      </c>
      <c r="AD67" s="78">
        <f t="shared" si="10"/>
        <v>40180</v>
      </c>
      <c r="AE67" s="72">
        <f t="shared" si="3"/>
        <v>208180</v>
      </c>
      <c r="AF67" s="75">
        <f t="shared" si="4"/>
        <v>27986.399999999998</v>
      </c>
      <c r="AG67" s="78">
        <f t="shared" si="5"/>
        <v>6693.4139999999998</v>
      </c>
      <c r="AH67" s="72">
        <f t="shared" si="6"/>
        <v>34679.813999999998</v>
      </c>
      <c r="AI67" s="75">
        <f t="shared" si="7"/>
        <v>19200</v>
      </c>
      <c r="AJ67" s="78">
        <f t="shared" si="8"/>
        <v>4592</v>
      </c>
      <c r="AK67" s="72">
        <f t="shared" si="9"/>
        <v>23792</v>
      </c>
    </row>
    <row r="68" spans="1:37" ht="15.95" customHeight="1">
      <c r="A68" s="25" t="s">
        <v>12</v>
      </c>
      <c r="B68" s="25" t="s">
        <v>13</v>
      </c>
      <c r="C68" s="26" t="s">
        <v>21</v>
      </c>
      <c r="D68" s="26" t="s">
        <v>373</v>
      </c>
      <c r="E68" s="26" t="s">
        <v>16</v>
      </c>
      <c r="F68" s="26" t="s">
        <v>90</v>
      </c>
      <c r="G68" s="26" t="s">
        <v>88</v>
      </c>
      <c r="H68" s="27" t="s">
        <v>89</v>
      </c>
      <c r="I68" s="26" t="s">
        <v>27</v>
      </c>
      <c r="J68" s="28" t="s">
        <v>43</v>
      </c>
      <c r="K68" s="123">
        <v>125</v>
      </c>
      <c r="L68" s="29">
        <f t="shared" si="0"/>
        <v>20.896100000000001</v>
      </c>
      <c r="M68" s="110">
        <v>14.3</v>
      </c>
      <c r="N68" s="30">
        <v>0.28199999999999997</v>
      </c>
      <c r="O68" s="116">
        <v>4.0325999999999995</v>
      </c>
      <c r="P68" s="30">
        <v>7.4999999999999997E-2</v>
      </c>
      <c r="Q68" s="116">
        <v>1.0725</v>
      </c>
      <c r="R68" s="30">
        <v>7.0000000000000007E-2</v>
      </c>
      <c r="S68" s="116">
        <v>1.0010000000000001</v>
      </c>
      <c r="T68" s="117">
        <v>0.49</v>
      </c>
      <c r="U68" s="39">
        <v>1100</v>
      </c>
      <c r="V68" s="32">
        <v>287</v>
      </c>
      <c r="W68" s="33"/>
      <c r="X68" s="32"/>
      <c r="Y68" s="32"/>
      <c r="Z68" s="32"/>
      <c r="AA68" s="34"/>
      <c r="AB68" s="35">
        <f t="shared" si="1"/>
        <v>1387</v>
      </c>
      <c r="AC68" s="75">
        <f t="shared" si="2"/>
        <v>137500</v>
      </c>
      <c r="AD68" s="78">
        <f t="shared" si="10"/>
        <v>35875</v>
      </c>
      <c r="AE68" s="72">
        <f t="shared" si="3"/>
        <v>173375</v>
      </c>
      <c r="AF68" s="75">
        <f t="shared" si="4"/>
        <v>22985.71</v>
      </c>
      <c r="AG68" s="78">
        <f t="shared" si="5"/>
        <v>5997.1806999999999</v>
      </c>
      <c r="AH68" s="72">
        <f t="shared" si="6"/>
        <v>28982.8907</v>
      </c>
      <c r="AI68" s="75">
        <f t="shared" si="7"/>
        <v>15730</v>
      </c>
      <c r="AJ68" s="78">
        <f t="shared" si="8"/>
        <v>4104.1000000000004</v>
      </c>
      <c r="AK68" s="72">
        <f t="shared" si="9"/>
        <v>19834.099999999999</v>
      </c>
    </row>
    <row r="69" spans="1:37" ht="15.95" customHeight="1">
      <c r="A69" s="25" t="s">
        <v>12</v>
      </c>
      <c r="B69" s="25" t="s">
        <v>13</v>
      </c>
      <c r="C69" s="26" t="s">
        <v>14</v>
      </c>
      <c r="D69" s="26" t="s">
        <v>373</v>
      </c>
      <c r="E69" s="26" t="s">
        <v>16</v>
      </c>
      <c r="F69" s="26" t="s">
        <v>87</v>
      </c>
      <c r="G69" s="26" t="s">
        <v>88</v>
      </c>
      <c r="H69" s="27" t="s">
        <v>89</v>
      </c>
      <c r="I69" s="26" t="s">
        <v>27</v>
      </c>
      <c r="J69" s="28" t="s">
        <v>41</v>
      </c>
      <c r="K69" s="123">
        <v>140</v>
      </c>
      <c r="L69" s="29">
        <f t="shared" ref="L69:L132" si="11">M69+O69+Q69+S69+T69</f>
        <v>23.321999999999999</v>
      </c>
      <c r="M69" s="110">
        <v>16</v>
      </c>
      <c r="N69" s="30">
        <v>0.28199999999999997</v>
      </c>
      <c r="O69" s="116">
        <v>4.5119999999999996</v>
      </c>
      <c r="P69" s="30">
        <v>7.4999999999999997E-2</v>
      </c>
      <c r="Q69" s="116">
        <v>1.2</v>
      </c>
      <c r="R69" s="30">
        <v>7.0000000000000007E-2</v>
      </c>
      <c r="S69" s="116">
        <v>1.1200000000000001</v>
      </c>
      <c r="T69" s="117">
        <v>0.49</v>
      </c>
      <c r="U69" s="39">
        <v>1200</v>
      </c>
      <c r="V69" s="32">
        <v>272</v>
      </c>
      <c r="W69" s="33"/>
      <c r="X69" s="32"/>
      <c r="Y69" s="32"/>
      <c r="Z69" s="32"/>
      <c r="AA69" s="34">
        <v>6</v>
      </c>
      <c r="AB69" s="35">
        <f t="shared" ref="AB69:AB132" si="12">SUM(U69:AA69)</f>
        <v>1478</v>
      </c>
      <c r="AC69" s="75">
        <f t="shared" ref="AC69:AC132" si="13">$K69*U69</f>
        <v>168000</v>
      </c>
      <c r="AD69" s="78">
        <f t="shared" si="10"/>
        <v>38920</v>
      </c>
      <c r="AE69" s="72">
        <f t="shared" ref="AE69:AE132" si="14">SUM(AC69:AD69)</f>
        <v>206920</v>
      </c>
      <c r="AF69" s="75">
        <f t="shared" ref="AF69:AF132" si="15">$L69*U69</f>
        <v>27986.399999999998</v>
      </c>
      <c r="AG69" s="78">
        <f t="shared" ref="AG69:AG132" si="16">$L69*SUM(V69:W69)+M69*SUM(X69:AA69)</f>
        <v>6439.5839999999998</v>
      </c>
      <c r="AH69" s="72">
        <f t="shared" ref="AH69:AH132" si="17">SUM(AF69:AG69)</f>
        <v>34425.983999999997</v>
      </c>
      <c r="AI69" s="75">
        <f t="shared" ref="AI69:AI132" si="18">$M69*U69</f>
        <v>19200</v>
      </c>
      <c r="AJ69" s="78">
        <f t="shared" ref="AJ69:AJ132" si="19">$M69*SUM(V69:AA69)</f>
        <v>4448</v>
      </c>
      <c r="AK69" s="72">
        <f t="shared" ref="AK69:AK132" si="20">SUM(AI69:AJ69)</f>
        <v>23648</v>
      </c>
    </row>
    <row r="70" spans="1:37" ht="15.95" customHeight="1">
      <c r="A70" s="25" t="s">
        <v>12</v>
      </c>
      <c r="B70" s="25" t="s">
        <v>13</v>
      </c>
      <c r="C70" s="26" t="s">
        <v>21</v>
      </c>
      <c r="D70" s="26" t="s">
        <v>373</v>
      </c>
      <c r="E70" s="26" t="s">
        <v>16</v>
      </c>
      <c r="F70" s="26" t="s">
        <v>90</v>
      </c>
      <c r="G70" s="26" t="s">
        <v>88</v>
      </c>
      <c r="H70" s="27" t="s">
        <v>89</v>
      </c>
      <c r="I70" s="26" t="s">
        <v>27</v>
      </c>
      <c r="J70" s="28" t="s">
        <v>43</v>
      </c>
      <c r="K70" s="123">
        <v>125</v>
      </c>
      <c r="L70" s="29">
        <f t="shared" si="11"/>
        <v>20.896100000000001</v>
      </c>
      <c r="M70" s="110">
        <v>14.3</v>
      </c>
      <c r="N70" s="30">
        <v>0.28199999999999997</v>
      </c>
      <c r="O70" s="116">
        <v>4.0325999999999995</v>
      </c>
      <c r="P70" s="30">
        <v>7.4999999999999997E-2</v>
      </c>
      <c r="Q70" s="116">
        <v>1.0725</v>
      </c>
      <c r="R70" s="30">
        <v>7.0000000000000007E-2</v>
      </c>
      <c r="S70" s="116">
        <v>1.0010000000000001</v>
      </c>
      <c r="T70" s="117">
        <v>0.49</v>
      </c>
      <c r="U70" s="39">
        <v>1100</v>
      </c>
      <c r="V70" s="32">
        <v>272</v>
      </c>
      <c r="W70" s="33"/>
      <c r="X70" s="32"/>
      <c r="Y70" s="32"/>
      <c r="Z70" s="32"/>
      <c r="AA70" s="34">
        <v>6</v>
      </c>
      <c r="AB70" s="35">
        <f t="shared" si="12"/>
        <v>1378</v>
      </c>
      <c r="AC70" s="75">
        <f t="shared" si="13"/>
        <v>137500</v>
      </c>
      <c r="AD70" s="78">
        <f t="shared" si="10"/>
        <v>34750</v>
      </c>
      <c r="AE70" s="72">
        <f t="shared" si="14"/>
        <v>172250</v>
      </c>
      <c r="AF70" s="75">
        <f t="shared" si="15"/>
        <v>22985.71</v>
      </c>
      <c r="AG70" s="78">
        <f t="shared" si="16"/>
        <v>5769.5392000000002</v>
      </c>
      <c r="AH70" s="72">
        <f t="shared" si="17"/>
        <v>28755.249199999998</v>
      </c>
      <c r="AI70" s="75">
        <f t="shared" si="18"/>
        <v>15730</v>
      </c>
      <c r="AJ70" s="78">
        <f t="shared" si="19"/>
        <v>3975.4</v>
      </c>
      <c r="AK70" s="72">
        <f t="shared" si="20"/>
        <v>19705.400000000001</v>
      </c>
    </row>
    <row r="71" spans="1:37" ht="15.95" customHeight="1">
      <c r="A71" s="25" t="s">
        <v>12</v>
      </c>
      <c r="B71" s="25" t="s">
        <v>13</v>
      </c>
      <c r="C71" s="26" t="s">
        <v>14</v>
      </c>
      <c r="D71" s="26" t="s">
        <v>373</v>
      </c>
      <c r="E71" s="26" t="s">
        <v>16</v>
      </c>
      <c r="F71" s="26" t="s">
        <v>91</v>
      </c>
      <c r="G71" s="26" t="s">
        <v>92</v>
      </c>
      <c r="H71" s="27" t="s">
        <v>93</v>
      </c>
      <c r="I71" s="26" t="s">
        <v>27</v>
      </c>
      <c r="J71" s="28" t="s">
        <v>53</v>
      </c>
      <c r="K71" s="123">
        <v>145</v>
      </c>
      <c r="L71" s="29">
        <f t="shared" si="11"/>
        <v>27.016999999999999</v>
      </c>
      <c r="M71" s="110">
        <v>20.5</v>
      </c>
      <c r="N71" s="30">
        <v>0.14899999999999999</v>
      </c>
      <c r="O71" s="116">
        <v>3.0545</v>
      </c>
      <c r="P71" s="30">
        <v>7.4999999999999997E-2</v>
      </c>
      <c r="Q71" s="116">
        <v>1.5374999999999999</v>
      </c>
      <c r="R71" s="30">
        <v>7.0000000000000007E-2</v>
      </c>
      <c r="S71" s="116">
        <v>1.4350000000000001</v>
      </c>
      <c r="T71" s="117">
        <v>0.49</v>
      </c>
      <c r="U71" s="39">
        <v>900</v>
      </c>
      <c r="V71" s="32">
        <v>215</v>
      </c>
      <c r="W71" s="33"/>
      <c r="X71" s="32"/>
      <c r="Y71" s="32"/>
      <c r="Z71" s="32"/>
      <c r="AA71" s="34">
        <v>6</v>
      </c>
      <c r="AB71" s="35">
        <f t="shared" si="12"/>
        <v>1121</v>
      </c>
      <c r="AC71" s="75">
        <f t="shared" si="13"/>
        <v>130500</v>
      </c>
      <c r="AD71" s="78">
        <f t="shared" ref="AD71:AD134" si="21">$K71*SUM(V71:AA71)</f>
        <v>32045</v>
      </c>
      <c r="AE71" s="72">
        <f t="shared" si="14"/>
        <v>162545</v>
      </c>
      <c r="AF71" s="75">
        <f t="shared" si="15"/>
        <v>24315.3</v>
      </c>
      <c r="AG71" s="78">
        <f t="shared" si="16"/>
        <v>5931.6549999999997</v>
      </c>
      <c r="AH71" s="72">
        <f t="shared" si="17"/>
        <v>30246.954999999998</v>
      </c>
      <c r="AI71" s="75">
        <f t="shared" si="18"/>
        <v>18450</v>
      </c>
      <c r="AJ71" s="78">
        <f t="shared" si="19"/>
        <v>4530.5</v>
      </c>
      <c r="AK71" s="72">
        <f t="shared" si="20"/>
        <v>22980.5</v>
      </c>
    </row>
    <row r="72" spans="1:37" ht="15.95" customHeight="1">
      <c r="A72" s="25" t="s">
        <v>12</v>
      </c>
      <c r="B72" s="25" t="s">
        <v>13</v>
      </c>
      <c r="C72" s="26" t="s">
        <v>21</v>
      </c>
      <c r="D72" s="26" t="s">
        <v>373</v>
      </c>
      <c r="E72" s="26" t="s">
        <v>16</v>
      </c>
      <c r="F72" s="26" t="s">
        <v>94</v>
      </c>
      <c r="G72" s="26" t="s">
        <v>92</v>
      </c>
      <c r="H72" s="27" t="s">
        <v>95</v>
      </c>
      <c r="I72" s="26" t="s">
        <v>27</v>
      </c>
      <c r="J72" s="28" t="s">
        <v>96</v>
      </c>
      <c r="K72" s="123">
        <v>125</v>
      </c>
      <c r="L72" s="29">
        <f t="shared" si="11"/>
        <v>25.075999999999997</v>
      </c>
      <c r="M72" s="110">
        <v>19</v>
      </c>
      <c r="N72" s="30">
        <v>0.14899999999999999</v>
      </c>
      <c r="O72" s="116">
        <v>2.831</v>
      </c>
      <c r="P72" s="30">
        <v>7.4999999999999997E-2</v>
      </c>
      <c r="Q72" s="116">
        <v>1.425</v>
      </c>
      <c r="R72" s="30">
        <v>7.0000000000000007E-2</v>
      </c>
      <c r="S72" s="116">
        <v>1.33</v>
      </c>
      <c r="T72" s="117">
        <v>0.49</v>
      </c>
      <c r="U72" s="39">
        <v>800</v>
      </c>
      <c r="V72" s="32">
        <v>215</v>
      </c>
      <c r="W72" s="33"/>
      <c r="X72" s="32"/>
      <c r="Y72" s="32"/>
      <c r="Z72" s="32"/>
      <c r="AA72" s="34">
        <v>6</v>
      </c>
      <c r="AB72" s="35">
        <f t="shared" si="12"/>
        <v>1021</v>
      </c>
      <c r="AC72" s="75">
        <f t="shared" si="13"/>
        <v>100000</v>
      </c>
      <c r="AD72" s="78">
        <f t="shared" si="21"/>
        <v>27625</v>
      </c>
      <c r="AE72" s="72">
        <f t="shared" si="14"/>
        <v>127625</v>
      </c>
      <c r="AF72" s="75">
        <f t="shared" si="15"/>
        <v>20060.8</v>
      </c>
      <c r="AG72" s="78">
        <f t="shared" si="16"/>
        <v>5505.3399999999992</v>
      </c>
      <c r="AH72" s="72">
        <f t="shared" si="17"/>
        <v>25566.14</v>
      </c>
      <c r="AI72" s="75">
        <f t="shared" si="18"/>
        <v>15200</v>
      </c>
      <c r="AJ72" s="78">
        <f t="shared" si="19"/>
        <v>4199</v>
      </c>
      <c r="AK72" s="72">
        <f t="shared" si="20"/>
        <v>19399</v>
      </c>
    </row>
    <row r="73" spans="1:37" ht="15.95" customHeight="1">
      <c r="A73" s="25" t="s">
        <v>12</v>
      </c>
      <c r="B73" s="25" t="s">
        <v>13</v>
      </c>
      <c r="C73" s="26" t="s">
        <v>14</v>
      </c>
      <c r="D73" s="26" t="s">
        <v>373</v>
      </c>
      <c r="E73" s="26" t="s">
        <v>16</v>
      </c>
      <c r="F73" s="26" t="s">
        <v>91</v>
      </c>
      <c r="G73" s="26" t="s">
        <v>92</v>
      </c>
      <c r="H73" s="27" t="s">
        <v>93</v>
      </c>
      <c r="I73" s="26" t="s">
        <v>27</v>
      </c>
      <c r="J73" s="28" t="s">
        <v>53</v>
      </c>
      <c r="K73" s="123">
        <v>145</v>
      </c>
      <c r="L73" s="29">
        <f t="shared" si="11"/>
        <v>27.016999999999999</v>
      </c>
      <c r="M73" s="110">
        <v>20.5</v>
      </c>
      <c r="N73" s="30">
        <v>0.14899999999999999</v>
      </c>
      <c r="O73" s="116">
        <v>3.0545</v>
      </c>
      <c r="P73" s="30">
        <v>7.4999999999999997E-2</v>
      </c>
      <c r="Q73" s="116">
        <v>1.5374999999999999</v>
      </c>
      <c r="R73" s="30">
        <v>7.0000000000000007E-2</v>
      </c>
      <c r="S73" s="116">
        <v>1.4350000000000001</v>
      </c>
      <c r="T73" s="117">
        <v>0.49</v>
      </c>
      <c r="U73" s="39">
        <v>800</v>
      </c>
      <c r="V73" s="32">
        <v>212</v>
      </c>
      <c r="W73" s="33"/>
      <c r="X73" s="32"/>
      <c r="Y73" s="32"/>
      <c r="Z73" s="32"/>
      <c r="AA73" s="34"/>
      <c r="AB73" s="35">
        <f t="shared" si="12"/>
        <v>1012</v>
      </c>
      <c r="AC73" s="75">
        <f t="shared" si="13"/>
        <v>116000</v>
      </c>
      <c r="AD73" s="78">
        <f t="shared" si="21"/>
        <v>30740</v>
      </c>
      <c r="AE73" s="72">
        <f t="shared" si="14"/>
        <v>146740</v>
      </c>
      <c r="AF73" s="75">
        <f t="shared" si="15"/>
        <v>21613.599999999999</v>
      </c>
      <c r="AG73" s="78">
        <f t="shared" si="16"/>
        <v>5727.6040000000003</v>
      </c>
      <c r="AH73" s="72">
        <f t="shared" si="17"/>
        <v>27341.203999999998</v>
      </c>
      <c r="AI73" s="75">
        <f t="shared" si="18"/>
        <v>16400</v>
      </c>
      <c r="AJ73" s="78">
        <f t="shared" si="19"/>
        <v>4346</v>
      </c>
      <c r="AK73" s="72">
        <f t="shared" si="20"/>
        <v>20746</v>
      </c>
    </row>
    <row r="74" spans="1:37" ht="15.95" customHeight="1">
      <c r="A74" s="25" t="s">
        <v>12</v>
      </c>
      <c r="B74" s="25" t="s">
        <v>13</v>
      </c>
      <c r="C74" s="26" t="s">
        <v>21</v>
      </c>
      <c r="D74" s="26" t="s">
        <v>373</v>
      </c>
      <c r="E74" s="26" t="s">
        <v>16</v>
      </c>
      <c r="F74" s="26" t="s">
        <v>94</v>
      </c>
      <c r="G74" s="26" t="s">
        <v>92</v>
      </c>
      <c r="H74" s="27" t="s">
        <v>95</v>
      </c>
      <c r="I74" s="26" t="s">
        <v>27</v>
      </c>
      <c r="J74" s="28" t="s">
        <v>96</v>
      </c>
      <c r="K74" s="123">
        <v>125</v>
      </c>
      <c r="L74" s="29">
        <f t="shared" si="11"/>
        <v>25.075999999999997</v>
      </c>
      <c r="M74" s="110">
        <v>19</v>
      </c>
      <c r="N74" s="30">
        <v>0.14899999999999999</v>
      </c>
      <c r="O74" s="116">
        <v>2.831</v>
      </c>
      <c r="P74" s="30">
        <v>7.4999999999999997E-2</v>
      </c>
      <c r="Q74" s="116">
        <v>1.425</v>
      </c>
      <c r="R74" s="30">
        <v>7.0000000000000007E-2</v>
      </c>
      <c r="S74" s="116">
        <v>1.33</v>
      </c>
      <c r="T74" s="117">
        <v>0.49</v>
      </c>
      <c r="U74" s="39">
        <v>700</v>
      </c>
      <c r="V74" s="32">
        <v>212</v>
      </c>
      <c r="W74" s="33"/>
      <c r="X74" s="32"/>
      <c r="Y74" s="32"/>
      <c r="Z74" s="32"/>
      <c r="AA74" s="34"/>
      <c r="AB74" s="35">
        <f t="shared" si="12"/>
        <v>912</v>
      </c>
      <c r="AC74" s="75">
        <f t="shared" si="13"/>
        <v>87500</v>
      </c>
      <c r="AD74" s="78">
        <f t="shared" si="21"/>
        <v>26500</v>
      </c>
      <c r="AE74" s="72">
        <f t="shared" si="14"/>
        <v>114000</v>
      </c>
      <c r="AF74" s="75">
        <f t="shared" si="15"/>
        <v>17553.199999999997</v>
      </c>
      <c r="AG74" s="78">
        <f t="shared" si="16"/>
        <v>5316.1119999999992</v>
      </c>
      <c r="AH74" s="72">
        <f t="shared" si="17"/>
        <v>22869.311999999998</v>
      </c>
      <c r="AI74" s="75">
        <f t="shared" si="18"/>
        <v>13300</v>
      </c>
      <c r="AJ74" s="78">
        <f t="shared" si="19"/>
        <v>4028</v>
      </c>
      <c r="AK74" s="72">
        <f t="shared" si="20"/>
        <v>17328</v>
      </c>
    </row>
    <row r="75" spans="1:37" ht="15.95" customHeight="1">
      <c r="A75" s="25" t="s">
        <v>12</v>
      </c>
      <c r="B75" s="25" t="s">
        <v>13</v>
      </c>
      <c r="C75" s="26" t="s">
        <v>14</v>
      </c>
      <c r="D75" s="26" t="s">
        <v>373</v>
      </c>
      <c r="E75" s="26" t="s">
        <v>16</v>
      </c>
      <c r="F75" s="26" t="s">
        <v>91</v>
      </c>
      <c r="G75" s="26" t="s">
        <v>92</v>
      </c>
      <c r="H75" s="27" t="s">
        <v>93</v>
      </c>
      <c r="I75" s="26" t="s">
        <v>27</v>
      </c>
      <c r="J75" s="28" t="s">
        <v>53</v>
      </c>
      <c r="K75" s="123">
        <v>145</v>
      </c>
      <c r="L75" s="29">
        <f t="shared" si="11"/>
        <v>27.016999999999999</v>
      </c>
      <c r="M75" s="110">
        <v>20.5</v>
      </c>
      <c r="N75" s="30">
        <v>0.14899999999999999</v>
      </c>
      <c r="O75" s="116">
        <v>3.0545</v>
      </c>
      <c r="P75" s="30">
        <v>7.4999999999999997E-2</v>
      </c>
      <c r="Q75" s="116">
        <v>1.5374999999999999</v>
      </c>
      <c r="R75" s="30">
        <v>7.0000000000000007E-2</v>
      </c>
      <c r="S75" s="116">
        <v>1.4350000000000001</v>
      </c>
      <c r="T75" s="117">
        <v>0.49</v>
      </c>
      <c r="U75" s="39">
        <v>700</v>
      </c>
      <c r="V75" s="32">
        <v>96</v>
      </c>
      <c r="W75" s="33"/>
      <c r="X75" s="32"/>
      <c r="Y75" s="32"/>
      <c r="Z75" s="32"/>
      <c r="AA75" s="34"/>
      <c r="AB75" s="35">
        <f t="shared" si="12"/>
        <v>796</v>
      </c>
      <c r="AC75" s="75">
        <f t="shared" si="13"/>
        <v>101500</v>
      </c>
      <c r="AD75" s="78">
        <f t="shared" si="21"/>
        <v>13920</v>
      </c>
      <c r="AE75" s="72">
        <f t="shared" si="14"/>
        <v>115420</v>
      </c>
      <c r="AF75" s="75">
        <f t="shared" si="15"/>
        <v>18911.899999999998</v>
      </c>
      <c r="AG75" s="78">
        <f t="shared" si="16"/>
        <v>2593.6320000000001</v>
      </c>
      <c r="AH75" s="72">
        <f t="shared" si="17"/>
        <v>21505.531999999999</v>
      </c>
      <c r="AI75" s="75">
        <f t="shared" si="18"/>
        <v>14350</v>
      </c>
      <c r="AJ75" s="78">
        <f t="shared" si="19"/>
        <v>1968</v>
      </c>
      <c r="AK75" s="72">
        <f t="shared" si="20"/>
        <v>16318</v>
      </c>
    </row>
    <row r="76" spans="1:37" ht="15.95" customHeight="1">
      <c r="A76" s="25" t="s">
        <v>12</v>
      </c>
      <c r="B76" s="25" t="s">
        <v>13</v>
      </c>
      <c r="C76" s="26" t="s">
        <v>21</v>
      </c>
      <c r="D76" s="26" t="s">
        <v>373</v>
      </c>
      <c r="E76" s="26" t="s">
        <v>16</v>
      </c>
      <c r="F76" s="26" t="s">
        <v>94</v>
      </c>
      <c r="G76" s="26" t="s">
        <v>92</v>
      </c>
      <c r="H76" s="27" t="s">
        <v>95</v>
      </c>
      <c r="I76" s="26" t="s">
        <v>27</v>
      </c>
      <c r="J76" s="28" t="s">
        <v>96</v>
      </c>
      <c r="K76" s="123">
        <v>125</v>
      </c>
      <c r="L76" s="29">
        <f t="shared" si="11"/>
        <v>25.075999999999997</v>
      </c>
      <c r="M76" s="110">
        <v>19</v>
      </c>
      <c r="N76" s="30">
        <v>0.14899999999999999</v>
      </c>
      <c r="O76" s="116">
        <v>2.831</v>
      </c>
      <c r="P76" s="30">
        <v>7.4999999999999997E-2</v>
      </c>
      <c r="Q76" s="116">
        <v>1.425</v>
      </c>
      <c r="R76" s="30">
        <v>7.0000000000000007E-2</v>
      </c>
      <c r="S76" s="116">
        <v>1.33</v>
      </c>
      <c r="T76" s="117">
        <v>0.49</v>
      </c>
      <c r="U76" s="39">
        <v>600</v>
      </c>
      <c r="V76" s="32">
        <v>96</v>
      </c>
      <c r="W76" s="33"/>
      <c r="X76" s="32"/>
      <c r="Y76" s="32"/>
      <c r="Z76" s="32"/>
      <c r="AA76" s="34"/>
      <c r="AB76" s="35">
        <f t="shared" si="12"/>
        <v>696</v>
      </c>
      <c r="AC76" s="75">
        <f t="shared" si="13"/>
        <v>75000</v>
      </c>
      <c r="AD76" s="78">
        <f t="shared" si="21"/>
        <v>12000</v>
      </c>
      <c r="AE76" s="72">
        <f t="shared" si="14"/>
        <v>87000</v>
      </c>
      <c r="AF76" s="75">
        <f t="shared" si="15"/>
        <v>15045.599999999999</v>
      </c>
      <c r="AG76" s="78">
        <f t="shared" si="16"/>
        <v>2407.2959999999998</v>
      </c>
      <c r="AH76" s="72">
        <f t="shared" si="17"/>
        <v>17452.895999999997</v>
      </c>
      <c r="AI76" s="75">
        <f t="shared" si="18"/>
        <v>11400</v>
      </c>
      <c r="AJ76" s="78">
        <f t="shared" si="19"/>
        <v>1824</v>
      </c>
      <c r="AK76" s="72">
        <f t="shared" si="20"/>
        <v>13224</v>
      </c>
    </row>
    <row r="77" spans="1:37" ht="15.95" customHeight="1">
      <c r="A77" s="25" t="s">
        <v>12</v>
      </c>
      <c r="B77" s="25" t="s">
        <v>13</v>
      </c>
      <c r="C77" s="26" t="s">
        <v>14</v>
      </c>
      <c r="D77" s="26" t="s">
        <v>373</v>
      </c>
      <c r="E77" s="26" t="s">
        <v>16</v>
      </c>
      <c r="F77" s="26" t="s">
        <v>97</v>
      </c>
      <c r="G77" s="25" t="s">
        <v>98</v>
      </c>
      <c r="H77" s="42" t="s">
        <v>99</v>
      </c>
      <c r="I77" s="43" t="s">
        <v>27</v>
      </c>
      <c r="J77" s="28" t="s">
        <v>41</v>
      </c>
      <c r="K77" s="123">
        <v>165</v>
      </c>
      <c r="L77" s="29">
        <f t="shared" si="11"/>
        <v>31.170499999999997</v>
      </c>
      <c r="M77" s="110">
        <v>21.5</v>
      </c>
      <c r="N77" s="30">
        <v>0.28199999999999997</v>
      </c>
      <c r="O77" s="116">
        <v>6.0629999999999997</v>
      </c>
      <c r="P77" s="30">
        <v>7.4999999999999997E-2</v>
      </c>
      <c r="Q77" s="116">
        <v>1.6125</v>
      </c>
      <c r="R77" s="30">
        <v>7.0000000000000007E-2</v>
      </c>
      <c r="S77" s="116">
        <v>1.5050000000000001</v>
      </c>
      <c r="T77" s="117">
        <v>0.49</v>
      </c>
      <c r="U77" s="39">
        <v>500</v>
      </c>
      <c r="V77" s="32">
        <v>260</v>
      </c>
      <c r="W77" s="33"/>
      <c r="X77" s="32"/>
      <c r="Y77" s="32"/>
      <c r="Z77" s="32">
        <v>25</v>
      </c>
      <c r="AA77" s="34"/>
      <c r="AB77" s="35">
        <f t="shared" si="12"/>
        <v>785</v>
      </c>
      <c r="AC77" s="75">
        <f t="shared" si="13"/>
        <v>82500</v>
      </c>
      <c r="AD77" s="78">
        <f t="shared" si="21"/>
        <v>47025</v>
      </c>
      <c r="AE77" s="72">
        <f t="shared" si="14"/>
        <v>129525</v>
      </c>
      <c r="AF77" s="75">
        <f t="shared" si="15"/>
        <v>15585.249999999998</v>
      </c>
      <c r="AG77" s="78">
        <f t="shared" si="16"/>
        <v>8641.8299999999981</v>
      </c>
      <c r="AH77" s="72">
        <f t="shared" si="17"/>
        <v>24227.079999999994</v>
      </c>
      <c r="AI77" s="75">
        <f t="shared" si="18"/>
        <v>10750</v>
      </c>
      <c r="AJ77" s="78">
        <f t="shared" si="19"/>
        <v>6127.5</v>
      </c>
      <c r="AK77" s="72">
        <f t="shared" si="20"/>
        <v>16877.5</v>
      </c>
    </row>
    <row r="78" spans="1:37" ht="15.95" customHeight="1">
      <c r="A78" s="25" t="s">
        <v>12</v>
      </c>
      <c r="B78" s="25" t="s">
        <v>13</v>
      </c>
      <c r="C78" s="26" t="s">
        <v>21</v>
      </c>
      <c r="D78" s="26" t="s">
        <v>373</v>
      </c>
      <c r="E78" s="26" t="s">
        <v>16</v>
      </c>
      <c r="F78" s="26" t="s">
        <v>100</v>
      </c>
      <c r="G78" s="25" t="s">
        <v>98</v>
      </c>
      <c r="H78" s="42" t="s">
        <v>99</v>
      </c>
      <c r="I78" s="43" t="s">
        <v>27</v>
      </c>
      <c r="J78" s="28" t="s">
        <v>43</v>
      </c>
      <c r="K78" s="123">
        <v>125</v>
      </c>
      <c r="L78" s="29">
        <f t="shared" si="11"/>
        <v>19.754499999999997</v>
      </c>
      <c r="M78" s="110">
        <v>13.5</v>
      </c>
      <c r="N78" s="30">
        <v>0.28199999999999997</v>
      </c>
      <c r="O78" s="116">
        <v>3.8069999999999995</v>
      </c>
      <c r="P78" s="30">
        <v>7.4999999999999997E-2</v>
      </c>
      <c r="Q78" s="116">
        <v>1.0125</v>
      </c>
      <c r="R78" s="30">
        <v>7.0000000000000007E-2</v>
      </c>
      <c r="S78" s="116">
        <v>0.94500000000000006</v>
      </c>
      <c r="T78" s="117">
        <v>0.49</v>
      </c>
      <c r="U78" s="39">
        <v>400</v>
      </c>
      <c r="V78" s="32">
        <v>251</v>
      </c>
      <c r="W78" s="33"/>
      <c r="X78" s="32"/>
      <c r="Y78" s="32"/>
      <c r="Z78" s="32">
        <v>21</v>
      </c>
      <c r="AA78" s="34"/>
      <c r="AB78" s="35">
        <f t="shared" si="12"/>
        <v>672</v>
      </c>
      <c r="AC78" s="75">
        <f t="shared" si="13"/>
        <v>50000</v>
      </c>
      <c r="AD78" s="78">
        <f t="shared" si="21"/>
        <v>34000</v>
      </c>
      <c r="AE78" s="72">
        <f t="shared" si="14"/>
        <v>84000</v>
      </c>
      <c r="AF78" s="75">
        <f t="shared" si="15"/>
        <v>7901.7999999999984</v>
      </c>
      <c r="AG78" s="78">
        <f t="shared" si="16"/>
        <v>5241.8794999999991</v>
      </c>
      <c r="AH78" s="72">
        <f t="shared" si="17"/>
        <v>13143.679499999998</v>
      </c>
      <c r="AI78" s="75">
        <f t="shared" si="18"/>
        <v>5400</v>
      </c>
      <c r="AJ78" s="78">
        <f t="shared" si="19"/>
        <v>3672</v>
      </c>
      <c r="AK78" s="72">
        <f t="shared" si="20"/>
        <v>9072</v>
      </c>
    </row>
    <row r="79" spans="1:37" ht="15.95" customHeight="1">
      <c r="A79" s="25" t="s">
        <v>12</v>
      </c>
      <c r="B79" s="25" t="s">
        <v>13</v>
      </c>
      <c r="C79" s="26" t="s">
        <v>44</v>
      </c>
      <c r="D79" s="26" t="s">
        <v>373</v>
      </c>
      <c r="E79" s="26" t="s">
        <v>16</v>
      </c>
      <c r="F79" s="26" t="s">
        <v>101</v>
      </c>
      <c r="G79" s="26" t="s">
        <v>67</v>
      </c>
      <c r="H79" s="27" t="s">
        <v>75</v>
      </c>
      <c r="I79" s="26" t="s">
        <v>27</v>
      </c>
      <c r="J79" s="28" t="s">
        <v>46</v>
      </c>
      <c r="K79" s="123">
        <v>98</v>
      </c>
      <c r="L79" s="29">
        <f t="shared" si="11"/>
        <v>18.802499999999998</v>
      </c>
      <c r="M79" s="110">
        <v>12.5</v>
      </c>
      <c r="N79" s="30">
        <v>0.32</v>
      </c>
      <c r="O79" s="116">
        <v>4</v>
      </c>
      <c r="P79" s="30">
        <v>7.4999999999999997E-2</v>
      </c>
      <c r="Q79" s="116">
        <v>0.9375</v>
      </c>
      <c r="R79" s="30">
        <v>7.0000000000000007E-2</v>
      </c>
      <c r="S79" s="116">
        <v>0.87500000000000011</v>
      </c>
      <c r="T79" s="117">
        <v>0.49</v>
      </c>
      <c r="U79" s="39">
        <v>400</v>
      </c>
      <c r="V79" s="32">
        <v>175</v>
      </c>
      <c r="W79" s="33"/>
      <c r="X79" s="32"/>
      <c r="Y79" s="32"/>
      <c r="Z79" s="32">
        <v>4</v>
      </c>
      <c r="AA79" s="34"/>
      <c r="AB79" s="35">
        <f t="shared" si="12"/>
        <v>579</v>
      </c>
      <c r="AC79" s="75">
        <f t="shared" si="13"/>
        <v>39200</v>
      </c>
      <c r="AD79" s="78">
        <f t="shared" si="21"/>
        <v>17542</v>
      </c>
      <c r="AE79" s="72">
        <f t="shared" si="14"/>
        <v>56742</v>
      </c>
      <c r="AF79" s="75">
        <f t="shared" si="15"/>
        <v>7520.9999999999991</v>
      </c>
      <c r="AG79" s="78">
        <f t="shared" si="16"/>
        <v>3340.4374999999995</v>
      </c>
      <c r="AH79" s="72">
        <f t="shared" si="17"/>
        <v>10861.437499999998</v>
      </c>
      <c r="AI79" s="75">
        <f t="shared" si="18"/>
        <v>5000</v>
      </c>
      <c r="AJ79" s="78">
        <f t="shared" si="19"/>
        <v>2237.5</v>
      </c>
      <c r="AK79" s="72">
        <f t="shared" si="20"/>
        <v>7237.5</v>
      </c>
    </row>
    <row r="80" spans="1:37" ht="15.95" customHeight="1">
      <c r="A80" s="25" t="s">
        <v>12</v>
      </c>
      <c r="B80" s="25" t="s">
        <v>13</v>
      </c>
      <c r="C80" s="26" t="s">
        <v>29</v>
      </c>
      <c r="D80" s="26" t="s">
        <v>373</v>
      </c>
      <c r="E80" s="26" t="s">
        <v>16</v>
      </c>
      <c r="F80" s="26" t="s">
        <v>102</v>
      </c>
      <c r="G80" s="26" t="s">
        <v>57</v>
      </c>
      <c r="H80" s="27" t="s">
        <v>103</v>
      </c>
      <c r="I80" s="26" t="s">
        <v>19</v>
      </c>
      <c r="J80" s="37" t="s">
        <v>31</v>
      </c>
      <c r="K80" s="123">
        <v>88</v>
      </c>
      <c r="L80" s="29">
        <f t="shared" si="11"/>
        <v>18.29</v>
      </c>
      <c r="M80" s="110">
        <v>12.5</v>
      </c>
      <c r="N80" s="30">
        <v>0.27900000000000003</v>
      </c>
      <c r="O80" s="116">
        <v>3.4875000000000003</v>
      </c>
      <c r="P80" s="30">
        <v>7.4999999999999997E-2</v>
      </c>
      <c r="Q80" s="116">
        <v>0.9375</v>
      </c>
      <c r="R80" s="30">
        <v>7.0000000000000007E-2</v>
      </c>
      <c r="S80" s="116">
        <v>0.87500000000000011</v>
      </c>
      <c r="T80" s="117">
        <v>0.49</v>
      </c>
      <c r="U80" s="39">
        <v>400</v>
      </c>
      <c r="V80" s="32">
        <v>141</v>
      </c>
      <c r="W80" s="33"/>
      <c r="X80" s="32"/>
      <c r="Y80" s="32"/>
      <c r="Z80" s="32"/>
      <c r="AA80" s="34"/>
      <c r="AB80" s="35">
        <f t="shared" si="12"/>
        <v>541</v>
      </c>
      <c r="AC80" s="75">
        <f t="shared" si="13"/>
        <v>35200</v>
      </c>
      <c r="AD80" s="78">
        <f t="shared" si="21"/>
        <v>12408</v>
      </c>
      <c r="AE80" s="72">
        <f t="shared" si="14"/>
        <v>47608</v>
      </c>
      <c r="AF80" s="75">
        <f t="shared" si="15"/>
        <v>7316</v>
      </c>
      <c r="AG80" s="78">
        <f t="shared" si="16"/>
        <v>2578.89</v>
      </c>
      <c r="AH80" s="72">
        <f t="shared" si="17"/>
        <v>9894.89</v>
      </c>
      <c r="AI80" s="75">
        <f t="shared" si="18"/>
        <v>5000</v>
      </c>
      <c r="AJ80" s="78">
        <f t="shared" si="19"/>
        <v>1762.5</v>
      </c>
      <c r="AK80" s="72">
        <f t="shared" si="20"/>
        <v>6762.5</v>
      </c>
    </row>
    <row r="81" spans="1:37" ht="15.95" customHeight="1">
      <c r="A81" s="25" t="s">
        <v>12</v>
      </c>
      <c r="B81" s="25" t="s">
        <v>13</v>
      </c>
      <c r="C81" s="26" t="s">
        <v>14</v>
      </c>
      <c r="D81" s="26" t="s">
        <v>373</v>
      </c>
      <c r="E81" s="26" t="s">
        <v>16</v>
      </c>
      <c r="F81" s="26" t="s">
        <v>104</v>
      </c>
      <c r="G81" s="26" t="s">
        <v>88</v>
      </c>
      <c r="H81" s="27" t="s">
        <v>89</v>
      </c>
      <c r="I81" s="26" t="s">
        <v>27</v>
      </c>
      <c r="J81" s="28" t="s">
        <v>41</v>
      </c>
      <c r="K81" s="123">
        <v>165</v>
      </c>
      <c r="L81" s="29">
        <f t="shared" si="11"/>
        <v>30.456999999999997</v>
      </c>
      <c r="M81" s="110">
        <v>21</v>
      </c>
      <c r="N81" s="30">
        <v>0.28199999999999997</v>
      </c>
      <c r="O81" s="116">
        <v>5.9219999999999997</v>
      </c>
      <c r="P81" s="30">
        <v>7.4999999999999997E-2</v>
      </c>
      <c r="Q81" s="116">
        <v>1.575</v>
      </c>
      <c r="R81" s="30">
        <v>7.0000000000000007E-2</v>
      </c>
      <c r="S81" s="116">
        <v>1.4700000000000002</v>
      </c>
      <c r="T81" s="117">
        <v>0.49</v>
      </c>
      <c r="U81" s="39">
        <v>500</v>
      </c>
      <c r="V81" s="32"/>
      <c r="W81" s="33"/>
      <c r="X81" s="32"/>
      <c r="Y81" s="32"/>
      <c r="Z81" s="32"/>
      <c r="AA81" s="34"/>
      <c r="AB81" s="35">
        <f t="shared" si="12"/>
        <v>500</v>
      </c>
      <c r="AC81" s="75">
        <f t="shared" si="13"/>
        <v>82500</v>
      </c>
      <c r="AD81" s="78">
        <f t="shared" si="21"/>
        <v>0</v>
      </c>
      <c r="AE81" s="72">
        <f t="shared" si="14"/>
        <v>82500</v>
      </c>
      <c r="AF81" s="75">
        <f t="shared" si="15"/>
        <v>15228.499999999998</v>
      </c>
      <c r="AG81" s="78">
        <f t="shared" si="16"/>
        <v>0</v>
      </c>
      <c r="AH81" s="72">
        <f t="shared" si="17"/>
        <v>15228.499999999998</v>
      </c>
      <c r="AI81" s="75">
        <f t="shared" si="18"/>
        <v>10500</v>
      </c>
      <c r="AJ81" s="78">
        <f t="shared" si="19"/>
        <v>0</v>
      </c>
      <c r="AK81" s="72">
        <f t="shared" si="20"/>
        <v>10500</v>
      </c>
    </row>
    <row r="82" spans="1:37" ht="15.95" customHeight="1">
      <c r="A82" s="25" t="s">
        <v>12</v>
      </c>
      <c r="B82" s="25" t="s">
        <v>13</v>
      </c>
      <c r="C82" s="26" t="s">
        <v>21</v>
      </c>
      <c r="D82" s="26" t="s">
        <v>373</v>
      </c>
      <c r="E82" s="26" t="s">
        <v>16</v>
      </c>
      <c r="F82" s="26" t="s">
        <v>105</v>
      </c>
      <c r="G82" s="26" t="s">
        <v>88</v>
      </c>
      <c r="H82" s="27" t="s">
        <v>89</v>
      </c>
      <c r="I82" s="26" t="s">
        <v>27</v>
      </c>
      <c r="J82" s="28" t="s">
        <v>43</v>
      </c>
      <c r="K82" s="123">
        <v>125</v>
      </c>
      <c r="L82" s="29">
        <f t="shared" si="11"/>
        <v>22.608499999999999</v>
      </c>
      <c r="M82" s="110">
        <v>15.5</v>
      </c>
      <c r="N82" s="30">
        <v>0.28199999999999997</v>
      </c>
      <c r="O82" s="116">
        <v>4.3709999999999996</v>
      </c>
      <c r="P82" s="30">
        <v>7.4999999999999997E-2</v>
      </c>
      <c r="Q82" s="116">
        <v>1.1624999999999999</v>
      </c>
      <c r="R82" s="30">
        <v>7.0000000000000007E-2</v>
      </c>
      <c r="S82" s="116">
        <v>1.0850000000000002</v>
      </c>
      <c r="T82" s="117">
        <v>0.49</v>
      </c>
      <c r="U82" s="39">
        <v>400</v>
      </c>
      <c r="V82" s="32"/>
      <c r="W82" s="33"/>
      <c r="X82" s="32"/>
      <c r="Y82" s="32"/>
      <c r="Z82" s="32"/>
      <c r="AA82" s="34"/>
      <c r="AB82" s="35">
        <f t="shared" si="12"/>
        <v>400</v>
      </c>
      <c r="AC82" s="75">
        <f t="shared" si="13"/>
        <v>50000</v>
      </c>
      <c r="AD82" s="78">
        <f t="shared" si="21"/>
        <v>0</v>
      </c>
      <c r="AE82" s="72">
        <f t="shared" si="14"/>
        <v>50000</v>
      </c>
      <c r="AF82" s="75">
        <f t="shared" si="15"/>
        <v>9043.4</v>
      </c>
      <c r="AG82" s="78">
        <f t="shared" si="16"/>
        <v>0</v>
      </c>
      <c r="AH82" s="72">
        <f t="shared" si="17"/>
        <v>9043.4</v>
      </c>
      <c r="AI82" s="75">
        <f t="shared" si="18"/>
        <v>6200</v>
      </c>
      <c r="AJ82" s="78">
        <f t="shared" si="19"/>
        <v>0</v>
      </c>
      <c r="AK82" s="72">
        <f t="shared" si="20"/>
        <v>6200</v>
      </c>
    </row>
    <row r="83" spans="1:37" ht="15.95" customHeight="1">
      <c r="A83" s="25" t="s">
        <v>12</v>
      </c>
      <c r="B83" s="25" t="s">
        <v>13</v>
      </c>
      <c r="C83" s="26" t="s">
        <v>14</v>
      </c>
      <c r="D83" s="26" t="s">
        <v>373</v>
      </c>
      <c r="E83" s="26" t="s">
        <v>16</v>
      </c>
      <c r="F83" s="26" t="s">
        <v>104</v>
      </c>
      <c r="G83" s="26" t="s">
        <v>88</v>
      </c>
      <c r="H83" s="27" t="s">
        <v>89</v>
      </c>
      <c r="I83" s="26" t="s">
        <v>27</v>
      </c>
      <c r="J83" s="28" t="s">
        <v>41</v>
      </c>
      <c r="K83" s="123">
        <v>165</v>
      </c>
      <c r="L83" s="29">
        <f t="shared" si="11"/>
        <v>30.456999999999997</v>
      </c>
      <c r="M83" s="110">
        <v>21</v>
      </c>
      <c r="N83" s="30">
        <v>0.28199999999999997</v>
      </c>
      <c r="O83" s="116">
        <v>5.9219999999999997</v>
      </c>
      <c r="P83" s="30">
        <v>7.4999999999999997E-2</v>
      </c>
      <c r="Q83" s="116">
        <v>1.575</v>
      </c>
      <c r="R83" s="30">
        <v>7.0000000000000007E-2</v>
      </c>
      <c r="S83" s="116">
        <v>1.4700000000000002</v>
      </c>
      <c r="T83" s="117">
        <v>0.49</v>
      </c>
      <c r="U83" s="39">
        <v>500</v>
      </c>
      <c r="V83" s="32"/>
      <c r="W83" s="33"/>
      <c r="X83" s="32"/>
      <c r="Y83" s="32"/>
      <c r="Z83" s="32"/>
      <c r="AA83" s="34"/>
      <c r="AB83" s="35">
        <f t="shared" si="12"/>
        <v>500</v>
      </c>
      <c r="AC83" s="75">
        <f t="shared" si="13"/>
        <v>82500</v>
      </c>
      <c r="AD83" s="78">
        <f t="shared" si="21"/>
        <v>0</v>
      </c>
      <c r="AE83" s="72">
        <f t="shared" si="14"/>
        <v>82500</v>
      </c>
      <c r="AF83" s="75">
        <f t="shared" si="15"/>
        <v>15228.499999999998</v>
      </c>
      <c r="AG83" s="78">
        <f t="shared" si="16"/>
        <v>0</v>
      </c>
      <c r="AH83" s="72">
        <f t="shared" si="17"/>
        <v>15228.499999999998</v>
      </c>
      <c r="AI83" s="75">
        <f t="shared" si="18"/>
        <v>10500</v>
      </c>
      <c r="AJ83" s="78">
        <f t="shared" si="19"/>
        <v>0</v>
      </c>
      <c r="AK83" s="72">
        <f t="shared" si="20"/>
        <v>10500</v>
      </c>
    </row>
    <row r="84" spans="1:37" ht="15.95" customHeight="1">
      <c r="A84" s="25" t="s">
        <v>12</v>
      </c>
      <c r="B84" s="25" t="s">
        <v>13</v>
      </c>
      <c r="C84" s="26" t="s">
        <v>21</v>
      </c>
      <c r="D84" s="26" t="s">
        <v>373</v>
      </c>
      <c r="E84" s="26" t="s">
        <v>16</v>
      </c>
      <c r="F84" s="26" t="s">
        <v>105</v>
      </c>
      <c r="G84" s="26" t="s">
        <v>88</v>
      </c>
      <c r="H84" s="27" t="s">
        <v>89</v>
      </c>
      <c r="I84" s="26" t="s">
        <v>27</v>
      </c>
      <c r="J84" s="28" t="s">
        <v>43</v>
      </c>
      <c r="K84" s="123">
        <v>125</v>
      </c>
      <c r="L84" s="29">
        <f t="shared" si="11"/>
        <v>22.608499999999999</v>
      </c>
      <c r="M84" s="110">
        <v>15.5</v>
      </c>
      <c r="N84" s="30">
        <v>0.28199999999999997</v>
      </c>
      <c r="O84" s="116">
        <v>4.3709999999999996</v>
      </c>
      <c r="P84" s="30">
        <v>7.4999999999999997E-2</v>
      </c>
      <c r="Q84" s="116">
        <v>1.1624999999999999</v>
      </c>
      <c r="R84" s="30">
        <v>7.0000000000000007E-2</v>
      </c>
      <c r="S84" s="116">
        <v>1.0850000000000002</v>
      </c>
      <c r="T84" s="117">
        <v>0.49</v>
      </c>
      <c r="U84" s="39">
        <v>400</v>
      </c>
      <c r="V84" s="32"/>
      <c r="W84" s="33"/>
      <c r="X84" s="32"/>
      <c r="Y84" s="32"/>
      <c r="Z84" s="32"/>
      <c r="AA84" s="34"/>
      <c r="AB84" s="35">
        <f t="shared" si="12"/>
        <v>400</v>
      </c>
      <c r="AC84" s="75">
        <f t="shared" si="13"/>
        <v>50000</v>
      </c>
      <c r="AD84" s="78">
        <f t="shared" si="21"/>
        <v>0</v>
      </c>
      <c r="AE84" s="72">
        <f t="shared" si="14"/>
        <v>50000</v>
      </c>
      <c r="AF84" s="75">
        <f t="shared" si="15"/>
        <v>9043.4</v>
      </c>
      <c r="AG84" s="78">
        <f t="shared" si="16"/>
        <v>0</v>
      </c>
      <c r="AH84" s="72">
        <f t="shared" si="17"/>
        <v>9043.4</v>
      </c>
      <c r="AI84" s="75">
        <f t="shared" si="18"/>
        <v>6200</v>
      </c>
      <c r="AJ84" s="78">
        <f t="shared" si="19"/>
        <v>0</v>
      </c>
      <c r="AK84" s="72">
        <f t="shared" si="20"/>
        <v>6200</v>
      </c>
    </row>
    <row r="85" spans="1:37" ht="15.95" customHeight="1">
      <c r="A85" s="25" t="s">
        <v>12</v>
      </c>
      <c r="B85" s="25" t="s">
        <v>13</v>
      </c>
      <c r="C85" s="26" t="s">
        <v>14</v>
      </c>
      <c r="D85" s="26" t="s">
        <v>373</v>
      </c>
      <c r="E85" s="26" t="s">
        <v>16</v>
      </c>
      <c r="F85" s="26" t="s">
        <v>106</v>
      </c>
      <c r="G85" s="26" t="s">
        <v>107</v>
      </c>
      <c r="H85" s="27" t="s">
        <v>108</v>
      </c>
      <c r="I85" s="26" t="s">
        <v>19</v>
      </c>
      <c r="J85" s="28" t="s">
        <v>109</v>
      </c>
      <c r="K85" s="123">
        <v>150</v>
      </c>
      <c r="L85" s="29">
        <f t="shared" si="11"/>
        <v>24.090499999999999</v>
      </c>
      <c r="M85" s="110">
        <v>19.25</v>
      </c>
      <c r="N85" s="30">
        <v>8.1000000000000003E-2</v>
      </c>
      <c r="O85" s="116">
        <v>1.55925</v>
      </c>
      <c r="P85" s="30">
        <v>7.4999999999999997E-2</v>
      </c>
      <c r="Q85" s="116">
        <v>1.4437499999999999</v>
      </c>
      <c r="R85" s="30">
        <v>7.0000000000000007E-2</v>
      </c>
      <c r="S85" s="116">
        <v>1.3475000000000001</v>
      </c>
      <c r="T85" s="117">
        <v>0.49</v>
      </c>
      <c r="U85" s="39">
        <v>700</v>
      </c>
      <c r="V85" s="32">
        <v>192</v>
      </c>
      <c r="W85" s="33"/>
      <c r="X85" s="32"/>
      <c r="Y85" s="32"/>
      <c r="Z85" s="32">
        <v>12</v>
      </c>
      <c r="AA85" s="34">
        <v>18</v>
      </c>
      <c r="AB85" s="35">
        <f t="shared" si="12"/>
        <v>922</v>
      </c>
      <c r="AC85" s="75">
        <f t="shared" si="13"/>
        <v>105000</v>
      </c>
      <c r="AD85" s="78">
        <f t="shared" si="21"/>
        <v>33300</v>
      </c>
      <c r="AE85" s="72">
        <f t="shared" si="14"/>
        <v>138300</v>
      </c>
      <c r="AF85" s="75">
        <f t="shared" si="15"/>
        <v>16863.349999999999</v>
      </c>
      <c r="AG85" s="78">
        <f t="shared" si="16"/>
        <v>5202.8760000000002</v>
      </c>
      <c r="AH85" s="72">
        <f t="shared" si="17"/>
        <v>22066.225999999999</v>
      </c>
      <c r="AI85" s="75">
        <f t="shared" si="18"/>
        <v>13475</v>
      </c>
      <c r="AJ85" s="78">
        <f t="shared" si="19"/>
        <v>4273.5</v>
      </c>
      <c r="AK85" s="72">
        <f t="shared" si="20"/>
        <v>17748.5</v>
      </c>
    </row>
    <row r="86" spans="1:37" ht="15.95" customHeight="1">
      <c r="A86" s="25" t="s">
        <v>12</v>
      </c>
      <c r="B86" s="25" t="s">
        <v>13</v>
      </c>
      <c r="C86" s="26" t="s">
        <v>21</v>
      </c>
      <c r="D86" s="26" t="s">
        <v>373</v>
      </c>
      <c r="E86" s="26" t="s">
        <v>16</v>
      </c>
      <c r="F86" s="26" t="s">
        <v>110</v>
      </c>
      <c r="G86" s="26" t="s">
        <v>107</v>
      </c>
      <c r="H86" s="27" t="s">
        <v>108</v>
      </c>
      <c r="I86" s="26" t="s">
        <v>19</v>
      </c>
      <c r="J86" s="28" t="s">
        <v>111</v>
      </c>
      <c r="K86" s="123">
        <v>135</v>
      </c>
      <c r="L86" s="29">
        <f t="shared" si="11"/>
        <v>23.563600000000001</v>
      </c>
      <c r="M86" s="110">
        <v>17.600000000000001</v>
      </c>
      <c r="N86" s="30">
        <v>0.16600000000000001</v>
      </c>
      <c r="O86" s="116">
        <v>2.9216000000000002</v>
      </c>
      <c r="P86" s="30">
        <v>7.4999999999999997E-2</v>
      </c>
      <c r="Q86" s="116">
        <v>1.32</v>
      </c>
      <c r="R86" s="30">
        <v>7.0000000000000007E-2</v>
      </c>
      <c r="S86" s="116">
        <v>1.2320000000000002</v>
      </c>
      <c r="T86" s="117">
        <v>0.49</v>
      </c>
      <c r="U86" s="39">
        <v>600</v>
      </c>
      <c r="V86" s="32">
        <v>192</v>
      </c>
      <c r="W86" s="33"/>
      <c r="X86" s="32"/>
      <c r="Y86" s="32"/>
      <c r="Z86" s="32">
        <v>12</v>
      </c>
      <c r="AA86" s="34">
        <v>18</v>
      </c>
      <c r="AB86" s="35">
        <f t="shared" si="12"/>
        <v>822</v>
      </c>
      <c r="AC86" s="75">
        <f t="shared" si="13"/>
        <v>81000</v>
      </c>
      <c r="AD86" s="78">
        <f t="shared" si="21"/>
        <v>29970</v>
      </c>
      <c r="AE86" s="72">
        <f t="shared" si="14"/>
        <v>110970</v>
      </c>
      <c r="AF86" s="75">
        <f t="shared" si="15"/>
        <v>14138.16</v>
      </c>
      <c r="AG86" s="78">
        <f t="shared" si="16"/>
        <v>5052.2111999999997</v>
      </c>
      <c r="AH86" s="72">
        <f t="shared" si="17"/>
        <v>19190.371200000001</v>
      </c>
      <c r="AI86" s="75">
        <f t="shared" si="18"/>
        <v>10560</v>
      </c>
      <c r="AJ86" s="78">
        <f t="shared" si="19"/>
        <v>3907.2000000000003</v>
      </c>
      <c r="AK86" s="72">
        <f t="shared" si="20"/>
        <v>14467.2</v>
      </c>
    </row>
    <row r="87" spans="1:37" ht="15.95" customHeight="1">
      <c r="A87" s="25" t="s">
        <v>12</v>
      </c>
      <c r="B87" s="25" t="s">
        <v>13</v>
      </c>
      <c r="C87" s="26" t="s">
        <v>14</v>
      </c>
      <c r="D87" s="26" t="s">
        <v>373</v>
      </c>
      <c r="E87" s="26" t="s">
        <v>16</v>
      </c>
      <c r="F87" s="26" t="s">
        <v>106</v>
      </c>
      <c r="G87" s="26" t="s">
        <v>107</v>
      </c>
      <c r="H87" s="27" t="s">
        <v>108</v>
      </c>
      <c r="I87" s="26" t="s">
        <v>19</v>
      </c>
      <c r="J87" s="28" t="s">
        <v>109</v>
      </c>
      <c r="K87" s="123">
        <v>150</v>
      </c>
      <c r="L87" s="29">
        <f t="shared" si="11"/>
        <v>24.090499999999999</v>
      </c>
      <c r="M87" s="110">
        <v>19.25</v>
      </c>
      <c r="N87" s="30">
        <v>8.1000000000000003E-2</v>
      </c>
      <c r="O87" s="116">
        <v>1.55925</v>
      </c>
      <c r="P87" s="30">
        <v>7.4999999999999997E-2</v>
      </c>
      <c r="Q87" s="116">
        <v>1.4437499999999999</v>
      </c>
      <c r="R87" s="30">
        <v>7.0000000000000007E-2</v>
      </c>
      <c r="S87" s="116">
        <v>1.3475000000000001</v>
      </c>
      <c r="T87" s="117">
        <v>0.49</v>
      </c>
      <c r="U87" s="39">
        <v>500</v>
      </c>
      <c r="V87" s="32">
        <v>188</v>
      </c>
      <c r="W87" s="33"/>
      <c r="X87" s="32"/>
      <c r="Y87" s="32"/>
      <c r="Z87" s="32"/>
      <c r="AA87" s="34">
        <v>18</v>
      </c>
      <c r="AB87" s="35">
        <f t="shared" si="12"/>
        <v>706</v>
      </c>
      <c r="AC87" s="75">
        <f t="shared" si="13"/>
        <v>75000</v>
      </c>
      <c r="AD87" s="78">
        <f t="shared" si="21"/>
        <v>30900</v>
      </c>
      <c r="AE87" s="72">
        <f t="shared" si="14"/>
        <v>105900</v>
      </c>
      <c r="AF87" s="75">
        <f t="shared" si="15"/>
        <v>12045.25</v>
      </c>
      <c r="AG87" s="78">
        <f t="shared" si="16"/>
        <v>4875.5140000000001</v>
      </c>
      <c r="AH87" s="72">
        <f t="shared" si="17"/>
        <v>16920.763999999999</v>
      </c>
      <c r="AI87" s="75">
        <f t="shared" si="18"/>
        <v>9625</v>
      </c>
      <c r="AJ87" s="78">
        <f t="shared" si="19"/>
        <v>3965.5</v>
      </c>
      <c r="AK87" s="72">
        <f t="shared" si="20"/>
        <v>13590.5</v>
      </c>
    </row>
    <row r="88" spans="1:37" ht="15.95" customHeight="1">
      <c r="A88" s="25" t="s">
        <v>12</v>
      </c>
      <c r="B88" s="25" t="s">
        <v>13</v>
      </c>
      <c r="C88" s="26" t="s">
        <v>21</v>
      </c>
      <c r="D88" s="26" t="s">
        <v>373</v>
      </c>
      <c r="E88" s="26" t="s">
        <v>16</v>
      </c>
      <c r="F88" s="26" t="s">
        <v>110</v>
      </c>
      <c r="G88" s="26" t="s">
        <v>107</v>
      </c>
      <c r="H88" s="27" t="s">
        <v>108</v>
      </c>
      <c r="I88" s="26" t="s">
        <v>19</v>
      </c>
      <c r="J88" s="28" t="s">
        <v>111</v>
      </c>
      <c r="K88" s="123">
        <v>135</v>
      </c>
      <c r="L88" s="29">
        <f t="shared" si="11"/>
        <v>23.563600000000001</v>
      </c>
      <c r="M88" s="110">
        <v>17.600000000000001</v>
      </c>
      <c r="N88" s="30">
        <v>0.16600000000000001</v>
      </c>
      <c r="O88" s="116">
        <v>2.9216000000000002</v>
      </c>
      <c r="P88" s="30">
        <v>7.4999999999999997E-2</v>
      </c>
      <c r="Q88" s="116">
        <v>1.32</v>
      </c>
      <c r="R88" s="30">
        <v>7.0000000000000007E-2</v>
      </c>
      <c r="S88" s="116">
        <v>1.2320000000000002</v>
      </c>
      <c r="T88" s="117">
        <v>0.49</v>
      </c>
      <c r="U88" s="39">
        <v>400</v>
      </c>
      <c r="V88" s="32">
        <v>188</v>
      </c>
      <c r="W88" s="33"/>
      <c r="X88" s="32"/>
      <c r="Y88" s="32"/>
      <c r="Z88" s="32"/>
      <c r="AA88" s="34">
        <v>18</v>
      </c>
      <c r="AB88" s="35">
        <f t="shared" si="12"/>
        <v>606</v>
      </c>
      <c r="AC88" s="75">
        <f t="shared" si="13"/>
        <v>54000</v>
      </c>
      <c r="AD88" s="78">
        <f t="shared" si="21"/>
        <v>27810</v>
      </c>
      <c r="AE88" s="72">
        <f t="shared" si="14"/>
        <v>81810</v>
      </c>
      <c r="AF88" s="75">
        <f t="shared" si="15"/>
        <v>9425.44</v>
      </c>
      <c r="AG88" s="78">
        <f t="shared" si="16"/>
        <v>4746.7568000000001</v>
      </c>
      <c r="AH88" s="72">
        <f t="shared" si="17"/>
        <v>14172.196800000002</v>
      </c>
      <c r="AI88" s="75">
        <f t="shared" si="18"/>
        <v>7040.0000000000009</v>
      </c>
      <c r="AJ88" s="78">
        <f t="shared" si="19"/>
        <v>3625.6000000000004</v>
      </c>
      <c r="AK88" s="72">
        <f t="shared" si="20"/>
        <v>10665.600000000002</v>
      </c>
    </row>
    <row r="89" spans="1:37" ht="15.95" customHeight="1">
      <c r="A89" s="25" t="s">
        <v>12</v>
      </c>
      <c r="B89" s="25" t="s">
        <v>13</v>
      </c>
      <c r="C89" s="26" t="s">
        <v>14</v>
      </c>
      <c r="D89" s="26" t="s">
        <v>373</v>
      </c>
      <c r="E89" s="26" t="s">
        <v>16</v>
      </c>
      <c r="F89" s="26" t="s">
        <v>112</v>
      </c>
      <c r="G89" s="26" t="s">
        <v>113</v>
      </c>
      <c r="H89" s="44" t="s">
        <v>114</v>
      </c>
      <c r="I89" s="26" t="s">
        <v>19</v>
      </c>
      <c r="J89" s="28" t="s">
        <v>20</v>
      </c>
      <c r="K89" s="125">
        <v>165</v>
      </c>
      <c r="L89" s="29">
        <f t="shared" si="11"/>
        <v>29.640999999999998</v>
      </c>
      <c r="M89" s="110">
        <v>20.5</v>
      </c>
      <c r="N89" s="30">
        <v>0.27700000000000002</v>
      </c>
      <c r="O89" s="116">
        <v>5.6785000000000005</v>
      </c>
      <c r="P89" s="30">
        <v>7.4999999999999997E-2</v>
      </c>
      <c r="Q89" s="116">
        <v>1.5374999999999999</v>
      </c>
      <c r="R89" s="30">
        <v>7.0000000000000007E-2</v>
      </c>
      <c r="S89" s="116">
        <v>1.4350000000000001</v>
      </c>
      <c r="T89" s="117">
        <v>0.49</v>
      </c>
      <c r="U89" s="39">
        <v>500</v>
      </c>
      <c r="V89" s="32">
        <v>292</v>
      </c>
      <c r="W89" s="33"/>
      <c r="X89" s="32"/>
      <c r="Y89" s="32"/>
      <c r="Z89" s="32"/>
      <c r="AA89" s="34"/>
      <c r="AB89" s="35">
        <f t="shared" si="12"/>
        <v>792</v>
      </c>
      <c r="AC89" s="75">
        <f t="shared" si="13"/>
        <v>82500</v>
      </c>
      <c r="AD89" s="78">
        <f t="shared" si="21"/>
        <v>48180</v>
      </c>
      <c r="AE89" s="72">
        <f t="shared" si="14"/>
        <v>130680</v>
      </c>
      <c r="AF89" s="75">
        <f t="shared" si="15"/>
        <v>14820.5</v>
      </c>
      <c r="AG89" s="78">
        <f t="shared" si="16"/>
        <v>8655.1719999999987</v>
      </c>
      <c r="AH89" s="72">
        <f t="shared" si="17"/>
        <v>23475.671999999999</v>
      </c>
      <c r="AI89" s="75">
        <f t="shared" si="18"/>
        <v>10250</v>
      </c>
      <c r="AJ89" s="78">
        <f t="shared" si="19"/>
        <v>5986</v>
      </c>
      <c r="AK89" s="72">
        <f t="shared" si="20"/>
        <v>16236</v>
      </c>
    </row>
    <row r="90" spans="1:37" ht="15.95" customHeight="1">
      <c r="A90" s="25" t="s">
        <v>12</v>
      </c>
      <c r="B90" s="25" t="s">
        <v>13</v>
      </c>
      <c r="C90" s="26" t="s">
        <v>21</v>
      </c>
      <c r="D90" s="26" t="s">
        <v>373</v>
      </c>
      <c r="E90" s="26" t="s">
        <v>16</v>
      </c>
      <c r="F90" s="26" t="s">
        <v>115</v>
      </c>
      <c r="G90" s="26" t="s">
        <v>113</v>
      </c>
      <c r="H90" s="44" t="s">
        <v>114</v>
      </c>
      <c r="I90" s="26" t="s">
        <v>19</v>
      </c>
      <c r="J90" s="28" t="s">
        <v>23</v>
      </c>
      <c r="K90" s="125">
        <v>135</v>
      </c>
      <c r="L90" s="29">
        <f t="shared" si="11"/>
        <v>24.698</v>
      </c>
      <c r="M90" s="110">
        <v>17</v>
      </c>
      <c r="N90" s="30">
        <v>0.27900000000000003</v>
      </c>
      <c r="O90" s="116">
        <v>4.7430000000000003</v>
      </c>
      <c r="P90" s="30">
        <v>7.4999999999999997E-2</v>
      </c>
      <c r="Q90" s="116">
        <v>1.2749999999999999</v>
      </c>
      <c r="R90" s="30">
        <v>7.0000000000000007E-2</v>
      </c>
      <c r="S90" s="116">
        <v>1.1900000000000002</v>
      </c>
      <c r="T90" s="117">
        <v>0.49</v>
      </c>
      <c r="U90" s="39">
        <v>400</v>
      </c>
      <c r="V90" s="32">
        <v>285</v>
      </c>
      <c r="W90" s="33"/>
      <c r="X90" s="32"/>
      <c r="Y90" s="32"/>
      <c r="Z90" s="32"/>
      <c r="AA90" s="34"/>
      <c r="AB90" s="35">
        <f t="shared" si="12"/>
        <v>685</v>
      </c>
      <c r="AC90" s="75">
        <f t="shared" si="13"/>
        <v>54000</v>
      </c>
      <c r="AD90" s="78">
        <f t="shared" si="21"/>
        <v>38475</v>
      </c>
      <c r="AE90" s="72">
        <f t="shared" si="14"/>
        <v>92475</v>
      </c>
      <c r="AF90" s="75">
        <f t="shared" si="15"/>
        <v>9879.2000000000007</v>
      </c>
      <c r="AG90" s="78">
        <f t="shared" si="16"/>
        <v>7038.93</v>
      </c>
      <c r="AH90" s="72">
        <f t="shared" si="17"/>
        <v>16918.13</v>
      </c>
      <c r="AI90" s="75">
        <f t="shared" si="18"/>
        <v>6800</v>
      </c>
      <c r="AJ90" s="78">
        <f t="shared" si="19"/>
        <v>4845</v>
      </c>
      <c r="AK90" s="72">
        <f t="shared" si="20"/>
        <v>11645</v>
      </c>
    </row>
    <row r="91" spans="1:37" ht="15.95" customHeight="1">
      <c r="A91" s="25" t="s">
        <v>12</v>
      </c>
      <c r="B91" s="25" t="s">
        <v>13</v>
      </c>
      <c r="C91" s="26" t="s">
        <v>14</v>
      </c>
      <c r="D91" s="26" t="s">
        <v>373</v>
      </c>
      <c r="E91" s="26" t="s">
        <v>16</v>
      </c>
      <c r="F91" s="26" t="s">
        <v>112</v>
      </c>
      <c r="G91" s="26" t="s">
        <v>113</v>
      </c>
      <c r="H91" s="44" t="s">
        <v>114</v>
      </c>
      <c r="I91" s="26" t="s">
        <v>19</v>
      </c>
      <c r="J91" s="28" t="s">
        <v>20</v>
      </c>
      <c r="K91" s="125">
        <v>165</v>
      </c>
      <c r="L91" s="29">
        <f t="shared" si="11"/>
        <v>29.640999999999998</v>
      </c>
      <c r="M91" s="110">
        <v>20.5</v>
      </c>
      <c r="N91" s="30">
        <v>0.27700000000000002</v>
      </c>
      <c r="O91" s="116">
        <v>5.6785000000000005</v>
      </c>
      <c r="P91" s="30">
        <v>7.4999999999999997E-2</v>
      </c>
      <c r="Q91" s="116">
        <v>1.5374999999999999</v>
      </c>
      <c r="R91" s="30">
        <v>7.0000000000000007E-2</v>
      </c>
      <c r="S91" s="116">
        <v>1.4350000000000001</v>
      </c>
      <c r="T91" s="117">
        <v>0.49</v>
      </c>
      <c r="U91" s="39">
        <v>500</v>
      </c>
      <c r="V91" s="32">
        <v>232</v>
      </c>
      <c r="W91" s="33"/>
      <c r="X91" s="32"/>
      <c r="Y91" s="32"/>
      <c r="Z91" s="32"/>
      <c r="AA91" s="34"/>
      <c r="AB91" s="35">
        <f t="shared" si="12"/>
        <v>732</v>
      </c>
      <c r="AC91" s="75">
        <f t="shared" si="13"/>
        <v>82500</v>
      </c>
      <c r="AD91" s="78">
        <f t="shared" si="21"/>
        <v>38280</v>
      </c>
      <c r="AE91" s="72">
        <f t="shared" si="14"/>
        <v>120780</v>
      </c>
      <c r="AF91" s="75">
        <f t="shared" si="15"/>
        <v>14820.5</v>
      </c>
      <c r="AG91" s="78">
        <f t="shared" si="16"/>
        <v>6876.7119999999995</v>
      </c>
      <c r="AH91" s="72">
        <f t="shared" si="17"/>
        <v>21697.212</v>
      </c>
      <c r="AI91" s="75">
        <f t="shared" si="18"/>
        <v>10250</v>
      </c>
      <c r="AJ91" s="78">
        <f t="shared" si="19"/>
        <v>4756</v>
      </c>
      <c r="AK91" s="72">
        <f t="shared" si="20"/>
        <v>15006</v>
      </c>
    </row>
    <row r="92" spans="1:37" ht="15.95" customHeight="1">
      <c r="A92" s="25" t="s">
        <v>12</v>
      </c>
      <c r="B92" s="25" t="s">
        <v>13</v>
      </c>
      <c r="C92" s="26" t="s">
        <v>21</v>
      </c>
      <c r="D92" s="26" t="s">
        <v>373</v>
      </c>
      <c r="E92" s="26" t="s">
        <v>16</v>
      </c>
      <c r="F92" s="26" t="s">
        <v>115</v>
      </c>
      <c r="G92" s="26" t="s">
        <v>113</v>
      </c>
      <c r="H92" s="44" t="s">
        <v>114</v>
      </c>
      <c r="I92" s="26" t="s">
        <v>19</v>
      </c>
      <c r="J92" s="28" t="s">
        <v>23</v>
      </c>
      <c r="K92" s="125">
        <v>135</v>
      </c>
      <c r="L92" s="29">
        <f t="shared" si="11"/>
        <v>24.698</v>
      </c>
      <c r="M92" s="110">
        <v>17</v>
      </c>
      <c r="N92" s="30">
        <v>0.27900000000000003</v>
      </c>
      <c r="O92" s="116">
        <v>4.7430000000000003</v>
      </c>
      <c r="P92" s="30">
        <v>7.4999999999999997E-2</v>
      </c>
      <c r="Q92" s="116">
        <v>1.2749999999999999</v>
      </c>
      <c r="R92" s="30">
        <v>7.0000000000000007E-2</v>
      </c>
      <c r="S92" s="116">
        <v>1.1900000000000002</v>
      </c>
      <c r="T92" s="117">
        <v>0.49</v>
      </c>
      <c r="U92" s="39">
        <v>400</v>
      </c>
      <c r="V92" s="32">
        <v>239</v>
      </c>
      <c r="W92" s="33"/>
      <c r="X92" s="32"/>
      <c r="Y92" s="32"/>
      <c r="Z92" s="32"/>
      <c r="AA92" s="34"/>
      <c r="AB92" s="35">
        <f t="shared" si="12"/>
        <v>639</v>
      </c>
      <c r="AC92" s="75">
        <f t="shared" si="13"/>
        <v>54000</v>
      </c>
      <c r="AD92" s="78">
        <f t="shared" si="21"/>
        <v>32265</v>
      </c>
      <c r="AE92" s="72">
        <f t="shared" si="14"/>
        <v>86265</v>
      </c>
      <c r="AF92" s="75">
        <f t="shared" si="15"/>
        <v>9879.2000000000007</v>
      </c>
      <c r="AG92" s="78">
        <f t="shared" si="16"/>
        <v>5902.8220000000001</v>
      </c>
      <c r="AH92" s="72">
        <f t="shared" si="17"/>
        <v>15782.022000000001</v>
      </c>
      <c r="AI92" s="75">
        <f t="shared" si="18"/>
        <v>6800</v>
      </c>
      <c r="AJ92" s="78">
        <f t="shared" si="19"/>
        <v>4063</v>
      </c>
      <c r="AK92" s="72">
        <f t="shared" si="20"/>
        <v>10863</v>
      </c>
    </row>
    <row r="93" spans="1:37" ht="15.95" customHeight="1">
      <c r="A93" s="25" t="s">
        <v>12</v>
      </c>
      <c r="B93" s="25" t="s">
        <v>13</v>
      </c>
      <c r="C93" s="26" t="s">
        <v>14</v>
      </c>
      <c r="D93" s="26" t="s">
        <v>373</v>
      </c>
      <c r="E93" s="26" t="s">
        <v>16</v>
      </c>
      <c r="F93" s="26" t="s">
        <v>116</v>
      </c>
      <c r="G93" s="26" t="s">
        <v>57</v>
      </c>
      <c r="H93" s="27" t="s">
        <v>64</v>
      </c>
      <c r="I93" s="26" t="s">
        <v>19</v>
      </c>
      <c r="J93" s="28" t="s">
        <v>20</v>
      </c>
      <c r="K93" s="125">
        <v>165</v>
      </c>
      <c r="L93" s="29">
        <f t="shared" si="11"/>
        <v>30.351999999999997</v>
      </c>
      <c r="M93" s="110">
        <v>21</v>
      </c>
      <c r="N93" s="30">
        <v>0.27700000000000002</v>
      </c>
      <c r="O93" s="116">
        <v>5.8170000000000002</v>
      </c>
      <c r="P93" s="30">
        <v>7.4999999999999997E-2</v>
      </c>
      <c r="Q93" s="116">
        <v>1.575</v>
      </c>
      <c r="R93" s="30">
        <v>7.0000000000000007E-2</v>
      </c>
      <c r="S93" s="116">
        <v>1.4700000000000002</v>
      </c>
      <c r="T93" s="117">
        <v>0.49</v>
      </c>
      <c r="U93" s="39">
        <v>350</v>
      </c>
      <c r="V93" s="32">
        <v>59</v>
      </c>
      <c r="W93" s="33"/>
      <c r="X93" s="32"/>
      <c r="Y93" s="32"/>
      <c r="Z93" s="32">
        <v>5</v>
      </c>
      <c r="AA93" s="34"/>
      <c r="AB93" s="35">
        <f t="shared" si="12"/>
        <v>414</v>
      </c>
      <c r="AC93" s="75">
        <f t="shared" si="13"/>
        <v>57750</v>
      </c>
      <c r="AD93" s="78">
        <f t="shared" si="21"/>
        <v>10560</v>
      </c>
      <c r="AE93" s="72">
        <f t="shared" si="14"/>
        <v>68310</v>
      </c>
      <c r="AF93" s="75">
        <f t="shared" si="15"/>
        <v>10623.199999999999</v>
      </c>
      <c r="AG93" s="78">
        <f t="shared" si="16"/>
        <v>1895.7679999999998</v>
      </c>
      <c r="AH93" s="72">
        <f t="shared" si="17"/>
        <v>12518.967999999999</v>
      </c>
      <c r="AI93" s="75">
        <f t="shared" si="18"/>
        <v>7350</v>
      </c>
      <c r="AJ93" s="78">
        <f t="shared" si="19"/>
        <v>1344</v>
      </c>
      <c r="AK93" s="72">
        <f t="shared" si="20"/>
        <v>8694</v>
      </c>
    </row>
    <row r="94" spans="1:37" ht="15.95" customHeight="1">
      <c r="A94" s="25" t="s">
        <v>12</v>
      </c>
      <c r="B94" s="25" t="s">
        <v>13</v>
      </c>
      <c r="C94" s="26" t="s">
        <v>21</v>
      </c>
      <c r="D94" s="26" t="s">
        <v>373</v>
      </c>
      <c r="E94" s="26" t="s">
        <v>16</v>
      </c>
      <c r="F94" s="26" t="s">
        <v>117</v>
      </c>
      <c r="G94" s="26" t="s">
        <v>57</v>
      </c>
      <c r="H94" s="27" t="s">
        <v>64</v>
      </c>
      <c r="I94" s="26" t="s">
        <v>19</v>
      </c>
      <c r="J94" s="28" t="s">
        <v>23</v>
      </c>
      <c r="K94" s="123">
        <v>145</v>
      </c>
      <c r="L94" s="29">
        <f t="shared" si="11"/>
        <v>27.546000000000003</v>
      </c>
      <c r="M94" s="110">
        <v>19</v>
      </c>
      <c r="N94" s="30">
        <v>0.27900000000000003</v>
      </c>
      <c r="O94" s="116">
        <v>5.3010000000000002</v>
      </c>
      <c r="P94" s="30">
        <v>7.4999999999999997E-2</v>
      </c>
      <c r="Q94" s="116">
        <v>1.425</v>
      </c>
      <c r="R94" s="30">
        <v>7.0000000000000007E-2</v>
      </c>
      <c r="S94" s="116">
        <v>1.33</v>
      </c>
      <c r="T94" s="117">
        <v>0.49</v>
      </c>
      <c r="U94" s="39">
        <v>300</v>
      </c>
      <c r="V94" s="32">
        <v>54</v>
      </c>
      <c r="W94" s="33"/>
      <c r="X94" s="32"/>
      <c r="Y94" s="32"/>
      <c r="Z94" s="32"/>
      <c r="AA94" s="34"/>
      <c r="AB94" s="35">
        <f t="shared" si="12"/>
        <v>354</v>
      </c>
      <c r="AC94" s="75">
        <f t="shared" si="13"/>
        <v>43500</v>
      </c>
      <c r="AD94" s="78">
        <f t="shared" si="21"/>
        <v>7830</v>
      </c>
      <c r="AE94" s="72">
        <f t="shared" si="14"/>
        <v>51330</v>
      </c>
      <c r="AF94" s="75">
        <f t="shared" si="15"/>
        <v>8263.8000000000011</v>
      </c>
      <c r="AG94" s="78">
        <f t="shared" si="16"/>
        <v>1487.4840000000002</v>
      </c>
      <c r="AH94" s="72">
        <f t="shared" si="17"/>
        <v>9751.2840000000015</v>
      </c>
      <c r="AI94" s="75">
        <f t="shared" si="18"/>
        <v>5700</v>
      </c>
      <c r="AJ94" s="78">
        <f t="shared" si="19"/>
        <v>1026</v>
      </c>
      <c r="AK94" s="72">
        <f t="shared" si="20"/>
        <v>6726</v>
      </c>
    </row>
    <row r="95" spans="1:37" ht="15.95" customHeight="1">
      <c r="A95" s="25" t="s">
        <v>12</v>
      </c>
      <c r="B95" s="25" t="s">
        <v>13</v>
      </c>
      <c r="C95" s="26" t="s">
        <v>14</v>
      </c>
      <c r="D95" s="26" t="s">
        <v>373</v>
      </c>
      <c r="E95" s="26" t="s">
        <v>16</v>
      </c>
      <c r="F95" s="26" t="s">
        <v>116</v>
      </c>
      <c r="G95" s="26" t="s">
        <v>57</v>
      </c>
      <c r="H95" s="27" t="s">
        <v>64</v>
      </c>
      <c r="I95" s="26" t="s">
        <v>19</v>
      </c>
      <c r="J95" s="28" t="s">
        <v>20</v>
      </c>
      <c r="K95" s="123">
        <v>165</v>
      </c>
      <c r="L95" s="29">
        <f t="shared" si="11"/>
        <v>30.351999999999997</v>
      </c>
      <c r="M95" s="110">
        <v>21</v>
      </c>
      <c r="N95" s="30">
        <v>0.27700000000000002</v>
      </c>
      <c r="O95" s="116">
        <v>5.8170000000000002</v>
      </c>
      <c r="P95" s="30">
        <v>7.4999999999999997E-2</v>
      </c>
      <c r="Q95" s="116">
        <v>1.575</v>
      </c>
      <c r="R95" s="30">
        <v>7.0000000000000007E-2</v>
      </c>
      <c r="S95" s="116">
        <v>1.4700000000000002</v>
      </c>
      <c r="T95" s="117">
        <v>0.49</v>
      </c>
      <c r="U95" s="39">
        <v>350</v>
      </c>
      <c r="V95" s="32">
        <v>238</v>
      </c>
      <c r="W95" s="33"/>
      <c r="X95" s="32"/>
      <c r="Y95" s="32"/>
      <c r="Z95" s="32"/>
      <c r="AA95" s="34"/>
      <c r="AB95" s="35">
        <f t="shared" si="12"/>
        <v>588</v>
      </c>
      <c r="AC95" s="75">
        <f t="shared" si="13"/>
        <v>57750</v>
      </c>
      <c r="AD95" s="78">
        <f t="shared" si="21"/>
        <v>39270</v>
      </c>
      <c r="AE95" s="72">
        <f t="shared" si="14"/>
        <v>97020</v>
      </c>
      <c r="AF95" s="75">
        <f t="shared" si="15"/>
        <v>10623.199999999999</v>
      </c>
      <c r="AG95" s="78">
        <f t="shared" si="16"/>
        <v>7223.7759999999989</v>
      </c>
      <c r="AH95" s="72">
        <f t="shared" si="17"/>
        <v>17846.975999999999</v>
      </c>
      <c r="AI95" s="75">
        <f t="shared" si="18"/>
        <v>7350</v>
      </c>
      <c r="AJ95" s="78">
        <f t="shared" si="19"/>
        <v>4998</v>
      </c>
      <c r="AK95" s="72">
        <f t="shared" si="20"/>
        <v>12348</v>
      </c>
    </row>
    <row r="96" spans="1:37" ht="15.95" customHeight="1">
      <c r="A96" s="25" t="s">
        <v>12</v>
      </c>
      <c r="B96" s="25" t="s">
        <v>13</v>
      </c>
      <c r="C96" s="26" t="s">
        <v>21</v>
      </c>
      <c r="D96" s="26" t="s">
        <v>373</v>
      </c>
      <c r="E96" s="26" t="s">
        <v>16</v>
      </c>
      <c r="F96" s="26" t="s">
        <v>117</v>
      </c>
      <c r="G96" s="26" t="s">
        <v>57</v>
      </c>
      <c r="H96" s="27" t="s">
        <v>64</v>
      </c>
      <c r="I96" s="26" t="s">
        <v>19</v>
      </c>
      <c r="J96" s="28" t="s">
        <v>23</v>
      </c>
      <c r="K96" s="123">
        <v>145</v>
      </c>
      <c r="L96" s="29">
        <f t="shared" si="11"/>
        <v>27.546000000000003</v>
      </c>
      <c r="M96" s="110">
        <v>19</v>
      </c>
      <c r="N96" s="30">
        <v>0.27900000000000003</v>
      </c>
      <c r="O96" s="116">
        <v>5.3010000000000002</v>
      </c>
      <c r="P96" s="30">
        <v>7.4999999999999997E-2</v>
      </c>
      <c r="Q96" s="116">
        <v>1.425</v>
      </c>
      <c r="R96" s="30">
        <v>7.0000000000000007E-2</v>
      </c>
      <c r="S96" s="116">
        <v>1.33</v>
      </c>
      <c r="T96" s="117">
        <v>0.49</v>
      </c>
      <c r="U96" s="39">
        <v>300</v>
      </c>
      <c r="V96" s="32">
        <v>235</v>
      </c>
      <c r="W96" s="33"/>
      <c r="X96" s="32"/>
      <c r="Y96" s="32"/>
      <c r="Z96" s="32"/>
      <c r="AA96" s="34"/>
      <c r="AB96" s="35">
        <f t="shared" si="12"/>
        <v>535</v>
      </c>
      <c r="AC96" s="75">
        <f t="shared" si="13"/>
        <v>43500</v>
      </c>
      <c r="AD96" s="78">
        <f t="shared" si="21"/>
        <v>34075</v>
      </c>
      <c r="AE96" s="72">
        <f t="shared" si="14"/>
        <v>77575</v>
      </c>
      <c r="AF96" s="75">
        <f t="shared" si="15"/>
        <v>8263.8000000000011</v>
      </c>
      <c r="AG96" s="78">
        <f t="shared" si="16"/>
        <v>6473.31</v>
      </c>
      <c r="AH96" s="72">
        <f t="shared" si="17"/>
        <v>14737.11</v>
      </c>
      <c r="AI96" s="75">
        <f t="shared" si="18"/>
        <v>5700</v>
      </c>
      <c r="AJ96" s="78">
        <f t="shared" si="19"/>
        <v>4465</v>
      </c>
      <c r="AK96" s="72">
        <f t="shared" si="20"/>
        <v>10165</v>
      </c>
    </row>
    <row r="97" spans="1:37" ht="15.95" customHeight="1">
      <c r="A97" s="25" t="s">
        <v>84</v>
      </c>
      <c r="B97" s="25" t="s">
        <v>13</v>
      </c>
      <c r="C97" s="26" t="s">
        <v>14</v>
      </c>
      <c r="D97" s="26" t="s">
        <v>373</v>
      </c>
      <c r="E97" s="26" t="s">
        <v>16</v>
      </c>
      <c r="F97" s="41" t="s">
        <v>118</v>
      </c>
      <c r="G97" s="26" t="s">
        <v>119</v>
      </c>
      <c r="H97" s="44" t="s">
        <v>120</v>
      </c>
      <c r="I97" s="26" t="s">
        <v>27</v>
      </c>
      <c r="J97" s="28" t="s">
        <v>41</v>
      </c>
      <c r="K97" s="123">
        <v>140</v>
      </c>
      <c r="L97" s="29">
        <f t="shared" si="11"/>
        <v>19.754499999999997</v>
      </c>
      <c r="M97" s="110">
        <v>13.5</v>
      </c>
      <c r="N97" s="30">
        <v>0.28199999999999997</v>
      </c>
      <c r="O97" s="116">
        <v>3.8069999999999995</v>
      </c>
      <c r="P97" s="30">
        <v>7.4999999999999997E-2</v>
      </c>
      <c r="Q97" s="116">
        <v>1.0125</v>
      </c>
      <c r="R97" s="30">
        <v>7.0000000000000007E-2</v>
      </c>
      <c r="S97" s="116">
        <v>0.94500000000000006</v>
      </c>
      <c r="T97" s="117">
        <v>0.49</v>
      </c>
      <c r="U97" s="39">
        <v>400</v>
      </c>
      <c r="V97" s="32"/>
      <c r="W97" s="33"/>
      <c r="X97" s="32"/>
      <c r="Y97" s="32"/>
      <c r="Z97" s="32"/>
      <c r="AA97" s="34"/>
      <c r="AB97" s="35">
        <f t="shared" si="12"/>
        <v>400</v>
      </c>
      <c r="AC97" s="75">
        <f t="shared" si="13"/>
        <v>56000</v>
      </c>
      <c r="AD97" s="78">
        <f t="shared" si="21"/>
        <v>0</v>
      </c>
      <c r="AE97" s="72">
        <f t="shared" si="14"/>
        <v>56000</v>
      </c>
      <c r="AF97" s="75">
        <f t="shared" si="15"/>
        <v>7901.7999999999984</v>
      </c>
      <c r="AG97" s="78">
        <f t="shared" si="16"/>
        <v>0</v>
      </c>
      <c r="AH97" s="72">
        <f t="shared" si="17"/>
        <v>7901.7999999999984</v>
      </c>
      <c r="AI97" s="75">
        <f t="shared" si="18"/>
        <v>5400</v>
      </c>
      <c r="AJ97" s="78">
        <f t="shared" si="19"/>
        <v>0</v>
      </c>
      <c r="AK97" s="72">
        <f t="shared" si="20"/>
        <v>5400</v>
      </c>
    </row>
    <row r="98" spans="1:37" ht="15.95" customHeight="1">
      <c r="A98" s="25" t="s">
        <v>84</v>
      </c>
      <c r="B98" s="25" t="s">
        <v>13</v>
      </c>
      <c r="C98" s="26" t="s">
        <v>21</v>
      </c>
      <c r="D98" s="26" t="s">
        <v>373</v>
      </c>
      <c r="E98" s="26" t="s">
        <v>16</v>
      </c>
      <c r="F98" s="41" t="s">
        <v>121</v>
      </c>
      <c r="G98" s="26" t="s">
        <v>119</v>
      </c>
      <c r="H98" s="44" t="s">
        <v>120</v>
      </c>
      <c r="I98" s="26" t="s">
        <v>27</v>
      </c>
      <c r="J98" s="28" t="s">
        <v>43</v>
      </c>
      <c r="K98" s="123">
        <v>110</v>
      </c>
      <c r="L98" s="29">
        <f t="shared" si="11"/>
        <v>15.088210000000002</v>
      </c>
      <c r="M98" s="110">
        <v>10.23</v>
      </c>
      <c r="N98" s="30">
        <v>0.28199999999999997</v>
      </c>
      <c r="O98" s="116">
        <v>2.8848599999999998</v>
      </c>
      <c r="P98" s="30">
        <v>7.4999999999999997E-2</v>
      </c>
      <c r="Q98" s="116">
        <v>0.76724999999999999</v>
      </c>
      <c r="R98" s="30">
        <v>7.0000000000000007E-2</v>
      </c>
      <c r="S98" s="116">
        <v>0.71610000000000007</v>
      </c>
      <c r="T98" s="117">
        <v>0.49</v>
      </c>
      <c r="U98" s="39">
        <v>400</v>
      </c>
      <c r="V98" s="32"/>
      <c r="W98" s="33"/>
      <c r="X98" s="32"/>
      <c r="Y98" s="32"/>
      <c r="Z98" s="32"/>
      <c r="AA98" s="34"/>
      <c r="AB98" s="35">
        <f t="shared" si="12"/>
        <v>400</v>
      </c>
      <c r="AC98" s="75">
        <f t="shared" si="13"/>
        <v>44000</v>
      </c>
      <c r="AD98" s="78">
        <f t="shared" si="21"/>
        <v>0</v>
      </c>
      <c r="AE98" s="72">
        <f t="shared" si="14"/>
        <v>44000</v>
      </c>
      <c r="AF98" s="75">
        <f t="shared" si="15"/>
        <v>6035.2840000000006</v>
      </c>
      <c r="AG98" s="78">
        <f t="shared" si="16"/>
        <v>0</v>
      </c>
      <c r="AH98" s="72">
        <f t="shared" si="17"/>
        <v>6035.2840000000006</v>
      </c>
      <c r="AI98" s="75">
        <f t="shared" si="18"/>
        <v>4092</v>
      </c>
      <c r="AJ98" s="78">
        <f t="shared" si="19"/>
        <v>0</v>
      </c>
      <c r="AK98" s="72">
        <f t="shared" si="20"/>
        <v>4092</v>
      </c>
    </row>
    <row r="99" spans="1:37" ht="15.95" customHeight="1">
      <c r="A99" s="25" t="s">
        <v>84</v>
      </c>
      <c r="B99" s="25" t="s">
        <v>13</v>
      </c>
      <c r="C99" s="26" t="s">
        <v>14</v>
      </c>
      <c r="D99" s="26" t="s">
        <v>373</v>
      </c>
      <c r="E99" s="26" t="s">
        <v>16</v>
      </c>
      <c r="F99" s="41" t="s">
        <v>122</v>
      </c>
      <c r="G99" s="26" t="s">
        <v>119</v>
      </c>
      <c r="H99" s="44" t="s">
        <v>120</v>
      </c>
      <c r="I99" s="26" t="s">
        <v>27</v>
      </c>
      <c r="J99" s="28" t="s">
        <v>41</v>
      </c>
      <c r="K99" s="123">
        <v>140</v>
      </c>
      <c r="L99" s="29">
        <f t="shared" si="11"/>
        <v>19.754499999999997</v>
      </c>
      <c r="M99" s="110">
        <v>13.5</v>
      </c>
      <c r="N99" s="30">
        <v>0.28199999999999997</v>
      </c>
      <c r="O99" s="116">
        <v>3.8069999999999995</v>
      </c>
      <c r="P99" s="30">
        <v>7.4999999999999997E-2</v>
      </c>
      <c r="Q99" s="116">
        <v>1.0125</v>
      </c>
      <c r="R99" s="30">
        <v>7.0000000000000007E-2</v>
      </c>
      <c r="S99" s="116">
        <v>0.94500000000000006</v>
      </c>
      <c r="T99" s="117">
        <v>0.49</v>
      </c>
      <c r="U99" s="39">
        <v>500</v>
      </c>
      <c r="V99" s="32"/>
      <c r="W99" s="33"/>
      <c r="X99" s="32"/>
      <c r="Y99" s="32"/>
      <c r="Z99" s="32"/>
      <c r="AA99" s="34"/>
      <c r="AB99" s="35">
        <f t="shared" si="12"/>
        <v>500</v>
      </c>
      <c r="AC99" s="75">
        <f t="shared" si="13"/>
        <v>70000</v>
      </c>
      <c r="AD99" s="78">
        <f t="shared" si="21"/>
        <v>0</v>
      </c>
      <c r="AE99" s="72">
        <f t="shared" si="14"/>
        <v>70000</v>
      </c>
      <c r="AF99" s="75">
        <f t="shared" si="15"/>
        <v>9877.2499999999982</v>
      </c>
      <c r="AG99" s="78">
        <f t="shared" si="16"/>
        <v>0</v>
      </c>
      <c r="AH99" s="72">
        <f t="shared" si="17"/>
        <v>9877.2499999999982</v>
      </c>
      <c r="AI99" s="75">
        <f t="shared" si="18"/>
        <v>6750</v>
      </c>
      <c r="AJ99" s="78">
        <f t="shared" si="19"/>
        <v>0</v>
      </c>
      <c r="AK99" s="72">
        <f t="shared" si="20"/>
        <v>6750</v>
      </c>
    </row>
    <row r="100" spans="1:37" ht="15.95" customHeight="1">
      <c r="A100" s="25" t="s">
        <v>84</v>
      </c>
      <c r="B100" s="25" t="s">
        <v>13</v>
      </c>
      <c r="C100" s="26" t="s">
        <v>21</v>
      </c>
      <c r="D100" s="26" t="s">
        <v>373</v>
      </c>
      <c r="E100" s="26" t="s">
        <v>16</v>
      </c>
      <c r="F100" s="41" t="s">
        <v>123</v>
      </c>
      <c r="G100" s="26" t="s">
        <v>119</v>
      </c>
      <c r="H100" s="44" t="s">
        <v>120</v>
      </c>
      <c r="I100" s="26" t="s">
        <v>27</v>
      </c>
      <c r="J100" s="28" t="s">
        <v>43</v>
      </c>
      <c r="K100" s="123">
        <v>110</v>
      </c>
      <c r="L100" s="29">
        <f t="shared" si="11"/>
        <v>15.088210000000002</v>
      </c>
      <c r="M100" s="110">
        <v>10.23</v>
      </c>
      <c r="N100" s="30">
        <v>0.28199999999999997</v>
      </c>
      <c r="O100" s="116">
        <v>2.8848599999999998</v>
      </c>
      <c r="P100" s="30">
        <v>7.4999999999999997E-2</v>
      </c>
      <c r="Q100" s="116">
        <v>0.76724999999999999</v>
      </c>
      <c r="R100" s="30">
        <v>7.0000000000000007E-2</v>
      </c>
      <c r="S100" s="116">
        <v>0.71610000000000007</v>
      </c>
      <c r="T100" s="117">
        <v>0.49</v>
      </c>
      <c r="U100" s="39">
        <v>500</v>
      </c>
      <c r="V100" s="32"/>
      <c r="W100" s="33"/>
      <c r="X100" s="32"/>
      <c r="Y100" s="32"/>
      <c r="Z100" s="32"/>
      <c r="AA100" s="34"/>
      <c r="AB100" s="35">
        <f t="shared" si="12"/>
        <v>500</v>
      </c>
      <c r="AC100" s="75">
        <f t="shared" si="13"/>
        <v>55000</v>
      </c>
      <c r="AD100" s="78">
        <f t="shared" si="21"/>
        <v>0</v>
      </c>
      <c r="AE100" s="72">
        <f t="shared" si="14"/>
        <v>55000</v>
      </c>
      <c r="AF100" s="75">
        <f t="shared" si="15"/>
        <v>7544.1050000000014</v>
      </c>
      <c r="AG100" s="78">
        <f t="shared" si="16"/>
        <v>0</v>
      </c>
      <c r="AH100" s="72">
        <f t="shared" si="17"/>
        <v>7544.1050000000014</v>
      </c>
      <c r="AI100" s="75">
        <f t="shared" si="18"/>
        <v>5115</v>
      </c>
      <c r="AJ100" s="78">
        <f t="shared" si="19"/>
        <v>0</v>
      </c>
      <c r="AK100" s="72">
        <f t="shared" si="20"/>
        <v>5115</v>
      </c>
    </row>
    <row r="101" spans="1:37" ht="15.95" customHeight="1">
      <c r="A101" s="25" t="s">
        <v>12</v>
      </c>
      <c r="B101" s="25" t="s">
        <v>13</v>
      </c>
      <c r="C101" s="26" t="s">
        <v>124</v>
      </c>
      <c r="D101" s="26" t="s">
        <v>373</v>
      </c>
      <c r="E101" s="26" t="s">
        <v>16</v>
      </c>
      <c r="F101" s="26" t="s">
        <v>125</v>
      </c>
      <c r="G101" s="26" t="s">
        <v>126</v>
      </c>
      <c r="H101" s="44" t="s">
        <v>127</v>
      </c>
      <c r="I101" s="26" t="s">
        <v>19</v>
      </c>
      <c r="J101" s="45" t="s">
        <v>377</v>
      </c>
      <c r="K101" s="123">
        <v>325</v>
      </c>
      <c r="L101" s="29">
        <f t="shared" si="11"/>
        <v>63.28</v>
      </c>
      <c r="M101" s="110">
        <v>46</v>
      </c>
      <c r="N101" s="30">
        <v>0.22</v>
      </c>
      <c r="O101" s="116">
        <v>10.119999999999999</v>
      </c>
      <c r="P101" s="30">
        <v>7.4999999999999997E-2</v>
      </c>
      <c r="Q101" s="116">
        <v>3.4499999999999997</v>
      </c>
      <c r="R101" s="30">
        <v>7.0000000000000007E-2</v>
      </c>
      <c r="S101" s="116">
        <v>3.22</v>
      </c>
      <c r="T101" s="117">
        <v>0.49</v>
      </c>
      <c r="U101" s="39">
        <v>250</v>
      </c>
      <c r="V101" s="32">
        <v>80</v>
      </c>
      <c r="W101" s="33"/>
      <c r="X101" s="32"/>
      <c r="Y101" s="32"/>
      <c r="Z101" s="32"/>
      <c r="AA101" s="34"/>
      <c r="AB101" s="35">
        <f t="shared" si="12"/>
        <v>330</v>
      </c>
      <c r="AC101" s="75">
        <f t="shared" si="13"/>
        <v>81250</v>
      </c>
      <c r="AD101" s="78">
        <f t="shared" si="21"/>
        <v>26000</v>
      </c>
      <c r="AE101" s="72">
        <f t="shared" si="14"/>
        <v>107250</v>
      </c>
      <c r="AF101" s="75">
        <f t="shared" si="15"/>
        <v>15820</v>
      </c>
      <c r="AG101" s="78">
        <f t="shared" si="16"/>
        <v>5062.3999999999996</v>
      </c>
      <c r="AH101" s="72">
        <f t="shared" si="17"/>
        <v>20882.400000000001</v>
      </c>
      <c r="AI101" s="75">
        <f t="shared" si="18"/>
        <v>11500</v>
      </c>
      <c r="AJ101" s="78">
        <f t="shared" si="19"/>
        <v>3680</v>
      </c>
      <c r="AK101" s="72">
        <f t="shared" si="20"/>
        <v>15180</v>
      </c>
    </row>
    <row r="102" spans="1:37" ht="15.95" customHeight="1">
      <c r="A102" s="25" t="s">
        <v>12</v>
      </c>
      <c r="B102" s="25" t="s">
        <v>13</v>
      </c>
      <c r="C102" s="26" t="s">
        <v>124</v>
      </c>
      <c r="D102" s="26" t="s">
        <v>373</v>
      </c>
      <c r="E102" s="26" t="s">
        <v>16</v>
      </c>
      <c r="F102" s="26" t="s">
        <v>128</v>
      </c>
      <c r="G102" s="26" t="s">
        <v>129</v>
      </c>
      <c r="H102" s="27" t="s">
        <v>391</v>
      </c>
      <c r="I102" s="26" t="s">
        <v>19</v>
      </c>
      <c r="J102" s="28" t="s">
        <v>20</v>
      </c>
      <c r="K102" s="123">
        <v>198</v>
      </c>
      <c r="L102" s="29">
        <f t="shared" si="11"/>
        <v>37.462000000000003</v>
      </c>
      <c r="M102" s="110">
        <v>26</v>
      </c>
      <c r="N102" s="30">
        <v>0.27700000000000002</v>
      </c>
      <c r="O102" s="116">
        <v>7.2020000000000008</v>
      </c>
      <c r="P102" s="30">
        <v>7.4999999999999997E-2</v>
      </c>
      <c r="Q102" s="116">
        <v>1.95</v>
      </c>
      <c r="R102" s="30">
        <v>7.0000000000000007E-2</v>
      </c>
      <c r="S102" s="116">
        <v>1.8200000000000003</v>
      </c>
      <c r="T102" s="117">
        <v>0.49</v>
      </c>
      <c r="U102" s="39">
        <v>250</v>
      </c>
      <c r="V102" s="32"/>
      <c r="W102" s="33"/>
      <c r="X102" s="32"/>
      <c r="Y102" s="32"/>
      <c r="Z102" s="32"/>
      <c r="AA102" s="34"/>
      <c r="AB102" s="35">
        <f t="shared" si="12"/>
        <v>250</v>
      </c>
      <c r="AC102" s="75">
        <f t="shared" si="13"/>
        <v>49500</v>
      </c>
      <c r="AD102" s="78">
        <f t="shared" si="21"/>
        <v>0</v>
      </c>
      <c r="AE102" s="72">
        <f t="shared" si="14"/>
        <v>49500</v>
      </c>
      <c r="AF102" s="75">
        <f t="shared" si="15"/>
        <v>9365.5</v>
      </c>
      <c r="AG102" s="78">
        <f t="shared" si="16"/>
        <v>0</v>
      </c>
      <c r="AH102" s="72">
        <f t="shared" si="17"/>
        <v>9365.5</v>
      </c>
      <c r="AI102" s="75">
        <f t="shared" si="18"/>
        <v>6500</v>
      </c>
      <c r="AJ102" s="78">
        <f t="shared" si="19"/>
        <v>0</v>
      </c>
      <c r="AK102" s="72">
        <f t="shared" si="20"/>
        <v>6500</v>
      </c>
    </row>
    <row r="103" spans="1:37" ht="15.95" customHeight="1">
      <c r="A103" s="25" t="s">
        <v>12</v>
      </c>
      <c r="B103" s="25" t="s">
        <v>13</v>
      </c>
      <c r="C103" s="26" t="s">
        <v>124</v>
      </c>
      <c r="D103" s="26" t="s">
        <v>373</v>
      </c>
      <c r="E103" s="26" t="s">
        <v>16</v>
      </c>
      <c r="F103" s="26" t="s">
        <v>130</v>
      </c>
      <c r="G103" s="26" t="s">
        <v>131</v>
      </c>
      <c r="H103" s="27" t="s">
        <v>132</v>
      </c>
      <c r="I103" s="26" t="s">
        <v>19</v>
      </c>
      <c r="J103" s="28" t="s">
        <v>20</v>
      </c>
      <c r="K103" s="123">
        <v>225</v>
      </c>
      <c r="L103" s="29">
        <f t="shared" si="11"/>
        <v>42.439</v>
      </c>
      <c r="M103" s="110">
        <v>29.5</v>
      </c>
      <c r="N103" s="30">
        <v>0.27700000000000002</v>
      </c>
      <c r="O103" s="116">
        <v>8.1715</v>
      </c>
      <c r="P103" s="30">
        <v>7.4999999999999997E-2</v>
      </c>
      <c r="Q103" s="116">
        <v>2.2124999999999999</v>
      </c>
      <c r="R103" s="30">
        <v>7.0000000000000007E-2</v>
      </c>
      <c r="S103" s="116">
        <v>2.0650000000000004</v>
      </c>
      <c r="T103" s="117">
        <v>0.49</v>
      </c>
      <c r="U103" s="39">
        <v>250</v>
      </c>
      <c r="V103" s="32"/>
      <c r="W103" s="33"/>
      <c r="X103" s="32"/>
      <c r="Y103" s="32"/>
      <c r="Z103" s="32"/>
      <c r="AA103" s="34"/>
      <c r="AB103" s="35">
        <f t="shared" si="12"/>
        <v>250</v>
      </c>
      <c r="AC103" s="75">
        <f t="shared" si="13"/>
        <v>56250</v>
      </c>
      <c r="AD103" s="78">
        <f t="shared" si="21"/>
        <v>0</v>
      </c>
      <c r="AE103" s="72">
        <f t="shared" si="14"/>
        <v>56250</v>
      </c>
      <c r="AF103" s="75">
        <f t="shared" si="15"/>
        <v>10609.75</v>
      </c>
      <c r="AG103" s="78">
        <f t="shared" si="16"/>
        <v>0</v>
      </c>
      <c r="AH103" s="72">
        <f t="shared" si="17"/>
        <v>10609.75</v>
      </c>
      <c r="AI103" s="75">
        <f t="shared" si="18"/>
        <v>7375</v>
      </c>
      <c r="AJ103" s="78">
        <f t="shared" si="19"/>
        <v>0</v>
      </c>
      <c r="AK103" s="72">
        <f t="shared" si="20"/>
        <v>7375</v>
      </c>
    </row>
    <row r="104" spans="1:37" ht="15.95" customHeight="1">
      <c r="A104" s="25" t="s">
        <v>12</v>
      </c>
      <c r="B104" s="25" t="s">
        <v>13</v>
      </c>
      <c r="C104" s="26" t="s">
        <v>133</v>
      </c>
      <c r="D104" s="26" t="s">
        <v>376</v>
      </c>
      <c r="E104" s="26" t="s">
        <v>16</v>
      </c>
      <c r="F104" s="26" t="s">
        <v>134</v>
      </c>
      <c r="G104" s="26" t="s">
        <v>135</v>
      </c>
      <c r="H104" s="27" t="s">
        <v>136</v>
      </c>
      <c r="I104" s="26" t="s">
        <v>19</v>
      </c>
      <c r="J104" s="37" t="s">
        <v>137</v>
      </c>
      <c r="K104" s="123">
        <v>135</v>
      </c>
      <c r="L104" s="29">
        <f t="shared" si="11"/>
        <v>26.9879</v>
      </c>
      <c r="M104" s="110">
        <v>18.7</v>
      </c>
      <c r="N104" s="30">
        <v>0.27200000000000002</v>
      </c>
      <c r="O104" s="116">
        <v>5.0864000000000003</v>
      </c>
      <c r="P104" s="30">
        <v>7.4999999999999997E-2</v>
      </c>
      <c r="Q104" s="116">
        <v>1.4024999999999999</v>
      </c>
      <c r="R104" s="30">
        <v>7.0000000000000007E-2</v>
      </c>
      <c r="S104" s="116">
        <v>1.3090000000000002</v>
      </c>
      <c r="T104" s="117">
        <v>0.49</v>
      </c>
      <c r="U104" s="39">
        <v>500</v>
      </c>
      <c r="V104" s="32">
        <v>163</v>
      </c>
      <c r="W104" s="33"/>
      <c r="X104" s="32"/>
      <c r="Y104" s="32"/>
      <c r="Z104" s="32">
        <v>4</v>
      </c>
      <c r="AA104" s="34"/>
      <c r="AB104" s="35">
        <f t="shared" si="12"/>
        <v>667</v>
      </c>
      <c r="AC104" s="75">
        <f t="shared" si="13"/>
        <v>67500</v>
      </c>
      <c r="AD104" s="78">
        <f t="shared" si="21"/>
        <v>22545</v>
      </c>
      <c r="AE104" s="72">
        <f t="shared" si="14"/>
        <v>90045</v>
      </c>
      <c r="AF104" s="75">
        <f t="shared" si="15"/>
        <v>13493.95</v>
      </c>
      <c r="AG104" s="78">
        <f t="shared" si="16"/>
        <v>4473.8276999999998</v>
      </c>
      <c r="AH104" s="72">
        <f t="shared" si="17"/>
        <v>17967.777699999999</v>
      </c>
      <c r="AI104" s="75">
        <f t="shared" si="18"/>
        <v>9350</v>
      </c>
      <c r="AJ104" s="78">
        <f t="shared" si="19"/>
        <v>3122.9</v>
      </c>
      <c r="AK104" s="72">
        <f t="shared" si="20"/>
        <v>12472.9</v>
      </c>
    </row>
    <row r="105" spans="1:37" ht="15.95" customHeight="1">
      <c r="A105" s="25" t="s">
        <v>12</v>
      </c>
      <c r="B105" s="25" t="s">
        <v>13</v>
      </c>
      <c r="C105" s="26" t="s">
        <v>29</v>
      </c>
      <c r="D105" s="26" t="s">
        <v>375</v>
      </c>
      <c r="E105" s="26" t="s">
        <v>16</v>
      </c>
      <c r="F105" s="26" t="s">
        <v>138</v>
      </c>
      <c r="G105" s="26" t="s">
        <v>135</v>
      </c>
      <c r="H105" s="27" t="s">
        <v>136</v>
      </c>
      <c r="I105" s="26" t="s">
        <v>19</v>
      </c>
      <c r="J105" s="37" t="s">
        <v>31</v>
      </c>
      <c r="K105" s="123">
        <v>110</v>
      </c>
      <c r="L105" s="29">
        <f t="shared" si="11"/>
        <v>21.365839999999999</v>
      </c>
      <c r="M105" s="110">
        <v>14.66</v>
      </c>
      <c r="N105" s="30">
        <v>0.27900000000000003</v>
      </c>
      <c r="O105" s="116">
        <v>4.0901400000000008</v>
      </c>
      <c r="P105" s="30">
        <v>7.4999999999999997E-2</v>
      </c>
      <c r="Q105" s="116">
        <v>1.0994999999999999</v>
      </c>
      <c r="R105" s="30">
        <v>7.0000000000000007E-2</v>
      </c>
      <c r="S105" s="116">
        <v>1.0262</v>
      </c>
      <c r="T105" s="117">
        <v>0.49</v>
      </c>
      <c r="U105" s="39">
        <v>500</v>
      </c>
      <c r="V105" s="32">
        <v>159</v>
      </c>
      <c r="W105" s="33"/>
      <c r="X105" s="32"/>
      <c r="Y105" s="32"/>
      <c r="Z105" s="32"/>
      <c r="AA105" s="34"/>
      <c r="AB105" s="35">
        <f t="shared" si="12"/>
        <v>659</v>
      </c>
      <c r="AC105" s="75">
        <f t="shared" si="13"/>
        <v>55000</v>
      </c>
      <c r="AD105" s="78">
        <f t="shared" si="21"/>
        <v>17490</v>
      </c>
      <c r="AE105" s="72">
        <f t="shared" si="14"/>
        <v>72490</v>
      </c>
      <c r="AF105" s="75">
        <f t="shared" si="15"/>
        <v>10682.92</v>
      </c>
      <c r="AG105" s="78">
        <f t="shared" si="16"/>
        <v>3397.1685599999996</v>
      </c>
      <c r="AH105" s="72">
        <f t="shared" si="17"/>
        <v>14080.08856</v>
      </c>
      <c r="AI105" s="75">
        <f t="shared" si="18"/>
        <v>7330</v>
      </c>
      <c r="AJ105" s="78">
        <f t="shared" si="19"/>
        <v>2330.94</v>
      </c>
      <c r="AK105" s="72">
        <f t="shared" si="20"/>
        <v>9660.94</v>
      </c>
    </row>
    <row r="106" spans="1:37" ht="15.95" customHeight="1">
      <c r="A106" s="25" t="s">
        <v>12</v>
      </c>
      <c r="B106" s="25" t="s">
        <v>13</v>
      </c>
      <c r="C106" s="26" t="s">
        <v>133</v>
      </c>
      <c r="D106" s="26" t="s">
        <v>375</v>
      </c>
      <c r="E106" s="26" t="s">
        <v>16</v>
      </c>
      <c r="F106" s="26" t="s">
        <v>134</v>
      </c>
      <c r="G106" s="26" t="s">
        <v>135</v>
      </c>
      <c r="H106" s="27" t="s">
        <v>136</v>
      </c>
      <c r="I106" s="26" t="s">
        <v>19</v>
      </c>
      <c r="J106" s="37" t="s">
        <v>137</v>
      </c>
      <c r="K106" s="123">
        <v>135</v>
      </c>
      <c r="L106" s="29">
        <f t="shared" si="11"/>
        <v>26.9879</v>
      </c>
      <c r="M106" s="110">
        <v>18.7</v>
      </c>
      <c r="N106" s="30">
        <v>0.27200000000000002</v>
      </c>
      <c r="O106" s="116">
        <v>5.0864000000000003</v>
      </c>
      <c r="P106" s="30">
        <v>7.4999999999999997E-2</v>
      </c>
      <c r="Q106" s="116">
        <v>1.4024999999999999</v>
      </c>
      <c r="R106" s="30">
        <v>7.0000000000000007E-2</v>
      </c>
      <c r="S106" s="116">
        <v>1.3090000000000002</v>
      </c>
      <c r="T106" s="117">
        <v>0.49</v>
      </c>
      <c r="U106" s="39">
        <v>650</v>
      </c>
      <c r="V106" s="32">
        <v>310</v>
      </c>
      <c r="W106" s="33"/>
      <c r="X106" s="32"/>
      <c r="Y106" s="32"/>
      <c r="Z106" s="32">
        <v>4</v>
      </c>
      <c r="AA106" s="34"/>
      <c r="AB106" s="35">
        <f t="shared" si="12"/>
        <v>964</v>
      </c>
      <c r="AC106" s="75">
        <f t="shared" si="13"/>
        <v>87750</v>
      </c>
      <c r="AD106" s="78">
        <f t="shared" si="21"/>
        <v>42390</v>
      </c>
      <c r="AE106" s="72">
        <f t="shared" si="14"/>
        <v>130140</v>
      </c>
      <c r="AF106" s="75">
        <f t="shared" si="15"/>
        <v>17542.134999999998</v>
      </c>
      <c r="AG106" s="78">
        <f t="shared" si="16"/>
        <v>8441.0489999999991</v>
      </c>
      <c r="AH106" s="72">
        <f t="shared" si="17"/>
        <v>25983.183999999997</v>
      </c>
      <c r="AI106" s="75">
        <f t="shared" si="18"/>
        <v>12155</v>
      </c>
      <c r="AJ106" s="78">
        <f t="shared" si="19"/>
        <v>5871.8</v>
      </c>
      <c r="AK106" s="72">
        <f t="shared" si="20"/>
        <v>18026.8</v>
      </c>
    </row>
    <row r="107" spans="1:37" ht="15.95" customHeight="1">
      <c r="A107" s="25" t="s">
        <v>12</v>
      </c>
      <c r="B107" s="25" t="s">
        <v>13</v>
      </c>
      <c r="C107" s="26" t="s">
        <v>29</v>
      </c>
      <c r="D107" s="26" t="s">
        <v>375</v>
      </c>
      <c r="E107" s="26" t="s">
        <v>16</v>
      </c>
      <c r="F107" s="26" t="s">
        <v>138</v>
      </c>
      <c r="G107" s="26" t="s">
        <v>135</v>
      </c>
      <c r="H107" s="27" t="s">
        <v>136</v>
      </c>
      <c r="I107" s="26" t="s">
        <v>19</v>
      </c>
      <c r="J107" s="37" t="s">
        <v>31</v>
      </c>
      <c r="K107" s="123">
        <v>110</v>
      </c>
      <c r="L107" s="29">
        <f t="shared" si="11"/>
        <v>21.365839999999999</v>
      </c>
      <c r="M107" s="110">
        <v>14.66</v>
      </c>
      <c r="N107" s="30">
        <v>0.27900000000000003</v>
      </c>
      <c r="O107" s="116">
        <v>4.0901400000000008</v>
      </c>
      <c r="P107" s="30">
        <v>7.4999999999999997E-2</v>
      </c>
      <c r="Q107" s="116">
        <v>1.0994999999999999</v>
      </c>
      <c r="R107" s="30">
        <v>7.0000000000000007E-2</v>
      </c>
      <c r="S107" s="116">
        <v>1.0262</v>
      </c>
      <c r="T107" s="117">
        <v>0.49</v>
      </c>
      <c r="U107" s="39">
        <v>650</v>
      </c>
      <c r="V107" s="32">
        <v>281</v>
      </c>
      <c r="W107" s="33"/>
      <c r="X107" s="32"/>
      <c r="Y107" s="32"/>
      <c r="Z107" s="32"/>
      <c r="AA107" s="34"/>
      <c r="AB107" s="35">
        <f t="shared" si="12"/>
        <v>931</v>
      </c>
      <c r="AC107" s="75">
        <f t="shared" si="13"/>
        <v>71500</v>
      </c>
      <c r="AD107" s="78">
        <f t="shared" si="21"/>
        <v>30910</v>
      </c>
      <c r="AE107" s="72">
        <f t="shared" si="14"/>
        <v>102410</v>
      </c>
      <c r="AF107" s="75">
        <f t="shared" si="15"/>
        <v>13887.795999999998</v>
      </c>
      <c r="AG107" s="78">
        <f t="shared" si="16"/>
        <v>6003.8010399999994</v>
      </c>
      <c r="AH107" s="72">
        <f t="shared" si="17"/>
        <v>19891.597039999997</v>
      </c>
      <c r="AI107" s="75">
        <f t="shared" si="18"/>
        <v>9529</v>
      </c>
      <c r="AJ107" s="78">
        <f t="shared" si="19"/>
        <v>4119.46</v>
      </c>
      <c r="AK107" s="72">
        <f t="shared" si="20"/>
        <v>13648.46</v>
      </c>
    </row>
    <row r="108" spans="1:37" ht="15.95" customHeight="1">
      <c r="A108" s="25" t="s">
        <v>12</v>
      </c>
      <c r="B108" s="25" t="s">
        <v>13</v>
      </c>
      <c r="C108" s="26" t="s">
        <v>133</v>
      </c>
      <c r="D108" s="26" t="s">
        <v>375</v>
      </c>
      <c r="E108" s="26" t="s">
        <v>16</v>
      </c>
      <c r="F108" s="26" t="s">
        <v>139</v>
      </c>
      <c r="G108" s="26" t="s">
        <v>140</v>
      </c>
      <c r="H108" s="27" t="s">
        <v>141</v>
      </c>
      <c r="I108" s="26" t="s">
        <v>19</v>
      </c>
      <c r="J108" s="28" t="s">
        <v>142</v>
      </c>
      <c r="K108" s="123">
        <v>135</v>
      </c>
      <c r="L108" s="29">
        <f t="shared" si="11"/>
        <v>25.048599999999997</v>
      </c>
      <c r="M108" s="110">
        <v>18.3</v>
      </c>
      <c r="N108" s="30">
        <v>0.19700000000000001</v>
      </c>
      <c r="O108" s="116">
        <v>3.6051000000000002</v>
      </c>
      <c r="P108" s="30">
        <v>7.4999999999999997E-2</v>
      </c>
      <c r="Q108" s="116">
        <v>1.3725000000000001</v>
      </c>
      <c r="R108" s="30">
        <v>7.0000000000000007E-2</v>
      </c>
      <c r="S108" s="116">
        <v>1.2810000000000001</v>
      </c>
      <c r="T108" s="117">
        <v>0.49</v>
      </c>
      <c r="U108" s="39">
        <v>500</v>
      </c>
      <c r="V108" s="32">
        <v>4</v>
      </c>
      <c r="W108" s="33"/>
      <c r="X108" s="32"/>
      <c r="Y108" s="32"/>
      <c r="Z108" s="32"/>
      <c r="AA108" s="34"/>
      <c r="AB108" s="35">
        <f t="shared" si="12"/>
        <v>504</v>
      </c>
      <c r="AC108" s="75">
        <f t="shared" si="13"/>
        <v>67500</v>
      </c>
      <c r="AD108" s="78">
        <f t="shared" si="21"/>
        <v>540</v>
      </c>
      <c r="AE108" s="72">
        <f t="shared" si="14"/>
        <v>68040</v>
      </c>
      <c r="AF108" s="75">
        <f t="shared" si="15"/>
        <v>12524.3</v>
      </c>
      <c r="AG108" s="78">
        <f t="shared" si="16"/>
        <v>100.19439999999999</v>
      </c>
      <c r="AH108" s="72">
        <f t="shared" si="17"/>
        <v>12624.4944</v>
      </c>
      <c r="AI108" s="75">
        <f t="shared" si="18"/>
        <v>9150</v>
      </c>
      <c r="AJ108" s="78">
        <f t="shared" si="19"/>
        <v>73.2</v>
      </c>
      <c r="AK108" s="72">
        <f t="shared" si="20"/>
        <v>9223.2000000000007</v>
      </c>
    </row>
    <row r="109" spans="1:37" ht="15.95" customHeight="1">
      <c r="A109" s="25" t="s">
        <v>12</v>
      </c>
      <c r="B109" s="25" t="s">
        <v>13</v>
      </c>
      <c r="C109" s="26" t="s">
        <v>29</v>
      </c>
      <c r="D109" s="26" t="s">
        <v>375</v>
      </c>
      <c r="E109" s="26" t="s">
        <v>16</v>
      </c>
      <c r="F109" s="26" t="s">
        <v>143</v>
      </c>
      <c r="G109" s="26" t="s">
        <v>140</v>
      </c>
      <c r="H109" s="27" t="s">
        <v>141</v>
      </c>
      <c r="I109" s="26" t="s">
        <v>19</v>
      </c>
      <c r="J109" s="28" t="s">
        <v>144</v>
      </c>
      <c r="K109" s="123">
        <v>110</v>
      </c>
      <c r="L109" s="29">
        <f t="shared" si="11"/>
        <v>21.334899999999998</v>
      </c>
      <c r="M109" s="110">
        <v>15.9</v>
      </c>
      <c r="N109" s="30">
        <v>0.16600000000000001</v>
      </c>
      <c r="O109" s="116">
        <v>2.6394000000000002</v>
      </c>
      <c r="P109" s="30">
        <v>7.4999999999999997E-2</v>
      </c>
      <c r="Q109" s="116">
        <v>1.1924999999999999</v>
      </c>
      <c r="R109" s="30">
        <v>7.0000000000000007E-2</v>
      </c>
      <c r="S109" s="116">
        <v>1.1130000000000002</v>
      </c>
      <c r="T109" s="117">
        <v>0.49</v>
      </c>
      <c r="U109" s="39">
        <v>500</v>
      </c>
      <c r="V109" s="32">
        <v>4</v>
      </c>
      <c r="W109" s="33"/>
      <c r="X109" s="32"/>
      <c r="Y109" s="32"/>
      <c r="Z109" s="32"/>
      <c r="AA109" s="34"/>
      <c r="AB109" s="35">
        <f t="shared" si="12"/>
        <v>504</v>
      </c>
      <c r="AC109" s="75">
        <f t="shared" si="13"/>
        <v>55000</v>
      </c>
      <c r="AD109" s="78">
        <f t="shared" si="21"/>
        <v>440</v>
      </c>
      <c r="AE109" s="72">
        <f t="shared" si="14"/>
        <v>55440</v>
      </c>
      <c r="AF109" s="75">
        <f t="shared" si="15"/>
        <v>10667.449999999999</v>
      </c>
      <c r="AG109" s="78">
        <f t="shared" si="16"/>
        <v>85.33959999999999</v>
      </c>
      <c r="AH109" s="72">
        <f t="shared" si="17"/>
        <v>10752.789599999998</v>
      </c>
      <c r="AI109" s="75">
        <f t="shared" si="18"/>
        <v>7950</v>
      </c>
      <c r="AJ109" s="78">
        <f t="shared" si="19"/>
        <v>63.6</v>
      </c>
      <c r="AK109" s="72">
        <f t="shared" si="20"/>
        <v>8013.6</v>
      </c>
    </row>
    <row r="110" spans="1:37" ht="15.95" customHeight="1">
      <c r="A110" s="25" t="s">
        <v>12</v>
      </c>
      <c r="B110" s="25" t="s">
        <v>13</v>
      </c>
      <c r="C110" s="26" t="s">
        <v>133</v>
      </c>
      <c r="D110" s="26" t="s">
        <v>375</v>
      </c>
      <c r="E110" s="26" t="s">
        <v>16</v>
      </c>
      <c r="F110" s="26" t="s">
        <v>139</v>
      </c>
      <c r="G110" s="26" t="s">
        <v>140</v>
      </c>
      <c r="H110" s="27" t="s">
        <v>141</v>
      </c>
      <c r="I110" s="26" t="s">
        <v>19</v>
      </c>
      <c r="J110" s="28" t="s">
        <v>142</v>
      </c>
      <c r="K110" s="123">
        <v>135</v>
      </c>
      <c r="L110" s="29">
        <f t="shared" si="11"/>
        <v>25.048599999999997</v>
      </c>
      <c r="M110" s="110">
        <v>18.3</v>
      </c>
      <c r="N110" s="30">
        <v>0.19700000000000001</v>
      </c>
      <c r="O110" s="116">
        <v>3.6051000000000002</v>
      </c>
      <c r="P110" s="30">
        <v>7.4999999999999997E-2</v>
      </c>
      <c r="Q110" s="116">
        <v>1.3725000000000001</v>
      </c>
      <c r="R110" s="30">
        <v>7.0000000000000007E-2</v>
      </c>
      <c r="S110" s="116">
        <v>1.2810000000000001</v>
      </c>
      <c r="T110" s="117">
        <v>0.49</v>
      </c>
      <c r="U110" s="39">
        <v>400</v>
      </c>
      <c r="V110" s="32">
        <v>209</v>
      </c>
      <c r="W110" s="33"/>
      <c r="X110" s="32"/>
      <c r="Y110" s="32"/>
      <c r="Z110" s="32"/>
      <c r="AA110" s="34"/>
      <c r="AB110" s="35">
        <f t="shared" si="12"/>
        <v>609</v>
      </c>
      <c r="AC110" s="75">
        <f t="shared" si="13"/>
        <v>54000</v>
      </c>
      <c r="AD110" s="78">
        <f t="shared" si="21"/>
        <v>28215</v>
      </c>
      <c r="AE110" s="72">
        <f t="shared" si="14"/>
        <v>82215</v>
      </c>
      <c r="AF110" s="75">
        <f t="shared" si="15"/>
        <v>10019.439999999999</v>
      </c>
      <c r="AG110" s="78">
        <f t="shared" si="16"/>
        <v>5235.1573999999991</v>
      </c>
      <c r="AH110" s="72">
        <f t="shared" si="17"/>
        <v>15254.597399999999</v>
      </c>
      <c r="AI110" s="75">
        <f t="shared" si="18"/>
        <v>7320</v>
      </c>
      <c r="AJ110" s="78">
        <f t="shared" si="19"/>
        <v>3824.7000000000003</v>
      </c>
      <c r="AK110" s="72">
        <f t="shared" si="20"/>
        <v>11144.7</v>
      </c>
    </row>
    <row r="111" spans="1:37" ht="15.95" customHeight="1">
      <c r="A111" s="25" t="s">
        <v>12</v>
      </c>
      <c r="B111" s="25" t="s">
        <v>13</v>
      </c>
      <c r="C111" s="26" t="s">
        <v>29</v>
      </c>
      <c r="D111" s="26" t="s">
        <v>375</v>
      </c>
      <c r="E111" s="26" t="s">
        <v>16</v>
      </c>
      <c r="F111" s="26" t="s">
        <v>143</v>
      </c>
      <c r="G111" s="26" t="s">
        <v>140</v>
      </c>
      <c r="H111" s="27" t="s">
        <v>141</v>
      </c>
      <c r="I111" s="26" t="s">
        <v>19</v>
      </c>
      <c r="J111" s="28" t="s">
        <v>144</v>
      </c>
      <c r="K111" s="123">
        <v>110</v>
      </c>
      <c r="L111" s="29">
        <f t="shared" si="11"/>
        <v>21.334899999999998</v>
      </c>
      <c r="M111" s="110">
        <v>15.9</v>
      </c>
      <c r="N111" s="30">
        <v>0.16600000000000001</v>
      </c>
      <c r="O111" s="116">
        <v>2.6394000000000002</v>
      </c>
      <c r="P111" s="30">
        <v>7.4999999999999997E-2</v>
      </c>
      <c r="Q111" s="116">
        <v>1.1924999999999999</v>
      </c>
      <c r="R111" s="30">
        <v>7.0000000000000007E-2</v>
      </c>
      <c r="S111" s="116">
        <v>1.1130000000000002</v>
      </c>
      <c r="T111" s="117">
        <v>0.49</v>
      </c>
      <c r="U111" s="39">
        <v>400</v>
      </c>
      <c r="V111" s="32">
        <v>209</v>
      </c>
      <c r="W111" s="33"/>
      <c r="X111" s="32"/>
      <c r="Y111" s="32"/>
      <c r="Z111" s="32"/>
      <c r="AA111" s="34"/>
      <c r="AB111" s="35">
        <f t="shared" si="12"/>
        <v>609</v>
      </c>
      <c r="AC111" s="75">
        <f t="shared" si="13"/>
        <v>44000</v>
      </c>
      <c r="AD111" s="78">
        <f t="shared" si="21"/>
        <v>22990</v>
      </c>
      <c r="AE111" s="72">
        <f t="shared" si="14"/>
        <v>66990</v>
      </c>
      <c r="AF111" s="75">
        <f t="shared" si="15"/>
        <v>8533.9599999999991</v>
      </c>
      <c r="AG111" s="78">
        <f t="shared" si="16"/>
        <v>4458.9940999999999</v>
      </c>
      <c r="AH111" s="72">
        <f t="shared" si="17"/>
        <v>12992.954099999999</v>
      </c>
      <c r="AI111" s="75">
        <f t="shared" si="18"/>
        <v>6360</v>
      </c>
      <c r="AJ111" s="78">
        <f t="shared" si="19"/>
        <v>3323.1</v>
      </c>
      <c r="AK111" s="72">
        <f t="shared" si="20"/>
        <v>9683.1</v>
      </c>
    </row>
    <row r="112" spans="1:37" ht="15.95" customHeight="1">
      <c r="A112" s="25" t="s">
        <v>12</v>
      </c>
      <c r="B112" s="25" t="s">
        <v>13</v>
      </c>
      <c r="C112" s="26" t="s">
        <v>14</v>
      </c>
      <c r="D112" s="26" t="s">
        <v>375</v>
      </c>
      <c r="E112" s="26" t="s">
        <v>16</v>
      </c>
      <c r="F112" s="26" t="s">
        <v>145</v>
      </c>
      <c r="G112" s="26" t="s">
        <v>146</v>
      </c>
      <c r="H112" s="44" t="s">
        <v>147</v>
      </c>
      <c r="I112" s="26" t="s">
        <v>19</v>
      </c>
      <c r="J112" s="28" t="s">
        <v>109</v>
      </c>
      <c r="K112" s="123">
        <v>185</v>
      </c>
      <c r="L112" s="29">
        <f t="shared" si="11"/>
        <v>36.779600000000009</v>
      </c>
      <c r="M112" s="110">
        <v>29.6</v>
      </c>
      <c r="N112" s="30">
        <v>8.1000000000000003E-2</v>
      </c>
      <c r="O112" s="116">
        <v>2.3976000000000002</v>
      </c>
      <c r="P112" s="30">
        <v>7.4999999999999997E-2</v>
      </c>
      <c r="Q112" s="116">
        <v>2.2200000000000002</v>
      </c>
      <c r="R112" s="30">
        <v>7.0000000000000007E-2</v>
      </c>
      <c r="S112" s="116">
        <v>2.0720000000000005</v>
      </c>
      <c r="T112" s="117">
        <v>0.49</v>
      </c>
      <c r="U112" s="39">
        <v>450</v>
      </c>
      <c r="V112" s="32">
        <v>107</v>
      </c>
      <c r="W112" s="33"/>
      <c r="X112" s="32"/>
      <c r="Y112" s="32"/>
      <c r="Z112" s="32">
        <v>4</v>
      </c>
      <c r="AA112" s="34"/>
      <c r="AB112" s="35">
        <f t="shared" si="12"/>
        <v>561</v>
      </c>
      <c r="AC112" s="75">
        <f t="shared" si="13"/>
        <v>83250</v>
      </c>
      <c r="AD112" s="78">
        <f t="shared" si="21"/>
        <v>20535</v>
      </c>
      <c r="AE112" s="72">
        <f t="shared" si="14"/>
        <v>103785</v>
      </c>
      <c r="AF112" s="75">
        <f t="shared" si="15"/>
        <v>16550.820000000003</v>
      </c>
      <c r="AG112" s="78">
        <f t="shared" si="16"/>
        <v>4053.8172000000009</v>
      </c>
      <c r="AH112" s="72">
        <f t="shared" si="17"/>
        <v>20604.637200000005</v>
      </c>
      <c r="AI112" s="75">
        <f t="shared" si="18"/>
        <v>13320</v>
      </c>
      <c r="AJ112" s="78">
        <f t="shared" si="19"/>
        <v>3285.6000000000004</v>
      </c>
      <c r="AK112" s="72">
        <f t="shared" si="20"/>
        <v>16605.599999999999</v>
      </c>
    </row>
    <row r="113" spans="1:37" ht="15.95" customHeight="1">
      <c r="A113" s="25" t="s">
        <v>12</v>
      </c>
      <c r="B113" s="25" t="s">
        <v>13</v>
      </c>
      <c r="C113" s="26" t="s">
        <v>21</v>
      </c>
      <c r="D113" s="26" t="s">
        <v>375</v>
      </c>
      <c r="E113" s="26" t="s">
        <v>16</v>
      </c>
      <c r="F113" s="26" t="s">
        <v>148</v>
      </c>
      <c r="G113" s="26" t="s">
        <v>146</v>
      </c>
      <c r="H113" s="44" t="s">
        <v>147</v>
      </c>
      <c r="I113" s="26" t="s">
        <v>19</v>
      </c>
      <c r="J113" s="28" t="s">
        <v>111</v>
      </c>
      <c r="K113" s="123">
        <v>165</v>
      </c>
      <c r="L113" s="29">
        <f t="shared" si="11"/>
        <v>31.429600000000001</v>
      </c>
      <c r="M113" s="110">
        <v>23.6</v>
      </c>
      <c r="N113" s="30">
        <v>0.16600000000000001</v>
      </c>
      <c r="O113" s="116">
        <v>3.9176000000000006</v>
      </c>
      <c r="P113" s="30">
        <v>7.4999999999999997E-2</v>
      </c>
      <c r="Q113" s="116">
        <v>1.77</v>
      </c>
      <c r="R113" s="30">
        <v>7.0000000000000007E-2</v>
      </c>
      <c r="S113" s="116">
        <v>1.6520000000000004</v>
      </c>
      <c r="T113" s="117">
        <v>0.49</v>
      </c>
      <c r="U113" s="39">
        <v>400</v>
      </c>
      <c r="V113" s="32">
        <v>107</v>
      </c>
      <c r="W113" s="33"/>
      <c r="X113" s="32"/>
      <c r="Y113" s="32"/>
      <c r="Z113" s="32">
        <v>4</v>
      </c>
      <c r="AA113" s="34"/>
      <c r="AB113" s="35">
        <f t="shared" si="12"/>
        <v>511</v>
      </c>
      <c r="AC113" s="75">
        <f t="shared" si="13"/>
        <v>66000</v>
      </c>
      <c r="AD113" s="78">
        <f t="shared" si="21"/>
        <v>18315</v>
      </c>
      <c r="AE113" s="72">
        <f t="shared" si="14"/>
        <v>84315</v>
      </c>
      <c r="AF113" s="75">
        <f t="shared" si="15"/>
        <v>12571.84</v>
      </c>
      <c r="AG113" s="78">
        <f t="shared" si="16"/>
        <v>3457.3672000000001</v>
      </c>
      <c r="AH113" s="72">
        <f t="shared" si="17"/>
        <v>16029.207200000001</v>
      </c>
      <c r="AI113" s="75">
        <f t="shared" si="18"/>
        <v>9440</v>
      </c>
      <c r="AJ113" s="78">
        <f t="shared" si="19"/>
        <v>2619.6000000000004</v>
      </c>
      <c r="AK113" s="72">
        <f t="shared" si="20"/>
        <v>12059.6</v>
      </c>
    </row>
    <row r="114" spans="1:37" ht="15.95" customHeight="1">
      <c r="A114" s="25" t="s">
        <v>12</v>
      </c>
      <c r="B114" s="25" t="s">
        <v>13</v>
      </c>
      <c r="C114" s="26" t="s">
        <v>14</v>
      </c>
      <c r="D114" s="26" t="s">
        <v>375</v>
      </c>
      <c r="E114" s="26" t="s">
        <v>16</v>
      </c>
      <c r="F114" s="26" t="s">
        <v>145</v>
      </c>
      <c r="G114" s="26" t="s">
        <v>146</v>
      </c>
      <c r="H114" s="44" t="s">
        <v>147</v>
      </c>
      <c r="I114" s="26" t="s">
        <v>19</v>
      </c>
      <c r="J114" s="28" t="s">
        <v>109</v>
      </c>
      <c r="K114" s="123">
        <v>185</v>
      </c>
      <c r="L114" s="29">
        <f t="shared" si="11"/>
        <v>36.779600000000009</v>
      </c>
      <c r="M114" s="110">
        <v>29.6</v>
      </c>
      <c r="N114" s="30">
        <v>8.1000000000000003E-2</v>
      </c>
      <c r="O114" s="116">
        <v>2.3976000000000002</v>
      </c>
      <c r="P114" s="30">
        <v>7.4999999999999997E-2</v>
      </c>
      <c r="Q114" s="116">
        <v>2.2200000000000002</v>
      </c>
      <c r="R114" s="30">
        <v>7.0000000000000007E-2</v>
      </c>
      <c r="S114" s="116">
        <v>2.0720000000000005</v>
      </c>
      <c r="T114" s="117">
        <v>0.49</v>
      </c>
      <c r="U114" s="39">
        <v>500</v>
      </c>
      <c r="V114" s="32">
        <v>115</v>
      </c>
      <c r="W114" s="33"/>
      <c r="X114" s="32"/>
      <c r="Y114" s="32"/>
      <c r="Z114" s="32">
        <v>4</v>
      </c>
      <c r="AA114" s="34">
        <v>6</v>
      </c>
      <c r="AB114" s="35">
        <f t="shared" si="12"/>
        <v>625</v>
      </c>
      <c r="AC114" s="75">
        <f t="shared" si="13"/>
        <v>92500</v>
      </c>
      <c r="AD114" s="78">
        <f t="shared" si="21"/>
        <v>23125</v>
      </c>
      <c r="AE114" s="72">
        <f t="shared" si="14"/>
        <v>115625</v>
      </c>
      <c r="AF114" s="75">
        <f t="shared" si="15"/>
        <v>18389.800000000003</v>
      </c>
      <c r="AG114" s="78">
        <f t="shared" si="16"/>
        <v>4525.6540000000014</v>
      </c>
      <c r="AH114" s="72">
        <f t="shared" si="17"/>
        <v>22915.454000000005</v>
      </c>
      <c r="AI114" s="75">
        <f t="shared" si="18"/>
        <v>14800</v>
      </c>
      <c r="AJ114" s="78">
        <f t="shared" si="19"/>
        <v>3700</v>
      </c>
      <c r="AK114" s="72">
        <f t="shared" si="20"/>
        <v>18500</v>
      </c>
    </row>
    <row r="115" spans="1:37" ht="15.95" customHeight="1">
      <c r="A115" s="25" t="s">
        <v>12</v>
      </c>
      <c r="B115" s="25" t="s">
        <v>13</v>
      </c>
      <c r="C115" s="26" t="s">
        <v>21</v>
      </c>
      <c r="D115" s="26" t="s">
        <v>375</v>
      </c>
      <c r="E115" s="26" t="s">
        <v>16</v>
      </c>
      <c r="F115" s="26" t="s">
        <v>148</v>
      </c>
      <c r="G115" s="26" t="s">
        <v>146</v>
      </c>
      <c r="H115" s="44" t="s">
        <v>147</v>
      </c>
      <c r="I115" s="26" t="s">
        <v>19</v>
      </c>
      <c r="J115" s="28" t="s">
        <v>111</v>
      </c>
      <c r="K115" s="123">
        <v>165</v>
      </c>
      <c r="L115" s="29">
        <f t="shared" si="11"/>
        <v>31.429600000000001</v>
      </c>
      <c r="M115" s="110">
        <v>23.6</v>
      </c>
      <c r="N115" s="30">
        <v>0.16600000000000001</v>
      </c>
      <c r="O115" s="116">
        <v>3.9176000000000006</v>
      </c>
      <c r="P115" s="30">
        <v>7.4999999999999997E-2</v>
      </c>
      <c r="Q115" s="116">
        <v>1.77</v>
      </c>
      <c r="R115" s="30">
        <v>7.0000000000000007E-2</v>
      </c>
      <c r="S115" s="116">
        <v>1.6520000000000004</v>
      </c>
      <c r="T115" s="117">
        <v>0.49</v>
      </c>
      <c r="U115" s="39">
        <v>450</v>
      </c>
      <c r="V115" s="32">
        <v>115</v>
      </c>
      <c r="W115" s="33"/>
      <c r="X115" s="32"/>
      <c r="Y115" s="32"/>
      <c r="Z115" s="32">
        <v>4</v>
      </c>
      <c r="AA115" s="34">
        <v>6</v>
      </c>
      <c r="AB115" s="35">
        <f t="shared" si="12"/>
        <v>575</v>
      </c>
      <c r="AC115" s="75">
        <f t="shared" si="13"/>
        <v>74250</v>
      </c>
      <c r="AD115" s="78">
        <f t="shared" si="21"/>
        <v>20625</v>
      </c>
      <c r="AE115" s="72">
        <f t="shared" si="14"/>
        <v>94875</v>
      </c>
      <c r="AF115" s="75">
        <f t="shared" si="15"/>
        <v>14143.32</v>
      </c>
      <c r="AG115" s="78">
        <f t="shared" si="16"/>
        <v>3850.404</v>
      </c>
      <c r="AH115" s="72">
        <f t="shared" si="17"/>
        <v>17993.723999999998</v>
      </c>
      <c r="AI115" s="75">
        <f t="shared" si="18"/>
        <v>10620</v>
      </c>
      <c r="AJ115" s="78">
        <f t="shared" si="19"/>
        <v>2950</v>
      </c>
      <c r="AK115" s="72">
        <f t="shared" si="20"/>
        <v>13570</v>
      </c>
    </row>
    <row r="116" spans="1:37" ht="15.95" customHeight="1">
      <c r="A116" s="25" t="s">
        <v>12</v>
      </c>
      <c r="B116" s="25" t="s">
        <v>13</v>
      </c>
      <c r="C116" s="26" t="s">
        <v>14</v>
      </c>
      <c r="D116" s="26" t="s">
        <v>375</v>
      </c>
      <c r="E116" s="26" t="s">
        <v>16</v>
      </c>
      <c r="F116" s="26" t="s">
        <v>149</v>
      </c>
      <c r="G116" s="26" t="s">
        <v>150</v>
      </c>
      <c r="H116" s="27" t="s">
        <v>151</v>
      </c>
      <c r="I116" s="26" t="s">
        <v>27</v>
      </c>
      <c r="J116" s="28" t="s">
        <v>41</v>
      </c>
      <c r="K116" s="125">
        <v>165</v>
      </c>
      <c r="L116" s="29">
        <f t="shared" si="11"/>
        <v>31.812649999999994</v>
      </c>
      <c r="M116" s="110">
        <v>21.95</v>
      </c>
      <c r="N116" s="30">
        <v>0.28199999999999997</v>
      </c>
      <c r="O116" s="116">
        <v>6.1898999999999988</v>
      </c>
      <c r="P116" s="30">
        <v>7.4999999999999997E-2</v>
      </c>
      <c r="Q116" s="116">
        <v>1.64625</v>
      </c>
      <c r="R116" s="30">
        <v>7.0000000000000007E-2</v>
      </c>
      <c r="S116" s="116">
        <v>1.5365000000000002</v>
      </c>
      <c r="T116" s="117">
        <v>0.49</v>
      </c>
      <c r="U116" s="39">
        <v>1100</v>
      </c>
      <c r="V116" s="32">
        <v>220</v>
      </c>
      <c r="W116" s="33"/>
      <c r="X116" s="32"/>
      <c r="Y116" s="32"/>
      <c r="Z116" s="32"/>
      <c r="AA116" s="34"/>
      <c r="AB116" s="35">
        <f t="shared" si="12"/>
        <v>1320</v>
      </c>
      <c r="AC116" s="75">
        <f t="shared" si="13"/>
        <v>181500</v>
      </c>
      <c r="AD116" s="78">
        <f t="shared" si="21"/>
        <v>36300</v>
      </c>
      <c r="AE116" s="72">
        <f t="shared" si="14"/>
        <v>217800</v>
      </c>
      <c r="AF116" s="75">
        <f t="shared" si="15"/>
        <v>34993.914999999994</v>
      </c>
      <c r="AG116" s="78">
        <f t="shared" si="16"/>
        <v>6998.7829999999985</v>
      </c>
      <c r="AH116" s="72">
        <f t="shared" si="17"/>
        <v>41992.697999999989</v>
      </c>
      <c r="AI116" s="75">
        <f t="shared" si="18"/>
        <v>24145</v>
      </c>
      <c r="AJ116" s="78">
        <f t="shared" si="19"/>
        <v>4829</v>
      </c>
      <c r="AK116" s="72">
        <f t="shared" si="20"/>
        <v>28974</v>
      </c>
    </row>
    <row r="117" spans="1:37" ht="15.95" customHeight="1">
      <c r="A117" s="25" t="s">
        <v>12</v>
      </c>
      <c r="B117" s="25" t="s">
        <v>13</v>
      </c>
      <c r="C117" s="26" t="s">
        <v>21</v>
      </c>
      <c r="D117" s="26" t="s">
        <v>375</v>
      </c>
      <c r="E117" s="26" t="s">
        <v>16</v>
      </c>
      <c r="F117" s="26" t="s">
        <v>152</v>
      </c>
      <c r="G117" s="26" t="s">
        <v>150</v>
      </c>
      <c r="H117" s="27" t="s">
        <v>151</v>
      </c>
      <c r="I117" s="26" t="s">
        <v>27</v>
      </c>
      <c r="J117" s="28" t="s">
        <v>43</v>
      </c>
      <c r="K117" s="125">
        <v>145</v>
      </c>
      <c r="L117" s="29">
        <f t="shared" si="11"/>
        <v>28.673249999999996</v>
      </c>
      <c r="M117" s="110">
        <v>19.75</v>
      </c>
      <c r="N117" s="30">
        <v>0.28199999999999997</v>
      </c>
      <c r="O117" s="116">
        <v>5.5694999999999997</v>
      </c>
      <c r="P117" s="30">
        <v>7.4999999999999997E-2</v>
      </c>
      <c r="Q117" s="116">
        <v>1.48125</v>
      </c>
      <c r="R117" s="30">
        <v>7.0000000000000007E-2</v>
      </c>
      <c r="S117" s="116">
        <v>1.3825000000000001</v>
      </c>
      <c r="T117" s="117">
        <v>0.49</v>
      </c>
      <c r="U117" s="39">
        <v>1000</v>
      </c>
      <c r="V117" s="32">
        <v>220</v>
      </c>
      <c r="W117" s="33"/>
      <c r="X117" s="32"/>
      <c r="Y117" s="32"/>
      <c r="Z117" s="32"/>
      <c r="AA117" s="34"/>
      <c r="AB117" s="35">
        <f t="shared" si="12"/>
        <v>1220</v>
      </c>
      <c r="AC117" s="75">
        <f t="shared" si="13"/>
        <v>145000</v>
      </c>
      <c r="AD117" s="78">
        <f t="shared" si="21"/>
        <v>31900</v>
      </c>
      <c r="AE117" s="72">
        <f t="shared" si="14"/>
        <v>176900</v>
      </c>
      <c r="AF117" s="75">
        <f t="shared" si="15"/>
        <v>28673.249999999996</v>
      </c>
      <c r="AG117" s="78">
        <f t="shared" si="16"/>
        <v>6308.1149999999989</v>
      </c>
      <c r="AH117" s="72">
        <f t="shared" si="17"/>
        <v>34981.364999999998</v>
      </c>
      <c r="AI117" s="75">
        <f t="shared" si="18"/>
        <v>19750</v>
      </c>
      <c r="AJ117" s="78">
        <f t="shared" si="19"/>
        <v>4345</v>
      </c>
      <c r="AK117" s="72">
        <f t="shared" si="20"/>
        <v>24095</v>
      </c>
    </row>
    <row r="118" spans="1:37" ht="15.95" customHeight="1">
      <c r="A118" s="25" t="s">
        <v>12</v>
      </c>
      <c r="B118" s="25" t="s">
        <v>13</v>
      </c>
      <c r="C118" s="26" t="s">
        <v>14</v>
      </c>
      <c r="D118" s="26" t="s">
        <v>375</v>
      </c>
      <c r="E118" s="26" t="s">
        <v>16</v>
      </c>
      <c r="F118" s="26" t="s">
        <v>149</v>
      </c>
      <c r="G118" s="26" t="s">
        <v>150</v>
      </c>
      <c r="H118" s="27" t="s">
        <v>151</v>
      </c>
      <c r="I118" s="26" t="s">
        <v>27</v>
      </c>
      <c r="J118" s="28" t="s">
        <v>41</v>
      </c>
      <c r="K118" s="125">
        <v>165</v>
      </c>
      <c r="L118" s="29">
        <f t="shared" si="11"/>
        <v>31.812649999999994</v>
      </c>
      <c r="M118" s="110">
        <v>21.95</v>
      </c>
      <c r="N118" s="30">
        <v>0.28199999999999997</v>
      </c>
      <c r="O118" s="116">
        <v>6.1898999999999988</v>
      </c>
      <c r="P118" s="30">
        <v>7.4999999999999997E-2</v>
      </c>
      <c r="Q118" s="116">
        <v>1.64625</v>
      </c>
      <c r="R118" s="30">
        <v>7.0000000000000007E-2</v>
      </c>
      <c r="S118" s="116">
        <v>1.5365000000000002</v>
      </c>
      <c r="T118" s="117">
        <v>0.49</v>
      </c>
      <c r="U118" s="39">
        <v>1100</v>
      </c>
      <c r="V118" s="32">
        <v>199</v>
      </c>
      <c r="W118" s="33"/>
      <c r="X118" s="32"/>
      <c r="Y118" s="32"/>
      <c r="Z118" s="32"/>
      <c r="AA118" s="34"/>
      <c r="AB118" s="35">
        <f t="shared" si="12"/>
        <v>1299</v>
      </c>
      <c r="AC118" s="75">
        <f t="shared" si="13"/>
        <v>181500</v>
      </c>
      <c r="AD118" s="78">
        <f t="shared" si="21"/>
        <v>32835</v>
      </c>
      <c r="AE118" s="72">
        <f t="shared" si="14"/>
        <v>214335</v>
      </c>
      <c r="AF118" s="75">
        <f t="shared" si="15"/>
        <v>34993.914999999994</v>
      </c>
      <c r="AG118" s="78">
        <f t="shared" si="16"/>
        <v>6330.717349999999</v>
      </c>
      <c r="AH118" s="72">
        <f t="shared" si="17"/>
        <v>41324.632349999993</v>
      </c>
      <c r="AI118" s="75">
        <f t="shared" si="18"/>
        <v>24145</v>
      </c>
      <c r="AJ118" s="78">
        <f t="shared" si="19"/>
        <v>4368.05</v>
      </c>
      <c r="AK118" s="72">
        <f t="shared" si="20"/>
        <v>28513.05</v>
      </c>
    </row>
    <row r="119" spans="1:37" ht="15.95" customHeight="1">
      <c r="A119" s="25" t="s">
        <v>12</v>
      </c>
      <c r="B119" s="25" t="s">
        <v>13</v>
      </c>
      <c r="C119" s="26" t="s">
        <v>21</v>
      </c>
      <c r="D119" s="26" t="s">
        <v>375</v>
      </c>
      <c r="E119" s="26" t="s">
        <v>16</v>
      </c>
      <c r="F119" s="26" t="s">
        <v>152</v>
      </c>
      <c r="G119" s="26" t="s">
        <v>150</v>
      </c>
      <c r="H119" s="27" t="s">
        <v>151</v>
      </c>
      <c r="I119" s="26" t="s">
        <v>27</v>
      </c>
      <c r="J119" s="28" t="s">
        <v>43</v>
      </c>
      <c r="K119" s="125">
        <v>145</v>
      </c>
      <c r="L119" s="29">
        <f t="shared" si="11"/>
        <v>28.673249999999996</v>
      </c>
      <c r="M119" s="110">
        <v>19.75</v>
      </c>
      <c r="N119" s="30">
        <v>0.28199999999999997</v>
      </c>
      <c r="O119" s="116">
        <v>5.5694999999999997</v>
      </c>
      <c r="P119" s="30">
        <v>7.4999999999999997E-2</v>
      </c>
      <c r="Q119" s="116">
        <v>1.48125</v>
      </c>
      <c r="R119" s="30">
        <v>7.0000000000000007E-2</v>
      </c>
      <c r="S119" s="116">
        <v>1.3825000000000001</v>
      </c>
      <c r="T119" s="117">
        <v>0.49</v>
      </c>
      <c r="U119" s="39">
        <v>1000</v>
      </c>
      <c r="V119" s="32">
        <v>199</v>
      </c>
      <c r="W119" s="33"/>
      <c r="X119" s="32"/>
      <c r="Y119" s="32"/>
      <c r="Z119" s="32"/>
      <c r="AA119" s="34"/>
      <c r="AB119" s="35">
        <f t="shared" si="12"/>
        <v>1199</v>
      </c>
      <c r="AC119" s="75">
        <f t="shared" si="13"/>
        <v>145000</v>
      </c>
      <c r="AD119" s="78">
        <f t="shared" si="21"/>
        <v>28855</v>
      </c>
      <c r="AE119" s="72">
        <f t="shared" si="14"/>
        <v>173855</v>
      </c>
      <c r="AF119" s="75">
        <f t="shared" si="15"/>
        <v>28673.249999999996</v>
      </c>
      <c r="AG119" s="78">
        <f t="shared" si="16"/>
        <v>5705.9767499999989</v>
      </c>
      <c r="AH119" s="72">
        <f t="shared" si="17"/>
        <v>34379.226749999994</v>
      </c>
      <c r="AI119" s="75">
        <f t="shared" si="18"/>
        <v>19750</v>
      </c>
      <c r="AJ119" s="78">
        <f t="shared" si="19"/>
        <v>3930.25</v>
      </c>
      <c r="AK119" s="72">
        <f t="shared" si="20"/>
        <v>23680.25</v>
      </c>
    </row>
    <row r="120" spans="1:37" ht="15.95" customHeight="1">
      <c r="A120" s="25" t="s">
        <v>12</v>
      </c>
      <c r="B120" s="25" t="s">
        <v>13</v>
      </c>
      <c r="C120" s="26" t="s">
        <v>14</v>
      </c>
      <c r="D120" s="26" t="s">
        <v>375</v>
      </c>
      <c r="E120" s="26" t="s">
        <v>16</v>
      </c>
      <c r="F120" s="26" t="s">
        <v>149</v>
      </c>
      <c r="G120" s="26" t="s">
        <v>150</v>
      </c>
      <c r="H120" s="27" t="s">
        <v>151</v>
      </c>
      <c r="I120" s="26" t="s">
        <v>27</v>
      </c>
      <c r="J120" s="28" t="s">
        <v>41</v>
      </c>
      <c r="K120" s="125">
        <v>165</v>
      </c>
      <c r="L120" s="29">
        <f t="shared" si="11"/>
        <v>31.812649999999994</v>
      </c>
      <c r="M120" s="110">
        <v>21.95</v>
      </c>
      <c r="N120" s="30">
        <v>0.28199999999999997</v>
      </c>
      <c r="O120" s="116">
        <v>6.1898999999999988</v>
      </c>
      <c r="P120" s="30">
        <v>7.4999999999999997E-2</v>
      </c>
      <c r="Q120" s="116">
        <v>1.64625</v>
      </c>
      <c r="R120" s="30">
        <v>7.0000000000000007E-2</v>
      </c>
      <c r="S120" s="116">
        <v>1.5365000000000002</v>
      </c>
      <c r="T120" s="117">
        <v>0.49</v>
      </c>
      <c r="U120" s="39">
        <v>1200</v>
      </c>
      <c r="V120" s="32">
        <v>174</v>
      </c>
      <c r="W120" s="33"/>
      <c r="X120" s="32"/>
      <c r="Y120" s="32"/>
      <c r="Z120" s="32"/>
      <c r="AA120" s="34"/>
      <c r="AB120" s="35">
        <f t="shared" si="12"/>
        <v>1374</v>
      </c>
      <c r="AC120" s="75">
        <f t="shared" si="13"/>
        <v>198000</v>
      </c>
      <c r="AD120" s="78">
        <f t="shared" si="21"/>
        <v>28710</v>
      </c>
      <c r="AE120" s="72">
        <f t="shared" si="14"/>
        <v>226710</v>
      </c>
      <c r="AF120" s="75">
        <f t="shared" si="15"/>
        <v>38175.179999999993</v>
      </c>
      <c r="AG120" s="78">
        <f t="shared" si="16"/>
        <v>5535.4010999999991</v>
      </c>
      <c r="AH120" s="72">
        <f t="shared" si="17"/>
        <v>43710.581099999996</v>
      </c>
      <c r="AI120" s="75">
        <f t="shared" si="18"/>
        <v>26340</v>
      </c>
      <c r="AJ120" s="78">
        <f t="shared" si="19"/>
        <v>3819.2999999999997</v>
      </c>
      <c r="AK120" s="72">
        <f t="shared" si="20"/>
        <v>30159.3</v>
      </c>
    </row>
    <row r="121" spans="1:37" ht="15.95" customHeight="1">
      <c r="A121" s="25" t="s">
        <v>12</v>
      </c>
      <c r="B121" s="25" t="s">
        <v>13</v>
      </c>
      <c r="C121" s="26" t="s">
        <v>21</v>
      </c>
      <c r="D121" s="26" t="s">
        <v>375</v>
      </c>
      <c r="E121" s="26" t="s">
        <v>16</v>
      </c>
      <c r="F121" s="26" t="s">
        <v>152</v>
      </c>
      <c r="G121" s="26" t="s">
        <v>150</v>
      </c>
      <c r="H121" s="27" t="s">
        <v>151</v>
      </c>
      <c r="I121" s="26" t="s">
        <v>27</v>
      </c>
      <c r="J121" s="28" t="s">
        <v>43</v>
      </c>
      <c r="K121" s="125">
        <v>145</v>
      </c>
      <c r="L121" s="29">
        <f t="shared" si="11"/>
        <v>28.673249999999996</v>
      </c>
      <c r="M121" s="110">
        <v>19.75</v>
      </c>
      <c r="N121" s="30">
        <v>0.28199999999999997</v>
      </c>
      <c r="O121" s="116">
        <v>5.5694999999999997</v>
      </c>
      <c r="P121" s="30">
        <v>7.4999999999999997E-2</v>
      </c>
      <c r="Q121" s="116">
        <v>1.48125</v>
      </c>
      <c r="R121" s="30">
        <v>7.0000000000000007E-2</v>
      </c>
      <c r="S121" s="116">
        <v>1.3825000000000001</v>
      </c>
      <c r="T121" s="117">
        <v>0.49</v>
      </c>
      <c r="U121" s="39">
        <v>1100</v>
      </c>
      <c r="V121" s="32">
        <v>174</v>
      </c>
      <c r="W121" s="33"/>
      <c r="X121" s="32"/>
      <c r="Y121" s="32"/>
      <c r="Z121" s="32"/>
      <c r="AA121" s="34"/>
      <c r="AB121" s="35">
        <f t="shared" si="12"/>
        <v>1274</v>
      </c>
      <c r="AC121" s="75">
        <f t="shared" si="13"/>
        <v>159500</v>
      </c>
      <c r="AD121" s="78">
        <f t="shared" si="21"/>
        <v>25230</v>
      </c>
      <c r="AE121" s="72">
        <f t="shared" si="14"/>
        <v>184730</v>
      </c>
      <c r="AF121" s="75">
        <f t="shared" si="15"/>
        <v>31540.574999999997</v>
      </c>
      <c r="AG121" s="78">
        <f t="shared" si="16"/>
        <v>4989.1454999999996</v>
      </c>
      <c r="AH121" s="72">
        <f t="shared" si="17"/>
        <v>36529.720499999996</v>
      </c>
      <c r="AI121" s="75">
        <f t="shared" si="18"/>
        <v>21725</v>
      </c>
      <c r="AJ121" s="78">
        <f t="shared" si="19"/>
        <v>3436.5</v>
      </c>
      <c r="AK121" s="72">
        <f t="shared" si="20"/>
        <v>25161.5</v>
      </c>
    </row>
    <row r="122" spans="1:37" ht="15.95" customHeight="1">
      <c r="A122" s="25" t="s">
        <v>12</v>
      </c>
      <c r="B122" s="25" t="s">
        <v>13</v>
      </c>
      <c r="C122" s="26" t="s">
        <v>14</v>
      </c>
      <c r="D122" s="26" t="s">
        <v>375</v>
      </c>
      <c r="E122" s="26" t="s">
        <v>16</v>
      </c>
      <c r="F122" s="26" t="s">
        <v>153</v>
      </c>
      <c r="G122" s="26" t="s">
        <v>154</v>
      </c>
      <c r="H122" s="27" t="s">
        <v>155</v>
      </c>
      <c r="I122" s="26" t="s">
        <v>27</v>
      </c>
      <c r="J122" s="28" t="s">
        <v>41</v>
      </c>
      <c r="K122" s="123">
        <v>175</v>
      </c>
      <c r="L122" s="29">
        <f t="shared" si="11"/>
        <v>32.954250000000002</v>
      </c>
      <c r="M122" s="110">
        <v>22.75</v>
      </c>
      <c r="N122" s="30">
        <v>0.28199999999999997</v>
      </c>
      <c r="O122" s="116">
        <v>6.4154999999999998</v>
      </c>
      <c r="P122" s="30">
        <v>7.4999999999999997E-2</v>
      </c>
      <c r="Q122" s="116">
        <v>1.70625</v>
      </c>
      <c r="R122" s="30">
        <v>7.0000000000000007E-2</v>
      </c>
      <c r="S122" s="116">
        <v>1.5925000000000002</v>
      </c>
      <c r="T122" s="117">
        <v>0.49</v>
      </c>
      <c r="U122" s="39">
        <v>500</v>
      </c>
      <c r="V122" s="32">
        <v>155</v>
      </c>
      <c r="W122" s="33"/>
      <c r="X122" s="32"/>
      <c r="Y122" s="32"/>
      <c r="Z122" s="32"/>
      <c r="AA122" s="34"/>
      <c r="AB122" s="35">
        <f t="shared" si="12"/>
        <v>655</v>
      </c>
      <c r="AC122" s="75">
        <f t="shared" si="13"/>
        <v>87500</v>
      </c>
      <c r="AD122" s="78">
        <f t="shared" si="21"/>
        <v>27125</v>
      </c>
      <c r="AE122" s="72">
        <f t="shared" si="14"/>
        <v>114625</v>
      </c>
      <c r="AF122" s="75">
        <f t="shared" si="15"/>
        <v>16477.125</v>
      </c>
      <c r="AG122" s="78">
        <f t="shared" si="16"/>
        <v>5107.9087500000005</v>
      </c>
      <c r="AH122" s="72">
        <f t="shared" si="17"/>
        <v>21585.033750000002</v>
      </c>
      <c r="AI122" s="75">
        <f t="shared" si="18"/>
        <v>11375</v>
      </c>
      <c r="AJ122" s="78">
        <f t="shared" si="19"/>
        <v>3526.25</v>
      </c>
      <c r="AK122" s="72">
        <f t="shared" si="20"/>
        <v>14901.25</v>
      </c>
    </row>
    <row r="123" spans="1:37" ht="15.95" customHeight="1">
      <c r="A123" s="25" t="s">
        <v>12</v>
      </c>
      <c r="B123" s="25" t="s">
        <v>13</v>
      </c>
      <c r="C123" s="26" t="s">
        <v>21</v>
      </c>
      <c r="D123" s="26" t="s">
        <v>375</v>
      </c>
      <c r="E123" s="26" t="s">
        <v>16</v>
      </c>
      <c r="F123" s="26" t="s">
        <v>156</v>
      </c>
      <c r="G123" s="26" t="s">
        <v>154</v>
      </c>
      <c r="H123" s="27" t="s">
        <v>155</v>
      </c>
      <c r="I123" s="26" t="s">
        <v>27</v>
      </c>
      <c r="J123" s="28" t="s">
        <v>43</v>
      </c>
      <c r="K123" s="123">
        <v>145</v>
      </c>
      <c r="L123" s="29">
        <f t="shared" si="11"/>
        <v>26.889499999999998</v>
      </c>
      <c r="M123" s="110">
        <v>18.5</v>
      </c>
      <c r="N123" s="30">
        <v>0.28199999999999997</v>
      </c>
      <c r="O123" s="116">
        <v>5.2169999999999996</v>
      </c>
      <c r="P123" s="30">
        <v>7.4999999999999997E-2</v>
      </c>
      <c r="Q123" s="116">
        <v>1.3875</v>
      </c>
      <c r="R123" s="30">
        <v>7.0000000000000007E-2</v>
      </c>
      <c r="S123" s="116">
        <v>1.2950000000000002</v>
      </c>
      <c r="T123" s="117">
        <v>0.49</v>
      </c>
      <c r="U123" s="39">
        <v>400</v>
      </c>
      <c r="V123" s="32">
        <v>233</v>
      </c>
      <c r="W123" s="33"/>
      <c r="X123" s="32"/>
      <c r="Y123" s="32"/>
      <c r="Z123" s="32"/>
      <c r="AA123" s="34"/>
      <c r="AB123" s="35">
        <f t="shared" si="12"/>
        <v>633</v>
      </c>
      <c r="AC123" s="75">
        <f t="shared" si="13"/>
        <v>58000</v>
      </c>
      <c r="AD123" s="78">
        <f t="shared" si="21"/>
        <v>33785</v>
      </c>
      <c r="AE123" s="72">
        <f t="shared" si="14"/>
        <v>91785</v>
      </c>
      <c r="AF123" s="75">
        <f t="shared" si="15"/>
        <v>10755.8</v>
      </c>
      <c r="AG123" s="78">
        <f t="shared" si="16"/>
        <v>6265.2534999999998</v>
      </c>
      <c r="AH123" s="72">
        <f t="shared" si="17"/>
        <v>17021.053499999998</v>
      </c>
      <c r="AI123" s="75">
        <f t="shared" si="18"/>
        <v>7400</v>
      </c>
      <c r="AJ123" s="78">
        <f t="shared" si="19"/>
        <v>4310.5</v>
      </c>
      <c r="AK123" s="72">
        <f t="shared" si="20"/>
        <v>11710.5</v>
      </c>
    </row>
    <row r="124" spans="1:37" ht="15.95" customHeight="1">
      <c r="A124" s="25" t="s">
        <v>12</v>
      </c>
      <c r="B124" s="25" t="s">
        <v>13</v>
      </c>
      <c r="C124" s="26" t="s">
        <v>14</v>
      </c>
      <c r="D124" s="26" t="s">
        <v>375</v>
      </c>
      <c r="E124" s="26" t="s">
        <v>16</v>
      </c>
      <c r="F124" s="26" t="s">
        <v>153</v>
      </c>
      <c r="G124" s="26" t="s">
        <v>154</v>
      </c>
      <c r="H124" s="27" t="s">
        <v>155</v>
      </c>
      <c r="I124" s="26" t="s">
        <v>27</v>
      </c>
      <c r="J124" s="28" t="s">
        <v>41</v>
      </c>
      <c r="K124" s="123">
        <v>175</v>
      </c>
      <c r="L124" s="29">
        <f t="shared" si="11"/>
        <v>32.954250000000002</v>
      </c>
      <c r="M124" s="110">
        <v>22.75</v>
      </c>
      <c r="N124" s="30">
        <v>0.28199999999999997</v>
      </c>
      <c r="O124" s="116">
        <v>6.4154999999999998</v>
      </c>
      <c r="P124" s="30">
        <v>7.4999999999999997E-2</v>
      </c>
      <c r="Q124" s="116">
        <v>1.70625</v>
      </c>
      <c r="R124" s="30">
        <v>7.0000000000000007E-2</v>
      </c>
      <c r="S124" s="116">
        <v>1.5925000000000002</v>
      </c>
      <c r="T124" s="117">
        <v>0.49</v>
      </c>
      <c r="U124" s="39">
        <v>400</v>
      </c>
      <c r="V124" s="32">
        <v>192</v>
      </c>
      <c r="W124" s="33"/>
      <c r="X124" s="32"/>
      <c r="Y124" s="32"/>
      <c r="Z124" s="32"/>
      <c r="AA124" s="34"/>
      <c r="AB124" s="35">
        <f t="shared" si="12"/>
        <v>592</v>
      </c>
      <c r="AC124" s="75">
        <f t="shared" si="13"/>
        <v>70000</v>
      </c>
      <c r="AD124" s="78">
        <f t="shared" si="21"/>
        <v>33600</v>
      </c>
      <c r="AE124" s="72">
        <f t="shared" si="14"/>
        <v>103600</v>
      </c>
      <c r="AF124" s="75">
        <f t="shared" si="15"/>
        <v>13181.7</v>
      </c>
      <c r="AG124" s="78">
        <f t="shared" si="16"/>
        <v>6327.2160000000003</v>
      </c>
      <c r="AH124" s="72">
        <f t="shared" si="17"/>
        <v>19508.916000000001</v>
      </c>
      <c r="AI124" s="75">
        <f t="shared" si="18"/>
        <v>9100</v>
      </c>
      <c r="AJ124" s="78">
        <f t="shared" si="19"/>
        <v>4368</v>
      </c>
      <c r="AK124" s="72">
        <f t="shared" si="20"/>
        <v>13468</v>
      </c>
    </row>
    <row r="125" spans="1:37" ht="15.95" customHeight="1">
      <c r="A125" s="25" t="s">
        <v>12</v>
      </c>
      <c r="B125" s="25" t="s">
        <v>13</v>
      </c>
      <c r="C125" s="26" t="s">
        <v>21</v>
      </c>
      <c r="D125" s="26" t="s">
        <v>375</v>
      </c>
      <c r="E125" s="26" t="s">
        <v>16</v>
      </c>
      <c r="F125" s="26" t="s">
        <v>156</v>
      </c>
      <c r="G125" s="26" t="s">
        <v>154</v>
      </c>
      <c r="H125" s="27" t="s">
        <v>155</v>
      </c>
      <c r="I125" s="26" t="s">
        <v>27</v>
      </c>
      <c r="J125" s="28" t="s">
        <v>43</v>
      </c>
      <c r="K125" s="123">
        <v>145</v>
      </c>
      <c r="L125" s="29">
        <f t="shared" si="11"/>
        <v>26.889499999999998</v>
      </c>
      <c r="M125" s="110">
        <v>18.5</v>
      </c>
      <c r="N125" s="30">
        <v>0.28199999999999997</v>
      </c>
      <c r="O125" s="116">
        <v>5.2169999999999996</v>
      </c>
      <c r="P125" s="30">
        <v>7.4999999999999997E-2</v>
      </c>
      <c r="Q125" s="116">
        <v>1.3875</v>
      </c>
      <c r="R125" s="30">
        <v>7.0000000000000007E-2</v>
      </c>
      <c r="S125" s="116">
        <v>1.2950000000000002</v>
      </c>
      <c r="T125" s="117">
        <v>0.49</v>
      </c>
      <c r="U125" s="39">
        <v>300</v>
      </c>
      <c r="V125" s="32">
        <v>267</v>
      </c>
      <c r="W125" s="33"/>
      <c r="X125" s="32"/>
      <c r="Y125" s="32"/>
      <c r="Z125" s="32"/>
      <c r="AA125" s="34"/>
      <c r="AB125" s="35">
        <f t="shared" si="12"/>
        <v>567</v>
      </c>
      <c r="AC125" s="75">
        <f t="shared" si="13"/>
        <v>43500</v>
      </c>
      <c r="AD125" s="78">
        <f t="shared" si="21"/>
        <v>38715</v>
      </c>
      <c r="AE125" s="72">
        <f t="shared" si="14"/>
        <v>82215</v>
      </c>
      <c r="AF125" s="75">
        <f t="shared" si="15"/>
        <v>8066.8499999999995</v>
      </c>
      <c r="AG125" s="78">
        <f t="shared" si="16"/>
        <v>7179.4964999999993</v>
      </c>
      <c r="AH125" s="72">
        <f t="shared" si="17"/>
        <v>15246.3465</v>
      </c>
      <c r="AI125" s="75">
        <f t="shared" si="18"/>
        <v>5550</v>
      </c>
      <c r="AJ125" s="78">
        <f t="shared" si="19"/>
        <v>4939.5</v>
      </c>
      <c r="AK125" s="72">
        <f t="shared" si="20"/>
        <v>10489.5</v>
      </c>
    </row>
    <row r="126" spans="1:37" ht="15.95" customHeight="1">
      <c r="A126" s="25" t="s">
        <v>12</v>
      </c>
      <c r="B126" s="25" t="s">
        <v>13</v>
      </c>
      <c r="C126" s="26" t="s">
        <v>14</v>
      </c>
      <c r="D126" s="26" t="s">
        <v>375</v>
      </c>
      <c r="E126" s="26" t="s">
        <v>16</v>
      </c>
      <c r="F126" s="26" t="s">
        <v>157</v>
      </c>
      <c r="G126" s="26" t="s">
        <v>154</v>
      </c>
      <c r="H126" s="27" t="s">
        <v>155</v>
      </c>
      <c r="I126" s="26" t="s">
        <v>27</v>
      </c>
      <c r="J126" s="28" t="s">
        <v>41</v>
      </c>
      <c r="K126" s="123">
        <v>175</v>
      </c>
      <c r="L126" s="29">
        <f t="shared" si="11"/>
        <v>34.381250000000001</v>
      </c>
      <c r="M126" s="110">
        <v>23.75</v>
      </c>
      <c r="N126" s="30">
        <v>0.28199999999999997</v>
      </c>
      <c r="O126" s="116">
        <v>6.6974999999999998</v>
      </c>
      <c r="P126" s="30">
        <v>7.4999999999999997E-2</v>
      </c>
      <c r="Q126" s="116">
        <v>1.78125</v>
      </c>
      <c r="R126" s="30">
        <v>7.0000000000000007E-2</v>
      </c>
      <c r="S126" s="116">
        <v>1.6625000000000001</v>
      </c>
      <c r="T126" s="117">
        <v>0.49</v>
      </c>
      <c r="U126" s="39">
        <v>350</v>
      </c>
      <c r="V126" s="32">
        <v>81</v>
      </c>
      <c r="W126" s="33"/>
      <c r="X126" s="32"/>
      <c r="Y126" s="32"/>
      <c r="Z126" s="32"/>
      <c r="AA126" s="34"/>
      <c r="AB126" s="35">
        <f t="shared" si="12"/>
        <v>431</v>
      </c>
      <c r="AC126" s="75">
        <f t="shared" si="13"/>
        <v>61250</v>
      </c>
      <c r="AD126" s="78">
        <f t="shared" si="21"/>
        <v>14175</v>
      </c>
      <c r="AE126" s="72">
        <f t="shared" si="14"/>
        <v>75425</v>
      </c>
      <c r="AF126" s="75">
        <f t="shared" si="15"/>
        <v>12033.4375</v>
      </c>
      <c r="AG126" s="78">
        <f t="shared" si="16"/>
        <v>2784.8812499999999</v>
      </c>
      <c r="AH126" s="72">
        <f t="shared" si="17"/>
        <v>14818.31875</v>
      </c>
      <c r="AI126" s="75">
        <f t="shared" si="18"/>
        <v>8312.5</v>
      </c>
      <c r="AJ126" s="78">
        <f t="shared" si="19"/>
        <v>1923.75</v>
      </c>
      <c r="AK126" s="72">
        <f t="shared" si="20"/>
        <v>10236.25</v>
      </c>
    </row>
    <row r="127" spans="1:37" ht="15.95" customHeight="1">
      <c r="A127" s="25" t="s">
        <v>12</v>
      </c>
      <c r="B127" s="25" t="s">
        <v>13</v>
      </c>
      <c r="C127" s="26" t="s">
        <v>14</v>
      </c>
      <c r="D127" s="26" t="s">
        <v>375</v>
      </c>
      <c r="E127" s="26" t="s">
        <v>16</v>
      </c>
      <c r="F127" s="26" t="s">
        <v>157</v>
      </c>
      <c r="G127" s="26" t="s">
        <v>154</v>
      </c>
      <c r="H127" s="27" t="s">
        <v>155</v>
      </c>
      <c r="I127" s="26" t="s">
        <v>27</v>
      </c>
      <c r="J127" s="28" t="s">
        <v>41</v>
      </c>
      <c r="K127" s="123">
        <v>175</v>
      </c>
      <c r="L127" s="29">
        <f t="shared" si="11"/>
        <v>34.381250000000001</v>
      </c>
      <c r="M127" s="110">
        <v>23.75</v>
      </c>
      <c r="N127" s="30">
        <v>0.28199999999999997</v>
      </c>
      <c r="O127" s="116">
        <v>6.6974999999999998</v>
      </c>
      <c r="P127" s="30">
        <v>7.4999999999999997E-2</v>
      </c>
      <c r="Q127" s="116">
        <v>1.78125</v>
      </c>
      <c r="R127" s="30">
        <v>7.0000000000000007E-2</v>
      </c>
      <c r="S127" s="116">
        <v>1.6625000000000001</v>
      </c>
      <c r="T127" s="117">
        <v>0.49</v>
      </c>
      <c r="U127" s="39">
        <v>400</v>
      </c>
      <c r="V127" s="32">
        <v>84</v>
      </c>
      <c r="W127" s="33"/>
      <c r="X127" s="32"/>
      <c r="Y127" s="32"/>
      <c r="Z127" s="32"/>
      <c r="AA127" s="34"/>
      <c r="AB127" s="35">
        <f t="shared" si="12"/>
        <v>484</v>
      </c>
      <c r="AC127" s="75">
        <f t="shared" si="13"/>
        <v>70000</v>
      </c>
      <c r="AD127" s="78">
        <f t="shared" si="21"/>
        <v>14700</v>
      </c>
      <c r="AE127" s="72">
        <f t="shared" si="14"/>
        <v>84700</v>
      </c>
      <c r="AF127" s="75">
        <f t="shared" si="15"/>
        <v>13752.5</v>
      </c>
      <c r="AG127" s="78">
        <f t="shared" si="16"/>
        <v>2888.0250000000001</v>
      </c>
      <c r="AH127" s="72">
        <f t="shared" si="17"/>
        <v>16640.525000000001</v>
      </c>
      <c r="AI127" s="75">
        <f t="shared" si="18"/>
        <v>9500</v>
      </c>
      <c r="AJ127" s="78">
        <f t="shared" si="19"/>
        <v>1995</v>
      </c>
      <c r="AK127" s="72">
        <f t="shared" si="20"/>
        <v>11495</v>
      </c>
    </row>
    <row r="128" spans="1:37" ht="15.95" customHeight="1">
      <c r="A128" s="25" t="s">
        <v>12</v>
      </c>
      <c r="B128" s="25" t="s">
        <v>13</v>
      </c>
      <c r="C128" s="26" t="s">
        <v>14</v>
      </c>
      <c r="D128" s="26" t="s">
        <v>375</v>
      </c>
      <c r="E128" s="26" t="s">
        <v>16</v>
      </c>
      <c r="F128" s="26" t="s">
        <v>158</v>
      </c>
      <c r="G128" s="26" t="s">
        <v>150</v>
      </c>
      <c r="H128" s="27" t="s">
        <v>151</v>
      </c>
      <c r="I128" s="26" t="s">
        <v>27</v>
      </c>
      <c r="J128" s="28" t="s">
        <v>41</v>
      </c>
      <c r="K128" s="123">
        <v>150</v>
      </c>
      <c r="L128" s="29">
        <f t="shared" si="11"/>
        <v>29.386749999999999</v>
      </c>
      <c r="M128" s="110">
        <v>20.25</v>
      </c>
      <c r="N128" s="30">
        <v>0.28199999999999997</v>
      </c>
      <c r="O128" s="116">
        <v>5.7104999999999997</v>
      </c>
      <c r="P128" s="30">
        <v>7.4999999999999997E-2</v>
      </c>
      <c r="Q128" s="116">
        <v>1.51875</v>
      </c>
      <c r="R128" s="30">
        <v>7.0000000000000007E-2</v>
      </c>
      <c r="S128" s="116">
        <v>1.4175000000000002</v>
      </c>
      <c r="T128" s="117">
        <v>0.49</v>
      </c>
      <c r="U128" s="39">
        <v>1200</v>
      </c>
      <c r="V128" s="32">
        <v>219</v>
      </c>
      <c r="W128" s="33"/>
      <c r="X128" s="32"/>
      <c r="Y128" s="32"/>
      <c r="Z128" s="32"/>
      <c r="AA128" s="34">
        <v>6</v>
      </c>
      <c r="AB128" s="35">
        <f t="shared" si="12"/>
        <v>1425</v>
      </c>
      <c r="AC128" s="75">
        <f t="shared" si="13"/>
        <v>180000</v>
      </c>
      <c r="AD128" s="78">
        <f t="shared" si="21"/>
        <v>33750</v>
      </c>
      <c r="AE128" s="72">
        <f t="shared" si="14"/>
        <v>213750</v>
      </c>
      <c r="AF128" s="75">
        <f t="shared" si="15"/>
        <v>35264.1</v>
      </c>
      <c r="AG128" s="78">
        <f t="shared" si="16"/>
        <v>6557.1982499999995</v>
      </c>
      <c r="AH128" s="72">
        <f t="shared" si="17"/>
        <v>41821.29825</v>
      </c>
      <c r="AI128" s="75">
        <f t="shared" si="18"/>
        <v>24300</v>
      </c>
      <c r="AJ128" s="78">
        <f t="shared" si="19"/>
        <v>4556.25</v>
      </c>
      <c r="AK128" s="72">
        <f t="shared" si="20"/>
        <v>28856.25</v>
      </c>
    </row>
    <row r="129" spans="1:37" ht="15.95" customHeight="1">
      <c r="A129" s="25" t="s">
        <v>12</v>
      </c>
      <c r="B129" s="25" t="s">
        <v>13</v>
      </c>
      <c r="C129" s="26" t="s">
        <v>21</v>
      </c>
      <c r="D129" s="26" t="s">
        <v>375</v>
      </c>
      <c r="E129" s="26" t="s">
        <v>16</v>
      </c>
      <c r="F129" s="26" t="s">
        <v>159</v>
      </c>
      <c r="G129" s="26" t="s">
        <v>150</v>
      </c>
      <c r="H129" s="27" t="s">
        <v>151</v>
      </c>
      <c r="I129" s="26" t="s">
        <v>27</v>
      </c>
      <c r="J129" s="28" t="s">
        <v>43</v>
      </c>
      <c r="K129" s="123">
        <v>135</v>
      </c>
      <c r="L129" s="29">
        <f t="shared" si="11"/>
        <v>25.462499999999999</v>
      </c>
      <c r="M129" s="110">
        <v>17.5</v>
      </c>
      <c r="N129" s="30">
        <v>0.28199999999999997</v>
      </c>
      <c r="O129" s="116">
        <v>4.9349999999999996</v>
      </c>
      <c r="P129" s="30">
        <v>7.4999999999999997E-2</v>
      </c>
      <c r="Q129" s="116">
        <v>1.3125</v>
      </c>
      <c r="R129" s="30">
        <v>7.0000000000000007E-2</v>
      </c>
      <c r="S129" s="116">
        <v>1.2250000000000001</v>
      </c>
      <c r="T129" s="117">
        <v>0.49</v>
      </c>
      <c r="U129" s="39">
        <v>1100</v>
      </c>
      <c r="V129" s="32">
        <v>219</v>
      </c>
      <c r="W129" s="33"/>
      <c r="X129" s="32"/>
      <c r="Y129" s="32"/>
      <c r="Z129" s="32"/>
      <c r="AA129" s="34">
        <v>6</v>
      </c>
      <c r="AB129" s="35">
        <f t="shared" si="12"/>
        <v>1325</v>
      </c>
      <c r="AC129" s="75">
        <f t="shared" si="13"/>
        <v>148500</v>
      </c>
      <c r="AD129" s="78">
        <f t="shared" si="21"/>
        <v>30375</v>
      </c>
      <c r="AE129" s="72">
        <f t="shared" si="14"/>
        <v>178875</v>
      </c>
      <c r="AF129" s="75">
        <f t="shared" si="15"/>
        <v>28008.75</v>
      </c>
      <c r="AG129" s="78">
        <f t="shared" si="16"/>
        <v>5681.2874999999995</v>
      </c>
      <c r="AH129" s="72">
        <f t="shared" si="17"/>
        <v>33690.037499999999</v>
      </c>
      <c r="AI129" s="75">
        <f t="shared" si="18"/>
        <v>19250</v>
      </c>
      <c r="AJ129" s="78">
        <f t="shared" si="19"/>
        <v>3937.5</v>
      </c>
      <c r="AK129" s="72">
        <f t="shared" si="20"/>
        <v>23187.5</v>
      </c>
    </row>
    <row r="130" spans="1:37" ht="15.95" customHeight="1">
      <c r="A130" s="25" t="s">
        <v>12</v>
      </c>
      <c r="B130" s="25" t="s">
        <v>13</v>
      </c>
      <c r="C130" s="26" t="s">
        <v>14</v>
      </c>
      <c r="D130" s="26" t="s">
        <v>375</v>
      </c>
      <c r="E130" s="26" t="s">
        <v>16</v>
      </c>
      <c r="F130" s="26" t="s">
        <v>158</v>
      </c>
      <c r="G130" s="26" t="s">
        <v>150</v>
      </c>
      <c r="H130" s="27" t="s">
        <v>151</v>
      </c>
      <c r="I130" s="26" t="s">
        <v>27</v>
      </c>
      <c r="J130" s="28" t="s">
        <v>41</v>
      </c>
      <c r="K130" s="123">
        <v>150</v>
      </c>
      <c r="L130" s="29">
        <f t="shared" si="11"/>
        <v>29.386749999999999</v>
      </c>
      <c r="M130" s="110">
        <v>20.25</v>
      </c>
      <c r="N130" s="30">
        <v>0.28199999999999997</v>
      </c>
      <c r="O130" s="116">
        <v>5.7104999999999997</v>
      </c>
      <c r="P130" s="30">
        <v>7.4999999999999997E-2</v>
      </c>
      <c r="Q130" s="116">
        <v>1.51875</v>
      </c>
      <c r="R130" s="30">
        <v>7.0000000000000007E-2</v>
      </c>
      <c r="S130" s="116">
        <v>1.4175000000000002</v>
      </c>
      <c r="T130" s="117">
        <v>0.49</v>
      </c>
      <c r="U130" s="39">
        <v>1300</v>
      </c>
      <c r="V130" s="32">
        <v>155</v>
      </c>
      <c r="W130" s="33"/>
      <c r="X130" s="32"/>
      <c r="Y130" s="32"/>
      <c r="Z130" s="32"/>
      <c r="AA130" s="34"/>
      <c r="AB130" s="35">
        <f t="shared" si="12"/>
        <v>1455</v>
      </c>
      <c r="AC130" s="75">
        <f t="shared" si="13"/>
        <v>195000</v>
      </c>
      <c r="AD130" s="78">
        <f t="shared" si="21"/>
        <v>23250</v>
      </c>
      <c r="AE130" s="72">
        <f t="shared" si="14"/>
        <v>218250</v>
      </c>
      <c r="AF130" s="75">
        <f t="shared" si="15"/>
        <v>38202.775000000001</v>
      </c>
      <c r="AG130" s="78">
        <f t="shared" si="16"/>
        <v>4554.94625</v>
      </c>
      <c r="AH130" s="72">
        <f t="shared" si="17"/>
        <v>42757.721250000002</v>
      </c>
      <c r="AI130" s="75">
        <f t="shared" si="18"/>
        <v>26325</v>
      </c>
      <c r="AJ130" s="78">
        <f t="shared" si="19"/>
        <v>3138.75</v>
      </c>
      <c r="AK130" s="72">
        <f t="shared" si="20"/>
        <v>29463.75</v>
      </c>
    </row>
    <row r="131" spans="1:37" ht="15.95" customHeight="1">
      <c r="A131" s="25" t="s">
        <v>12</v>
      </c>
      <c r="B131" s="25" t="s">
        <v>13</v>
      </c>
      <c r="C131" s="26" t="s">
        <v>21</v>
      </c>
      <c r="D131" s="26" t="s">
        <v>375</v>
      </c>
      <c r="E131" s="26" t="s">
        <v>16</v>
      </c>
      <c r="F131" s="26" t="s">
        <v>159</v>
      </c>
      <c r="G131" s="26" t="s">
        <v>150</v>
      </c>
      <c r="H131" s="27" t="s">
        <v>151</v>
      </c>
      <c r="I131" s="26" t="s">
        <v>27</v>
      </c>
      <c r="J131" s="28" t="s">
        <v>43</v>
      </c>
      <c r="K131" s="123">
        <v>135</v>
      </c>
      <c r="L131" s="29">
        <f t="shared" si="11"/>
        <v>25.462499999999999</v>
      </c>
      <c r="M131" s="110">
        <v>17.5</v>
      </c>
      <c r="N131" s="30">
        <v>0.28199999999999997</v>
      </c>
      <c r="O131" s="116">
        <v>4.9349999999999996</v>
      </c>
      <c r="P131" s="30">
        <v>7.4999999999999997E-2</v>
      </c>
      <c r="Q131" s="116">
        <v>1.3125</v>
      </c>
      <c r="R131" s="30">
        <v>7.0000000000000007E-2</v>
      </c>
      <c r="S131" s="116">
        <v>1.2250000000000001</v>
      </c>
      <c r="T131" s="117">
        <v>0.49</v>
      </c>
      <c r="U131" s="39">
        <v>1200</v>
      </c>
      <c r="V131" s="32">
        <v>155</v>
      </c>
      <c r="W131" s="33"/>
      <c r="X131" s="32"/>
      <c r="Y131" s="32"/>
      <c r="Z131" s="32"/>
      <c r="AA131" s="34"/>
      <c r="AB131" s="35">
        <f t="shared" si="12"/>
        <v>1355</v>
      </c>
      <c r="AC131" s="75">
        <f t="shared" si="13"/>
        <v>162000</v>
      </c>
      <c r="AD131" s="78">
        <f t="shared" si="21"/>
        <v>20925</v>
      </c>
      <c r="AE131" s="72">
        <f t="shared" si="14"/>
        <v>182925</v>
      </c>
      <c r="AF131" s="75">
        <f t="shared" si="15"/>
        <v>30555</v>
      </c>
      <c r="AG131" s="78">
        <f t="shared" si="16"/>
        <v>3946.6875</v>
      </c>
      <c r="AH131" s="72">
        <f t="shared" si="17"/>
        <v>34501.6875</v>
      </c>
      <c r="AI131" s="75">
        <f t="shared" si="18"/>
        <v>21000</v>
      </c>
      <c r="AJ131" s="78">
        <f t="shared" si="19"/>
        <v>2712.5</v>
      </c>
      <c r="AK131" s="72">
        <f t="shared" si="20"/>
        <v>23712.5</v>
      </c>
    </row>
    <row r="132" spans="1:37" ht="15.95" customHeight="1">
      <c r="A132" s="25" t="s">
        <v>12</v>
      </c>
      <c r="B132" s="25" t="s">
        <v>13</v>
      </c>
      <c r="C132" s="26" t="s">
        <v>14</v>
      </c>
      <c r="D132" s="26" t="s">
        <v>375</v>
      </c>
      <c r="E132" s="26" t="s">
        <v>16</v>
      </c>
      <c r="F132" s="26" t="s">
        <v>158</v>
      </c>
      <c r="G132" s="26" t="s">
        <v>150</v>
      </c>
      <c r="H132" s="27" t="s">
        <v>151</v>
      </c>
      <c r="I132" s="26" t="s">
        <v>27</v>
      </c>
      <c r="J132" s="28" t="s">
        <v>41</v>
      </c>
      <c r="K132" s="123">
        <v>150</v>
      </c>
      <c r="L132" s="29">
        <f t="shared" si="11"/>
        <v>29.386749999999999</v>
      </c>
      <c r="M132" s="110">
        <v>20.25</v>
      </c>
      <c r="N132" s="30">
        <v>0.28199999999999997</v>
      </c>
      <c r="O132" s="116">
        <v>5.7104999999999997</v>
      </c>
      <c r="P132" s="30">
        <v>7.4999999999999997E-2</v>
      </c>
      <c r="Q132" s="116">
        <v>1.51875</v>
      </c>
      <c r="R132" s="30">
        <v>7.0000000000000007E-2</v>
      </c>
      <c r="S132" s="116">
        <v>1.4175000000000002</v>
      </c>
      <c r="T132" s="117">
        <v>0.49</v>
      </c>
      <c r="U132" s="39">
        <v>1000</v>
      </c>
      <c r="V132" s="32">
        <v>12</v>
      </c>
      <c r="W132" s="33"/>
      <c r="X132" s="32"/>
      <c r="Y132" s="32"/>
      <c r="Z132" s="32"/>
      <c r="AA132" s="34"/>
      <c r="AB132" s="35">
        <f t="shared" si="12"/>
        <v>1012</v>
      </c>
      <c r="AC132" s="75">
        <f t="shared" si="13"/>
        <v>150000</v>
      </c>
      <c r="AD132" s="78">
        <f t="shared" si="21"/>
        <v>1800</v>
      </c>
      <c r="AE132" s="72">
        <f t="shared" si="14"/>
        <v>151800</v>
      </c>
      <c r="AF132" s="75">
        <f t="shared" si="15"/>
        <v>29386.75</v>
      </c>
      <c r="AG132" s="78">
        <f t="shared" si="16"/>
        <v>352.64099999999996</v>
      </c>
      <c r="AH132" s="72">
        <f t="shared" si="17"/>
        <v>29739.391</v>
      </c>
      <c r="AI132" s="75">
        <f t="shared" si="18"/>
        <v>20250</v>
      </c>
      <c r="AJ132" s="78">
        <f t="shared" si="19"/>
        <v>243</v>
      </c>
      <c r="AK132" s="72">
        <f t="shared" si="20"/>
        <v>20493</v>
      </c>
    </row>
    <row r="133" spans="1:37" ht="15.95" customHeight="1">
      <c r="A133" s="25" t="s">
        <v>12</v>
      </c>
      <c r="B133" s="25" t="s">
        <v>13</v>
      </c>
      <c r="C133" s="26" t="s">
        <v>21</v>
      </c>
      <c r="D133" s="26" t="s">
        <v>375</v>
      </c>
      <c r="E133" s="26" t="s">
        <v>16</v>
      </c>
      <c r="F133" s="26" t="s">
        <v>159</v>
      </c>
      <c r="G133" s="26" t="s">
        <v>150</v>
      </c>
      <c r="H133" s="27" t="s">
        <v>151</v>
      </c>
      <c r="I133" s="26" t="s">
        <v>27</v>
      </c>
      <c r="J133" s="28" t="s">
        <v>43</v>
      </c>
      <c r="K133" s="123">
        <v>135</v>
      </c>
      <c r="L133" s="29">
        <f t="shared" ref="L133:L196" si="22">M133+O133+Q133+S133+T133</f>
        <v>25.462499999999999</v>
      </c>
      <c r="M133" s="110">
        <v>17.5</v>
      </c>
      <c r="N133" s="30">
        <v>0.28199999999999997</v>
      </c>
      <c r="O133" s="116">
        <v>4.9349999999999996</v>
      </c>
      <c r="P133" s="30">
        <v>7.4999999999999997E-2</v>
      </c>
      <c r="Q133" s="116">
        <v>1.3125</v>
      </c>
      <c r="R133" s="30">
        <v>7.0000000000000007E-2</v>
      </c>
      <c r="S133" s="116">
        <v>1.2250000000000001</v>
      </c>
      <c r="T133" s="117">
        <v>0.49</v>
      </c>
      <c r="U133" s="39">
        <v>900</v>
      </c>
      <c r="V133" s="32">
        <v>12</v>
      </c>
      <c r="W133" s="33"/>
      <c r="X133" s="32"/>
      <c r="Y133" s="32"/>
      <c r="Z133" s="32"/>
      <c r="AA133" s="34"/>
      <c r="AB133" s="35">
        <f t="shared" ref="AB133:AB196" si="23">SUM(U133:AA133)</f>
        <v>912</v>
      </c>
      <c r="AC133" s="75">
        <f t="shared" ref="AC133:AC196" si="24">$K133*U133</f>
        <v>121500</v>
      </c>
      <c r="AD133" s="78">
        <f t="shared" si="21"/>
        <v>1620</v>
      </c>
      <c r="AE133" s="72">
        <f t="shared" ref="AE133:AE196" si="25">SUM(AC133:AD133)</f>
        <v>123120</v>
      </c>
      <c r="AF133" s="75">
        <f t="shared" ref="AF133:AF196" si="26">$L133*U133</f>
        <v>22916.25</v>
      </c>
      <c r="AG133" s="78">
        <f t="shared" ref="AG133:AG196" si="27">$L133*SUM(V133:W133)+M133*SUM(X133:AA133)</f>
        <v>305.54999999999995</v>
      </c>
      <c r="AH133" s="72">
        <f t="shared" ref="AH133:AH196" si="28">SUM(AF133:AG133)</f>
        <v>23221.8</v>
      </c>
      <c r="AI133" s="75">
        <f t="shared" ref="AI133:AI196" si="29">$M133*U133</f>
        <v>15750</v>
      </c>
      <c r="AJ133" s="78">
        <f t="shared" ref="AJ133:AJ196" si="30">$M133*SUM(V133:AA133)</f>
        <v>210</v>
      </c>
      <c r="AK133" s="72">
        <f t="shared" ref="AK133:AK196" si="31">SUM(AI133:AJ133)</f>
        <v>15960</v>
      </c>
    </row>
    <row r="134" spans="1:37" ht="15.95" customHeight="1">
      <c r="A134" s="25" t="s">
        <v>12</v>
      </c>
      <c r="B134" s="25" t="s">
        <v>13</v>
      </c>
      <c r="C134" s="26" t="s">
        <v>14</v>
      </c>
      <c r="D134" s="26" t="s">
        <v>375</v>
      </c>
      <c r="E134" s="26" t="s">
        <v>16</v>
      </c>
      <c r="F134" s="26" t="s">
        <v>160</v>
      </c>
      <c r="G134" s="26" t="s">
        <v>161</v>
      </c>
      <c r="H134" s="27" t="s">
        <v>162</v>
      </c>
      <c r="I134" s="26" t="s">
        <v>27</v>
      </c>
      <c r="J134" s="28" t="s">
        <v>41</v>
      </c>
      <c r="K134" s="125">
        <v>150</v>
      </c>
      <c r="L134" s="29">
        <f t="shared" si="22"/>
        <v>31.812649999999994</v>
      </c>
      <c r="M134" s="110">
        <v>21.95</v>
      </c>
      <c r="N134" s="30">
        <v>0.28199999999999997</v>
      </c>
      <c r="O134" s="116">
        <v>6.1898999999999988</v>
      </c>
      <c r="P134" s="30">
        <v>7.4999999999999997E-2</v>
      </c>
      <c r="Q134" s="116">
        <v>1.64625</v>
      </c>
      <c r="R134" s="30">
        <v>7.0000000000000007E-2</v>
      </c>
      <c r="S134" s="116">
        <v>1.5365000000000002</v>
      </c>
      <c r="T134" s="117">
        <v>0.49</v>
      </c>
      <c r="U134" s="39">
        <v>500</v>
      </c>
      <c r="V134" s="32">
        <v>72</v>
      </c>
      <c r="W134" s="33"/>
      <c r="X134" s="32"/>
      <c r="Y134" s="32"/>
      <c r="Z134" s="32"/>
      <c r="AA134" s="34"/>
      <c r="AB134" s="35">
        <f t="shared" si="23"/>
        <v>572</v>
      </c>
      <c r="AC134" s="75">
        <f t="shared" si="24"/>
        <v>75000</v>
      </c>
      <c r="AD134" s="78">
        <f t="shared" si="21"/>
        <v>10800</v>
      </c>
      <c r="AE134" s="72">
        <f t="shared" si="25"/>
        <v>85800</v>
      </c>
      <c r="AF134" s="75">
        <f t="shared" si="26"/>
        <v>15906.324999999997</v>
      </c>
      <c r="AG134" s="78">
        <f t="shared" si="27"/>
        <v>2290.5107999999996</v>
      </c>
      <c r="AH134" s="72">
        <f t="shared" si="28"/>
        <v>18196.835799999997</v>
      </c>
      <c r="AI134" s="75">
        <f t="shared" si="29"/>
        <v>10975</v>
      </c>
      <c r="AJ134" s="78">
        <f t="shared" si="30"/>
        <v>1580.3999999999999</v>
      </c>
      <c r="AK134" s="72">
        <f t="shared" si="31"/>
        <v>12555.4</v>
      </c>
    </row>
    <row r="135" spans="1:37" ht="15.95" customHeight="1">
      <c r="A135" s="25" t="s">
        <v>12</v>
      </c>
      <c r="B135" s="25" t="s">
        <v>13</v>
      </c>
      <c r="C135" s="26" t="s">
        <v>21</v>
      </c>
      <c r="D135" s="26" t="s">
        <v>375</v>
      </c>
      <c r="E135" s="26" t="s">
        <v>16</v>
      </c>
      <c r="F135" s="26" t="s">
        <v>163</v>
      </c>
      <c r="G135" s="26" t="s">
        <v>161</v>
      </c>
      <c r="H135" s="27" t="s">
        <v>162</v>
      </c>
      <c r="I135" s="26" t="s">
        <v>27</v>
      </c>
      <c r="J135" s="28" t="s">
        <v>43</v>
      </c>
      <c r="K135" s="125">
        <v>135</v>
      </c>
      <c r="L135" s="29">
        <f t="shared" si="22"/>
        <v>28.102450000000001</v>
      </c>
      <c r="M135" s="110">
        <v>19.350000000000001</v>
      </c>
      <c r="N135" s="30">
        <v>0.28199999999999997</v>
      </c>
      <c r="O135" s="116">
        <v>5.4566999999999997</v>
      </c>
      <c r="P135" s="30">
        <v>7.4999999999999997E-2</v>
      </c>
      <c r="Q135" s="116">
        <v>1.4512500000000002</v>
      </c>
      <c r="R135" s="30">
        <v>7.0000000000000007E-2</v>
      </c>
      <c r="S135" s="116">
        <v>1.3545000000000003</v>
      </c>
      <c r="T135" s="117">
        <v>0.49</v>
      </c>
      <c r="U135" s="39">
        <v>400</v>
      </c>
      <c r="V135" s="32">
        <v>73</v>
      </c>
      <c r="W135" s="33"/>
      <c r="X135" s="32"/>
      <c r="Y135" s="32"/>
      <c r="Z135" s="32"/>
      <c r="AA135" s="34"/>
      <c r="AB135" s="35">
        <f t="shared" si="23"/>
        <v>473</v>
      </c>
      <c r="AC135" s="75">
        <f t="shared" si="24"/>
        <v>54000</v>
      </c>
      <c r="AD135" s="78">
        <f t="shared" ref="AD135:AD198" si="32">$K135*SUM(V135:AA135)</f>
        <v>9855</v>
      </c>
      <c r="AE135" s="72">
        <f t="shared" si="25"/>
        <v>63855</v>
      </c>
      <c r="AF135" s="75">
        <f t="shared" si="26"/>
        <v>11240.98</v>
      </c>
      <c r="AG135" s="78">
        <f t="shared" si="27"/>
        <v>2051.47885</v>
      </c>
      <c r="AH135" s="72">
        <f t="shared" si="28"/>
        <v>13292.458849999999</v>
      </c>
      <c r="AI135" s="75">
        <f t="shared" si="29"/>
        <v>7740.0000000000009</v>
      </c>
      <c r="AJ135" s="78">
        <f t="shared" si="30"/>
        <v>1412.5500000000002</v>
      </c>
      <c r="AK135" s="72">
        <f t="shared" si="31"/>
        <v>9152.5500000000011</v>
      </c>
    </row>
    <row r="136" spans="1:37" ht="15.95" customHeight="1">
      <c r="A136" s="25" t="s">
        <v>12</v>
      </c>
      <c r="B136" s="25" t="s">
        <v>13</v>
      </c>
      <c r="C136" s="26" t="s">
        <v>164</v>
      </c>
      <c r="D136" s="26" t="s">
        <v>375</v>
      </c>
      <c r="E136" s="26" t="s">
        <v>16</v>
      </c>
      <c r="F136" s="26" t="s">
        <v>165</v>
      </c>
      <c r="G136" s="26" t="s">
        <v>166</v>
      </c>
      <c r="H136" s="27" t="s">
        <v>392</v>
      </c>
      <c r="I136" s="26" t="s">
        <v>167</v>
      </c>
      <c r="J136" s="28" t="s">
        <v>168</v>
      </c>
      <c r="K136" s="123">
        <v>225</v>
      </c>
      <c r="L136" s="29">
        <f t="shared" si="22"/>
        <v>49.567500000000003</v>
      </c>
      <c r="M136" s="110">
        <v>33.5</v>
      </c>
      <c r="N136" s="30">
        <v>0.32</v>
      </c>
      <c r="O136" s="116">
        <v>10.72</v>
      </c>
      <c r="P136" s="30">
        <v>7.4999999999999997E-2</v>
      </c>
      <c r="Q136" s="116">
        <v>2.5124999999999997</v>
      </c>
      <c r="R136" s="30">
        <v>7.0000000000000007E-2</v>
      </c>
      <c r="S136" s="116">
        <v>2.3450000000000002</v>
      </c>
      <c r="T136" s="117">
        <v>0.49</v>
      </c>
      <c r="U136" s="39">
        <v>250</v>
      </c>
      <c r="V136" s="32">
        <v>59</v>
      </c>
      <c r="W136" s="33"/>
      <c r="X136" s="32"/>
      <c r="Y136" s="32"/>
      <c r="Z136" s="32"/>
      <c r="AA136" s="34"/>
      <c r="AB136" s="35">
        <f t="shared" si="23"/>
        <v>309</v>
      </c>
      <c r="AC136" s="75">
        <f t="shared" si="24"/>
        <v>56250</v>
      </c>
      <c r="AD136" s="78">
        <f t="shared" si="32"/>
        <v>13275</v>
      </c>
      <c r="AE136" s="72">
        <f t="shared" si="25"/>
        <v>69525</v>
      </c>
      <c r="AF136" s="75">
        <f t="shared" si="26"/>
        <v>12391.875</v>
      </c>
      <c r="AG136" s="78">
        <f t="shared" si="27"/>
        <v>2924.4825000000001</v>
      </c>
      <c r="AH136" s="72">
        <f t="shared" si="28"/>
        <v>15316.3575</v>
      </c>
      <c r="AI136" s="75">
        <f t="shared" si="29"/>
        <v>8375</v>
      </c>
      <c r="AJ136" s="78">
        <f t="shared" si="30"/>
        <v>1976.5</v>
      </c>
      <c r="AK136" s="72">
        <f t="shared" si="31"/>
        <v>10351.5</v>
      </c>
    </row>
    <row r="137" spans="1:37" ht="15.95" customHeight="1">
      <c r="A137" s="25" t="s">
        <v>12</v>
      </c>
      <c r="B137" s="25" t="s">
        <v>13</v>
      </c>
      <c r="C137" s="26" t="s">
        <v>164</v>
      </c>
      <c r="D137" s="26" t="s">
        <v>375</v>
      </c>
      <c r="E137" s="26" t="s">
        <v>16</v>
      </c>
      <c r="F137" s="26" t="s">
        <v>165</v>
      </c>
      <c r="G137" s="26" t="s">
        <v>166</v>
      </c>
      <c r="H137" s="27" t="s">
        <v>392</v>
      </c>
      <c r="I137" s="26" t="s">
        <v>167</v>
      </c>
      <c r="J137" s="28" t="s">
        <v>168</v>
      </c>
      <c r="K137" s="123">
        <v>225</v>
      </c>
      <c r="L137" s="29">
        <f t="shared" si="22"/>
        <v>49.567500000000003</v>
      </c>
      <c r="M137" s="110">
        <v>33.5</v>
      </c>
      <c r="N137" s="30">
        <v>0.32</v>
      </c>
      <c r="O137" s="116">
        <v>10.72</v>
      </c>
      <c r="P137" s="30">
        <v>7.4999999999999997E-2</v>
      </c>
      <c r="Q137" s="116">
        <v>2.5124999999999997</v>
      </c>
      <c r="R137" s="30">
        <v>7.0000000000000007E-2</v>
      </c>
      <c r="S137" s="116">
        <v>2.3450000000000002</v>
      </c>
      <c r="T137" s="117">
        <v>0.49</v>
      </c>
      <c r="U137" s="39">
        <v>250</v>
      </c>
      <c r="V137" s="32">
        <v>58</v>
      </c>
      <c r="W137" s="33"/>
      <c r="X137" s="32"/>
      <c r="Y137" s="32"/>
      <c r="Z137" s="32"/>
      <c r="AA137" s="34"/>
      <c r="AB137" s="35">
        <f t="shared" si="23"/>
        <v>308</v>
      </c>
      <c r="AC137" s="75">
        <f t="shared" si="24"/>
        <v>56250</v>
      </c>
      <c r="AD137" s="78">
        <f t="shared" si="32"/>
        <v>13050</v>
      </c>
      <c r="AE137" s="72">
        <f t="shared" si="25"/>
        <v>69300</v>
      </c>
      <c r="AF137" s="75">
        <f t="shared" si="26"/>
        <v>12391.875</v>
      </c>
      <c r="AG137" s="78">
        <f t="shared" si="27"/>
        <v>2874.915</v>
      </c>
      <c r="AH137" s="72">
        <f t="shared" si="28"/>
        <v>15266.79</v>
      </c>
      <c r="AI137" s="75">
        <f t="shared" si="29"/>
        <v>8375</v>
      </c>
      <c r="AJ137" s="78">
        <f t="shared" si="30"/>
        <v>1943</v>
      </c>
      <c r="AK137" s="72">
        <f t="shared" si="31"/>
        <v>10318</v>
      </c>
    </row>
    <row r="138" spans="1:37" ht="15.95" customHeight="1">
      <c r="A138" s="25" t="s">
        <v>12</v>
      </c>
      <c r="B138" s="25" t="s">
        <v>13</v>
      </c>
      <c r="C138" s="26" t="s">
        <v>164</v>
      </c>
      <c r="D138" s="26" t="s">
        <v>375</v>
      </c>
      <c r="E138" s="26" t="s">
        <v>16</v>
      </c>
      <c r="F138" s="26" t="s">
        <v>169</v>
      </c>
      <c r="G138" s="26" t="s">
        <v>166</v>
      </c>
      <c r="H138" s="27" t="s">
        <v>392</v>
      </c>
      <c r="I138" s="26" t="s">
        <v>167</v>
      </c>
      <c r="J138" s="28" t="s">
        <v>168</v>
      </c>
      <c r="K138" s="123">
        <v>225</v>
      </c>
      <c r="L138" s="29">
        <f t="shared" si="22"/>
        <v>64.876750000000001</v>
      </c>
      <c r="M138" s="111">
        <v>43.95</v>
      </c>
      <c r="N138" s="30">
        <v>0.32</v>
      </c>
      <c r="O138" s="116">
        <v>14.064000000000002</v>
      </c>
      <c r="P138" s="30">
        <v>7.4999999999999997E-2</v>
      </c>
      <c r="Q138" s="116">
        <v>3.2962500000000001</v>
      </c>
      <c r="R138" s="30">
        <v>7.0000000000000007E-2</v>
      </c>
      <c r="S138" s="116">
        <v>3.0765000000000007</v>
      </c>
      <c r="T138" s="117">
        <v>0.49</v>
      </c>
      <c r="U138" s="39">
        <v>250</v>
      </c>
      <c r="V138" s="32">
        <v>58</v>
      </c>
      <c r="W138" s="33"/>
      <c r="X138" s="32"/>
      <c r="Y138" s="32"/>
      <c r="Z138" s="32"/>
      <c r="AA138" s="34"/>
      <c r="AB138" s="35">
        <f t="shared" si="23"/>
        <v>308</v>
      </c>
      <c r="AC138" s="75">
        <f t="shared" si="24"/>
        <v>56250</v>
      </c>
      <c r="AD138" s="78">
        <f t="shared" si="32"/>
        <v>13050</v>
      </c>
      <c r="AE138" s="72">
        <f t="shared" si="25"/>
        <v>69300</v>
      </c>
      <c r="AF138" s="75">
        <f t="shared" si="26"/>
        <v>16219.1875</v>
      </c>
      <c r="AG138" s="78">
        <f t="shared" si="27"/>
        <v>3762.8515000000002</v>
      </c>
      <c r="AH138" s="72">
        <f t="shared" si="28"/>
        <v>19982.039000000001</v>
      </c>
      <c r="AI138" s="75">
        <f t="shared" si="29"/>
        <v>10987.5</v>
      </c>
      <c r="AJ138" s="78">
        <f t="shared" si="30"/>
        <v>2549.1000000000004</v>
      </c>
      <c r="AK138" s="72">
        <f t="shared" si="31"/>
        <v>13536.6</v>
      </c>
    </row>
    <row r="139" spans="1:37" ht="15.95" customHeight="1">
      <c r="A139" s="25" t="s">
        <v>12</v>
      </c>
      <c r="B139" s="25" t="s">
        <v>13</v>
      </c>
      <c r="C139" s="26" t="s">
        <v>164</v>
      </c>
      <c r="D139" s="26" t="s">
        <v>375</v>
      </c>
      <c r="E139" s="26" t="s">
        <v>16</v>
      </c>
      <c r="F139" s="26" t="s">
        <v>170</v>
      </c>
      <c r="G139" s="26" t="s">
        <v>171</v>
      </c>
      <c r="H139" s="27" t="s">
        <v>393</v>
      </c>
      <c r="I139" s="26" t="s">
        <v>167</v>
      </c>
      <c r="J139" s="28" t="s">
        <v>172</v>
      </c>
      <c r="K139" s="123">
        <v>135</v>
      </c>
      <c r="L139" s="29">
        <f t="shared" si="22"/>
        <v>29.244499999999995</v>
      </c>
      <c r="M139" s="110">
        <v>21.95</v>
      </c>
      <c r="N139" s="30">
        <v>0.16500000000000001</v>
      </c>
      <c r="O139" s="116">
        <v>3.62175</v>
      </c>
      <c r="P139" s="30">
        <v>7.4999999999999997E-2</v>
      </c>
      <c r="Q139" s="116">
        <v>1.64625</v>
      </c>
      <c r="R139" s="30">
        <v>7.0000000000000007E-2</v>
      </c>
      <c r="S139" s="116">
        <v>1.5365000000000002</v>
      </c>
      <c r="T139" s="117">
        <v>0.49</v>
      </c>
      <c r="U139" s="39">
        <v>400</v>
      </c>
      <c r="V139" s="32"/>
      <c r="W139" s="33"/>
      <c r="X139" s="32"/>
      <c r="Y139" s="32"/>
      <c r="Z139" s="32"/>
      <c r="AA139" s="34"/>
      <c r="AB139" s="35">
        <f t="shared" si="23"/>
        <v>400</v>
      </c>
      <c r="AC139" s="75">
        <f t="shared" si="24"/>
        <v>54000</v>
      </c>
      <c r="AD139" s="78">
        <f t="shared" si="32"/>
        <v>0</v>
      </c>
      <c r="AE139" s="72">
        <f t="shared" si="25"/>
        <v>54000</v>
      </c>
      <c r="AF139" s="75">
        <f t="shared" si="26"/>
        <v>11697.799999999997</v>
      </c>
      <c r="AG139" s="78">
        <f t="shared" si="27"/>
        <v>0</v>
      </c>
      <c r="AH139" s="72">
        <f t="shared" si="28"/>
        <v>11697.799999999997</v>
      </c>
      <c r="AI139" s="75">
        <f t="shared" si="29"/>
        <v>8780</v>
      </c>
      <c r="AJ139" s="78">
        <f t="shared" si="30"/>
        <v>0</v>
      </c>
      <c r="AK139" s="72">
        <f t="shared" si="31"/>
        <v>8780</v>
      </c>
    </row>
    <row r="140" spans="1:37" ht="15.95" customHeight="1">
      <c r="A140" s="25" t="s">
        <v>12</v>
      </c>
      <c r="B140" s="25" t="s">
        <v>13</v>
      </c>
      <c r="C140" s="26" t="s">
        <v>164</v>
      </c>
      <c r="D140" s="26" t="s">
        <v>375</v>
      </c>
      <c r="E140" s="26" t="s">
        <v>16</v>
      </c>
      <c r="F140" s="26" t="s">
        <v>170</v>
      </c>
      <c r="G140" s="26" t="s">
        <v>171</v>
      </c>
      <c r="H140" s="27" t="s">
        <v>393</v>
      </c>
      <c r="I140" s="26" t="s">
        <v>167</v>
      </c>
      <c r="J140" s="28" t="s">
        <v>172</v>
      </c>
      <c r="K140" s="123">
        <v>135</v>
      </c>
      <c r="L140" s="29">
        <f t="shared" si="22"/>
        <v>29.244499999999995</v>
      </c>
      <c r="M140" s="110">
        <v>21.95</v>
      </c>
      <c r="N140" s="30">
        <v>0.16500000000000001</v>
      </c>
      <c r="O140" s="116">
        <v>3.62175</v>
      </c>
      <c r="P140" s="30">
        <v>7.4999999999999997E-2</v>
      </c>
      <c r="Q140" s="116">
        <v>1.64625</v>
      </c>
      <c r="R140" s="30">
        <v>7.0000000000000007E-2</v>
      </c>
      <c r="S140" s="116">
        <v>1.5365000000000002</v>
      </c>
      <c r="T140" s="117">
        <v>0.49</v>
      </c>
      <c r="U140" s="39">
        <v>400</v>
      </c>
      <c r="V140" s="32"/>
      <c r="W140" s="33"/>
      <c r="X140" s="32"/>
      <c r="Y140" s="32"/>
      <c r="Z140" s="32"/>
      <c r="AA140" s="34"/>
      <c r="AB140" s="35">
        <f t="shared" si="23"/>
        <v>400</v>
      </c>
      <c r="AC140" s="75">
        <f t="shared" si="24"/>
        <v>54000</v>
      </c>
      <c r="AD140" s="78">
        <f t="shared" si="32"/>
        <v>0</v>
      </c>
      <c r="AE140" s="72">
        <f t="shared" si="25"/>
        <v>54000</v>
      </c>
      <c r="AF140" s="75">
        <f t="shared" si="26"/>
        <v>11697.799999999997</v>
      </c>
      <c r="AG140" s="78">
        <f t="shared" si="27"/>
        <v>0</v>
      </c>
      <c r="AH140" s="72">
        <f t="shared" si="28"/>
        <v>11697.799999999997</v>
      </c>
      <c r="AI140" s="75">
        <f t="shared" si="29"/>
        <v>8780</v>
      </c>
      <c r="AJ140" s="78">
        <f t="shared" si="30"/>
        <v>0</v>
      </c>
      <c r="AK140" s="72">
        <f t="shared" si="31"/>
        <v>8780</v>
      </c>
    </row>
    <row r="141" spans="1:37" ht="15.95" customHeight="1">
      <c r="A141" s="25" t="s">
        <v>12</v>
      </c>
      <c r="B141" s="25" t="s">
        <v>13</v>
      </c>
      <c r="C141" s="26" t="s">
        <v>164</v>
      </c>
      <c r="D141" s="26" t="s">
        <v>375</v>
      </c>
      <c r="E141" s="26" t="s">
        <v>16</v>
      </c>
      <c r="F141" s="26" t="s">
        <v>173</v>
      </c>
      <c r="G141" s="26" t="s">
        <v>171</v>
      </c>
      <c r="H141" s="27" t="s">
        <v>394</v>
      </c>
      <c r="I141" s="26" t="s">
        <v>167</v>
      </c>
      <c r="J141" s="28" t="s">
        <v>174</v>
      </c>
      <c r="K141" s="123">
        <v>125</v>
      </c>
      <c r="L141" s="29">
        <f t="shared" si="22"/>
        <v>29.156699999999997</v>
      </c>
      <c r="M141" s="110">
        <v>21.95</v>
      </c>
      <c r="N141" s="30">
        <v>0.161</v>
      </c>
      <c r="O141" s="116">
        <v>3.5339499999999999</v>
      </c>
      <c r="P141" s="30">
        <v>7.4999999999999997E-2</v>
      </c>
      <c r="Q141" s="116">
        <v>1.64625</v>
      </c>
      <c r="R141" s="30">
        <v>7.0000000000000007E-2</v>
      </c>
      <c r="S141" s="116">
        <v>1.5365000000000002</v>
      </c>
      <c r="T141" s="117">
        <v>0.49</v>
      </c>
      <c r="U141" s="39">
        <v>400</v>
      </c>
      <c r="V141" s="32"/>
      <c r="W141" s="33"/>
      <c r="X141" s="32"/>
      <c r="Y141" s="32"/>
      <c r="Z141" s="32"/>
      <c r="AA141" s="34"/>
      <c r="AB141" s="35">
        <f t="shared" si="23"/>
        <v>400</v>
      </c>
      <c r="AC141" s="75">
        <f t="shared" si="24"/>
        <v>50000</v>
      </c>
      <c r="AD141" s="78">
        <f t="shared" si="32"/>
        <v>0</v>
      </c>
      <c r="AE141" s="72">
        <f t="shared" si="25"/>
        <v>50000</v>
      </c>
      <c r="AF141" s="75">
        <f t="shared" si="26"/>
        <v>11662.679999999998</v>
      </c>
      <c r="AG141" s="78">
        <f t="shared" si="27"/>
        <v>0</v>
      </c>
      <c r="AH141" s="72">
        <f t="shared" si="28"/>
        <v>11662.679999999998</v>
      </c>
      <c r="AI141" s="75">
        <f t="shared" si="29"/>
        <v>8780</v>
      </c>
      <c r="AJ141" s="78">
        <f t="shared" si="30"/>
        <v>0</v>
      </c>
      <c r="AK141" s="72">
        <f t="shared" si="31"/>
        <v>8780</v>
      </c>
    </row>
    <row r="142" spans="1:37" ht="15.95" customHeight="1">
      <c r="A142" s="25" t="s">
        <v>12</v>
      </c>
      <c r="B142" s="25" t="s">
        <v>13</v>
      </c>
      <c r="C142" s="26" t="s">
        <v>164</v>
      </c>
      <c r="D142" s="26" t="s">
        <v>375</v>
      </c>
      <c r="E142" s="26" t="s">
        <v>16</v>
      </c>
      <c r="F142" s="26" t="s">
        <v>173</v>
      </c>
      <c r="G142" s="26" t="s">
        <v>171</v>
      </c>
      <c r="H142" s="27" t="s">
        <v>394</v>
      </c>
      <c r="I142" s="26" t="s">
        <v>167</v>
      </c>
      <c r="J142" s="28" t="s">
        <v>174</v>
      </c>
      <c r="K142" s="123">
        <v>125</v>
      </c>
      <c r="L142" s="29">
        <f t="shared" si="22"/>
        <v>29.156699999999997</v>
      </c>
      <c r="M142" s="110">
        <v>21.95</v>
      </c>
      <c r="N142" s="30">
        <v>0.161</v>
      </c>
      <c r="O142" s="116">
        <v>3.5339499999999999</v>
      </c>
      <c r="P142" s="30">
        <v>7.4999999999999997E-2</v>
      </c>
      <c r="Q142" s="116">
        <v>1.64625</v>
      </c>
      <c r="R142" s="30">
        <v>7.0000000000000007E-2</v>
      </c>
      <c r="S142" s="116">
        <v>1.5365000000000002</v>
      </c>
      <c r="T142" s="117">
        <v>0.49</v>
      </c>
      <c r="U142" s="39">
        <v>400</v>
      </c>
      <c r="V142" s="32"/>
      <c r="W142" s="33"/>
      <c r="X142" s="32"/>
      <c r="Y142" s="32"/>
      <c r="Z142" s="32"/>
      <c r="AA142" s="34"/>
      <c r="AB142" s="35">
        <f t="shared" si="23"/>
        <v>400</v>
      </c>
      <c r="AC142" s="75">
        <f t="shared" si="24"/>
        <v>50000</v>
      </c>
      <c r="AD142" s="78">
        <f t="shared" si="32"/>
        <v>0</v>
      </c>
      <c r="AE142" s="72">
        <f t="shared" si="25"/>
        <v>50000</v>
      </c>
      <c r="AF142" s="75">
        <f t="shared" si="26"/>
        <v>11662.679999999998</v>
      </c>
      <c r="AG142" s="78">
        <f t="shared" si="27"/>
        <v>0</v>
      </c>
      <c r="AH142" s="72">
        <f t="shared" si="28"/>
        <v>11662.679999999998</v>
      </c>
      <c r="AI142" s="75">
        <f t="shared" si="29"/>
        <v>8780</v>
      </c>
      <c r="AJ142" s="78">
        <f t="shared" si="30"/>
        <v>0</v>
      </c>
      <c r="AK142" s="72">
        <f t="shared" si="31"/>
        <v>8780</v>
      </c>
    </row>
    <row r="143" spans="1:37" ht="15.95" customHeight="1">
      <c r="A143" s="25" t="s">
        <v>12</v>
      </c>
      <c r="B143" s="25" t="s">
        <v>13</v>
      </c>
      <c r="C143" s="26" t="s">
        <v>164</v>
      </c>
      <c r="D143" s="26" t="s">
        <v>375</v>
      </c>
      <c r="E143" s="26" t="s">
        <v>16</v>
      </c>
      <c r="F143" s="26" t="s">
        <v>175</v>
      </c>
      <c r="G143" s="26" t="s">
        <v>171</v>
      </c>
      <c r="H143" s="27" t="s">
        <v>393</v>
      </c>
      <c r="I143" s="26" t="s">
        <v>167</v>
      </c>
      <c r="J143" s="28" t="s">
        <v>172</v>
      </c>
      <c r="K143" s="123">
        <v>175</v>
      </c>
      <c r="L143" s="29">
        <f t="shared" si="22"/>
        <v>39.763799999999996</v>
      </c>
      <c r="M143" s="110">
        <v>29.98</v>
      </c>
      <c r="N143" s="30">
        <v>0.16500000000000001</v>
      </c>
      <c r="O143" s="116">
        <v>4.9466999999999999</v>
      </c>
      <c r="P143" s="30">
        <v>7.4999999999999997E-2</v>
      </c>
      <c r="Q143" s="116">
        <v>2.2484999999999999</v>
      </c>
      <c r="R143" s="30">
        <v>7.0000000000000007E-2</v>
      </c>
      <c r="S143" s="116">
        <v>2.0986000000000002</v>
      </c>
      <c r="T143" s="117">
        <v>0.49</v>
      </c>
      <c r="U143" s="39">
        <v>500</v>
      </c>
      <c r="V143" s="32">
        <v>74</v>
      </c>
      <c r="W143" s="33"/>
      <c r="X143" s="32"/>
      <c r="Y143" s="32"/>
      <c r="Z143" s="32"/>
      <c r="AA143" s="34"/>
      <c r="AB143" s="35">
        <f t="shared" si="23"/>
        <v>574</v>
      </c>
      <c r="AC143" s="75">
        <f t="shared" si="24"/>
        <v>87500</v>
      </c>
      <c r="AD143" s="78">
        <f t="shared" si="32"/>
        <v>12950</v>
      </c>
      <c r="AE143" s="72">
        <f t="shared" si="25"/>
        <v>100450</v>
      </c>
      <c r="AF143" s="75">
        <f t="shared" si="26"/>
        <v>19881.899999999998</v>
      </c>
      <c r="AG143" s="78">
        <f t="shared" si="27"/>
        <v>2942.5211999999997</v>
      </c>
      <c r="AH143" s="72">
        <f t="shared" si="28"/>
        <v>22824.421199999997</v>
      </c>
      <c r="AI143" s="75">
        <f t="shared" si="29"/>
        <v>14990</v>
      </c>
      <c r="AJ143" s="78">
        <f t="shared" si="30"/>
        <v>2218.52</v>
      </c>
      <c r="AK143" s="72">
        <f t="shared" si="31"/>
        <v>17208.52</v>
      </c>
    </row>
    <row r="144" spans="1:37" ht="15.95" customHeight="1">
      <c r="A144" s="25" t="s">
        <v>12</v>
      </c>
      <c r="B144" s="25" t="s">
        <v>13</v>
      </c>
      <c r="C144" s="26" t="s">
        <v>164</v>
      </c>
      <c r="D144" s="26" t="s">
        <v>375</v>
      </c>
      <c r="E144" s="26" t="s">
        <v>16</v>
      </c>
      <c r="F144" s="26" t="s">
        <v>175</v>
      </c>
      <c r="G144" s="26" t="s">
        <v>171</v>
      </c>
      <c r="H144" s="27" t="s">
        <v>393</v>
      </c>
      <c r="I144" s="26" t="s">
        <v>167</v>
      </c>
      <c r="J144" s="28" t="s">
        <v>172</v>
      </c>
      <c r="K144" s="123">
        <v>175</v>
      </c>
      <c r="L144" s="29">
        <f t="shared" si="22"/>
        <v>39.763799999999996</v>
      </c>
      <c r="M144" s="110">
        <v>29.98</v>
      </c>
      <c r="N144" s="30">
        <v>0.16500000000000001</v>
      </c>
      <c r="O144" s="116">
        <v>4.9466999999999999</v>
      </c>
      <c r="P144" s="30">
        <v>7.4999999999999997E-2</v>
      </c>
      <c r="Q144" s="116">
        <v>2.2484999999999999</v>
      </c>
      <c r="R144" s="30">
        <v>7.0000000000000007E-2</v>
      </c>
      <c r="S144" s="116">
        <v>2.0986000000000002</v>
      </c>
      <c r="T144" s="117">
        <v>0.49</v>
      </c>
      <c r="U144" s="39">
        <v>500</v>
      </c>
      <c r="V144" s="32">
        <v>69</v>
      </c>
      <c r="W144" s="33"/>
      <c r="X144" s="32"/>
      <c r="Y144" s="32"/>
      <c r="Z144" s="32"/>
      <c r="AA144" s="34"/>
      <c r="AB144" s="35">
        <f t="shared" si="23"/>
        <v>569</v>
      </c>
      <c r="AC144" s="75">
        <f t="shared" si="24"/>
        <v>87500</v>
      </c>
      <c r="AD144" s="78">
        <f t="shared" si="32"/>
        <v>12075</v>
      </c>
      <c r="AE144" s="72">
        <f t="shared" si="25"/>
        <v>99575</v>
      </c>
      <c r="AF144" s="75">
        <f t="shared" si="26"/>
        <v>19881.899999999998</v>
      </c>
      <c r="AG144" s="78">
        <f t="shared" si="27"/>
        <v>2743.7021999999997</v>
      </c>
      <c r="AH144" s="72">
        <f t="shared" si="28"/>
        <v>22625.602199999998</v>
      </c>
      <c r="AI144" s="75">
        <f t="shared" si="29"/>
        <v>14990</v>
      </c>
      <c r="AJ144" s="78">
        <f t="shared" si="30"/>
        <v>2068.62</v>
      </c>
      <c r="AK144" s="72">
        <f t="shared" si="31"/>
        <v>17058.62</v>
      </c>
    </row>
    <row r="145" spans="1:37" ht="15.95" customHeight="1">
      <c r="A145" s="25" t="s">
        <v>12</v>
      </c>
      <c r="B145" s="25" t="s">
        <v>13</v>
      </c>
      <c r="C145" s="26" t="s">
        <v>164</v>
      </c>
      <c r="D145" s="26" t="s">
        <v>375</v>
      </c>
      <c r="E145" s="26" t="s">
        <v>16</v>
      </c>
      <c r="F145" s="26" t="s">
        <v>176</v>
      </c>
      <c r="G145" s="26" t="s">
        <v>166</v>
      </c>
      <c r="H145" s="27" t="s">
        <v>392</v>
      </c>
      <c r="I145" s="26" t="s">
        <v>167</v>
      </c>
      <c r="J145" s="28" t="s">
        <v>168</v>
      </c>
      <c r="K145" s="123">
        <v>225</v>
      </c>
      <c r="L145" s="29">
        <f t="shared" si="22"/>
        <v>45.83175</v>
      </c>
      <c r="M145" s="110">
        <v>30.95</v>
      </c>
      <c r="N145" s="30">
        <v>0.32</v>
      </c>
      <c r="O145" s="116">
        <v>9.9039999999999999</v>
      </c>
      <c r="P145" s="30">
        <v>7.4999999999999997E-2</v>
      </c>
      <c r="Q145" s="116">
        <v>2.32125</v>
      </c>
      <c r="R145" s="30">
        <v>7.0000000000000007E-2</v>
      </c>
      <c r="S145" s="116">
        <v>2.1665000000000001</v>
      </c>
      <c r="T145" s="117">
        <v>0.49</v>
      </c>
      <c r="U145" s="39">
        <v>350</v>
      </c>
      <c r="V145" s="32">
        <v>112</v>
      </c>
      <c r="W145" s="33"/>
      <c r="X145" s="32"/>
      <c r="Y145" s="32"/>
      <c r="Z145" s="32"/>
      <c r="AA145" s="34"/>
      <c r="AB145" s="35">
        <f t="shared" si="23"/>
        <v>462</v>
      </c>
      <c r="AC145" s="75">
        <f t="shared" si="24"/>
        <v>78750</v>
      </c>
      <c r="AD145" s="78">
        <f t="shared" si="32"/>
        <v>25200</v>
      </c>
      <c r="AE145" s="72">
        <f t="shared" si="25"/>
        <v>103950</v>
      </c>
      <c r="AF145" s="75">
        <f t="shared" si="26"/>
        <v>16041.112499999999</v>
      </c>
      <c r="AG145" s="78">
        <f t="shared" si="27"/>
        <v>5133.1559999999999</v>
      </c>
      <c r="AH145" s="72">
        <f t="shared" si="28"/>
        <v>21174.268499999998</v>
      </c>
      <c r="AI145" s="75">
        <f t="shared" si="29"/>
        <v>10832.5</v>
      </c>
      <c r="AJ145" s="78">
        <f t="shared" si="30"/>
        <v>3466.4</v>
      </c>
      <c r="AK145" s="72">
        <f t="shared" si="31"/>
        <v>14298.9</v>
      </c>
    </row>
    <row r="146" spans="1:37" ht="15.95" customHeight="1">
      <c r="A146" s="25" t="s">
        <v>12</v>
      </c>
      <c r="B146" s="25" t="s">
        <v>13</v>
      </c>
      <c r="C146" s="26" t="s">
        <v>14</v>
      </c>
      <c r="D146" s="26" t="s">
        <v>375</v>
      </c>
      <c r="E146" s="26" t="s">
        <v>16</v>
      </c>
      <c r="F146" s="26" t="s">
        <v>177</v>
      </c>
      <c r="G146" s="26" t="s">
        <v>178</v>
      </c>
      <c r="H146" s="44" t="s">
        <v>179</v>
      </c>
      <c r="I146" s="26" t="s">
        <v>27</v>
      </c>
      <c r="J146" s="28" t="s">
        <v>41</v>
      </c>
      <c r="K146" s="125">
        <v>175</v>
      </c>
      <c r="L146" s="29">
        <f t="shared" si="22"/>
        <v>35.1661</v>
      </c>
      <c r="M146" s="110">
        <v>24.3</v>
      </c>
      <c r="N146" s="30">
        <v>0.28199999999999997</v>
      </c>
      <c r="O146" s="116">
        <v>6.8525999999999998</v>
      </c>
      <c r="P146" s="30">
        <v>7.4999999999999997E-2</v>
      </c>
      <c r="Q146" s="116">
        <v>1.8225</v>
      </c>
      <c r="R146" s="30">
        <v>7.0000000000000007E-2</v>
      </c>
      <c r="S146" s="116">
        <v>1.7010000000000003</v>
      </c>
      <c r="T146" s="117">
        <v>0.49</v>
      </c>
      <c r="U146" s="39">
        <v>350</v>
      </c>
      <c r="V146" s="32">
        <v>83</v>
      </c>
      <c r="W146" s="33"/>
      <c r="X146" s="32"/>
      <c r="Y146" s="32"/>
      <c r="Z146" s="32"/>
      <c r="AA146" s="34"/>
      <c r="AB146" s="35">
        <f t="shared" si="23"/>
        <v>433</v>
      </c>
      <c r="AC146" s="75">
        <f t="shared" si="24"/>
        <v>61250</v>
      </c>
      <c r="AD146" s="78">
        <f t="shared" si="32"/>
        <v>14525</v>
      </c>
      <c r="AE146" s="72">
        <f t="shared" si="25"/>
        <v>75775</v>
      </c>
      <c r="AF146" s="75">
        <f t="shared" si="26"/>
        <v>12308.135</v>
      </c>
      <c r="AG146" s="78">
        <f t="shared" si="27"/>
        <v>2918.7863000000002</v>
      </c>
      <c r="AH146" s="72">
        <f t="shared" si="28"/>
        <v>15226.9213</v>
      </c>
      <c r="AI146" s="75">
        <f t="shared" si="29"/>
        <v>8505</v>
      </c>
      <c r="AJ146" s="78">
        <f t="shared" si="30"/>
        <v>2016.9</v>
      </c>
      <c r="AK146" s="72">
        <f t="shared" si="31"/>
        <v>10521.9</v>
      </c>
    </row>
    <row r="147" spans="1:37" ht="15.95" customHeight="1">
      <c r="A147" s="25" t="s">
        <v>12</v>
      </c>
      <c r="B147" s="25" t="s">
        <v>13</v>
      </c>
      <c r="C147" s="26" t="s">
        <v>21</v>
      </c>
      <c r="D147" s="26" t="s">
        <v>375</v>
      </c>
      <c r="E147" s="26" t="s">
        <v>16</v>
      </c>
      <c r="F147" s="26" t="s">
        <v>180</v>
      </c>
      <c r="G147" s="26" t="s">
        <v>178</v>
      </c>
      <c r="H147" s="44" t="s">
        <v>179</v>
      </c>
      <c r="I147" s="26" t="s">
        <v>27</v>
      </c>
      <c r="J147" s="28" t="s">
        <v>43</v>
      </c>
      <c r="K147" s="125">
        <v>150</v>
      </c>
      <c r="L147" s="29">
        <f t="shared" si="22"/>
        <v>32.597500000000004</v>
      </c>
      <c r="M147" s="110">
        <v>22.5</v>
      </c>
      <c r="N147" s="30">
        <v>0.28199999999999997</v>
      </c>
      <c r="O147" s="116">
        <v>6.3449999999999998</v>
      </c>
      <c r="P147" s="30">
        <v>7.4999999999999997E-2</v>
      </c>
      <c r="Q147" s="116">
        <v>1.6875</v>
      </c>
      <c r="R147" s="30">
        <v>7.0000000000000007E-2</v>
      </c>
      <c r="S147" s="116">
        <v>1.5750000000000002</v>
      </c>
      <c r="T147" s="117">
        <v>0.49</v>
      </c>
      <c r="U147" s="39">
        <v>300</v>
      </c>
      <c r="V147" s="32">
        <v>83</v>
      </c>
      <c r="W147" s="33"/>
      <c r="X147" s="32"/>
      <c r="Y147" s="32"/>
      <c r="Z147" s="32"/>
      <c r="AA147" s="34"/>
      <c r="AB147" s="35">
        <f t="shared" si="23"/>
        <v>383</v>
      </c>
      <c r="AC147" s="75">
        <f t="shared" si="24"/>
        <v>45000</v>
      </c>
      <c r="AD147" s="78">
        <f t="shared" si="32"/>
        <v>12450</v>
      </c>
      <c r="AE147" s="72">
        <f t="shared" si="25"/>
        <v>57450</v>
      </c>
      <c r="AF147" s="75">
        <f t="shared" si="26"/>
        <v>9779.2500000000018</v>
      </c>
      <c r="AG147" s="78">
        <f t="shared" si="27"/>
        <v>2705.5925000000002</v>
      </c>
      <c r="AH147" s="72">
        <f t="shared" si="28"/>
        <v>12484.842500000002</v>
      </c>
      <c r="AI147" s="75">
        <f t="shared" si="29"/>
        <v>6750</v>
      </c>
      <c r="AJ147" s="78">
        <f t="shared" si="30"/>
        <v>1867.5</v>
      </c>
      <c r="AK147" s="72">
        <f t="shared" si="31"/>
        <v>8617.5</v>
      </c>
    </row>
    <row r="148" spans="1:37" ht="15.95" customHeight="1">
      <c r="A148" s="25" t="s">
        <v>12</v>
      </c>
      <c r="B148" s="25" t="s">
        <v>13</v>
      </c>
      <c r="C148" s="26" t="s">
        <v>44</v>
      </c>
      <c r="D148" s="26" t="s">
        <v>375</v>
      </c>
      <c r="E148" s="26" t="s">
        <v>16</v>
      </c>
      <c r="F148" s="26" t="s">
        <v>181</v>
      </c>
      <c r="G148" s="26" t="s">
        <v>178</v>
      </c>
      <c r="H148" s="44" t="s">
        <v>179</v>
      </c>
      <c r="I148" s="26" t="s">
        <v>27</v>
      </c>
      <c r="J148" s="28" t="s">
        <v>46</v>
      </c>
      <c r="K148" s="123">
        <v>110</v>
      </c>
      <c r="L148" s="29">
        <f t="shared" si="22"/>
        <v>21.51275</v>
      </c>
      <c r="M148" s="110">
        <v>14.35</v>
      </c>
      <c r="N148" s="30">
        <v>0.32</v>
      </c>
      <c r="O148" s="116">
        <v>4.5919999999999996</v>
      </c>
      <c r="P148" s="30">
        <v>7.4999999999999997E-2</v>
      </c>
      <c r="Q148" s="116">
        <v>1.0762499999999999</v>
      </c>
      <c r="R148" s="30">
        <v>7.0000000000000007E-2</v>
      </c>
      <c r="S148" s="116">
        <v>1.0045000000000002</v>
      </c>
      <c r="T148" s="117">
        <v>0.49</v>
      </c>
      <c r="U148" s="39">
        <v>300</v>
      </c>
      <c r="V148" s="32">
        <v>69</v>
      </c>
      <c r="W148" s="33"/>
      <c r="X148" s="32"/>
      <c r="Y148" s="32"/>
      <c r="Z148" s="32"/>
      <c r="AA148" s="34"/>
      <c r="AB148" s="35">
        <f t="shared" si="23"/>
        <v>369</v>
      </c>
      <c r="AC148" s="75">
        <f t="shared" si="24"/>
        <v>33000</v>
      </c>
      <c r="AD148" s="78">
        <f t="shared" si="32"/>
        <v>7590</v>
      </c>
      <c r="AE148" s="72">
        <f t="shared" si="25"/>
        <v>40590</v>
      </c>
      <c r="AF148" s="75">
        <f t="shared" si="26"/>
        <v>6453.8249999999998</v>
      </c>
      <c r="AG148" s="78">
        <f t="shared" si="27"/>
        <v>1484.3797500000001</v>
      </c>
      <c r="AH148" s="72">
        <f t="shared" si="28"/>
        <v>7938.2047499999999</v>
      </c>
      <c r="AI148" s="75">
        <f t="shared" si="29"/>
        <v>4305</v>
      </c>
      <c r="AJ148" s="78">
        <f t="shared" si="30"/>
        <v>990.15</v>
      </c>
      <c r="AK148" s="72">
        <f t="shared" si="31"/>
        <v>5295.15</v>
      </c>
    </row>
    <row r="149" spans="1:37" ht="15.95" customHeight="1">
      <c r="A149" s="25" t="s">
        <v>12</v>
      </c>
      <c r="B149" s="25" t="s">
        <v>13</v>
      </c>
      <c r="C149" s="26" t="s">
        <v>29</v>
      </c>
      <c r="D149" s="26" t="s">
        <v>375</v>
      </c>
      <c r="E149" s="26" t="s">
        <v>16</v>
      </c>
      <c r="F149" s="26" t="s">
        <v>182</v>
      </c>
      <c r="G149" s="26" t="s">
        <v>178</v>
      </c>
      <c r="H149" s="44" t="s">
        <v>179</v>
      </c>
      <c r="I149" s="26" t="s">
        <v>27</v>
      </c>
      <c r="J149" s="28" t="s">
        <v>35</v>
      </c>
      <c r="K149" s="123">
        <v>98</v>
      </c>
      <c r="L149" s="29">
        <f t="shared" si="22"/>
        <v>20.396649999999998</v>
      </c>
      <c r="M149" s="110">
        <v>13.95</v>
      </c>
      <c r="N149" s="30">
        <v>0.28199999999999997</v>
      </c>
      <c r="O149" s="116">
        <v>3.9338999999999995</v>
      </c>
      <c r="P149" s="30">
        <v>7.4999999999999997E-2</v>
      </c>
      <c r="Q149" s="116">
        <v>1.0462499999999999</v>
      </c>
      <c r="R149" s="30">
        <v>7.0000000000000007E-2</v>
      </c>
      <c r="S149" s="116">
        <v>0.97650000000000003</v>
      </c>
      <c r="T149" s="117">
        <v>0.49</v>
      </c>
      <c r="U149" s="39">
        <v>300</v>
      </c>
      <c r="V149" s="32">
        <v>69</v>
      </c>
      <c r="W149" s="33"/>
      <c r="X149" s="32"/>
      <c r="Y149" s="32"/>
      <c r="Z149" s="32"/>
      <c r="AA149" s="34"/>
      <c r="AB149" s="35">
        <f t="shared" si="23"/>
        <v>369</v>
      </c>
      <c r="AC149" s="75">
        <f t="shared" si="24"/>
        <v>29400</v>
      </c>
      <c r="AD149" s="78">
        <f t="shared" si="32"/>
        <v>6762</v>
      </c>
      <c r="AE149" s="72">
        <f t="shared" si="25"/>
        <v>36162</v>
      </c>
      <c r="AF149" s="75">
        <f t="shared" si="26"/>
        <v>6118.994999999999</v>
      </c>
      <c r="AG149" s="78">
        <f t="shared" si="27"/>
        <v>1407.3688499999998</v>
      </c>
      <c r="AH149" s="72">
        <f t="shared" si="28"/>
        <v>7526.3638499999988</v>
      </c>
      <c r="AI149" s="75">
        <f t="shared" si="29"/>
        <v>4185</v>
      </c>
      <c r="AJ149" s="78">
        <f t="shared" si="30"/>
        <v>962.55</v>
      </c>
      <c r="AK149" s="72">
        <f t="shared" si="31"/>
        <v>5147.55</v>
      </c>
    </row>
    <row r="150" spans="1:37" ht="15.95" customHeight="1">
      <c r="A150" s="25" t="s">
        <v>12</v>
      </c>
      <c r="B150" s="25" t="s">
        <v>13</v>
      </c>
      <c r="C150" s="26" t="s">
        <v>44</v>
      </c>
      <c r="D150" s="26" t="s">
        <v>375</v>
      </c>
      <c r="E150" s="26" t="s">
        <v>16</v>
      </c>
      <c r="F150" s="26" t="s">
        <v>181</v>
      </c>
      <c r="G150" s="26" t="s">
        <v>178</v>
      </c>
      <c r="H150" s="44" t="s">
        <v>179</v>
      </c>
      <c r="I150" s="26" t="s">
        <v>27</v>
      </c>
      <c r="J150" s="28" t="s">
        <v>46</v>
      </c>
      <c r="K150" s="123">
        <v>110</v>
      </c>
      <c r="L150" s="29">
        <f t="shared" si="22"/>
        <v>21.51275</v>
      </c>
      <c r="M150" s="110">
        <v>14.35</v>
      </c>
      <c r="N150" s="30">
        <v>0.32</v>
      </c>
      <c r="O150" s="116">
        <v>4.5919999999999996</v>
      </c>
      <c r="P150" s="30">
        <v>7.4999999999999997E-2</v>
      </c>
      <c r="Q150" s="116">
        <v>1.0762499999999999</v>
      </c>
      <c r="R150" s="30">
        <v>7.0000000000000007E-2</v>
      </c>
      <c r="S150" s="116">
        <v>1.0045000000000002</v>
      </c>
      <c r="T150" s="117">
        <v>0.49</v>
      </c>
      <c r="U150" s="39">
        <v>300</v>
      </c>
      <c r="V150" s="32">
        <v>107</v>
      </c>
      <c r="W150" s="33"/>
      <c r="X150" s="32"/>
      <c r="Y150" s="32"/>
      <c r="Z150" s="32"/>
      <c r="AA150" s="34"/>
      <c r="AB150" s="35">
        <f t="shared" si="23"/>
        <v>407</v>
      </c>
      <c r="AC150" s="75">
        <f t="shared" si="24"/>
        <v>33000</v>
      </c>
      <c r="AD150" s="78">
        <f t="shared" si="32"/>
        <v>11770</v>
      </c>
      <c r="AE150" s="72">
        <f t="shared" si="25"/>
        <v>44770</v>
      </c>
      <c r="AF150" s="75">
        <f t="shared" si="26"/>
        <v>6453.8249999999998</v>
      </c>
      <c r="AG150" s="78">
        <f t="shared" si="27"/>
        <v>2301.8642500000001</v>
      </c>
      <c r="AH150" s="72">
        <f t="shared" si="28"/>
        <v>8755.6892499999994</v>
      </c>
      <c r="AI150" s="75">
        <f t="shared" si="29"/>
        <v>4305</v>
      </c>
      <c r="AJ150" s="78">
        <f t="shared" si="30"/>
        <v>1535.45</v>
      </c>
      <c r="AK150" s="72">
        <f t="shared" si="31"/>
        <v>5840.45</v>
      </c>
    </row>
    <row r="151" spans="1:37" ht="15.95" customHeight="1">
      <c r="A151" s="25" t="s">
        <v>12</v>
      </c>
      <c r="B151" s="25" t="s">
        <v>13</v>
      </c>
      <c r="C151" s="26" t="s">
        <v>29</v>
      </c>
      <c r="D151" s="26" t="s">
        <v>375</v>
      </c>
      <c r="E151" s="26" t="s">
        <v>16</v>
      </c>
      <c r="F151" s="26" t="s">
        <v>182</v>
      </c>
      <c r="G151" s="26" t="s">
        <v>178</v>
      </c>
      <c r="H151" s="44" t="s">
        <v>179</v>
      </c>
      <c r="I151" s="26" t="s">
        <v>27</v>
      </c>
      <c r="J151" s="28" t="s">
        <v>35</v>
      </c>
      <c r="K151" s="123">
        <v>98</v>
      </c>
      <c r="L151" s="29">
        <f t="shared" si="22"/>
        <v>20.396649999999998</v>
      </c>
      <c r="M151" s="110">
        <v>13.95</v>
      </c>
      <c r="N151" s="30">
        <v>0.28199999999999997</v>
      </c>
      <c r="O151" s="116">
        <v>3.9338999999999995</v>
      </c>
      <c r="P151" s="30">
        <v>7.4999999999999997E-2</v>
      </c>
      <c r="Q151" s="116">
        <v>1.0462499999999999</v>
      </c>
      <c r="R151" s="30">
        <v>7.0000000000000007E-2</v>
      </c>
      <c r="S151" s="116">
        <v>0.97650000000000003</v>
      </c>
      <c r="T151" s="117">
        <v>0.49</v>
      </c>
      <c r="U151" s="39">
        <v>300</v>
      </c>
      <c r="V151" s="32">
        <v>107</v>
      </c>
      <c r="W151" s="33"/>
      <c r="X151" s="32"/>
      <c r="Y151" s="32"/>
      <c r="Z151" s="32"/>
      <c r="AA151" s="34"/>
      <c r="AB151" s="35">
        <f t="shared" si="23"/>
        <v>407</v>
      </c>
      <c r="AC151" s="75">
        <f t="shared" si="24"/>
        <v>29400</v>
      </c>
      <c r="AD151" s="78">
        <f t="shared" si="32"/>
        <v>10486</v>
      </c>
      <c r="AE151" s="72">
        <f t="shared" si="25"/>
        <v>39886</v>
      </c>
      <c r="AF151" s="75">
        <f t="shared" si="26"/>
        <v>6118.994999999999</v>
      </c>
      <c r="AG151" s="78">
        <f t="shared" si="27"/>
        <v>2182.4415499999996</v>
      </c>
      <c r="AH151" s="72">
        <f t="shared" si="28"/>
        <v>8301.4365499999985</v>
      </c>
      <c r="AI151" s="75">
        <f t="shared" si="29"/>
        <v>4185</v>
      </c>
      <c r="AJ151" s="78">
        <f t="shared" si="30"/>
        <v>1492.6499999999999</v>
      </c>
      <c r="AK151" s="72">
        <f t="shared" si="31"/>
        <v>5677.65</v>
      </c>
    </row>
    <row r="152" spans="1:37" ht="15.95" customHeight="1">
      <c r="A152" s="25" t="s">
        <v>12</v>
      </c>
      <c r="B152" s="25" t="s">
        <v>13</v>
      </c>
      <c r="C152" s="26" t="s">
        <v>14</v>
      </c>
      <c r="D152" s="26" t="s">
        <v>375</v>
      </c>
      <c r="E152" s="26" t="s">
        <v>16</v>
      </c>
      <c r="F152" s="26" t="s">
        <v>183</v>
      </c>
      <c r="G152" s="41" t="s">
        <v>184</v>
      </c>
      <c r="H152" s="44" t="s">
        <v>185</v>
      </c>
      <c r="I152" s="26" t="s">
        <v>27</v>
      </c>
      <c r="J152" s="28" t="s">
        <v>41</v>
      </c>
      <c r="K152" s="123">
        <v>165</v>
      </c>
      <c r="L152" s="29">
        <f t="shared" si="22"/>
        <v>30.456999999999997</v>
      </c>
      <c r="M152" s="110">
        <v>21</v>
      </c>
      <c r="N152" s="30">
        <v>0.28199999999999997</v>
      </c>
      <c r="O152" s="116">
        <v>5.9219999999999997</v>
      </c>
      <c r="P152" s="30">
        <v>7.4999999999999997E-2</v>
      </c>
      <c r="Q152" s="116">
        <v>1.575</v>
      </c>
      <c r="R152" s="30">
        <v>7.0000000000000007E-2</v>
      </c>
      <c r="S152" s="116">
        <v>1.4700000000000002</v>
      </c>
      <c r="T152" s="117">
        <v>0.49</v>
      </c>
      <c r="U152" s="39">
        <v>1200</v>
      </c>
      <c r="V152" s="32">
        <v>395</v>
      </c>
      <c r="W152" s="33"/>
      <c r="X152" s="32"/>
      <c r="Y152" s="32"/>
      <c r="Z152" s="32"/>
      <c r="AA152" s="34"/>
      <c r="AB152" s="35">
        <f t="shared" si="23"/>
        <v>1595</v>
      </c>
      <c r="AC152" s="75">
        <f t="shared" si="24"/>
        <v>198000</v>
      </c>
      <c r="AD152" s="78">
        <f t="shared" si="32"/>
        <v>65175</v>
      </c>
      <c r="AE152" s="72">
        <f t="shared" si="25"/>
        <v>263175</v>
      </c>
      <c r="AF152" s="75">
        <f t="shared" si="26"/>
        <v>36548.399999999994</v>
      </c>
      <c r="AG152" s="78">
        <f t="shared" si="27"/>
        <v>12030.514999999999</v>
      </c>
      <c r="AH152" s="72">
        <f t="shared" si="28"/>
        <v>48578.914999999994</v>
      </c>
      <c r="AI152" s="75">
        <f t="shared" si="29"/>
        <v>25200</v>
      </c>
      <c r="AJ152" s="78">
        <f t="shared" si="30"/>
        <v>8295</v>
      </c>
      <c r="AK152" s="72">
        <f t="shared" si="31"/>
        <v>33495</v>
      </c>
    </row>
    <row r="153" spans="1:37" ht="15.95" customHeight="1">
      <c r="A153" s="25" t="s">
        <v>12</v>
      </c>
      <c r="B153" s="25" t="s">
        <v>13</v>
      </c>
      <c r="C153" s="26" t="s">
        <v>21</v>
      </c>
      <c r="D153" s="26" t="s">
        <v>375</v>
      </c>
      <c r="E153" s="26" t="s">
        <v>16</v>
      </c>
      <c r="F153" s="26" t="s">
        <v>186</v>
      </c>
      <c r="G153" s="41" t="s">
        <v>184</v>
      </c>
      <c r="H153" s="44" t="s">
        <v>185</v>
      </c>
      <c r="I153" s="26" t="s">
        <v>27</v>
      </c>
      <c r="J153" s="28" t="s">
        <v>43</v>
      </c>
      <c r="K153" s="123">
        <v>125</v>
      </c>
      <c r="L153" s="29">
        <f t="shared" si="22"/>
        <v>24.662500000000001</v>
      </c>
      <c r="M153" s="110">
        <v>16.5</v>
      </c>
      <c r="N153" s="30">
        <v>0.32</v>
      </c>
      <c r="O153" s="116">
        <v>5.28</v>
      </c>
      <c r="P153" s="30">
        <v>7.4999999999999997E-2</v>
      </c>
      <c r="Q153" s="116">
        <v>1.2375</v>
      </c>
      <c r="R153" s="30">
        <v>7.0000000000000007E-2</v>
      </c>
      <c r="S153" s="116">
        <v>1.155</v>
      </c>
      <c r="T153" s="117">
        <v>0.49</v>
      </c>
      <c r="U153" s="39">
        <v>1100</v>
      </c>
      <c r="V153" s="32">
        <v>395</v>
      </c>
      <c r="W153" s="33"/>
      <c r="X153" s="32"/>
      <c r="Y153" s="32"/>
      <c r="Z153" s="32"/>
      <c r="AA153" s="34"/>
      <c r="AB153" s="35">
        <f t="shared" si="23"/>
        <v>1495</v>
      </c>
      <c r="AC153" s="75">
        <f t="shared" si="24"/>
        <v>137500</v>
      </c>
      <c r="AD153" s="78">
        <f t="shared" si="32"/>
        <v>49375</v>
      </c>
      <c r="AE153" s="72">
        <f t="shared" si="25"/>
        <v>186875</v>
      </c>
      <c r="AF153" s="75">
        <f t="shared" si="26"/>
        <v>27128.75</v>
      </c>
      <c r="AG153" s="78">
        <f t="shared" si="27"/>
        <v>9741.6875</v>
      </c>
      <c r="AH153" s="72">
        <f t="shared" si="28"/>
        <v>36870.4375</v>
      </c>
      <c r="AI153" s="75">
        <f t="shared" si="29"/>
        <v>18150</v>
      </c>
      <c r="AJ153" s="78">
        <f t="shared" si="30"/>
        <v>6517.5</v>
      </c>
      <c r="AK153" s="72">
        <f t="shared" si="31"/>
        <v>24667.5</v>
      </c>
    </row>
    <row r="154" spans="1:37" ht="15.95" customHeight="1">
      <c r="A154" s="25" t="s">
        <v>12</v>
      </c>
      <c r="B154" s="25" t="s">
        <v>13</v>
      </c>
      <c r="C154" s="26" t="s">
        <v>14</v>
      </c>
      <c r="D154" s="26" t="s">
        <v>375</v>
      </c>
      <c r="E154" s="26" t="s">
        <v>16</v>
      </c>
      <c r="F154" s="26" t="s">
        <v>183</v>
      </c>
      <c r="G154" s="41" t="s">
        <v>184</v>
      </c>
      <c r="H154" s="44" t="s">
        <v>185</v>
      </c>
      <c r="I154" s="26" t="s">
        <v>27</v>
      </c>
      <c r="J154" s="28" t="s">
        <v>41</v>
      </c>
      <c r="K154" s="123">
        <v>165</v>
      </c>
      <c r="L154" s="29">
        <f t="shared" si="22"/>
        <v>30.456999999999997</v>
      </c>
      <c r="M154" s="110">
        <v>21</v>
      </c>
      <c r="N154" s="30">
        <v>0.28199999999999997</v>
      </c>
      <c r="O154" s="116">
        <v>5.9219999999999997</v>
      </c>
      <c r="P154" s="30">
        <v>7.4999999999999997E-2</v>
      </c>
      <c r="Q154" s="116">
        <v>1.575</v>
      </c>
      <c r="R154" s="30">
        <v>7.0000000000000007E-2</v>
      </c>
      <c r="S154" s="116">
        <v>1.4700000000000002</v>
      </c>
      <c r="T154" s="117">
        <v>0.49</v>
      </c>
      <c r="U154" s="39">
        <v>1200</v>
      </c>
      <c r="V154" s="32">
        <v>192</v>
      </c>
      <c r="W154" s="33"/>
      <c r="X154" s="32"/>
      <c r="Y154" s="32"/>
      <c r="Z154" s="32"/>
      <c r="AA154" s="34"/>
      <c r="AB154" s="35">
        <f t="shared" si="23"/>
        <v>1392</v>
      </c>
      <c r="AC154" s="75">
        <f t="shared" si="24"/>
        <v>198000</v>
      </c>
      <c r="AD154" s="78">
        <f t="shared" si="32"/>
        <v>31680</v>
      </c>
      <c r="AE154" s="72">
        <f t="shared" si="25"/>
        <v>229680</v>
      </c>
      <c r="AF154" s="75">
        <f t="shared" si="26"/>
        <v>36548.399999999994</v>
      </c>
      <c r="AG154" s="78">
        <f t="shared" si="27"/>
        <v>5847.7439999999997</v>
      </c>
      <c r="AH154" s="72">
        <f t="shared" si="28"/>
        <v>42396.143999999993</v>
      </c>
      <c r="AI154" s="75">
        <f t="shared" si="29"/>
        <v>25200</v>
      </c>
      <c r="AJ154" s="78">
        <f t="shared" si="30"/>
        <v>4032</v>
      </c>
      <c r="AK154" s="72">
        <f t="shared" si="31"/>
        <v>29232</v>
      </c>
    </row>
    <row r="155" spans="1:37" ht="15.95" customHeight="1">
      <c r="A155" s="25" t="s">
        <v>12</v>
      </c>
      <c r="B155" s="25" t="s">
        <v>13</v>
      </c>
      <c r="C155" s="26" t="s">
        <v>21</v>
      </c>
      <c r="D155" s="26" t="s">
        <v>375</v>
      </c>
      <c r="E155" s="26" t="s">
        <v>16</v>
      </c>
      <c r="F155" s="26" t="s">
        <v>186</v>
      </c>
      <c r="G155" s="41" t="s">
        <v>184</v>
      </c>
      <c r="H155" s="44" t="s">
        <v>185</v>
      </c>
      <c r="I155" s="26" t="s">
        <v>27</v>
      </c>
      <c r="J155" s="28" t="s">
        <v>43</v>
      </c>
      <c r="K155" s="123">
        <v>125</v>
      </c>
      <c r="L155" s="29">
        <f t="shared" si="22"/>
        <v>24.035499999999999</v>
      </c>
      <c r="M155" s="110">
        <v>16.5</v>
      </c>
      <c r="N155" s="30">
        <v>0.28199999999999997</v>
      </c>
      <c r="O155" s="116">
        <v>4.6529999999999996</v>
      </c>
      <c r="P155" s="30">
        <v>7.4999999999999997E-2</v>
      </c>
      <c r="Q155" s="116">
        <v>1.2375</v>
      </c>
      <c r="R155" s="30">
        <v>7.0000000000000007E-2</v>
      </c>
      <c r="S155" s="116">
        <v>1.155</v>
      </c>
      <c r="T155" s="117">
        <v>0.49</v>
      </c>
      <c r="U155" s="39">
        <v>1100</v>
      </c>
      <c r="V155" s="32">
        <v>192</v>
      </c>
      <c r="W155" s="33"/>
      <c r="X155" s="32"/>
      <c r="Y155" s="32"/>
      <c r="Z155" s="32"/>
      <c r="AA155" s="34"/>
      <c r="AB155" s="35">
        <f t="shared" si="23"/>
        <v>1292</v>
      </c>
      <c r="AC155" s="75">
        <f t="shared" si="24"/>
        <v>137500</v>
      </c>
      <c r="AD155" s="78">
        <f t="shared" si="32"/>
        <v>24000</v>
      </c>
      <c r="AE155" s="72">
        <f t="shared" si="25"/>
        <v>161500</v>
      </c>
      <c r="AF155" s="75">
        <f t="shared" si="26"/>
        <v>26439.05</v>
      </c>
      <c r="AG155" s="78">
        <f t="shared" si="27"/>
        <v>4614.8159999999998</v>
      </c>
      <c r="AH155" s="72">
        <f t="shared" si="28"/>
        <v>31053.865999999998</v>
      </c>
      <c r="AI155" s="75">
        <f t="shared" si="29"/>
        <v>18150</v>
      </c>
      <c r="AJ155" s="78">
        <f t="shared" si="30"/>
        <v>3168</v>
      </c>
      <c r="AK155" s="72">
        <f t="shared" si="31"/>
        <v>21318</v>
      </c>
    </row>
    <row r="156" spans="1:37" ht="15.95" customHeight="1">
      <c r="A156" s="25" t="s">
        <v>187</v>
      </c>
      <c r="B156" s="25" t="s">
        <v>13</v>
      </c>
      <c r="C156" s="26" t="s">
        <v>14</v>
      </c>
      <c r="D156" s="26" t="s">
        <v>375</v>
      </c>
      <c r="E156" s="26" t="s">
        <v>16</v>
      </c>
      <c r="F156" s="26" t="s">
        <v>188</v>
      </c>
      <c r="G156" s="41" t="s">
        <v>184</v>
      </c>
      <c r="H156" s="44" t="s">
        <v>185</v>
      </c>
      <c r="I156" s="26" t="s">
        <v>27</v>
      </c>
      <c r="J156" s="28" t="s">
        <v>41</v>
      </c>
      <c r="K156" s="123">
        <v>165</v>
      </c>
      <c r="L156" s="29">
        <f t="shared" si="22"/>
        <v>30.456999999999997</v>
      </c>
      <c r="M156" s="110">
        <v>21</v>
      </c>
      <c r="N156" s="30">
        <v>0.28199999999999997</v>
      </c>
      <c r="O156" s="116">
        <v>5.9219999999999997</v>
      </c>
      <c r="P156" s="30">
        <v>7.4999999999999997E-2</v>
      </c>
      <c r="Q156" s="116">
        <v>1.575</v>
      </c>
      <c r="R156" s="30">
        <v>7.0000000000000007E-2</v>
      </c>
      <c r="S156" s="116">
        <v>1.4700000000000002</v>
      </c>
      <c r="T156" s="117">
        <v>0.49</v>
      </c>
      <c r="U156" s="39">
        <v>1300</v>
      </c>
      <c r="V156" s="32">
        <v>324</v>
      </c>
      <c r="W156" s="33"/>
      <c r="X156" s="32"/>
      <c r="Y156" s="32"/>
      <c r="Z156" s="32"/>
      <c r="AA156" s="34"/>
      <c r="AB156" s="35">
        <f t="shared" si="23"/>
        <v>1624</v>
      </c>
      <c r="AC156" s="75">
        <f t="shared" si="24"/>
        <v>214500</v>
      </c>
      <c r="AD156" s="78">
        <f t="shared" si="32"/>
        <v>53460</v>
      </c>
      <c r="AE156" s="72">
        <f t="shared" si="25"/>
        <v>267960</v>
      </c>
      <c r="AF156" s="75">
        <f t="shared" si="26"/>
        <v>39594.1</v>
      </c>
      <c r="AG156" s="78">
        <f t="shared" si="27"/>
        <v>9868.0679999999993</v>
      </c>
      <c r="AH156" s="72">
        <f t="shared" si="28"/>
        <v>49462.167999999998</v>
      </c>
      <c r="AI156" s="75">
        <f t="shared" si="29"/>
        <v>27300</v>
      </c>
      <c r="AJ156" s="78">
        <f t="shared" si="30"/>
        <v>6804</v>
      </c>
      <c r="AK156" s="72">
        <f t="shared" si="31"/>
        <v>34104</v>
      </c>
    </row>
    <row r="157" spans="1:37" ht="15.95" customHeight="1">
      <c r="A157" s="25" t="s">
        <v>187</v>
      </c>
      <c r="B157" s="25" t="s">
        <v>13</v>
      </c>
      <c r="C157" s="26" t="s">
        <v>21</v>
      </c>
      <c r="D157" s="26" t="s">
        <v>375</v>
      </c>
      <c r="E157" s="26" t="s">
        <v>16</v>
      </c>
      <c r="F157" s="26" t="s">
        <v>189</v>
      </c>
      <c r="G157" s="41" t="s">
        <v>184</v>
      </c>
      <c r="H157" s="44" t="s">
        <v>185</v>
      </c>
      <c r="I157" s="26" t="s">
        <v>27</v>
      </c>
      <c r="J157" s="28" t="s">
        <v>43</v>
      </c>
      <c r="K157" s="123">
        <v>125</v>
      </c>
      <c r="L157" s="29">
        <f t="shared" si="22"/>
        <v>24.035499999999999</v>
      </c>
      <c r="M157" s="110">
        <v>16.5</v>
      </c>
      <c r="N157" s="30">
        <v>0.28199999999999997</v>
      </c>
      <c r="O157" s="116">
        <v>4.6529999999999996</v>
      </c>
      <c r="P157" s="30">
        <v>7.4999999999999997E-2</v>
      </c>
      <c r="Q157" s="116">
        <v>1.2375</v>
      </c>
      <c r="R157" s="30">
        <v>7.0000000000000007E-2</v>
      </c>
      <c r="S157" s="116">
        <v>1.155</v>
      </c>
      <c r="T157" s="117">
        <v>0.49</v>
      </c>
      <c r="U157" s="39">
        <v>1200</v>
      </c>
      <c r="V157" s="32">
        <v>342</v>
      </c>
      <c r="W157" s="33"/>
      <c r="X157" s="32"/>
      <c r="Y157" s="32"/>
      <c r="Z157" s="32"/>
      <c r="AA157" s="34"/>
      <c r="AB157" s="35">
        <f t="shared" si="23"/>
        <v>1542</v>
      </c>
      <c r="AC157" s="75">
        <f t="shared" si="24"/>
        <v>150000</v>
      </c>
      <c r="AD157" s="78">
        <f t="shared" si="32"/>
        <v>42750</v>
      </c>
      <c r="AE157" s="72">
        <f t="shared" si="25"/>
        <v>192750</v>
      </c>
      <c r="AF157" s="75">
        <f t="shared" si="26"/>
        <v>28842.6</v>
      </c>
      <c r="AG157" s="78">
        <f t="shared" si="27"/>
        <v>8220.1409999999996</v>
      </c>
      <c r="AH157" s="72">
        <f t="shared" si="28"/>
        <v>37062.740999999995</v>
      </c>
      <c r="AI157" s="75">
        <f t="shared" si="29"/>
        <v>19800</v>
      </c>
      <c r="AJ157" s="78">
        <f t="shared" si="30"/>
        <v>5643</v>
      </c>
      <c r="AK157" s="72">
        <f t="shared" si="31"/>
        <v>25443</v>
      </c>
    </row>
    <row r="158" spans="1:37" ht="15.95" customHeight="1">
      <c r="A158" s="25" t="s">
        <v>187</v>
      </c>
      <c r="B158" s="25" t="s">
        <v>13</v>
      </c>
      <c r="C158" s="26" t="s">
        <v>14</v>
      </c>
      <c r="D158" s="26" t="s">
        <v>375</v>
      </c>
      <c r="E158" s="26" t="s">
        <v>16</v>
      </c>
      <c r="F158" s="26" t="s">
        <v>190</v>
      </c>
      <c r="G158" s="41" t="s">
        <v>184</v>
      </c>
      <c r="H158" s="44" t="s">
        <v>185</v>
      </c>
      <c r="I158" s="26" t="s">
        <v>27</v>
      </c>
      <c r="J158" s="28" t="s">
        <v>41</v>
      </c>
      <c r="K158" s="123">
        <v>160</v>
      </c>
      <c r="L158" s="29">
        <f t="shared" si="22"/>
        <v>30.456999999999997</v>
      </c>
      <c r="M158" s="110">
        <v>21</v>
      </c>
      <c r="N158" s="30">
        <v>0.28199999999999997</v>
      </c>
      <c r="O158" s="116">
        <v>5.9219999999999997</v>
      </c>
      <c r="P158" s="30">
        <v>7.4999999999999997E-2</v>
      </c>
      <c r="Q158" s="116">
        <v>1.575</v>
      </c>
      <c r="R158" s="30">
        <v>7.0000000000000007E-2</v>
      </c>
      <c r="S158" s="116">
        <v>1.4700000000000002</v>
      </c>
      <c r="T158" s="117">
        <v>0.49</v>
      </c>
      <c r="U158" s="39">
        <v>1100</v>
      </c>
      <c r="V158" s="32">
        <v>336</v>
      </c>
      <c r="W158" s="33"/>
      <c r="X158" s="32"/>
      <c r="Y158" s="32"/>
      <c r="Z158" s="32"/>
      <c r="AA158" s="34"/>
      <c r="AB158" s="35">
        <f t="shared" si="23"/>
        <v>1436</v>
      </c>
      <c r="AC158" s="75">
        <f t="shared" si="24"/>
        <v>176000</v>
      </c>
      <c r="AD158" s="78">
        <f t="shared" si="32"/>
        <v>53760</v>
      </c>
      <c r="AE158" s="72">
        <f t="shared" si="25"/>
        <v>229760</v>
      </c>
      <c r="AF158" s="75">
        <f t="shared" si="26"/>
        <v>33502.699999999997</v>
      </c>
      <c r="AG158" s="78">
        <f t="shared" si="27"/>
        <v>10233.552</v>
      </c>
      <c r="AH158" s="72">
        <f t="shared" si="28"/>
        <v>43736.251999999993</v>
      </c>
      <c r="AI158" s="75">
        <f t="shared" si="29"/>
        <v>23100</v>
      </c>
      <c r="AJ158" s="78">
        <f t="shared" si="30"/>
        <v>7056</v>
      </c>
      <c r="AK158" s="72">
        <f t="shared" si="31"/>
        <v>30156</v>
      </c>
    </row>
    <row r="159" spans="1:37" ht="15.95" customHeight="1">
      <c r="A159" s="25" t="s">
        <v>187</v>
      </c>
      <c r="B159" s="25" t="s">
        <v>13</v>
      </c>
      <c r="C159" s="26" t="s">
        <v>21</v>
      </c>
      <c r="D159" s="26" t="s">
        <v>375</v>
      </c>
      <c r="E159" s="26" t="s">
        <v>16</v>
      </c>
      <c r="F159" s="26" t="s">
        <v>191</v>
      </c>
      <c r="G159" s="41" t="s">
        <v>184</v>
      </c>
      <c r="H159" s="44" t="s">
        <v>185</v>
      </c>
      <c r="I159" s="26" t="s">
        <v>27</v>
      </c>
      <c r="J159" s="28" t="s">
        <v>43</v>
      </c>
      <c r="K159" s="123">
        <v>125</v>
      </c>
      <c r="L159" s="29">
        <f t="shared" si="22"/>
        <v>24.035499999999999</v>
      </c>
      <c r="M159" s="110">
        <v>16.5</v>
      </c>
      <c r="N159" s="30">
        <v>0.28199999999999997</v>
      </c>
      <c r="O159" s="116">
        <v>4.6529999999999996</v>
      </c>
      <c r="P159" s="30">
        <v>7.4999999999999997E-2</v>
      </c>
      <c r="Q159" s="116">
        <v>1.2375</v>
      </c>
      <c r="R159" s="30">
        <v>7.0000000000000007E-2</v>
      </c>
      <c r="S159" s="116">
        <v>1.155</v>
      </c>
      <c r="T159" s="117">
        <v>0.49</v>
      </c>
      <c r="U159" s="39">
        <v>1000</v>
      </c>
      <c r="V159" s="32">
        <v>336</v>
      </c>
      <c r="W159" s="33"/>
      <c r="X159" s="32"/>
      <c r="Y159" s="32"/>
      <c r="Z159" s="32"/>
      <c r="AA159" s="34"/>
      <c r="AB159" s="35">
        <f t="shared" si="23"/>
        <v>1336</v>
      </c>
      <c r="AC159" s="75">
        <f t="shared" si="24"/>
        <v>125000</v>
      </c>
      <c r="AD159" s="78">
        <f t="shared" si="32"/>
        <v>42000</v>
      </c>
      <c r="AE159" s="72">
        <f t="shared" si="25"/>
        <v>167000</v>
      </c>
      <c r="AF159" s="75">
        <f t="shared" si="26"/>
        <v>24035.5</v>
      </c>
      <c r="AG159" s="78">
        <f t="shared" si="27"/>
        <v>8075.9279999999999</v>
      </c>
      <c r="AH159" s="72">
        <f t="shared" si="28"/>
        <v>32111.428</v>
      </c>
      <c r="AI159" s="75">
        <f t="shared" si="29"/>
        <v>16500</v>
      </c>
      <c r="AJ159" s="78">
        <f t="shared" si="30"/>
        <v>5544</v>
      </c>
      <c r="AK159" s="72">
        <f t="shared" si="31"/>
        <v>22044</v>
      </c>
    </row>
    <row r="160" spans="1:37" ht="15.95" customHeight="1">
      <c r="A160" s="25" t="s">
        <v>187</v>
      </c>
      <c r="B160" s="25" t="s">
        <v>13</v>
      </c>
      <c r="C160" s="26" t="s">
        <v>14</v>
      </c>
      <c r="D160" s="26" t="s">
        <v>375</v>
      </c>
      <c r="E160" s="26" t="s">
        <v>16</v>
      </c>
      <c r="F160" s="26" t="s">
        <v>190</v>
      </c>
      <c r="G160" s="41" t="s">
        <v>184</v>
      </c>
      <c r="H160" s="44" t="s">
        <v>185</v>
      </c>
      <c r="I160" s="26" t="s">
        <v>27</v>
      </c>
      <c r="J160" s="28" t="s">
        <v>41</v>
      </c>
      <c r="K160" s="123">
        <v>165</v>
      </c>
      <c r="L160" s="29">
        <f t="shared" si="22"/>
        <v>30.456999999999997</v>
      </c>
      <c r="M160" s="110">
        <v>21</v>
      </c>
      <c r="N160" s="30">
        <v>0.28199999999999997</v>
      </c>
      <c r="O160" s="116">
        <v>5.9219999999999997</v>
      </c>
      <c r="P160" s="30">
        <v>7.4999999999999997E-2</v>
      </c>
      <c r="Q160" s="116">
        <v>1.575</v>
      </c>
      <c r="R160" s="30">
        <v>7.0000000000000007E-2</v>
      </c>
      <c r="S160" s="116">
        <v>1.4700000000000002</v>
      </c>
      <c r="T160" s="117">
        <v>0.49</v>
      </c>
      <c r="U160" s="39">
        <v>1100</v>
      </c>
      <c r="V160" s="32">
        <v>349</v>
      </c>
      <c r="W160" s="33"/>
      <c r="X160" s="32"/>
      <c r="Y160" s="32"/>
      <c r="Z160" s="32"/>
      <c r="AA160" s="34"/>
      <c r="AB160" s="35">
        <f t="shared" si="23"/>
        <v>1449</v>
      </c>
      <c r="AC160" s="75">
        <f t="shared" si="24"/>
        <v>181500</v>
      </c>
      <c r="AD160" s="78">
        <f t="shared" si="32"/>
        <v>57585</v>
      </c>
      <c r="AE160" s="72">
        <f t="shared" si="25"/>
        <v>239085</v>
      </c>
      <c r="AF160" s="75">
        <f t="shared" si="26"/>
        <v>33502.699999999997</v>
      </c>
      <c r="AG160" s="78">
        <f t="shared" si="27"/>
        <v>10629.492999999999</v>
      </c>
      <c r="AH160" s="72">
        <f t="shared" si="28"/>
        <v>44132.192999999999</v>
      </c>
      <c r="AI160" s="75">
        <f t="shared" si="29"/>
        <v>23100</v>
      </c>
      <c r="AJ160" s="78">
        <f t="shared" si="30"/>
        <v>7329</v>
      </c>
      <c r="AK160" s="72">
        <f t="shared" si="31"/>
        <v>30429</v>
      </c>
    </row>
    <row r="161" spans="1:37" ht="15.95" customHeight="1">
      <c r="A161" s="25" t="s">
        <v>187</v>
      </c>
      <c r="B161" s="25" t="s">
        <v>13</v>
      </c>
      <c r="C161" s="26" t="s">
        <v>21</v>
      </c>
      <c r="D161" s="26" t="s">
        <v>375</v>
      </c>
      <c r="E161" s="26" t="s">
        <v>16</v>
      </c>
      <c r="F161" s="26" t="s">
        <v>191</v>
      </c>
      <c r="G161" s="41" t="s">
        <v>184</v>
      </c>
      <c r="H161" s="44" t="s">
        <v>185</v>
      </c>
      <c r="I161" s="26" t="s">
        <v>27</v>
      </c>
      <c r="J161" s="28" t="s">
        <v>43</v>
      </c>
      <c r="K161" s="123">
        <v>125</v>
      </c>
      <c r="L161" s="29">
        <f t="shared" si="22"/>
        <v>24.035499999999999</v>
      </c>
      <c r="M161" s="110">
        <v>16.5</v>
      </c>
      <c r="N161" s="30">
        <v>0.28199999999999997</v>
      </c>
      <c r="O161" s="116">
        <v>4.6529999999999996</v>
      </c>
      <c r="P161" s="30">
        <v>7.4999999999999997E-2</v>
      </c>
      <c r="Q161" s="116">
        <v>1.2375</v>
      </c>
      <c r="R161" s="30">
        <v>7.0000000000000007E-2</v>
      </c>
      <c r="S161" s="116">
        <v>1.155</v>
      </c>
      <c r="T161" s="117">
        <v>0.49</v>
      </c>
      <c r="U161" s="39">
        <v>1000</v>
      </c>
      <c r="V161" s="32">
        <v>349</v>
      </c>
      <c r="W161" s="33"/>
      <c r="X161" s="32"/>
      <c r="Y161" s="32"/>
      <c r="Z161" s="32"/>
      <c r="AA161" s="34"/>
      <c r="AB161" s="35">
        <f t="shared" si="23"/>
        <v>1349</v>
      </c>
      <c r="AC161" s="75">
        <f t="shared" si="24"/>
        <v>125000</v>
      </c>
      <c r="AD161" s="78">
        <f t="shared" si="32"/>
        <v>43625</v>
      </c>
      <c r="AE161" s="72">
        <f t="shared" si="25"/>
        <v>168625</v>
      </c>
      <c r="AF161" s="75">
        <f t="shared" si="26"/>
        <v>24035.5</v>
      </c>
      <c r="AG161" s="78">
        <f t="shared" si="27"/>
        <v>8388.3894999999993</v>
      </c>
      <c r="AH161" s="72">
        <f t="shared" si="28"/>
        <v>32423.889499999997</v>
      </c>
      <c r="AI161" s="75">
        <f t="shared" si="29"/>
        <v>16500</v>
      </c>
      <c r="AJ161" s="78">
        <f t="shared" si="30"/>
        <v>5758.5</v>
      </c>
      <c r="AK161" s="72">
        <f t="shared" si="31"/>
        <v>22258.5</v>
      </c>
    </row>
    <row r="162" spans="1:37" ht="15.95" customHeight="1">
      <c r="A162" s="25" t="s">
        <v>12</v>
      </c>
      <c r="B162" s="25" t="s">
        <v>13</v>
      </c>
      <c r="C162" s="26" t="s">
        <v>14</v>
      </c>
      <c r="D162" s="26" t="s">
        <v>375</v>
      </c>
      <c r="E162" s="26" t="s">
        <v>16</v>
      </c>
      <c r="F162" s="26" t="s">
        <v>192</v>
      </c>
      <c r="G162" s="41" t="s">
        <v>184</v>
      </c>
      <c r="H162" s="44" t="s">
        <v>185</v>
      </c>
      <c r="I162" s="26" t="s">
        <v>27</v>
      </c>
      <c r="J162" s="28" t="s">
        <v>41</v>
      </c>
      <c r="K162" s="123">
        <v>165</v>
      </c>
      <c r="L162" s="29">
        <f t="shared" si="22"/>
        <v>30.456999999999997</v>
      </c>
      <c r="M162" s="110">
        <v>21</v>
      </c>
      <c r="N162" s="30">
        <v>0.28199999999999997</v>
      </c>
      <c r="O162" s="116">
        <v>5.9219999999999997</v>
      </c>
      <c r="P162" s="30">
        <v>7.4999999999999997E-2</v>
      </c>
      <c r="Q162" s="116">
        <v>1.575</v>
      </c>
      <c r="R162" s="30">
        <v>7.0000000000000007E-2</v>
      </c>
      <c r="S162" s="116">
        <v>1.4700000000000002</v>
      </c>
      <c r="T162" s="117">
        <v>0.49</v>
      </c>
      <c r="U162" s="39">
        <v>1000</v>
      </c>
      <c r="V162" s="32">
        <v>259</v>
      </c>
      <c r="W162" s="33"/>
      <c r="X162" s="32"/>
      <c r="Y162" s="32"/>
      <c r="Z162" s="32"/>
      <c r="AA162" s="34"/>
      <c r="AB162" s="35">
        <f t="shared" si="23"/>
        <v>1259</v>
      </c>
      <c r="AC162" s="75">
        <f t="shared" si="24"/>
        <v>165000</v>
      </c>
      <c r="AD162" s="78">
        <f t="shared" si="32"/>
        <v>42735</v>
      </c>
      <c r="AE162" s="72">
        <f t="shared" si="25"/>
        <v>207735</v>
      </c>
      <c r="AF162" s="75">
        <f t="shared" si="26"/>
        <v>30456.999999999996</v>
      </c>
      <c r="AG162" s="78">
        <f t="shared" si="27"/>
        <v>7888.3629999999994</v>
      </c>
      <c r="AH162" s="72">
        <f t="shared" si="28"/>
        <v>38345.362999999998</v>
      </c>
      <c r="AI162" s="75">
        <f t="shared" si="29"/>
        <v>21000</v>
      </c>
      <c r="AJ162" s="78">
        <f t="shared" si="30"/>
        <v>5439</v>
      </c>
      <c r="AK162" s="72">
        <f t="shared" si="31"/>
        <v>26439</v>
      </c>
    </row>
    <row r="163" spans="1:37" ht="15.95" customHeight="1">
      <c r="A163" s="25" t="s">
        <v>12</v>
      </c>
      <c r="B163" s="25" t="s">
        <v>13</v>
      </c>
      <c r="C163" s="26" t="s">
        <v>21</v>
      </c>
      <c r="D163" s="26" t="s">
        <v>375</v>
      </c>
      <c r="E163" s="26" t="s">
        <v>16</v>
      </c>
      <c r="F163" s="26" t="s">
        <v>193</v>
      </c>
      <c r="G163" s="41" t="s">
        <v>184</v>
      </c>
      <c r="H163" s="44" t="s">
        <v>185</v>
      </c>
      <c r="I163" s="26" t="s">
        <v>27</v>
      </c>
      <c r="J163" s="28" t="s">
        <v>43</v>
      </c>
      <c r="K163" s="123">
        <v>125</v>
      </c>
      <c r="L163" s="29">
        <f t="shared" si="22"/>
        <v>24.035499999999999</v>
      </c>
      <c r="M163" s="110">
        <v>16.5</v>
      </c>
      <c r="N163" s="30">
        <v>0.28199999999999997</v>
      </c>
      <c r="O163" s="116">
        <v>4.6529999999999996</v>
      </c>
      <c r="P163" s="30">
        <v>7.4999999999999997E-2</v>
      </c>
      <c r="Q163" s="116">
        <v>1.2375</v>
      </c>
      <c r="R163" s="30">
        <v>7.0000000000000007E-2</v>
      </c>
      <c r="S163" s="116">
        <v>1.155</v>
      </c>
      <c r="T163" s="117">
        <v>0.49</v>
      </c>
      <c r="U163" s="39">
        <v>900</v>
      </c>
      <c r="V163" s="32">
        <v>259</v>
      </c>
      <c r="W163" s="33"/>
      <c r="X163" s="32"/>
      <c r="Y163" s="32"/>
      <c r="Z163" s="32"/>
      <c r="AA163" s="34"/>
      <c r="AB163" s="35">
        <f t="shared" si="23"/>
        <v>1159</v>
      </c>
      <c r="AC163" s="75">
        <f t="shared" si="24"/>
        <v>112500</v>
      </c>
      <c r="AD163" s="78">
        <f t="shared" si="32"/>
        <v>32375</v>
      </c>
      <c r="AE163" s="72">
        <f t="shared" si="25"/>
        <v>144875</v>
      </c>
      <c r="AF163" s="75">
        <f t="shared" si="26"/>
        <v>21631.95</v>
      </c>
      <c r="AG163" s="78">
        <f t="shared" si="27"/>
        <v>6225.1944999999996</v>
      </c>
      <c r="AH163" s="72">
        <f t="shared" si="28"/>
        <v>27857.144500000002</v>
      </c>
      <c r="AI163" s="75">
        <f t="shared" si="29"/>
        <v>14850</v>
      </c>
      <c r="AJ163" s="78">
        <f t="shared" si="30"/>
        <v>4273.5</v>
      </c>
      <c r="AK163" s="72">
        <f t="shared" si="31"/>
        <v>19123.5</v>
      </c>
    </row>
    <row r="164" spans="1:37" ht="15.95" customHeight="1">
      <c r="A164" s="25" t="s">
        <v>12</v>
      </c>
      <c r="B164" s="25" t="s">
        <v>13</v>
      </c>
      <c r="C164" s="26" t="s">
        <v>14</v>
      </c>
      <c r="D164" s="26" t="s">
        <v>375</v>
      </c>
      <c r="E164" s="26" t="s">
        <v>16</v>
      </c>
      <c r="F164" s="26" t="s">
        <v>192</v>
      </c>
      <c r="G164" s="41" t="s">
        <v>184</v>
      </c>
      <c r="H164" s="44" t="s">
        <v>185</v>
      </c>
      <c r="I164" s="26" t="s">
        <v>27</v>
      </c>
      <c r="J164" s="28" t="s">
        <v>41</v>
      </c>
      <c r="K164" s="123">
        <v>165</v>
      </c>
      <c r="L164" s="29">
        <f t="shared" si="22"/>
        <v>30.456999999999997</v>
      </c>
      <c r="M164" s="110">
        <v>21</v>
      </c>
      <c r="N164" s="30">
        <v>0.28199999999999997</v>
      </c>
      <c r="O164" s="116">
        <v>5.9219999999999997</v>
      </c>
      <c r="P164" s="30">
        <v>7.4999999999999997E-2</v>
      </c>
      <c r="Q164" s="116">
        <v>1.575</v>
      </c>
      <c r="R164" s="30">
        <v>7.0000000000000007E-2</v>
      </c>
      <c r="S164" s="116">
        <v>1.4700000000000002</v>
      </c>
      <c r="T164" s="117">
        <v>0.49</v>
      </c>
      <c r="U164" s="39">
        <v>1200</v>
      </c>
      <c r="V164" s="32">
        <v>164</v>
      </c>
      <c r="W164" s="33"/>
      <c r="X164" s="32"/>
      <c r="Y164" s="32"/>
      <c r="Z164" s="32"/>
      <c r="AA164" s="34"/>
      <c r="AB164" s="35">
        <f t="shared" si="23"/>
        <v>1364</v>
      </c>
      <c r="AC164" s="75">
        <f t="shared" si="24"/>
        <v>198000</v>
      </c>
      <c r="AD164" s="78">
        <f t="shared" si="32"/>
        <v>27060</v>
      </c>
      <c r="AE164" s="72">
        <f t="shared" si="25"/>
        <v>225060</v>
      </c>
      <c r="AF164" s="75">
        <f t="shared" si="26"/>
        <v>36548.399999999994</v>
      </c>
      <c r="AG164" s="78">
        <f t="shared" si="27"/>
        <v>4994.9479999999994</v>
      </c>
      <c r="AH164" s="72">
        <f t="shared" si="28"/>
        <v>41543.347999999991</v>
      </c>
      <c r="AI164" s="75">
        <f t="shared" si="29"/>
        <v>25200</v>
      </c>
      <c r="AJ164" s="78">
        <f t="shared" si="30"/>
        <v>3444</v>
      </c>
      <c r="AK164" s="72">
        <f t="shared" si="31"/>
        <v>28644</v>
      </c>
    </row>
    <row r="165" spans="1:37" ht="15.95" customHeight="1">
      <c r="A165" s="25" t="s">
        <v>12</v>
      </c>
      <c r="B165" s="25" t="s">
        <v>13</v>
      </c>
      <c r="C165" s="26" t="s">
        <v>21</v>
      </c>
      <c r="D165" s="26" t="s">
        <v>375</v>
      </c>
      <c r="E165" s="26" t="s">
        <v>16</v>
      </c>
      <c r="F165" s="26" t="s">
        <v>193</v>
      </c>
      <c r="G165" s="41" t="s">
        <v>184</v>
      </c>
      <c r="H165" s="44" t="s">
        <v>185</v>
      </c>
      <c r="I165" s="26" t="s">
        <v>27</v>
      </c>
      <c r="J165" s="28" t="s">
        <v>43</v>
      </c>
      <c r="K165" s="123">
        <v>125</v>
      </c>
      <c r="L165" s="29">
        <f t="shared" si="22"/>
        <v>24.035499999999999</v>
      </c>
      <c r="M165" s="110">
        <v>16.5</v>
      </c>
      <c r="N165" s="30">
        <v>0.28199999999999997</v>
      </c>
      <c r="O165" s="116">
        <v>4.6529999999999996</v>
      </c>
      <c r="P165" s="30">
        <v>7.4999999999999997E-2</v>
      </c>
      <c r="Q165" s="116">
        <v>1.2375</v>
      </c>
      <c r="R165" s="30">
        <v>7.0000000000000007E-2</v>
      </c>
      <c r="S165" s="116">
        <v>1.155</v>
      </c>
      <c r="T165" s="117">
        <v>0.49</v>
      </c>
      <c r="U165" s="39">
        <v>1100</v>
      </c>
      <c r="V165" s="32">
        <v>164</v>
      </c>
      <c r="W165" s="33"/>
      <c r="X165" s="32"/>
      <c r="Y165" s="32"/>
      <c r="Z165" s="32"/>
      <c r="AA165" s="34"/>
      <c r="AB165" s="35">
        <f t="shared" si="23"/>
        <v>1264</v>
      </c>
      <c r="AC165" s="75">
        <f t="shared" si="24"/>
        <v>137500</v>
      </c>
      <c r="AD165" s="78">
        <f t="shared" si="32"/>
        <v>20500</v>
      </c>
      <c r="AE165" s="72">
        <f t="shared" si="25"/>
        <v>158000</v>
      </c>
      <c r="AF165" s="75">
        <f t="shared" si="26"/>
        <v>26439.05</v>
      </c>
      <c r="AG165" s="78">
        <f t="shared" si="27"/>
        <v>3941.8219999999997</v>
      </c>
      <c r="AH165" s="72">
        <f t="shared" si="28"/>
        <v>30380.871999999999</v>
      </c>
      <c r="AI165" s="75">
        <f t="shared" si="29"/>
        <v>18150</v>
      </c>
      <c r="AJ165" s="78">
        <f t="shared" si="30"/>
        <v>2706</v>
      </c>
      <c r="AK165" s="72">
        <f t="shared" si="31"/>
        <v>20856</v>
      </c>
    </row>
    <row r="166" spans="1:37" ht="15.95" customHeight="1">
      <c r="A166" s="25" t="s">
        <v>84</v>
      </c>
      <c r="B166" s="25" t="s">
        <v>13</v>
      </c>
      <c r="C166" s="26" t="s">
        <v>14</v>
      </c>
      <c r="D166" s="26" t="s">
        <v>375</v>
      </c>
      <c r="E166" s="26" t="s">
        <v>16</v>
      </c>
      <c r="F166" s="26" t="s">
        <v>194</v>
      </c>
      <c r="G166" s="41" t="s">
        <v>195</v>
      </c>
      <c r="H166" s="44" t="s">
        <v>196</v>
      </c>
      <c r="I166" s="26"/>
      <c r="J166" s="28" t="s">
        <v>41</v>
      </c>
      <c r="K166" s="123">
        <v>165</v>
      </c>
      <c r="L166" s="29">
        <f t="shared" si="22"/>
        <v>35.38015</v>
      </c>
      <c r="M166" s="110">
        <v>24.45</v>
      </c>
      <c r="N166" s="30">
        <v>0.28199999999999997</v>
      </c>
      <c r="O166" s="116">
        <v>6.8948999999999989</v>
      </c>
      <c r="P166" s="30">
        <v>7.4999999999999997E-2</v>
      </c>
      <c r="Q166" s="116">
        <v>1.8337499999999998</v>
      </c>
      <c r="R166" s="30">
        <v>7.0000000000000007E-2</v>
      </c>
      <c r="S166" s="116">
        <v>1.7115</v>
      </c>
      <c r="T166" s="117">
        <v>0.49</v>
      </c>
      <c r="U166" s="39">
        <v>700</v>
      </c>
      <c r="V166" s="32"/>
      <c r="W166" s="33"/>
      <c r="X166" s="32"/>
      <c r="Y166" s="32"/>
      <c r="Z166" s="32"/>
      <c r="AA166" s="34"/>
      <c r="AB166" s="35">
        <f t="shared" si="23"/>
        <v>700</v>
      </c>
      <c r="AC166" s="75">
        <f t="shared" si="24"/>
        <v>115500</v>
      </c>
      <c r="AD166" s="78">
        <f t="shared" si="32"/>
        <v>0</v>
      </c>
      <c r="AE166" s="72">
        <f t="shared" si="25"/>
        <v>115500</v>
      </c>
      <c r="AF166" s="75">
        <f t="shared" si="26"/>
        <v>24766.105</v>
      </c>
      <c r="AG166" s="78">
        <f t="shared" si="27"/>
        <v>0</v>
      </c>
      <c r="AH166" s="72">
        <f t="shared" si="28"/>
        <v>24766.105</v>
      </c>
      <c r="AI166" s="75">
        <f t="shared" si="29"/>
        <v>17115</v>
      </c>
      <c r="AJ166" s="78">
        <f t="shared" si="30"/>
        <v>0</v>
      </c>
      <c r="AK166" s="72">
        <f t="shared" si="31"/>
        <v>17115</v>
      </c>
    </row>
    <row r="167" spans="1:37" ht="15.95" customHeight="1">
      <c r="A167" s="25" t="s">
        <v>84</v>
      </c>
      <c r="B167" s="25" t="s">
        <v>13</v>
      </c>
      <c r="C167" s="26" t="s">
        <v>21</v>
      </c>
      <c r="D167" s="26" t="s">
        <v>375</v>
      </c>
      <c r="E167" s="26" t="s">
        <v>16</v>
      </c>
      <c r="F167" s="26" t="s">
        <v>197</v>
      </c>
      <c r="G167" s="41" t="s">
        <v>195</v>
      </c>
      <c r="H167" s="44" t="s">
        <v>196</v>
      </c>
      <c r="I167" s="26"/>
      <c r="J167" s="28" t="s">
        <v>43</v>
      </c>
      <c r="K167" s="123">
        <v>135</v>
      </c>
      <c r="L167" s="29">
        <f t="shared" si="22"/>
        <v>26.532749999999997</v>
      </c>
      <c r="M167" s="110">
        <v>18.25</v>
      </c>
      <c r="N167" s="30">
        <v>0.28199999999999997</v>
      </c>
      <c r="O167" s="116">
        <v>5.1464999999999996</v>
      </c>
      <c r="P167" s="30">
        <v>7.4999999999999997E-2</v>
      </c>
      <c r="Q167" s="116">
        <v>1.3687499999999999</v>
      </c>
      <c r="R167" s="30">
        <v>7.0000000000000007E-2</v>
      </c>
      <c r="S167" s="116">
        <v>1.2775000000000001</v>
      </c>
      <c r="T167" s="117">
        <v>0.49</v>
      </c>
      <c r="U167" s="39">
        <v>600</v>
      </c>
      <c r="V167" s="32"/>
      <c r="W167" s="33"/>
      <c r="X167" s="32"/>
      <c r="Y167" s="32"/>
      <c r="Z167" s="32"/>
      <c r="AA167" s="34"/>
      <c r="AB167" s="35">
        <f t="shared" si="23"/>
        <v>600</v>
      </c>
      <c r="AC167" s="75">
        <f t="shared" si="24"/>
        <v>81000</v>
      </c>
      <c r="AD167" s="78">
        <f t="shared" si="32"/>
        <v>0</v>
      </c>
      <c r="AE167" s="72">
        <f t="shared" si="25"/>
        <v>81000</v>
      </c>
      <c r="AF167" s="75">
        <f t="shared" si="26"/>
        <v>15919.649999999998</v>
      </c>
      <c r="AG167" s="78">
        <f t="shared" si="27"/>
        <v>0</v>
      </c>
      <c r="AH167" s="72">
        <f t="shared" si="28"/>
        <v>15919.649999999998</v>
      </c>
      <c r="AI167" s="75">
        <f t="shared" si="29"/>
        <v>10950</v>
      </c>
      <c r="AJ167" s="78">
        <f t="shared" si="30"/>
        <v>0</v>
      </c>
      <c r="AK167" s="72">
        <f t="shared" si="31"/>
        <v>10950</v>
      </c>
    </row>
    <row r="168" spans="1:37" ht="15.95" customHeight="1">
      <c r="A168" s="25" t="s">
        <v>198</v>
      </c>
      <c r="B168" s="25" t="s">
        <v>13</v>
      </c>
      <c r="C168" s="26" t="s">
        <v>14</v>
      </c>
      <c r="D168" s="26" t="s">
        <v>375</v>
      </c>
      <c r="E168" s="26" t="s">
        <v>16</v>
      </c>
      <c r="F168" s="26" t="s">
        <v>199</v>
      </c>
      <c r="G168" s="41" t="s">
        <v>195</v>
      </c>
      <c r="H168" s="44" t="s">
        <v>196</v>
      </c>
      <c r="I168" s="26"/>
      <c r="J168" s="28" t="s">
        <v>41</v>
      </c>
      <c r="K168" s="123">
        <v>165</v>
      </c>
      <c r="L168" s="29">
        <f t="shared" si="22"/>
        <v>35.38015</v>
      </c>
      <c r="M168" s="110">
        <v>24.45</v>
      </c>
      <c r="N168" s="30">
        <v>0.28199999999999997</v>
      </c>
      <c r="O168" s="116">
        <v>6.8948999999999989</v>
      </c>
      <c r="P168" s="30">
        <v>7.4999999999999997E-2</v>
      </c>
      <c r="Q168" s="116">
        <v>1.8337499999999998</v>
      </c>
      <c r="R168" s="30">
        <v>7.0000000000000007E-2</v>
      </c>
      <c r="S168" s="116">
        <v>1.7115</v>
      </c>
      <c r="T168" s="117">
        <v>0.49</v>
      </c>
      <c r="U168" s="39">
        <v>500</v>
      </c>
      <c r="V168" s="32"/>
      <c r="W168" s="33"/>
      <c r="X168" s="32"/>
      <c r="Y168" s="32"/>
      <c r="Z168" s="32"/>
      <c r="AA168" s="34"/>
      <c r="AB168" s="35">
        <f t="shared" si="23"/>
        <v>500</v>
      </c>
      <c r="AC168" s="75">
        <f t="shared" si="24"/>
        <v>82500</v>
      </c>
      <c r="AD168" s="78">
        <f t="shared" si="32"/>
        <v>0</v>
      </c>
      <c r="AE168" s="72">
        <f t="shared" si="25"/>
        <v>82500</v>
      </c>
      <c r="AF168" s="75">
        <f t="shared" si="26"/>
        <v>17690.075000000001</v>
      </c>
      <c r="AG168" s="78">
        <f t="shared" si="27"/>
        <v>0</v>
      </c>
      <c r="AH168" s="72">
        <f t="shared" si="28"/>
        <v>17690.075000000001</v>
      </c>
      <c r="AI168" s="75">
        <f t="shared" si="29"/>
        <v>12225</v>
      </c>
      <c r="AJ168" s="78">
        <f t="shared" si="30"/>
        <v>0</v>
      </c>
      <c r="AK168" s="72">
        <f t="shared" si="31"/>
        <v>12225</v>
      </c>
    </row>
    <row r="169" spans="1:37" ht="15.95" customHeight="1">
      <c r="A169" s="25" t="s">
        <v>198</v>
      </c>
      <c r="B169" s="25" t="s">
        <v>13</v>
      </c>
      <c r="C169" s="26" t="s">
        <v>21</v>
      </c>
      <c r="D169" s="26" t="s">
        <v>375</v>
      </c>
      <c r="E169" s="26" t="s">
        <v>16</v>
      </c>
      <c r="F169" s="26" t="s">
        <v>200</v>
      </c>
      <c r="G169" s="41" t="s">
        <v>195</v>
      </c>
      <c r="H169" s="44" t="s">
        <v>196</v>
      </c>
      <c r="I169" s="26"/>
      <c r="J169" s="28" t="s">
        <v>43</v>
      </c>
      <c r="K169" s="123">
        <v>135</v>
      </c>
      <c r="L169" s="29">
        <f t="shared" si="22"/>
        <v>26.532749999999997</v>
      </c>
      <c r="M169" s="110">
        <v>18.25</v>
      </c>
      <c r="N169" s="30">
        <v>0.28199999999999997</v>
      </c>
      <c r="O169" s="116">
        <v>5.1464999999999996</v>
      </c>
      <c r="P169" s="30">
        <v>7.4999999999999997E-2</v>
      </c>
      <c r="Q169" s="116">
        <v>1.3687499999999999</v>
      </c>
      <c r="R169" s="30">
        <v>7.0000000000000007E-2</v>
      </c>
      <c r="S169" s="116">
        <v>1.2775000000000001</v>
      </c>
      <c r="T169" s="117">
        <v>0.49</v>
      </c>
      <c r="U169" s="39">
        <v>500</v>
      </c>
      <c r="V169" s="32"/>
      <c r="W169" s="33"/>
      <c r="X169" s="32"/>
      <c r="Y169" s="32"/>
      <c r="Z169" s="32"/>
      <c r="AA169" s="34"/>
      <c r="AB169" s="35">
        <f t="shared" si="23"/>
        <v>500</v>
      </c>
      <c r="AC169" s="75">
        <f t="shared" si="24"/>
        <v>67500</v>
      </c>
      <c r="AD169" s="78">
        <f t="shared" si="32"/>
        <v>0</v>
      </c>
      <c r="AE169" s="72">
        <f t="shared" si="25"/>
        <v>67500</v>
      </c>
      <c r="AF169" s="75">
        <f t="shared" si="26"/>
        <v>13266.374999999998</v>
      </c>
      <c r="AG169" s="78">
        <f t="shared" si="27"/>
        <v>0</v>
      </c>
      <c r="AH169" s="72">
        <f t="shared" si="28"/>
        <v>13266.374999999998</v>
      </c>
      <c r="AI169" s="75">
        <f t="shared" si="29"/>
        <v>9125</v>
      </c>
      <c r="AJ169" s="78">
        <f t="shared" si="30"/>
        <v>0</v>
      </c>
      <c r="AK169" s="72">
        <f t="shared" si="31"/>
        <v>9125</v>
      </c>
    </row>
    <row r="170" spans="1:37" ht="15.95" customHeight="1">
      <c r="A170" s="25" t="s">
        <v>12</v>
      </c>
      <c r="B170" s="25" t="s">
        <v>13</v>
      </c>
      <c r="C170" s="26" t="s">
        <v>14</v>
      </c>
      <c r="D170" s="26" t="s">
        <v>375</v>
      </c>
      <c r="E170" s="26" t="s">
        <v>16</v>
      </c>
      <c r="F170" s="26" t="s">
        <v>201</v>
      </c>
      <c r="G170" s="41" t="s">
        <v>184</v>
      </c>
      <c r="H170" s="44" t="s">
        <v>185</v>
      </c>
      <c r="I170" s="26" t="s">
        <v>27</v>
      </c>
      <c r="J170" s="28" t="s">
        <v>41</v>
      </c>
      <c r="K170" s="123">
        <v>150</v>
      </c>
      <c r="L170" s="29">
        <f t="shared" si="22"/>
        <v>28.958649999999995</v>
      </c>
      <c r="M170" s="110">
        <v>19.95</v>
      </c>
      <c r="N170" s="30">
        <v>0.28199999999999997</v>
      </c>
      <c r="O170" s="116">
        <v>5.6258999999999997</v>
      </c>
      <c r="P170" s="30">
        <v>7.4999999999999997E-2</v>
      </c>
      <c r="Q170" s="116">
        <v>1.4962499999999999</v>
      </c>
      <c r="R170" s="30">
        <v>7.0000000000000007E-2</v>
      </c>
      <c r="S170" s="116">
        <v>1.3965000000000001</v>
      </c>
      <c r="T170" s="117">
        <v>0.49</v>
      </c>
      <c r="U170" s="39">
        <v>1300</v>
      </c>
      <c r="V170" s="32">
        <v>306</v>
      </c>
      <c r="W170" s="33"/>
      <c r="X170" s="32"/>
      <c r="Y170" s="32"/>
      <c r="Z170" s="32"/>
      <c r="AA170" s="34"/>
      <c r="AB170" s="35">
        <f t="shared" si="23"/>
        <v>1606</v>
      </c>
      <c r="AC170" s="75">
        <f t="shared" si="24"/>
        <v>195000</v>
      </c>
      <c r="AD170" s="78">
        <f t="shared" si="32"/>
        <v>45900</v>
      </c>
      <c r="AE170" s="72">
        <f t="shared" si="25"/>
        <v>240900</v>
      </c>
      <c r="AF170" s="75">
        <f t="shared" si="26"/>
        <v>37646.244999999995</v>
      </c>
      <c r="AG170" s="78">
        <f t="shared" si="27"/>
        <v>8861.3468999999986</v>
      </c>
      <c r="AH170" s="72">
        <f t="shared" si="28"/>
        <v>46507.591899999992</v>
      </c>
      <c r="AI170" s="75">
        <f t="shared" si="29"/>
        <v>25935</v>
      </c>
      <c r="AJ170" s="78">
        <f t="shared" si="30"/>
        <v>6104.7</v>
      </c>
      <c r="AK170" s="72">
        <f t="shared" si="31"/>
        <v>32039.7</v>
      </c>
    </row>
    <row r="171" spans="1:37" ht="15.95" customHeight="1">
      <c r="A171" s="25" t="s">
        <v>12</v>
      </c>
      <c r="B171" s="25" t="s">
        <v>13</v>
      </c>
      <c r="C171" s="26" t="s">
        <v>21</v>
      </c>
      <c r="D171" s="26" t="s">
        <v>375</v>
      </c>
      <c r="E171" s="26" t="s">
        <v>16</v>
      </c>
      <c r="F171" s="26" t="s">
        <v>202</v>
      </c>
      <c r="G171" s="41" t="s">
        <v>184</v>
      </c>
      <c r="H171" s="44" t="s">
        <v>185</v>
      </c>
      <c r="I171" s="26" t="s">
        <v>27</v>
      </c>
      <c r="J171" s="28" t="s">
        <v>43</v>
      </c>
      <c r="K171" s="123">
        <v>125</v>
      </c>
      <c r="L171" s="29">
        <f t="shared" si="22"/>
        <v>24.748999999999999</v>
      </c>
      <c r="M171" s="110">
        <v>17</v>
      </c>
      <c r="N171" s="30">
        <v>0.28199999999999997</v>
      </c>
      <c r="O171" s="116">
        <v>4.7939999999999996</v>
      </c>
      <c r="P171" s="30">
        <v>7.4999999999999997E-2</v>
      </c>
      <c r="Q171" s="116">
        <v>1.2749999999999999</v>
      </c>
      <c r="R171" s="30">
        <v>7.0000000000000007E-2</v>
      </c>
      <c r="S171" s="116">
        <v>1.1900000000000002</v>
      </c>
      <c r="T171" s="117">
        <v>0.49</v>
      </c>
      <c r="U171" s="39">
        <v>1200</v>
      </c>
      <c r="V171" s="32">
        <v>312</v>
      </c>
      <c r="W171" s="33"/>
      <c r="X171" s="32"/>
      <c r="Y171" s="32"/>
      <c r="Z171" s="32"/>
      <c r="AA171" s="34"/>
      <c r="AB171" s="35">
        <f t="shared" si="23"/>
        <v>1512</v>
      </c>
      <c r="AC171" s="75">
        <f t="shared" si="24"/>
        <v>150000</v>
      </c>
      <c r="AD171" s="78">
        <f t="shared" si="32"/>
        <v>39000</v>
      </c>
      <c r="AE171" s="72">
        <f t="shared" si="25"/>
        <v>189000</v>
      </c>
      <c r="AF171" s="75">
        <f t="shared" si="26"/>
        <v>29698.799999999999</v>
      </c>
      <c r="AG171" s="78">
        <f t="shared" si="27"/>
        <v>7721.6879999999992</v>
      </c>
      <c r="AH171" s="72">
        <f t="shared" si="28"/>
        <v>37420.487999999998</v>
      </c>
      <c r="AI171" s="75">
        <f t="shared" si="29"/>
        <v>20400</v>
      </c>
      <c r="AJ171" s="78">
        <f t="shared" si="30"/>
        <v>5304</v>
      </c>
      <c r="AK171" s="72">
        <f t="shared" si="31"/>
        <v>25704</v>
      </c>
    </row>
    <row r="172" spans="1:37" ht="15.95" customHeight="1">
      <c r="A172" s="25" t="s">
        <v>12</v>
      </c>
      <c r="B172" s="25" t="s">
        <v>13</v>
      </c>
      <c r="C172" s="26" t="s">
        <v>14</v>
      </c>
      <c r="D172" s="26" t="s">
        <v>375</v>
      </c>
      <c r="E172" s="26" t="s">
        <v>16</v>
      </c>
      <c r="F172" s="26" t="s">
        <v>201</v>
      </c>
      <c r="G172" s="41" t="s">
        <v>184</v>
      </c>
      <c r="H172" s="44" t="s">
        <v>185</v>
      </c>
      <c r="I172" s="26" t="s">
        <v>27</v>
      </c>
      <c r="J172" s="28" t="s">
        <v>41</v>
      </c>
      <c r="K172" s="123">
        <v>150</v>
      </c>
      <c r="L172" s="29">
        <f t="shared" si="22"/>
        <v>28.958649999999995</v>
      </c>
      <c r="M172" s="110">
        <v>19.95</v>
      </c>
      <c r="N172" s="30">
        <v>0.28199999999999997</v>
      </c>
      <c r="O172" s="116">
        <v>5.6258999999999997</v>
      </c>
      <c r="P172" s="30">
        <v>7.4999999999999997E-2</v>
      </c>
      <c r="Q172" s="116">
        <v>1.4962499999999999</v>
      </c>
      <c r="R172" s="30">
        <v>7.0000000000000007E-2</v>
      </c>
      <c r="S172" s="116">
        <v>1.3965000000000001</v>
      </c>
      <c r="T172" s="117">
        <v>0.49</v>
      </c>
      <c r="U172" s="39">
        <v>1000</v>
      </c>
      <c r="V172" s="32">
        <v>127</v>
      </c>
      <c r="W172" s="33"/>
      <c r="X172" s="32"/>
      <c r="Y172" s="32"/>
      <c r="Z172" s="32"/>
      <c r="AA172" s="34"/>
      <c r="AB172" s="35">
        <f t="shared" si="23"/>
        <v>1127</v>
      </c>
      <c r="AC172" s="75">
        <f t="shared" si="24"/>
        <v>150000</v>
      </c>
      <c r="AD172" s="78">
        <f t="shared" si="32"/>
        <v>19050</v>
      </c>
      <c r="AE172" s="72">
        <f t="shared" si="25"/>
        <v>169050</v>
      </c>
      <c r="AF172" s="75">
        <f t="shared" si="26"/>
        <v>28958.649999999994</v>
      </c>
      <c r="AG172" s="78">
        <f t="shared" si="27"/>
        <v>3677.7485499999993</v>
      </c>
      <c r="AH172" s="72">
        <f t="shared" si="28"/>
        <v>32636.398549999994</v>
      </c>
      <c r="AI172" s="75">
        <f t="shared" si="29"/>
        <v>19950</v>
      </c>
      <c r="AJ172" s="78">
        <f t="shared" si="30"/>
        <v>2533.65</v>
      </c>
      <c r="AK172" s="72">
        <f t="shared" si="31"/>
        <v>22483.65</v>
      </c>
    </row>
    <row r="173" spans="1:37" ht="15.95" customHeight="1">
      <c r="A173" s="25" t="s">
        <v>12</v>
      </c>
      <c r="B173" s="25" t="s">
        <v>13</v>
      </c>
      <c r="C173" s="26" t="s">
        <v>21</v>
      </c>
      <c r="D173" s="26" t="s">
        <v>375</v>
      </c>
      <c r="E173" s="26" t="s">
        <v>16</v>
      </c>
      <c r="F173" s="26" t="s">
        <v>202</v>
      </c>
      <c r="G173" s="41" t="s">
        <v>184</v>
      </c>
      <c r="H173" s="44" t="s">
        <v>185</v>
      </c>
      <c r="I173" s="26" t="s">
        <v>27</v>
      </c>
      <c r="J173" s="28" t="s">
        <v>43</v>
      </c>
      <c r="K173" s="123">
        <v>125</v>
      </c>
      <c r="L173" s="29">
        <f t="shared" si="22"/>
        <v>24.748999999999999</v>
      </c>
      <c r="M173" s="110">
        <v>17</v>
      </c>
      <c r="N173" s="30">
        <v>0.28199999999999997</v>
      </c>
      <c r="O173" s="116">
        <v>4.7939999999999996</v>
      </c>
      <c r="P173" s="30">
        <v>7.4999999999999997E-2</v>
      </c>
      <c r="Q173" s="116">
        <v>1.2749999999999999</v>
      </c>
      <c r="R173" s="30">
        <v>7.0000000000000007E-2</v>
      </c>
      <c r="S173" s="116">
        <v>1.1900000000000002</v>
      </c>
      <c r="T173" s="117">
        <v>0.49</v>
      </c>
      <c r="U173" s="39">
        <v>900</v>
      </c>
      <c r="V173" s="32">
        <v>127</v>
      </c>
      <c r="W173" s="33"/>
      <c r="X173" s="32"/>
      <c r="Y173" s="32"/>
      <c r="Z173" s="32"/>
      <c r="AA173" s="34"/>
      <c r="AB173" s="35">
        <f t="shared" si="23"/>
        <v>1027</v>
      </c>
      <c r="AC173" s="75">
        <f t="shared" si="24"/>
        <v>112500</v>
      </c>
      <c r="AD173" s="78">
        <f t="shared" si="32"/>
        <v>15875</v>
      </c>
      <c r="AE173" s="72">
        <f t="shared" si="25"/>
        <v>128375</v>
      </c>
      <c r="AF173" s="75">
        <f t="shared" si="26"/>
        <v>22274.1</v>
      </c>
      <c r="AG173" s="78">
        <f t="shared" si="27"/>
        <v>3143.123</v>
      </c>
      <c r="AH173" s="72">
        <f t="shared" si="28"/>
        <v>25417.222999999998</v>
      </c>
      <c r="AI173" s="75">
        <f t="shared" si="29"/>
        <v>15300</v>
      </c>
      <c r="AJ173" s="78">
        <f t="shared" si="30"/>
        <v>2159</v>
      </c>
      <c r="AK173" s="72">
        <f t="shared" si="31"/>
        <v>17459</v>
      </c>
    </row>
    <row r="174" spans="1:37" ht="15.95" customHeight="1">
      <c r="A174" s="25" t="s">
        <v>12</v>
      </c>
      <c r="B174" s="25" t="s">
        <v>13</v>
      </c>
      <c r="C174" s="26" t="s">
        <v>14</v>
      </c>
      <c r="D174" s="26" t="s">
        <v>375</v>
      </c>
      <c r="E174" s="26" t="s">
        <v>16</v>
      </c>
      <c r="F174" s="26" t="s">
        <v>201</v>
      </c>
      <c r="G174" s="41" t="s">
        <v>184</v>
      </c>
      <c r="H174" s="44" t="s">
        <v>185</v>
      </c>
      <c r="I174" s="26" t="s">
        <v>27</v>
      </c>
      <c r="J174" s="28" t="s">
        <v>41</v>
      </c>
      <c r="K174" s="123">
        <v>150</v>
      </c>
      <c r="L174" s="29">
        <f t="shared" si="22"/>
        <v>28.958649999999995</v>
      </c>
      <c r="M174" s="110">
        <v>19.95</v>
      </c>
      <c r="N174" s="30">
        <v>0.28199999999999997</v>
      </c>
      <c r="O174" s="116">
        <v>5.6258999999999997</v>
      </c>
      <c r="P174" s="30">
        <v>7.4999999999999997E-2</v>
      </c>
      <c r="Q174" s="116">
        <v>1.4962499999999999</v>
      </c>
      <c r="R174" s="30">
        <v>7.0000000000000007E-2</v>
      </c>
      <c r="S174" s="116">
        <v>1.3965000000000001</v>
      </c>
      <c r="T174" s="117">
        <v>0.49</v>
      </c>
      <c r="U174" s="39">
        <v>1200</v>
      </c>
      <c r="V174" s="32">
        <v>277</v>
      </c>
      <c r="W174" s="33"/>
      <c r="X174" s="32"/>
      <c r="Y174" s="32"/>
      <c r="Z174" s="32"/>
      <c r="AA174" s="34"/>
      <c r="AB174" s="35">
        <f t="shared" si="23"/>
        <v>1477</v>
      </c>
      <c r="AC174" s="75">
        <f t="shared" si="24"/>
        <v>180000</v>
      </c>
      <c r="AD174" s="78">
        <f t="shared" si="32"/>
        <v>41550</v>
      </c>
      <c r="AE174" s="72">
        <f t="shared" si="25"/>
        <v>221550</v>
      </c>
      <c r="AF174" s="75">
        <f t="shared" si="26"/>
        <v>34750.379999999997</v>
      </c>
      <c r="AG174" s="78">
        <f t="shared" si="27"/>
        <v>8021.546049999999</v>
      </c>
      <c r="AH174" s="72">
        <f t="shared" si="28"/>
        <v>42771.926049999995</v>
      </c>
      <c r="AI174" s="75">
        <f t="shared" si="29"/>
        <v>23940</v>
      </c>
      <c r="AJ174" s="78">
        <f t="shared" si="30"/>
        <v>5526.15</v>
      </c>
      <c r="AK174" s="72">
        <f t="shared" si="31"/>
        <v>29466.15</v>
      </c>
    </row>
    <row r="175" spans="1:37" ht="15.95" customHeight="1">
      <c r="A175" s="25" t="s">
        <v>12</v>
      </c>
      <c r="B175" s="25" t="s">
        <v>13</v>
      </c>
      <c r="C175" s="26" t="s">
        <v>21</v>
      </c>
      <c r="D175" s="26" t="s">
        <v>375</v>
      </c>
      <c r="E175" s="26" t="s">
        <v>16</v>
      </c>
      <c r="F175" s="26" t="s">
        <v>202</v>
      </c>
      <c r="G175" s="41" t="s">
        <v>184</v>
      </c>
      <c r="H175" s="44" t="s">
        <v>185</v>
      </c>
      <c r="I175" s="26" t="s">
        <v>27</v>
      </c>
      <c r="J175" s="28" t="s">
        <v>43</v>
      </c>
      <c r="K175" s="123">
        <v>125</v>
      </c>
      <c r="L175" s="29">
        <f t="shared" si="22"/>
        <v>24.748999999999999</v>
      </c>
      <c r="M175" s="110">
        <v>17</v>
      </c>
      <c r="N175" s="30">
        <v>0.28199999999999997</v>
      </c>
      <c r="O175" s="116">
        <v>4.7939999999999996</v>
      </c>
      <c r="P175" s="30">
        <v>7.4999999999999997E-2</v>
      </c>
      <c r="Q175" s="116">
        <v>1.2749999999999999</v>
      </c>
      <c r="R175" s="30">
        <v>7.0000000000000007E-2</v>
      </c>
      <c r="S175" s="116">
        <v>1.1900000000000002</v>
      </c>
      <c r="T175" s="117">
        <v>0.49</v>
      </c>
      <c r="U175" s="39">
        <v>1100</v>
      </c>
      <c r="V175" s="32">
        <v>278</v>
      </c>
      <c r="W175" s="33"/>
      <c r="X175" s="32"/>
      <c r="Y175" s="32"/>
      <c r="Z175" s="32"/>
      <c r="AA175" s="34"/>
      <c r="AB175" s="35">
        <f t="shared" si="23"/>
        <v>1378</v>
      </c>
      <c r="AC175" s="75">
        <f t="shared" si="24"/>
        <v>137500</v>
      </c>
      <c r="AD175" s="78">
        <f t="shared" si="32"/>
        <v>34750</v>
      </c>
      <c r="AE175" s="72">
        <f t="shared" si="25"/>
        <v>172250</v>
      </c>
      <c r="AF175" s="75">
        <f t="shared" si="26"/>
        <v>27223.899999999998</v>
      </c>
      <c r="AG175" s="78">
        <f t="shared" si="27"/>
        <v>6880.2219999999998</v>
      </c>
      <c r="AH175" s="72">
        <f t="shared" si="28"/>
        <v>34104.121999999996</v>
      </c>
      <c r="AI175" s="75">
        <f t="shared" si="29"/>
        <v>18700</v>
      </c>
      <c r="AJ175" s="78">
        <f t="shared" si="30"/>
        <v>4726</v>
      </c>
      <c r="AK175" s="72">
        <f t="shared" si="31"/>
        <v>23426</v>
      </c>
    </row>
    <row r="176" spans="1:37" ht="15.95" customHeight="1">
      <c r="A176" s="25" t="s">
        <v>12</v>
      </c>
      <c r="B176" s="25" t="s">
        <v>13</v>
      </c>
      <c r="C176" s="26" t="s">
        <v>14</v>
      </c>
      <c r="D176" s="26" t="s">
        <v>375</v>
      </c>
      <c r="E176" s="26" t="s">
        <v>16</v>
      </c>
      <c r="F176" s="26" t="s">
        <v>201</v>
      </c>
      <c r="G176" s="41" t="s">
        <v>184</v>
      </c>
      <c r="H176" s="44" t="s">
        <v>185</v>
      </c>
      <c r="I176" s="26" t="s">
        <v>27</v>
      </c>
      <c r="J176" s="28" t="s">
        <v>41</v>
      </c>
      <c r="K176" s="123">
        <v>150</v>
      </c>
      <c r="L176" s="29">
        <f t="shared" si="22"/>
        <v>28.958649999999995</v>
      </c>
      <c r="M176" s="110">
        <v>19.95</v>
      </c>
      <c r="N176" s="30">
        <v>0.28199999999999997</v>
      </c>
      <c r="O176" s="116">
        <v>5.6258999999999997</v>
      </c>
      <c r="P176" s="30">
        <v>7.4999999999999997E-2</v>
      </c>
      <c r="Q176" s="116">
        <v>1.4962499999999999</v>
      </c>
      <c r="R176" s="30">
        <v>7.0000000000000007E-2</v>
      </c>
      <c r="S176" s="116">
        <v>1.3965000000000001</v>
      </c>
      <c r="T176" s="117">
        <v>0.49</v>
      </c>
      <c r="U176" s="39">
        <v>1100</v>
      </c>
      <c r="V176" s="32">
        <v>148</v>
      </c>
      <c r="W176" s="33"/>
      <c r="X176" s="32"/>
      <c r="Y176" s="32"/>
      <c r="Z176" s="32"/>
      <c r="AA176" s="34"/>
      <c r="AB176" s="35">
        <f t="shared" si="23"/>
        <v>1248</v>
      </c>
      <c r="AC176" s="75">
        <f t="shared" si="24"/>
        <v>165000</v>
      </c>
      <c r="AD176" s="78">
        <f t="shared" si="32"/>
        <v>22200</v>
      </c>
      <c r="AE176" s="72">
        <f t="shared" si="25"/>
        <v>187200</v>
      </c>
      <c r="AF176" s="75">
        <f t="shared" si="26"/>
        <v>31854.514999999996</v>
      </c>
      <c r="AG176" s="78">
        <f t="shared" si="27"/>
        <v>4285.8801999999996</v>
      </c>
      <c r="AH176" s="72">
        <f t="shared" si="28"/>
        <v>36140.395199999999</v>
      </c>
      <c r="AI176" s="75">
        <f t="shared" si="29"/>
        <v>21945</v>
      </c>
      <c r="AJ176" s="78">
        <f t="shared" si="30"/>
        <v>2952.6</v>
      </c>
      <c r="AK176" s="72">
        <f t="shared" si="31"/>
        <v>24897.599999999999</v>
      </c>
    </row>
    <row r="177" spans="1:37" ht="15.95" customHeight="1">
      <c r="A177" s="25" t="s">
        <v>12</v>
      </c>
      <c r="B177" s="25" t="s">
        <v>13</v>
      </c>
      <c r="C177" s="26" t="s">
        <v>21</v>
      </c>
      <c r="D177" s="26" t="s">
        <v>375</v>
      </c>
      <c r="E177" s="26" t="s">
        <v>16</v>
      </c>
      <c r="F177" s="26" t="s">
        <v>202</v>
      </c>
      <c r="G177" s="41" t="s">
        <v>184</v>
      </c>
      <c r="H177" s="44" t="s">
        <v>185</v>
      </c>
      <c r="I177" s="26" t="s">
        <v>27</v>
      </c>
      <c r="J177" s="28" t="s">
        <v>43</v>
      </c>
      <c r="K177" s="123">
        <v>125</v>
      </c>
      <c r="L177" s="29">
        <f t="shared" si="22"/>
        <v>24.748999999999999</v>
      </c>
      <c r="M177" s="110">
        <v>17</v>
      </c>
      <c r="N177" s="30">
        <v>0.28199999999999997</v>
      </c>
      <c r="O177" s="116">
        <v>4.7939999999999996</v>
      </c>
      <c r="P177" s="30">
        <v>7.4999999999999997E-2</v>
      </c>
      <c r="Q177" s="116">
        <v>1.2749999999999999</v>
      </c>
      <c r="R177" s="30">
        <v>7.0000000000000007E-2</v>
      </c>
      <c r="S177" s="116">
        <v>1.1900000000000002</v>
      </c>
      <c r="T177" s="117">
        <v>0.49</v>
      </c>
      <c r="U177" s="39">
        <v>1000</v>
      </c>
      <c r="V177" s="32">
        <v>148</v>
      </c>
      <c r="W177" s="33"/>
      <c r="X177" s="32"/>
      <c r="Y177" s="32"/>
      <c r="Z177" s="32"/>
      <c r="AA177" s="34"/>
      <c r="AB177" s="35">
        <f t="shared" si="23"/>
        <v>1148</v>
      </c>
      <c r="AC177" s="75">
        <f t="shared" si="24"/>
        <v>125000</v>
      </c>
      <c r="AD177" s="78">
        <f t="shared" si="32"/>
        <v>18500</v>
      </c>
      <c r="AE177" s="72">
        <f t="shared" si="25"/>
        <v>143500</v>
      </c>
      <c r="AF177" s="75">
        <f t="shared" si="26"/>
        <v>24749</v>
      </c>
      <c r="AG177" s="78">
        <f t="shared" si="27"/>
        <v>3662.8519999999999</v>
      </c>
      <c r="AH177" s="72">
        <f t="shared" si="28"/>
        <v>28411.851999999999</v>
      </c>
      <c r="AI177" s="75">
        <f t="shared" si="29"/>
        <v>17000</v>
      </c>
      <c r="AJ177" s="78">
        <f t="shared" si="30"/>
        <v>2516</v>
      </c>
      <c r="AK177" s="72">
        <f t="shared" si="31"/>
        <v>19516</v>
      </c>
    </row>
    <row r="178" spans="1:37" ht="15.95" customHeight="1">
      <c r="A178" s="25" t="s">
        <v>12</v>
      </c>
      <c r="B178" s="25" t="s">
        <v>13</v>
      </c>
      <c r="C178" s="26" t="s">
        <v>14</v>
      </c>
      <c r="D178" s="26" t="s">
        <v>375</v>
      </c>
      <c r="E178" s="26" t="s">
        <v>16</v>
      </c>
      <c r="F178" s="26" t="s">
        <v>203</v>
      </c>
      <c r="G178" s="41" t="s">
        <v>184</v>
      </c>
      <c r="H178" s="44" t="s">
        <v>185</v>
      </c>
      <c r="I178" s="26" t="s">
        <v>27</v>
      </c>
      <c r="J178" s="28" t="s">
        <v>41</v>
      </c>
      <c r="K178" s="123">
        <v>225</v>
      </c>
      <c r="L178" s="29">
        <f t="shared" si="22"/>
        <v>46.8675</v>
      </c>
      <c r="M178" s="110">
        <v>32.5</v>
      </c>
      <c r="N178" s="30">
        <v>0.28199999999999997</v>
      </c>
      <c r="O178" s="116">
        <v>9.1649999999999991</v>
      </c>
      <c r="P178" s="30">
        <v>7.4999999999999997E-2</v>
      </c>
      <c r="Q178" s="116">
        <v>2.4375</v>
      </c>
      <c r="R178" s="30">
        <v>7.0000000000000007E-2</v>
      </c>
      <c r="S178" s="116">
        <v>2.2750000000000004</v>
      </c>
      <c r="T178" s="117">
        <v>0.49</v>
      </c>
      <c r="U178" s="39">
        <v>300</v>
      </c>
      <c r="V178" s="32">
        <v>6</v>
      </c>
      <c r="W178" s="33"/>
      <c r="X178" s="32"/>
      <c r="Y178" s="32"/>
      <c r="Z178" s="32"/>
      <c r="AA178" s="34"/>
      <c r="AB178" s="35">
        <f t="shared" si="23"/>
        <v>306</v>
      </c>
      <c r="AC178" s="75">
        <f t="shared" si="24"/>
        <v>67500</v>
      </c>
      <c r="AD178" s="78">
        <f t="shared" si="32"/>
        <v>1350</v>
      </c>
      <c r="AE178" s="72">
        <f t="shared" si="25"/>
        <v>68850</v>
      </c>
      <c r="AF178" s="75">
        <f t="shared" si="26"/>
        <v>14060.25</v>
      </c>
      <c r="AG178" s="78">
        <f t="shared" si="27"/>
        <v>281.20499999999998</v>
      </c>
      <c r="AH178" s="72">
        <f t="shared" si="28"/>
        <v>14341.455</v>
      </c>
      <c r="AI178" s="75">
        <f t="shared" si="29"/>
        <v>9750</v>
      </c>
      <c r="AJ178" s="78">
        <f t="shared" si="30"/>
        <v>195</v>
      </c>
      <c r="AK178" s="72">
        <f t="shared" si="31"/>
        <v>9945</v>
      </c>
    </row>
    <row r="179" spans="1:37" ht="15.95" customHeight="1">
      <c r="A179" s="25" t="s">
        <v>12</v>
      </c>
      <c r="B179" s="25" t="s">
        <v>13</v>
      </c>
      <c r="C179" s="26" t="s">
        <v>14</v>
      </c>
      <c r="D179" s="26" t="s">
        <v>375</v>
      </c>
      <c r="E179" s="26" t="s">
        <v>16</v>
      </c>
      <c r="F179" s="26" t="s">
        <v>204</v>
      </c>
      <c r="G179" s="41" t="s">
        <v>184</v>
      </c>
      <c r="H179" s="44" t="s">
        <v>185</v>
      </c>
      <c r="I179" s="26" t="s">
        <v>27</v>
      </c>
      <c r="J179" s="28" t="s">
        <v>41</v>
      </c>
      <c r="K179" s="123">
        <v>175</v>
      </c>
      <c r="L179" s="29">
        <f t="shared" si="22"/>
        <v>31.812649999999994</v>
      </c>
      <c r="M179" s="110">
        <v>21.95</v>
      </c>
      <c r="N179" s="30">
        <v>0.28199999999999997</v>
      </c>
      <c r="O179" s="116">
        <v>6.1898999999999988</v>
      </c>
      <c r="P179" s="30">
        <v>7.4999999999999997E-2</v>
      </c>
      <c r="Q179" s="116">
        <v>1.64625</v>
      </c>
      <c r="R179" s="30">
        <v>7.0000000000000007E-2</v>
      </c>
      <c r="S179" s="116">
        <v>1.5365000000000002</v>
      </c>
      <c r="T179" s="117">
        <v>0.49</v>
      </c>
      <c r="U179" s="39">
        <v>700</v>
      </c>
      <c r="V179" s="32">
        <v>186</v>
      </c>
      <c r="W179" s="33"/>
      <c r="X179" s="32"/>
      <c r="Y179" s="32"/>
      <c r="Z179" s="32">
        <v>13</v>
      </c>
      <c r="AA179" s="34"/>
      <c r="AB179" s="35">
        <f t="shared" si="23"/>
        <v>899</v>
      </c>
      <c r="AC179" s="75">
        <f t="shared" si="24"/>
        <v>122500</v>
      </c>
      <c r="AD179" s="78">
        <f t="shared" si="32"/>
        <v>34825</v>
      </c>
      <c r="AE179" s="72">
        <f t="shared" si="25"/>
        <v>157325</v>
      </c>
      <c r="AF179" s="75">
        <f t="shared" si="26"/>
        <v>22268.854999999996</v>
      </c>
      <c r="AG179" s="78">
        <f t="shared" si="27"/>
        <v>6202.5028999999995</v>
      </c>
      <c r="AH179" s="72">
        <f t="shared" si="28"/>
        <v>28471.357899999995</v>
      </c>
      <c r="AI179" s="75">
        <f t="shared" si="29"/>
        <v>15365</v>
      </c>
      <c r="AJ179" s="78">
        <f t="shared" si="30"/>
        <v>4368.05</v>
      </c>
      <c r="AK179" s="72">
        <f t="shared" si="31"/>
        <v>19733.05</v>
      </c>
    </row>
    <row r="180" spans="1:37" ht="15.95" customHeight="1">
      <c r="A180" s="25" t="s">
        <v>12</v>
      </c>
      <c r="B180" s="25" t="s">
        <v>13</v>
      </c>
      <c r="C180" s="26" t="s">
        <v>21</v>
      </c>
      <c r="D180" s="26" t="s">
        <v>375</v>
      </c>
      <c r="E180" s="26" t="s">
        <v>16</v>
      </c>
      <c r="F180" s="26" t="s">
        <v>205</v>
      </c>
      <c r="G180" s="41" t="s">
        <v>184</v>
      </c>
      <c r="H180" s="44" t="s">
        <v>185</v>
      </c>
      <c r="I180" s="26" t="s">
        <v>27</v>
      </c>
      <c r="J180" s="28" t="s">
        <v>43</v>
      </c>
      <c r="K180" s="123">
        <v>135</v>
      </c>
      <c r="L180" s="29">
        <f t="shared" si="22"/>
        <v>26.176000000000002</v>
      </c>
      <c r="M180" s="110">
        <v>18</v>
      </c>
      <c r="N180" s="30">
        <v>0.28199999999999997</v>
      </c>
      <c r="O180" s="116">
        <v>5.0759999999999996</v>
      </c>
      <c r="P180" s="30">
        <v>7.4999999999999997E-2</v>
      </c>
      <c r="Q180" s="116">
        <v>1.3499999999999999</v>
      </c>
      <c r="R180" s="30">
        <v>7.0000000000000007E-2</v>
      </c>
      <c r="S180" s="116">
        <v>1.2600000000000002</v>
      </c>
      <c r="T180" s="117">
        <v>0.49</v>
      </c>
      <c r="U180" s="39">
        <v>600</v>
      </c>
      <c r="V180" s="32">
        <v>176</v>
      </c>
      <c r="W180" s="33"/>
      <c r="X180" s="32"/>
      <c r="Y180" s="32"/>
      <c r="Z180" s="32">
        <v>3</v>
      </c>
      <c r="AA180" s="34"/>
      <c r="AB180" s="35">
        <f t="shared" si="23"/>
        <v>779</v>
      </c>
      <c r="AC180" s="75">
        <f t="shared" si="24"/>
        <v>81000</v>
      </c>
      <c r="AD180" s="78">
        <f t="shared" si="32"/>
        <v>24165</v>
      </c>
      <c r="AE180" s="72">
        <f t="shared" si="25"/>
        <v>105165</v>
      </c>
      <c r="AF180" s="75">
        <f t="shared" si="26"/>
        <v>15705.6</v>
      </c>
      <c r="AG180" s="78">
        <f t="shared" si="27"/>
        <v>4660.9760000000006</v>
      </c>
      <c r="AH180" s="72">
        <f t="shared" si="28"/>
        <v>20366.576000000001</v>
      </c>
      <c r="AI180" s="75">
        <f t="shared" si="29"/>
        <v>10800</v>
      </c>
      <c r="AJ180" s="78">
        <f t="shared" si="30"/>
        <v>3222</v>
      </c>
      <c r="AK180" s="72">
        <f t="shared" si="31"/>
        <v>14022</v>
      </c>
    </row>
    <row r="181" spans="1:37" ht="15.95" customHeight="1">
      <c r="A181" s="25" t="s">
        <v>12</v>
      </c>
      <c r="B181" s="25" t="s">
        <v>13</v>
      </c>
      <c r="C181" s="26" t="s">
        <v>14</v>
      </c>
      <c r="D181" s="26" t="s">
        <v>375</v>
      </c>
      <c r="E181" s="26" t="s">
        <v>16</v>
      </c>
      <c r="F181" s="26" t="s">
        <v>204</v>
      </c>
      <c r="G181" s="41" t="s">
        <v>184</v>
      </c>
      <c r="H181" s="44" t="s">
        <v>185</v>
      </c>
      <c r="I181" s="26" t="s">
        <v>27</v>
      </c>
      <c r="J181" s="28" t="s">
        <v>41</v>
      </c>
      <c r="K181" s="123">
        <v>175</v>
      </c>
      <c r="L181" s="29">
        <f t="shared" si="22"/>
        <v>31.812649999999994</v>
      </c>
      <c r="M181" s="110">
        <v>21.95</v>
      </c>
      <c r="N181" s="30">
        <v>0.28199999999999997</v>
      </c>
      <c r="O181" s="116">
        <v>6.1898999999999988</v>
      </c>
      <c r="P181" s="30">
        <v>7.4999999999999997E-2</v>
      </c>
      <c r="Q181" s="116">
        <v>1.64625</v>
      </c>
      <c r="R181" s="30">
        <v>7.0000000000000007E-2</v>
      </c>
      <c r="S181" s="116">
        <v>1.5365000000000002</v>
      </c>
      <c r="T181" s="117">
        <v>0.49</v>
      </c>
      <c r="U181" s="39">
        <v>700</v>
      </c>
      <c r="V181" s="32">
        <v>164</v>
      </c>
      <c r="W181" s="33"/>
      <c r="X181" s="32"/>
      <c r="Y181" s="32"/>
      <c r="Z181" s="32"/>
      <c r="AA181" s="34"/>
      <c r="AB181" s="35">
        <f t="shared" si="23"/>
        <v>864</v>
      </c>
      <c r="AC181" s="75">
        <f t="shared" si="24"/>
        <v>122500</v>
      </c>
      <c r="AD181" s="78">
        <f t="shared" si="32"/>
        <v>28700</v>
      </c>
      <c r="AE181" s="72">
        <f t="shared" si="25"/>
        <v>151200</v>
      </c>
      <c r="AF181" s="75">
        <f t="shared" si="26"/>
        <v>22268.854999999996</v>
      </c>
      <c r="AG181" s="78">
        <f t="shared" si="27"/>
        <v>5217.2745999999988</v>
      </c>
      <c r="AH181" s="72">
        <f t="shared" si="28"/>
        <v>27486.129599999993</v>
      </c>
      <c r="AI181" s="75">
        <f t="shared" si="29"/>
        <v>15365</v>
      </c>
      <c r="AJ181" s="78">
        <f t="shared" si="30"/>
        <v>3599.7999999999997</v>
      </c>
      <c r="AK181" s="72">
        <f t="shared" si="31"/>
        <v>18964.8</v>
      </c>
    </row>
    <row r="182" spans="1:37" ht="15.95" customHeight="1">
      <c r="A182" s="25" t="s">
        <v>12</v>
      </c>
      <c r="B182" s="25" t="s">
        <v>13</v>
      </c>
      <c r="C182" s="26" t="s">
        <v>21</v>
      </c>
      <c r="D182" s="26" t="s">
        <v>375</v>
      </c>
      <c r="E182" s="26" t="s">
        <v>16</v>
      </c>
      <c r="F182" s="26" t="s">
        <v>205</v>
      </c>
      <c r="G182" s="41" t="s">
        <v>184</v>
      </c>
      <c r="H182" s="44" t="s">
        <v>185</v>
      </c>
      <c r="I182" s="26" t="s">
        <v>27</v>
      </c>
      <c r="J182" s="28" t="s">
        <v>43</v>
      </c>
      <c r="K182" s="123">
        <v>135</v>
      </c>
      <c r="L182" s="29">
        <f t="shared" si="22"/>
        <v>26.176000000000002</v>
      </c>
      <c r="M182" s="110">
        <v>18</v>
      </c>
      <c r="N182" s="30">
        <v>0.28199999999999997</v>
      </c>
      <c r="O182" s="116">
        <v>5.0759999999999996</v>
      </c>
      <c r="P182" s="30">
        <v>7.4999999999999997E-2</v>
      </c>
      <c r="Q182" s="116">
        <v>1.3499999999999999</v>
      </c>
      <c r="R182" s="30">
        <v>7.0000000000000007E-2</v>
      </c>
      <c r="S182" s="116">
        <v>1.2600000000000002</v>
      </c>
      <c r="T182" s="117">
        <v>0.49</v>
      </c>
      <c r="U182" s="39">
        <v>600</v>
      </c>
      <c r="V182" s="32">
        <v>188</v>
      </c>
      <c r="W182" s="33"/>
      <c r="X182" s="32"/>
      <c r="Y182" s="32"/>
      <c r="Z182" s="32"/>
      <c r="AA182" s="34"/>
      <c r="AB182" s="35">
        <f t="shared" si="23"/>
        <v>788</v>
      </c>
      <c r="AC182" s="75">
        <f t="shared" si="24"/>
        <v>81000</v>
      </c>
      <c r="AD182" s="78">
        <f t="shared" si="32"/>
        <v>25380</v>
      </c>
      <c r="AE182" s="72">
        <f t="shared" si="25"/>
        <v>106380</v>
      </c>
      <c r="AF182" s="75">
        <f t="shared" si="26"/>
        <v>15705.6</v>
      </c>
      <c r="AG182" s="78">
        <f t="shared" si="27"/>
        <v>4921.0880000000006</v>
      </c>
      <c r="AH182" s="72">
        <f t="shared" si="28"/>
        <v>20626.688000000002</v>
      </c>
      <c r="AI182" s="75">
        <f t="shared" si="29"/>
        <v>10800</v>
      </c>
      <c r="AJ182" s="78">
        <f t="shared" si="30"/>
        <v>3384</v>
      </c>
      <c r="AK182" s="72">
        <f t="shared" si="31"/>
        <v>14184</v>
      </c>
    </row>
    <row r="183" spans="1:37" ht="15.95" customHeight="1">
      <c r="A183" s="25" t="s">
        <v>12</v>
      </c>
      <c r="B183" s="25" t="s">
        <v>13</v>
      </c>
      <c r="C183" s="26" t="s">
        <v>14</v>
      </c>
      <c r="D183" s="26" t="s">
        <v>375</v>
      </c>
      <c r="E183" s="26" t="s">
        <v>16</v>
      </c>
      <c r="F183" s="26" t="s">
        <v>204</v>
      </c>
      <c r="G183" s="41" t="s">
        <v>184</v>
      </c>
      <c r="H183" s="44" t="s">
        <v>185</v>
      </c>
      <c r="I183" s="26" t="s">
        <v>27</v>
      </c>
      <c r="J183" s="28" t="s">
        <v>41</v>
      </c>
      <c r="K183" s="123">
        <v>175</v>
      </c>
      <c r="L183" s="29">
        <f t="shared" si="22"/>
        <v>31.812649999999994</v>
      </c>
      <c r="M183" s="110">
        <v>21.95</v>
      </c>
      <c r="N183" s="30">
        <v>0.28199999999999997</v>
      </c>
      <c r="O183" s="116">
        <v>6.1898999999999988</v>
      </c>
      <c r="P183" s="30">
        <v>7.4999999999999997E-2</v>
      </c>
      <c r="Q183" s="116">
        <v>1.64625</v>
      </c>
      <c r="R183" s="30">
        <v>7.0000000000000007E-2</v>
      </c>
      <c r="S183" s="116">
        <v>1.5365000000000002</v>
      </c>
      <c r="T183" s="117">
        <v>0.49</v>
      </c>
      <c r="U183" s="39">
        <v>700</v>
      </c>
      <c r="V183" s="32">
        <v>143</v>
      </c>
      <c r="W183" s="33"/>
      <c r="X183" s="32"/>
      <c r="Y183" s="32"/>
      <c r="Z183" s="32">
        <v>12</v>
      </c>
      <c r="AA183" s="34"/>
      <c r="AB183" s="35">
        <f t="shared" si="23"/>
        <v>855</v>
      </c>
      <c r="AC183" s="75">
        <f t="shared" si="24"/>
        <v>122500</v>
      </c>
      <c r="AD183" s="78">
        <f t="shared" si="32"/>
        <v>27125</v>
      </c>
      <c r="AE183" s="72">
        <f t="shared" si="25"/>
        <v>149625</v>
      </c>
      <c r="AF183" s="75">
        <f t="shared" si="26"/>
        <v>22268.854999999996</v>
      </c>
      <c r="AG183" s="78">
        <f t="shared" si="27"/>
        <v>4812.6089499999989</v>
      </c>
      <c r="AH183" s="72">
        <f t="shared" si="28"/>
        <v>27081.463949999994</v>
      </c>
      <c r="AI183" s="75">
        <f t="shared" si="29"/>
        <v>15365</v>
      </c>
      <c r="AJ183" s="78">
        <f t="shared" si="30"/>
        <v>3402.25</v>
      </c>
      <c r="AK183" s="72">
        <f t="shared" si="31"/>
        <v>18767.25</v>
      </c>
    </row>
    <row r="184" spans="1:37" ht="15.95" customHeight="1">
      <c r="A184" s="25" t="s">
        <v>12</v>
      </c>
      <c r="B184" s="25" t="s">
        <v>13</v>
      </c>
      <c r="C184" s="26" t="s">
        <v>21</v>
      </c>
      <c r="D184" s="26" t="s">
        <v>375</v>
      </c>
      <c r="E184" s="26" t="s">
        <v>16</v>
      </c>
      <c r="F184" s="26" t="s">
        <v>205</v>
      </c>
      <c r="G184" s="41" t="s">
        <v>184</v>
      </c>
      <c r="H184" s="44" t="s">
        <v>185</v>
      </c>
      <c r="I184" s="26" t="s">
        <v>27</v>
      </c>
      <c r="J184" s="28" t="s">
        <v>43</v>
      </c>
      <c r="K184" s="123">
        <v>135</v>
      </c>
      <c r="L184" s="29">
        <f t="shared" si="22"/>
        <v>26.176000000000002</v>
      </c>
      <c r="M184" s="110">
        <v>18</v>
      </c>
      <c r="N184" s="30">
        <v>0.28199999999999997</v>
      </c>
      <c r="O184" s="116">
        <v>5.0759999999999996</v>
      </c>
      <c r="P184" s="30">
        <v>7.4999999999999997E-2</v>
      </c>
      <c r="Q184" s="116">
        <v>1.3499999999999999</v>
      </c>
      <c r="R184" s="30">
        <v>7.0000000000000007E-2</v>
      </c>
      <c r="S184" s="116">
        <v>1.2600000000000002</v>
      </c>
      <c r="T184" s="117">
        <v>0.49</v>
      </c>
      <c r="U184" s="39">
        <v>600</v>
      </c>
      <c r="V184" s="32">
        <v>135</v>
      </c>
      <c r="W184" s="33"/>
      <c r="X184" s="32"/>
      <c r="Y184" s="32"/>
      <c r="Z184" s="32">
        <v>6</v>
      </c>
      <c r="AA184" s="34"/>
      <c r="AB184" s="35">
        <f t="shared" si="23"/>
        <v>741</v>
      </c>
      <c r="AC184" s="75">
        <f t="shared" si="24"/>
        <v>81000</v>
      </c>
      <c r="AD184" s="78">
        <f t="shared" si="32"/>
        <v>19035</v>
      </c>
      <c r="AE184" s="72">
        <f t="shared" si="25"/>
        <v>100035</v>
      </c>
      <c r="AF184" s="75">
        <f t="shared" si="26"/>
        <v>15705.6</v>
      </c>
      <c r="AG184" s="78">
        <f t="shared" si="27"/>
        <v>3641.76</v>
      </c>
      <c r="AH184" s="72">
        <f t="shared" si="28"/>
        <v>19347.36</v>
      </c>
      <c r="AI184" s="75">
        <f t="shared" si="29"/>
        <v>10800</v>
      </c>
      <c r="AJ184" s="78">
        <f t="shared" si="30"/>
        <v>2538</v>
      </c>
      <c r="AK184" s="72">
        <f t="shared" si="31"/>
        <v>13338</v>
      </c>
    </row>
    <row r="185" spans="1:37" ht="15.95" customHeight="1">
      <c r="A185" s="25" t="s">
        <v>12</v>
      </c>
      <c r="B185" s="25" t="s">
        <v>13</v>
      </c>
      <c r="C185" s="26" t="s">
        <v>44</v>
      </c>
      <c r="D185" s="26" t="s">
        <v>375</v>
      </c>
      <c r="E185" s="26" t="s">
        <v>16</v>
      </c>
      <c r="F185" s="26" t="s">
        <v>206</v>
      </c>
      <c r="G185" s="41" t="s">
        <v>184</v>
      </c>
      <c r="H185" s="44" t="s">
        <v>185</v>
      </c>
      <c r="I185" s="26" t="s">
        <v>27</v>
      </c>
      <c r="J185" s="28" t="s">
        <v>46</v>
      </c>
      <c r="K185" s="125">
        <v>110</v>
      </c>
      <c r="L185" s="29">
        <f t="shared" si="22"/>
        <v>22.465</v>
      </c>
      <c r="M185" s="110">
        <v>15</v>
      </c>
      <c r="N185" s="30">
        <v>0.32</v>
      </c>
      <c r="O185" s="116">
        <v>4.8</v>
      </c>
      <c r="P185" s="30">
        <v>7.4999999999999997E-2</v>
      </c>
      <c r="Q185" s="116">
        <v>1.125</v>
      </c>
      <c r="R185" s="30">
        <v>7.0000000000000007E-2</v>
      </c>
      <c r="S185" s="116">
        <v>1.05</v>
      </c>
      <c r="T185" s="117">
        <v>0.49</v>
      </c>
      <c r="U185" s="39">
        <v>500</v>
      </c>
      <c r="V185" s="32">
        <v>86</v>
      </c>
      <c r="W185" s="33"/>
      <c r="X185" s="32"/>
      <c r="Y185" s="32"/>
      <c r="Z185" s="32"/>
      <c r="AA185" s="34">
        <v>6</v>
      </c>
      <c r="AB185" s="35">
        <f t="shared" si="23"/>
        <v>592</v>
      </c>
      <c r="AC185" s="75">
        <f t="shared" si="24"/>
        <v>55000</v>
      </c>
      <c r="AD185" s="78">
        <f t="shared" si="32"/>
        <v>10120</v>
      </c>
      <c r="AE185" s="72">
        <f t="shared" si="25"/>
        <v>65120</v>
      </c>
      <c r="AF185" s="75">
        <f t="shared" si="26"/>
        <v>11232.5</v>
      </c>
      <c r="AG185" s="78">
        <f t="shared" si="27"/>
        <v>2021.99</v>
      </c>
      <c r="AH185" s="72">
        <f t="shared" si="28"/>
        <v>13254.49</v>
      </c>
      <c r="AI185" s="75">
        <f t="shared" si="29"/>
        <v>7500</v>
      </c>
      <c r="AJ185" s="78">
        <f t="shared" si="30"/>
        <v>1380</v>
      </c>
      <c r="AK185" s="72">
        <f t="shared" si="31"/>
        <v>8880</v>
      </c>
    </row>
    <row r="186" spans="1:37" ht="15.95" customHeight="1">
      <c r="A186" s="25" t="s">
        <v>12</v>
      </c>
      <c r="B186" s="25" t="s">
        <v>13</v>
      </c>
      <c r="C186" s="26" t="s">
        <v>44</v>
      </c>
      <c r="D186" s="26" t="s">
        <v>375</v>
      </c>
      <c r="E186" s="26" t="s">
        <v>16</v>
      </c>
      <c r="F186" s="26" t="s">
        <v>206</v>
      </c>
      <c r="G186" s="41" t="s">
        <v>184</v>
      </c>
      <c r="H186" s="44" t="s">
        <v>185</v>
      </c>
      <c r="I186" s="26" t="s">
        <v>27</v>
      </c>
      <c r="J186" s="28" t="s">
        <v>46</v>
      </c>
      <c r="K186" s="125">
        <v>110</v>
      </c>
      <c r="L186" s="29">
        <f t="shared" si="22"/>
        <v>22.465</v>
      </c>
      <c r="M186" s="110">
        <v>15</v>
      </c>
      <c r="N186" s="30">
        <v>0.32</v>
      </c>
      <c r="O186" s="116">
        <v>4.8</v>
      </c>
      <c r="P186" s="30">
        <v>7.4999999999999997E-2</v>
      </c>
      <c r="Q186" s="116">
        <v>1.125</v>
      </c>
      <c r="R186" s="30">
        <v>7.0000000000000007E-2</v>
      </c>
      <c r="S186" s="116">
        <v>1.05</v>
      </c>
      <c r="T186" s="117">
        <v>0.49</v>
      </c>
      <c r="U186" s="39">
        <v>400</v>
      </c>
      <c r="V186" s="32">
        <v>53</v>
      </c>
      <c r="W186" s="33"/>
      <c r="X186" s="32"/>
      <c r="Y186" s="32"/>
      <c r="Z186" s="32"/>
      <c r="AA186" s="34">
        <v>6</v>
      </c>
      <c r="AB186" s="35">
        <f t="shared" si="23"/>
        <v>459</v>
      </c>
      <c r="AC186" s="75">
        <f t="shared" si="24"/>
        <v>44000</v>
      </c>
      <c r="AD186" s="78">
        <f t="shared" si="32"/>
        <v>6490</v>
      </c>
      <c r="AE186" s="72">
        <f t="shared" si="25"/>
        <v>50490</v>
      </c>
      <c r="AF186" s="75">
        <f t="shared" si="26"/>
        <v>8986</v>
      </c>
      <c r="AG186" s="78">
        <f t="shared" si="27"/>
        <v>1280.645</v>
      </c>
      <c r="AH186" s="72">
        <f t="shared" si="28"/>
        <v>10266.645</v>
      </c>
      <c r="AI186" s="75">
        <f t="shared" si="29"/>
        <v>6000</v>
      </c>
      <c r="AJ186" s="78">
        <f t="shared" si="30"/>
        <v>885</v>
      </c>
      <c r="AK186" s="72">
        <f t="shared" si="31"/>
        <v>6885</v>
      </c>
    </row>
    <row r="187" spans="1:37" ht="15.95" customHeight="1">
      <c r="A187" s="25" t="s">
        <v>12</v>
      </c>
      <c r="B187" s="25" t="s">
        <v>13</v>
      </c>
      <c r="C187" s="26" t="s">
        <v>44</v>
      </c>
      <c r="D187" s="26" t="s">
        <v>375</v>
      </c>
      <c r="E187" s="26" t="s">
        <v>16</v>
      </c>
      <c r="F187" s="26" t="s">
        <v>206</v>
      </c>
      <c r="G187" s="41" t="s">
        <v>184</v>
      </c>
      <c r="H187" s="44" t="s">
        <v>185</v>
      </c>
      <c r="I187" s="26" t="s">
        <v>27</v>
      </c>
      <c r="J187" s="28" t="s">
        <v>46</v>
      </c>
      <c r="K187" s="125">
        <v>110</v>
      </c>
      <c r="L187" s="29">
        <f t="shared" si="22"/>
        <v>22.465</v>
      </c>
      <c r="M187" s="110">
        <v>15</v>
      </c>
      <c r="N187" s="30">
        <v>0.32</v>
      </c>
      <c r="O187" s="116">
        <v>4.8</v>
      </c>
      <c r="P187" s="30">
        <v>7.4999999999999997E-2</v>
      </c>
      <c r="Q187" s="116">
        <v>1.125</v>
      </c>
      <c r="R187" s="30">
        <v>7.0000000000000007E-2</v>
      </c>
      <c r="S187" s="116">
        <v>1.05</v>
      </c>
      <c r="T187" s="117">
        <v>0.49</v>
      </c>
      <c r="U187" s="39">
        <v>500</v>
      </c>
      <c r="V187" s="32">
        <v>93</v>
      </c>
      <c r="W187" s="33"/>
      <c r="X187" s="32"/>
      <c r="Y187" s="32"/>
      <c r="Z187" s="32"/>
      <c r="AA187" s="34">
        <v>6</v>
      </c>
      <c r="AB187" s="35">
        <f t="shared" si="23"/>
        <v>599</v>
      </c>
      <c r="AC187" s="75">
        <f t="shared" si="24"/>
        <v>55000</v>
      </c>
      <c r="AD187" s="78">
        <f t="shared" si="32"/>
        <v>10890</v>
      </c>
      <c r="AE187" s="72">
        <f t="shared" si="25"/>
        <v>65890</v>
      </c>
      <c r="AF187" s="75">
        <f t="shared" si="26"/>
        <v>11232.5</v>
      </c>
      <c r="AG187" s="78">
        <f t="shared" si="27"/>
        <v>2179.2449999999999</v>
      </c>
      <c r="AH187" s="72">
        <f t="shared" si="28"/>
        <v>13411.744999999999</v>
      </c>
      <c r="AI187" s="75">
        <f t="shared" si="29"/>
        <v>7500</v>
      </c>
      <c r="AJ187" s="78">
        <f t="shared" si="30"/>
        <v>1485</v>
      </c>
      <c r="AK187" s="72">
        <f t="shared" si="31"/>
        <v>8985</v>
      </c>
    </row>
    <row r="188" spans="1:37" ht="15.95" customHeight="1">
      <c r="A188" s="25" t="s">
        <v>12</v>
      </c>
      <c r="B188" s="25" t="s">
        <v>13</v>
      </c>
      <c r="C188" s="26" t="s">
        <v>14</v>
      </c>
      <c r="D188" s="26" t="s">
        <v>375</v>
      </c>
      <c r="E188" s="26" t="s">
        <v>16</v>
      </c>
      <c r="F188" s="26" t="s">
        <v>207</v>
      </c>
      <c r="G188" s="41" t="s">
        <v>184</v>
      </c>
      <c r="H188" s="44" t="s">
        <v>185</v>
      </c>
      <c r="I188" s="26" t="s">
        <v>27</v>
      </c>
      <c r="J188" s="28" t="s">
        <v>41</v>
      </c>
      <c r="K188" s="123">
        <v>185</v>
      </c>
      <c r="L188" s="29">
        <f t="shared" si="22"/>
        <v>34.024500000000003</v>
      </c>
      <c r="M188" s="110">
        <v>23.5</v>
      </c>
      <c r="N188" s="30">
        <v>0.28199999999999997</v>
      </c>
      <c r="O188" s="116">
        <v>6.6269999999999998</v>
      </c>
      <c r="P188" s="30">
        <v>7.4999999999999997E-2</v>
      </c>
      <c r="Q188" s="116">
        <v>1.7625</v>
      </c>
      <c r="R188" s="30">
        <v>7.0000000000000007E-2</v>
      </c>
      <c r="S188" s="116">
        <v>1.6450000000000002</v>
      </c>
      <c r="T188" s="117">
        <v>0.49</v>
      </c>
      <c r="U188" s="39">
        <v>1200</v>
      </c>
      <c r="V188" s="32">
        <v>124</v>
      </c>
      <c r="W188" s="33"/>
      <c r="X188" s="32"/>
      <c r="Y188" s="32"/>
      <c r="Z188" s="32"/>
      <c r="AA188" s="34"/>
      <c r="AB188" s="35">
        <f t="shared" si="23"/>
        <v>1324</v>
      </c>
      <c r="AC188" s="75">
        <f t="shared" si="24"/>
        <v>222000</v>
      </c>
      <c r="AD188" s="78">
        <f t="shared" si="32"/>
        <v>22940</v>
      </c>
      <c r="AE188" s="72">
        <f t="shared" si="25"/>
        <v>244940</v>
      </c>
      <c r="AF188" s="75">
        <f t="shared" si="26"/>
        <v>40829.4</v>
      </c>
      <c r="AG188" s="78">
        <f t="shared" si="27"/>
        <v>4219.0380000000005</v>
      </c>
      <c r="AH188" s="72">
        <f t="shared" si="28"/>
        <v>45048.438000000002</v>
      </c>
      <c r="AI188" s="75">
        <f t="shared" si="29"/>
        <v>28200</v>
      </c>
      <c r="AJ188" s="78">
        <f t="shared" si="30"/>
        <v>2914</v>
      </c>
      <c r="AK188" s="72">
        <f t="shared" si="31"/>
        <v>31114</v>
      </c>
    </row>
    <row r="189" spans="1:37" ht="15.95" customHeight="1">
      <c r="A189" s="25" t="s">
        <v>12</v>
      </c>
      <c r="B189" s="25" t="s">
        <v>13</v>
      </c>
      <c r="C189" s="26" t="s">
        <v>21</v>
      </c>
      <c r="D189" s="26" t="s">
        <v>375</v>
      </c>
      <c r="E189" s="26" t="s">
        <v>16</v>
      </c>
      <c r="F189" s="26" t="s">
        <v>208</v>
      </c>
      <c r="G189" s="41" t="s">
        <v>184</v>
      </c>
      <c r="H189" s="44" t="s">
        <v>185</v>
      </c>
      <c r="I189" s="26" t="s">
        <v>27</v>
      </c>
      <c r="J189" s="28" t="s">
        <v>43</v>
      </c>
      <c r="K189" s="123">
        <v>150</v>
      </c>
      <c r="L189" s="29">
        <f t="shared" si="22"/>
        <v>27.602999999999998</v>
      </c>
      <c r="M189" s="110">
        <v>19</v>
      </c>
      <c r="N189" s="30">
        <v>0.28199999999999997</v>
      </c>
      <c r="O189" s="116">
        <v>5.3579999999999997</v>
      </c>
      <c r="P189" s="30">
        <v>7.4999999999999997E-2</v>
      </c>
      <c r="Q189" s="116">
        <v>1.425</v>
      </c>
      <c r="R189" s="30">
        <v>7.0000000000000007E-2</v>
      </c>
      <c r="S189" s="116">
        <v>1.33</v>
      </c>
      <c r="T189" s="117">
        <v>0.49</v>
      </c>
      <c r="U189" s="39">
        <v>1100</v>
      </c>
      <c r="V189" s="32">
        <v>124</v>
      </c>
      <c r="W189" s="33"/>
      <c r="X189" s="32"/>
      <c r="Y189" s="32"/>
      <c r="Z189" s="32"/>
      <c r="AA189" s="34"/>
      <c r="AB189" s="35">
        <f t="shared" si="23"/>
        <v>1224</v>
      </c>
      <c r="AC189" s="75">
        <f t="shared" si="24"/>
        <v>165000</v>
      </c>
      <c r="AD189" s="78">
        <f t="shared" si="32"/>
        <v>18600</v>
      </c>
      <c r="AE189" s="72">
        <f t="shared" si="25"/>
        <v>183600</v>
      </c>
      <c r="AF189" s="75">
        <f t="shared" si="26"/>
        <v>30363.3</v>
      </c>
      <c r="AG189" s="78">
        <f t="shared" si="27"/>
        <v>3422.7719999999999</v>
      </c>
      <c r="AH189" s="72">
        <f t="shared" si="28"/>
        <v>33786.072</v>
      </c>
      <c r="AI189" s="75">
        <f t="shared" si="29"/>
        <v>20900</v>
      </c>
      <c r="AJ189" s="78">
        <f t="shared" si="30"/>
        <v>2356</v>
      </c>
      <c r="AK189" s="72">
        <f t="shared" si="31"/>
        <v>23256</v>
      </c>
    </row>
    <row r="190" spans="1:37" ht="15.95" customHeight="1">
      <c r="A190" s="25" t="s">
        <v>12</v>
      </c>
      <c r="B190" s="25" t="s">
        <v>13</v>
      </c>
      <c r="C190" s="26" t="s">
        <v>14</v>
      </c>
      <c r="D190" s="26" t="s">
        <v>375</v>
      </c>
      <c r="E190" s="26" t="s">
        <v>16</v>
      </c>
      <c r="F190" s="26" t="s">
        <v>207</v>
      </c>
      <c r="G190" s="41" t="s">
        <v>184</v>
      </c>
      <c r="H190" s="44" t="s">
        <v>185</v>
      </c>
      <c r="I190" s="26" t="s">
        <v>27</v>
      </c>
      <c r="J190" s="28" t="s">
        <v>41</v>
      </c>
      <c r="K190" s="123">
        <v>185</v>
      </c>
      <c r="L190" s="29">
        <f t="shared" si="22"/>
        <v>34.024500000000003</v>
      </c>
      <c r="M190" s="110">
        <v>23.5</v>
      </c>
      <c r="N190" s="30">
        <v>0.28199999999999997</v>
      </c>
      <c r="O190" s="116">
        <v>6.6269999999999998</v>
      </c>
      <c r="P190" s="30">
        <v>7.4999999999999997E-2</v>
      </c>
      <c r="Q190" s="116">
        <v>1.7625</v>
      </c>
      <c r="R190" s="30">
        <v>7.0000000000000007E-2</v>
      </c>
      <c r="S190" s="116">
        <v>1.6450000000000002</v>
      </c>
      <c r="T190" s="117">
        <v>0.49</v>
      </c>
      <c r="U190" s="39">
        <v>1300</v>
      </c>
      <c r="V190" s="32">
        <v>178</v>
      </c>
      <c r="W190" s="33"/>
      <c r="X190" s="32"/>
      <c r="Y190" s="32"/>
      <c r="Z190" s="32"/>
      <c r="AA190" s="34"/>
      <c r="AB190" s="35">
        <f t="shared" si="23"/>
        <v>1478</v>
      </c>
      <c r="AC190" s="75">
        <f t="shared" si="24"/>
        <v>240500</v>
      </c>
      <c r="AD190" s="78">
        <f t="shared" si="32"/>
        <v>32930</v>
      </c>
      <c r="AE190" s="72">
        <f t="shared" si="25"/>
        <v>273430</v>
      </c>
      <c r="AF190" s="75">
        <f t="shared" si="26"/>
        <v>44231.850000000006</v>
      </c>
      <c r="AG190" s="78">
        <f t="shared" si="27"/>
        <v>6056.3610000000008</v>
      </c>
      <c r="AH190" s="72">
        <f t="shared" si="28"/>
        <v>50288.21100000001</v>
      </c>
      <c r="AI190" s="75">
        <f t="shared" si="29"/>
        <v>30550</v>
      </c>
      <c r="AJ190" s="78">
        <f t="shared" si="30"/>
        <v>4183</v>
      </c>
      <c r="AK190" s="72">
        <f t="shared" si="31"/>
        <v>34733</v>
      </c>
    </row>
    <row r="191" spans="1:37" ht="15.95" customHeight="1">
      <c r="A191" s="25" t="s">
        <v>12</v>
      </c>
      <c r="B191" s="25" t="s">
        <v>13</v>
      </c>
      <c r="C191" s="26" t="s">
        <v>21</v>
      </c>
      <c r="D191" s="26" t="s">
        <v>375</v>
      </c>
      <c r="E191" s="26" t="s">
        <v>16</v>
      </c>
      <c r="F191" s="26" t="s">
        <v>208</v>
      </c>
      <c r="G191" s="41" t="s">
        <v>184</v>
      </c>
      <c r="H191" s="44" t="s">
        <v>185</v>
      </c>
      <c r="I191" s="26" t="s">
        <v>27</v>
      </c>
      <c r="J191" s="28" t="s">
        <v>43</v>
      </c>
      <c r="K191" s="123">
        <v>150</v>
      </c>
      <c r="L191" s="29">
        <f t="shared" si="22"/>
        <v>27.602999999999998</v>
      </c>
      <c r="M191" s="110">
        <v>19</v>
      </c>
      <c r="N191" s="30">
        <v>0.28199999999999997</v>
      </c>
      <c r="O191" s="116">
        <v>5.3579999999999997</v>
      </c>
      <c r="P191" s="30">
        <v>7.4999999999999997E-2</v>
      </c>
      <c r="Q191" s="116">
        <v>1.425</v>
      </c>
      <c r="R191" s="30">
        <v>7.0000000000000007E-2</v>
      </c>
      <c r="S191" s="116">
        <v>1.33</v>
      </c>
      <c r="T191" s="117">
        <v>0.49</v>
      </c>
      <c r="U191" s="39">
        <v>1200</v>
      </c>
      <c r="V191" s="32">
        <v>178</v>
      </c>
      <c r="W191" s="33"/>
      <c r="X191" s="32"/>
      <c r="Y191" s="32"/>
      <c r="Z191" s="32"/>
      <c r="AA191" s="34"/>
      <c r="AB191" s="35">
        <f t="shared" si="23"/>
        <v>1378</v>
      </c>
      <c r="AC191" s="75">
        <f t="shared" si="24"/>
        <v>180000</v>
      </c>
      <c r="AD191" s="78">
        <f t="shared" si="32"/>
        <v>26700</v>
      </c>
      <c r="AE191" s="72">
        <f t="shared" si="25"/>
        <v>206700</v>
      </c>
      <c r="AF191" s="75">
        <f t="shared" si="26"/>
        <v>33123.599999999999</v>
      </c>
      <c r="AG191" s="78">
        <f t="shared" si="27"/>
        <v>4913.3339999999998</v>
      </c>
      <c r="AH191" s="72">
        <f t="shared" si="28"/>
        <v>38036.934000000001</v>
      </c>
      <c r="AI191" s="75">
        <f t="shared" si="29"/>
        <v>22800</v>
      </c>
      <c r="AJ191" s="78">
        <f t="shared" si="30"/>
        <v>3382</v>
      </c>
      <c r="AK191" s="72">
        <f t="shared" si="31"/>
        <v>26182</v>
      </c>
    </row>
    <row r="192" spans="1:37" ht="15.95" customHeight="1">
      <c r="A192" s="25" t="s">
        <v>12</v>
      </c>
      <c r="B192" s="25" t="s">
        <v>13</v>
      </c>
      <c r="C192" s="26" t="s">
        <v>14</v>
      </c>
      <c r="D192" s="26" t="s">
        <v>375</v>
      </c>
      <c r="E192" s="26" t="s">
        <v>16</v>
      </c>
      <c r="F192" s="26" t="s">
        <v>207</v>
      </c>
      <c r="G192" s="41" t="s">
        <v>184</v>
      </c>
      <c r="H192" s="44" t="s">
        <v>185</v>
      </c>
      <c r="I192" s="26" t="s">
        <v>27</v>
      </c>
      <c r="J192" s="28" t="s">
        <v>41</v>
      </c>
      <c r="K192" s="123">
        <v>185</v>
      </c>
      <c r="L192" s="29">
        <f t="shared" si="22"/>
        <v>34.024500000000003</v>
      </c>
      <c r="M192" s="110">
        <v>23.5</v>
      </c>
      <c r="N192" s="30">
        <v>0.28199999999999997</v>
      </c>
      <c r="O192" s="116">
        <v>6.6269999999999998</v>
      </c>
      <c r="P192" s="30">
        <v>7.4999999999999997E-2</v>
      </c>
      <c r="Q192" s="116">
        <v>1.7625</v>
      </c>
      <c r="R192" s="30">
        <v>7.0000000000000007E-2</v>
      </c>
      <c r="S192" s="116">
        <v>1.6450000000000002</v>
      </c>
      <c r="T192" s="117">
        <v>0.49</v>
      </c>
      <c r="U192" s="39">
        <v>1300</v>
      </c>
      <c r="V192" s="32">
        <v>199</v>
      </c>
      <c r="W192" s="33"/>
      <c r="X192" s="32"/>
      <c r="Y192" s="32"/>
      <c r="Z192" s="32"/>
      <c r="AA192" s="34"/>
      <c r="AB192" s="35">
        <f t="shared" si="23"/>
        <v>1499</v>
      </c>
      <c r="AC192" s="75">
        <f t="shared" si="24"/>
        <v>240500</v>
      </c>
      <c r="AD192" s="78">
        <f t="shared" si="32"/>
        <v>36815</v>
      </c>
      <c r="AE192" s="72">
        <f t="shared" si="25"/>
        <v>277315</v>
      </c>
      <c r="AF192" s="75">
        <f t="shared" si="26"/>
        <v>44231.850000000006</v>
      </c>
      <c r="AG192" s="78">
        <f t="shared" si="27"/>
        <v>6770.875500000001</v>
      </c>
      <c r="AH192" s="72">
        <f t="shared" si="28"/>
        <v>51002.725500000008</v>
      </c>
      <c r="AI192" s="75">
        <f t="shared" si="29"/>
        <v>30550</v>
      </c>
      <c r="AJ192" s="78">
        <f t="shared" si="30"/>
        <v>4676.5</v>
      </c>
      <c r="AK192" s="72">
        <f t="shared" si="31"/>
        <v>35226.5</v>
      </c>
    </row>
    <row r="193" spans="1:37" ht="15.95" customHeight="1">
      <c r="A193" s="25" t="s">
        <v>12</v>
      </c>
      <c r="B193" s="25" t="s">
        <v>13</v>
      </c>
      <c r="C193" s="26" t="s">
        <v>21</v>
      </c>
      <c r="D193" s="26" t="s">
        <v>375</v>
      </c>
      <c r="E193" s="26" t="s">
        <v>16</v>
      </c>
      <c r="F193" s="26" t="s">
        <v>208</v>
      </c>
      <c r="G193" s="41" t="s">
        <v>184</v>
      </c>
      <c r="H193" s="44" t="s">
        <v>185</v>
      </c>
      <c r="I193" s="26" t="s">
        <v>27</v>
      </c>
      <c r="J193" s="28" t="s">
        <v>43</v>
      </c>
      <c r="K193" s="123">
        <v>150</v>
      </c>
      <c r="L193" s="29">
        <f t="shared" si="22"/>
        <v>27.602999999999998</v>
      </c>
      <c r="M193" s="110">
        <v>19</v>
      </c>
      <c r="N193" s="30">
        <v>0.28199999999999997</v>
      </c>
      <c r="O193" s="116">
        <v>5.3579999999999997</v>
      </c>
      <c r="P193" s="30">
        <v>7.4999999999999997E-2</v>
      </c>
      <c r="Q193" s="116">
        <v>1.425</v>
      </c>
      <c r="R193" s="30">
        <v>7.0000000000000007E-2</v>
      </c>
      <c r="S193" s="116">
        <v>1.33</v>
      </c>
      <c r="T193" s="117">
        <v>0.49</v>
      </c>
      <c r="U193" s="39">
        <v>1200</v>
      </c>
      <c r="V193" s="32">
        <v>199</v>
      </c>
      <c r="W193" s="33"/>
      <c r="X193" s="32"/>
      <c r="Y193" s="32"/>
      <c r="Z193" s="32"/>
      <c r="AA193" s="34"/>
      <c r="AB193" s="35">
        <f t="shared" si="23"/>
        <v>1399</v>
      </c>
      <c r="AC193" s="75">
        <f t="shared" si="24"/>
        <v>180000</v>
      </c>
      <c r="AD193" s="78">
        <f t="shared" si="32"/>
        <v>29850</v>
      </c>
      <c r="AE193" s="72">
        <f t="shared" si="25"/>
        <v>209850</v>
      </c>
      <c r="AF193" s="75">
        <f t="shared" si="26"/>
        <v>33123.599999999999</v>
      </c>
      <c r="AG193" s="78">
        <f t="shared" si="27"/>
        <v>5492.9969999999994</v>
      </c>
      <c r="AH193" s="72">
        <f t="shared" si="28"/>
        <v>38616.596999999994</v>
      </c>
      <c r="AI193" s="75">
        <f t="shared" si="29"/>
        <v>22800</v>
      </c>
      <c r="AJ193" s="78">
        <f t="shared" si="30"/>
        <v>3781</v>
      </c>
      <c r="AK193" s="72">
        <f t="shared" si="31"/>
        <v>26581</v>
      </c>
    </row>
    <row r="194" spans="1:37" ht="15.95" customHeight="1">
      <c r="A194" s="25" t="s">
        <v>12</v>
      </c>
      <c r="B194" s="25" t="s">
        <v>13</v>
      </c>
      <c r="C194" s="26" t="s">
        <v>14</v>
      </c>
      <c r="D194" s="26" t="s">
        <v>375</v>
      </c>
      <c r="E194" s="26" t="s">
        <v>16</v>
      </c>
      <c r="F194" s="26" t="s">
        <v>207</v>
      </c>
      <c r="G194" s="41" t="s">
        <v>184</v>
      </c>
      <c r="H194" s="44" t="s">
        <v>185</v>
      </c>
      <c r="I194" s="26" t="s">
        <v>27</v>
      </c>
      <c r="J194" s="28" t="s">
        <v>1313</v>
      </c>
      <c r="K194" s="123">
        <v>185</v>
      </c>
      <c r="L194" s="29">
        <f t="shared" si="22"/>
        <v>34.024500000000003</v>
      </c>
      <c r="M194" s="110">
        <v>23.5</v>
      </c>
      <c r="N194" s="30">
        <v>0.28199999999999997</v>
      </c>
      <c r="O194" s="116">
        <v>6.6269999999999998</v>
      </c>
      <c r="P194" s="30">
        <v>7.4999999999999997E-2</v>
      </c>
      <c r="Q194" s="116">
        <v>1.7625</v>
      </c>
      <c r="R194" s="30">
        <v>7.0000000000000007E-2</v>
      </c>
      <c r="S194" s="116">
        <v>1.6450000000000002</v>
      </c>
      <c r="T194" s="117">
        <v>0.49</v>
      </c>
      <c r="U194" s="39">
        <v>1200</v>
      </c>
      <c r="V194" s="32">
        <v>274</v>
      </c>
      <c r="W194" s="33"/>
      <c r="X194" s="32">
        <v>70</v>
      </c>
      <c r="Y194" s="32"/>
      <c r="Z194" s="32"/>
      <c r="AA194" s="34"/>
      <c r="AB194" s="35">
        <f t="shared" si="23"/>
        <v>1544</v>
      </c>
      <c r="AC194" s="75">
        <f t="shared" si="24"/>
        <v>222000</v>
      </c>
      <c r="AD194" s="78">
        <f t="shared" si="32"/>
        <v>63640</v>
      </c>
      <c r="AE194" s="72">
        <f t="shared" si="25"/>
        <v>285640</v>
      </c>
      <c r="AF194" s="75">
        <f t="shared" si="26"/>
        <v>40829.4</v>
      </c>
      <c r="AG194" s="78">
        <f t="shared" si="27"/>
        <v>10967.713000000002</v>
      </c>
      <c r="AH194" s="72">
        <f t="shared" si="28"/>
        <v>51797.113000000005</v>
      </c>
      <c r="AI194" s="75">
        <f t="shared" si="29"/>
        <v>28200</v>
      </c>
      <c r="AJ194" s="78">
        <f t="shared" si="30"/>
        <v>8084</v>
      </c>
      <c r="AK194" s="72">
        <f t="shared" si="31"/>
        <v>36284</v>
      </c>
    </row>
    <row r="195" spans="1:37" ht="15.95" customHeight="1">
      <c r="A195" s="25" t="s">
        <v>12</v>
      </c>
      <c r="B195" s="25" t="s">
        <v>13</v>
      </c>
      <c r="C195" s="26" t="s">
        <v>21</v>
      </c>
      <c r="D195" s="26" t="s">
        <v>375</v>
      </c>
      <c r="E195" s="26" t="s">
        <v>16</v>
      </c>
      <c r="F195" s="26" t="s">
        <v>208</v>
      </c>
      <c r="G195" s="41" t="s">
        <v>184</v>
      </c>
      <c r="H195" s="44" t="s">
        <v>185</v>
      </c>
      <c r="I195" s="26" t="s">
        <v>27</v>
      </c>
      <c r="J195" s="28" t="s">
        <v>43</v>
      </c>
      <c r="K195" s="123">
        <v>150</v>
      </c>
      <c r="L195" s="29">
        <f t="shared" si="22"/>
        <v>27.602999999999998</v>
      </c>
      <c r="M195" s="110">
        <v>19</v>
      </c>
      <c r="N195" s="30">
        <v>0.28199999999999997</v>
      </c>
      <c r="O195" s="116">
        <v>5.3579999999999997</v>
      </c>
      <c r="P195" s="30">
        <v>7.4999999999999997E-2</v>
      </c>
      <c r="Q195" s="116">
        <v>1.425</v>
      </c>
      <c r="R195" s="30">
        <v>7.0000000000000007E-2</v>
      </c>
      <c r="S195" s="116">
        <v>1.33</v>
      </c>
      <c r="T195" s="117">
        <v>0.49</v>
      </c>
      <c r="U195" s="39">
        <v>1100</v>
      </c>
      <c r="V195" s="32">
        <v>266</v>
      </c>
      <c r="W195" s="33"/>
      <c r="X195" s="32">
        <v>50</v>
      </c>
      <c r="Y195" s="32"/>
      <c r="Z195" s="32"/>
      <c r="AA195" s="34"/>
      <c r="AB195" s="35">
        <f t="shared" si="23"/>
        <v>1416</v>
      </c>
      <c r="AC195" s="75">
        <f t="shared" si="24"/>
        <v>165000</v>
      </c>
      <c r="AD195" s="78">
        <f t="shared" si="32"/>
        <v>47400</v>
      </c>
      <c r="AE195" s="72">
        <f t="shared" si="25"/>
        <v>212400</v>
      </c>
      <c r="AF195" s="75">
        <f t="shared" si="26"/>
        <v>30363.3</v>
      </c>
      <c r="AG195" s="78">
        <f t="shared" si="27"/>
        <v>8292.3979999999992</v>
      </c>
      <c r="AH195" s="72">
        <f t="shared" si="28"/>
        <v>38655.697999999997</v>
      </c>
      <c r="AI195" s="75">
        <f t="shared" si="29"/>
        <v>20900</v>
      </c>
      <c r="AJ195" s="78">
        <f t="shared" si="30"/>
        <v>6004</v>
      </c>
      <c r="AK195" s="72">
        <f t="shared" si="31"/>
        <v>26904</v>
      </c>
    </row>
    <row r="196" spans="1:37" ht="15.95" customHeight="1">
      <c r="A196" s="25" t="s">
        <v>12</v>
      </c>
      <c r="B196" s="25" t="s">
        <v>13</v>
      </c>
      <c r="C196" s="26" t="s">
        <v>48</v>
      </c>
      <c r="D196" s="26" t="s">
        <v>375</v>
      </c>
      <c r="E196" s="26" t="s">
        <v>16</v>
      </c>
      <c r="F196" s="26" t="s">
        <v>209</v>
      </c>
      <c r="G196" s="41" t="s">
        <v>184</v>
      </c>
      <c r="H196" s="44" t="s">
        <v>185</v>
      </c>
      <c r="I196" s="26" t="s">
        <v>27</v>
      </c>
      <c r="J196" s="28" t="s">
        <v>28</v>
      </c>
      <c r="K196" s="123">
        <v>140</v>
      </c>
      <c r="L196" s="29">
        <f t="shared" si="22"/>
        <v>26.86</v>
      </c>
      <c r="M196" s="110">
        <v>18</v>
      </c>
      <c r="N196" s="30">
        <v>0.32</v>
      </c>
      <c r="O196" s="116">
        <v>5.76</v>
      </c>
      <c r="P196" s="30">
        <v>7.4999999999999997E-2</v>
      </c>
      <c r="Q196" s="116">
        <v>1.3499999999999999</v>
      </c>
      <c r="R196" s="30">
        <v>7.0000000000000007E-2</v>
      </c>
      <c r="S196" s="116">
        <v>1.2600000000000002</v>
      </c>
      <c r="T196" s="117">
        <v>0.49</v>
      </c>
      <c r="U196" s="39">
        <v>900</v>
      </c>
      <c r="V196" s="32">
        <v>5</v>
      </c>
      <c r="W196" s="33"/>
      <c r="X196" s="32"/>
      <c r="Y196" s="32"/>
      <c r="Z196" s="32"/>
      <c r="AA196" s="34"/>
      <c r="AB196" s="35">
        <f t="shared" si="23"/>
        <v>905</v>
      </c>
      <c r="AC196" s="75">
        <f t="shared" si="24"/>
        <v>126000</v>
      </c>
      <c r="AD196" s="78">
        <f t="shared" si="32"/>
        <v>700</v>
      </c>
      <c r="AE196" s="72">
        <f t="shared" si="25"/>
        <v>126700</v>
      </c>
      <c r="AF196" s="75">
        <f t="shared" si="26"/>
        <v>24174</v>
      </c>
      <c r="AG196" s="78">
        <f t="shared" si="27"/>
        <v>134.30000000000001</v>
      </c>
      <c r="AH196" s="72">
        <f t="shared" si="28"/>
        <v>24308.3</v>
      </c>
      <c r="AI196" s="75">
        <f t="shared" si="29"/>
        <v>16200</v>
      </c>
      <c r="AJ196" s="78">
        <f t="shared" si="30"/>
        <v>90</v>
      </c>
      <c r="AK196" s="72">
        <f t="shared" si="31"/>
        <v>16290</v>
      </c>
    </row>
    <row r="197" spans="1:37" ht="15.95" customHeight="1">
      <c r="A197" s="25" t="s">
        <v>12</v>
      </c>
      <c r="B197" s="25" t="s">
        <v>13</v>
      </c>
      <c r="C197" s="26" t="s">
        <v>48</v>
      </c>
      <c r="D197" s="26" t="s">
        <v>375</v>
      </c>
      <c r="E197" s="26" t="s">
        <v>16</v>
      </c>
      <c r="F197" s="26" t="s">
        <v>209</v>
      </c>
      <c r="G197" s="41" t="s">
        <v>184</v>
      </c>
      <c r="H197" s="44" t="s">
        <v>185</v>
      </c>
      <c r="I197" s="26" t="s">
        <v>27</v>
      </c>
      <c r="J197" s="28" t="s">
        <v>28</v>
      </c>
      <c r="K197" s="123">
        <v>140</v>
      </c>
      <c r="L197" s="29">
        <f t="shared" ref="L197:L238" si="33">M197+O197+Q197+S197+T197</f>
        <v>26.86</v>
      </c>
      <c r="M197" s="110">
        <v>18</v>
      </c>
      <c r="N197" s="30">
        <v>0.32</v>
      </c>
      <c r="O197" s="116">
        <v>5.76</v>
      </c>
      <c r="P197" s="30">
        <v>7.4999999999999997E-2</v>
      </c>
      <c r="Q197" s="116">
        <v>1.3499999999999999</v>
      </c>
      <c r="R197" s="30">
        <v>7.0000000000000007E-2</v>
      </c>
      <c r="S197" s="116">
        <v>1.2600000000000002</v>
      </c>
      <c r="T197" s="117">
        <v>0.49</v>
      </c>
      <c r="U197" s="39">
        <v>800</v>
      </c>
      <c r="V197" s="32"/>
      <c r="W197" s="33"/>
      <c r="X197" s="32"/>
      <c r="Y197" s="32"/>
      <c r="Z197" s="32"/>
      <c r="AA197" s="34"/>
      <c r="AB197" s="35">
        <f t="shared" ref="AB197:AB238" si="34">SUM(U197:AA197)</f>
        <v>800</v>
      </c>
      <c r="AC197" s="75">
        <f t="shared" ref="AC197:AC238" si="35">$K197*U197</f>
        <v>112000</v>
      </c>
      <c r="AD197" s="78">
        <f t="shared" si="32"/>
        <v>0</v>
      </c>
      <c r="AE197" s="72">
        <f t="shared" ref="AE197:AE238" si="36">SUM(AC197:AD197)</f>
        <v>112000</v>
      </c>
      <c r="AF197" s="75">
        <f t="shared" ref="AF197:AF238" si="37">$L197*U197</f>
        <v>21488</v>
      </c>
      <c r="AG197" s="78">
        <f t="shared" ref="AG197:AG238" si="38">$L197*SUM(V197:W197)+M197*SUM(X197:AA197)</f>
        <v>0</v>
      </c>
      <c r="AH197" s="72">
        <f t="shared" ref="AH197:AH238" si="39">SUM(AF197:AG197)</f>
        <v>21488</v>
      </c>
      <c r="AI197" s="75">
        <f t="shared" ref="AI197:AI238" si="40">$M197*U197</f>
        <v>14400</v>
      </c>
      <c r="AJ197" s="78">
        <f t="shared" ref="AJ197:AJ238" si="41">$M197*SUM(V197:AA197)</f>
        <v>0</v>
      </c>
      <c r="AK197" s="72">
        <f t="shared" ref="AK197:AK238" si="42">SUM(AI197:AJ197)</f>
        <v>14400</v>
      </c>
    </row>
    <row r="198" spans="1:37" ht="15.95" customHeight="1">
      <c r="A198" s="25" t="s">
        <v>12</v>
      </c>
      <c r="B198" s="25" t="s">
        <v>13</v>
      </c>
      <c r="C198" s="26" t="s">
        <v>48</v>
      </c>
      <c r="D198" s="26" t="s">
        <v>375</v>
      </c>
      <c r="E198" s="26" t="s">
        <v>16</v>
      </c>
      <c r="F198" s="26" t="s">
        <v>209</v>
      </c>
      <c r="G198" s="41" t="s">
        <v>184</v>
      </c>
      <c r="H198" s="44" t="s">
        <v>185</v>
      </c>
      <c r="I198" s="26" t="s">
        <v>27</v>
      </c>
      <c r="J198" s="28" t="s">
        <v>28</v>
      </c>
      <c r="K198" s="123">
        <v>140</v>
      </c>
      <c r="L198" s="29">
        <f t="shared" si="33"/>
        <v>26.86</v>
      </c>
      <c r="M198" s="110">
        <v>18</v>
      </c>
      <c r="N198" s="30">
        <v>0.32</v>
      </c>
      <c r="O198" s="116">
        <v>5.76</v>
      </c>
      <c r="P198" s="30">
        <v>7.4999999999999997E-2</v>
      </c>
      <c r="Q198" s="116">
        <v>1.3499999999999999</v>
      </c>
      <c r="R198" s="30">
        <v>7.0000000000000007E-2</v>
      </c>
      <c r="S198" s="116">
        <v>1.2600000000000002</v>
      </c>
      <c r="T198" s="117">
        <v>0.49</v>
      </c>
      <c r="U198" s="39">
        <v>700</v>
      </c>
      <c r="V198" s="32"/>
      <c r="W198" s="33"/>
      <c r="X198" s="32"/>
      <c r="Y198" s="32"/>
      <c r="Z198" s="32"/>
      <c r="AA198" s="34"/>
      <c r="AB198" s="35">
        <f t="shared" si="34"/>
        <v>700</v>
      </c>
      <c r="AC198" s="75">
        <f t="shared" si="35"/>
        <v>98000</v>
      </c>
      <c r="AD198" s="78">
        <f t="shared" si="32"/>
        <v>0</v>
      </c>
      <c r="AE198" s="72">
        <f t="shared" si="36"/>
        <v>98000</v>
      </c>
      <c r="AF198" s="75">
        <f t="shared" si="37"/>
        <v>18802</v>
      </c>
      <c r="AG198" s="78">
        <f t="shared" si="38"/>
        <v>0</v>
      </c>
      <c r="AH198" s="72">
        <f t="shared" si="39"/>
        <v>18802</v>
      </c>
      <c r="AI198" s="75">
        <f t="shared" si="40"/>
        <v>12600</v>
      </c>
      <c r="AJ198" s="78">
        <f t="shared" si="41"/>
        <v>0</v>
      </c>
      <c r="AK198" s="72">
        <f t="shared" si="42"/>
        <v>12600</v>
      </c>
    </row>
    <row r="199" spans="1:37" ht="15.95" customHeight="1">
      <c r="A199" s="25" t="s">
        <v>12</v>
      </c>
      <c r="B199" s="25" t="s">
        <v>13</v>
      </c>
      <c r="C199" s="26" t="s">
        <v>48</v>
      </c>
      <c r="D199" s="26" t="s">
        <v>375</v>
      </c>
      <c r="E199" s="26" t="s">
        <v>16</v>
      </c>
      <c r="F199" s="26" t="s">
        <v>209</v>
      </c>
      <c r="G199" s="41" t="s">
        <v>184</v>
      </c>
      <c r="H199" s="44" t="s">
        <v>185</v>
      </c>
      <c r="I199" s="26" t="s">
        <v>27</v>
      </c>
      <c r="J199" s="28" t="s">
        <v>28</v>
      </c>
      <c r="K199" s="123">
        <v>140</v>
      </c>
      <c r="L199" s="29">
        <f t="shared" si="33"/>
        <v>26.86</v>
      </c>
      <c r="M199" s="110">
        <v>18</v>
      </c>
      <c r="N199" s="30">
        <v>0.32</v>
      </c>
      <c r="O199" s="116">
        <v>5.76</v>
      </c>
      <c r="P199" s="30">
        <v>7.4999999999999997E-2</v>
      </c>
      <c r="Q199" s="116">
        <v>1.3499999999999999</v>
      </c>
      <c r="R199" s="30">
        <v>7.0000000000000007E-2</v>
      </c>
      <c r="S199" s="116">
        <v>1.2600000000000002</v>
      </c>
      <c r="T199" s="117">
        <v>0.49</v>
      </c>
      <c r="U199" s="39">
        <v>800</v>
      </c>
      <c r="V199" s="32"/>
      <c r="W199" s="33"/>
      <c r="X199" s="32"/>
      <c r="Y199" s="32"/>
      <c r="Z199" s="32"/>
      <c r="AA199" s="34"/>
      <c r="AB199" s="35">
        <f t="shared" si="34"/>
        <v>800</v>
      </c>
      <c r="AC199" s="75">
        <f t="shared" si="35"/>
        <v>112000</v>
      </c>
      <c r="AD199" s="78">
        <f t="shared" ref="AD199:AD238" si="43">$K199*SUM(V199:AA199)</f>
        <v>0</v>
      </c>
      <c r="AE199" s="72">
        <f t="shared" si="36"/>
        <v>112000</v>
      </c>
      <c r="AF199" s="75">
        <f t="shared" si="37"/>
        <v>21488</v>
      </c>
      <c r="AG199" s="78">
        <f t="shared" si="38"/>
        <v>0</v>
      </c>
      <c r="AH199" s="72">
        <f t="shared" si="39"/>
        <v>21488</v>
      </c>
      <c r="AI199" s="75">
        <f t="shared" si="40"/>
        <v>14400</v>
      </c>
      <c r="AJ199" s="78">
        <f t="shared" si="41"/>
        <v>0</v>
      </c>
      <c r="AK199" s="72">
        <f t="shared" si="42"/>
        <v>14400</v>
      </c>
    </row>
    <row r="200" spans="1:37" ht="15.95" customHeight="1">
      <c r="A200" s="25" t="s">
        <v>12</v>
      </c>
      <c r="B200" s="25" t="s">
        <v>13</v>
      </c>
      <c r="C200" s="26" t="s">
        <v>29</v>
      </c>
      <c r="D200" s="26" t="s">
        <v>375</v>
      </c>
      <c r="E200" s="26" t="s">
        <v>16</v>
      </c>
      <c r="F200" s="26" t="s">
        <v>210</v>
      </c>
      <c r="G200" s="41" t="s">
        <v>184</v>
      </c>
      <c r="H200" s="44" t="s">
        <v>185</v>
      </c>
      <c r="I200" s="26" t="s">
        <v>27</v>
      </c>
      <c r="J200" s="28" t="s">
        <v>35</v>
      </c>
      <c r="K200" s="123">
        <v>88</v>
      </c>
      <c r="L200" s="29">
        <f t="shared" si="33"/>
        <v>19.041</v>
      </c>
      <c r="M200" s="110">
        <v>13</v>
      </c>
      <c r="N200" s="30">
        <v>0.28199999999999997</v>
      </c>
      <c r="O200" s="116">
        <v>3.6659999999999995</v>
      </c>
      <c r="P200" s="30">
        <v>7.4999999999999997E-2</v>
      </c>
      <c r="Q200" s="116">
        <v>0.97499999999999998</v>
      </c>
      <c r="R200" s="30">
        <v>7.0000000000000007E-2</v>
      </c>
      <c r="S200" s="116">
        <v>0.91000000000000014</v>
      </c>
      <c r="T200" s="117">
        <v>0.49</v>
      </c>
      <c r="U200" s="39">
        <v>500</v>
      </c>
      <c r="V200" s="32"/>
      <c r="W200" s="33"/>
      <c r="X200" s="32"/>
      <c r="Y200" s="32"/>
      <c r="Z200" s="32"/>
      <c r="AA200" s="34"/>
      <c r="AB200" s="35">
        <f t="shared" si="34"/>
        <v>500</v>
      </c>
      <c r="AC200" s="75">
        <f t="shared" si="35"/>
        <v>44000</v>
      </c>
      <c r="AD200" s="78">
        <f t="shared" si="43"/>
        <v>0</v>
      </c>
      <c r="AE200" s="72">
        <f t="shared" si="36"/>
        <v>44000</v>
      </c>
      <c r="AF200" s="75">
        <f t="shared" si="37"/>
        <v>9520.5</v>
      </c>
      <c r="AG200" s="78">
        <f t="shared" si="38"/>
        <v>0</v>
      </c>
      <c r="AH200" s="72">
        <f t="shared" si="39"/>
        <v>9520.5</v>
      </c>
      <c r="AI200" s="75">
        <f t="shared" si="40"/>
        <v>6500</v>
      </c>
      <c r="AJ200" s="78">
        <f t="shared" si="41"/>
        <v>0</v>
      </c>
      <c r="AK200" s="72">
        <f t="shared" si="42"/>
        <v>6500</v>
      </c>
    </row>
    <row r="201" spans="1:37" ht="15.95" customHeight="1">
      <c r="A201" s="25" t="s">
        <v>12</v>
      </c>
      <c r="B201" s="25" t="s">
        <v>13</v>
      </c>
      <c r="C201" s="26" t="s">
        <v>29</v>
      </c>
      <c r="D201" s="26" t="s">
        <v>375</v>
      </c>
      <c r="E201" s="26" t="s">
        <v>16</v>
      </c>
      <c r="F201" s="26" t="s">
        <v>210</v>
      </c>
      <c r="G201" s="41" t="s">
        <v>184</v>
      </c>
      <c r="H201" s="44" t="s">
        <v>185</v>
      </c>
      <c r="I201" s="26" t="s">
        <v>27</v>
      </c>
      <c r="J201" s="28" t="s">
        <v>35</v>
      </c>
      <c r="K201" s="123">
        <v>88</v>
      </c>
      <c r="L201" s="29">
        <f t="shared" si="33"/>
        <v>19.041</v>
      </c>
      <c r="M201" s="110">
        <v>13</v>
      </c>
      <c r="N201" s="30">
        <v>0.28199999999999997</v>
      </c>
      <c r="O201" s="116">
        <v>3.6659999999999995</v>
      </c>
      <c r="P201" s="30">
        <v>7.4999999999999997E-2</v>
      </c>
      <c r="Q201" s="116">
        <v>0.97499999999999998</v>
      </c>
      <c r="R201" s="30">
        <v>7.0000000000000007E-2</v>
      </c>
      <c r="S201" s="116">
        <v>0.91000000000000014</v>
      </c>
      <c r="T201" s="117">
        <v>0.49</v>
      </c>
      <c r="U201" s="39">
        <v>600</v>
      </c>
      <c r="V201" s="32">
        <v>5</v>
      </c>
      <c r="W201" s="33"/>
      <c r="X201" s="32"/>
      <c r="Y201" s="32"/>
      <c r="Z201" s="32"/>
      <c r="AA201" s="34"/>
      <c r="AB201" s="35">
        <f t="shared" si="34"/>
        <v>605</v>
      </c>
      <c r="AC201" s="75">
        <f t="shared" si="35"/>
        <v>52800</v>
      </c>
      <c r="AD201" s="78">
        <f t="shared" si="43"/>
        <v>440</v>
      </c>
      <c r="AE201" s="72">
        <f t="shared" si="36"/>
        <v>53240</v>
      </c>
      <c r="AF201" s="75">
        <f t="shared" si="37"/>
        <v>11424.6</v>
      </c>
      <c r="AG201" s="78">
        <f t="shared" si="38"/>
        <v>95.204999999999998</v>
      </c>
      <c r="AH201" s="72">
        <f t="shared" si="39"/>
        <v>11519.805</v>
      </c>
      <c r="AI201" s="75">
        <f t="shared" si="40"/>
        <v>7800</v>
      </c>
      <c r="AJ201" s="78">
        <f t="shared" si="41"/>
        <v>65</v>
      </c>
      <c r="AK201" s="72">
        <f t="shared" si="42"/>
        <v>7865</v>
      </c>
    </row>
    <row r="202" spans="1:37" ht="15.95" customHeight="1">
      <c r="A202" s="25" t="s">
        <v>12</v>
      </c>
      <c r="B202" s="25" t="s">
        <v>13</v>
      </c>
      <c r="C202" s="26" t="s">
        <v>29</v>
      </c>
      <c r="D202" s="26" t="s">
        <v>375</v>
      </c>
      <c r="E202" s="26" t="s">
        <v>16</v>
      </c>
      <c r="F202" s="26" t="s">
        <v>210</v>
      </c>
      <c r="G202" s="41" t="s">
        <v>184</v>
      </c>
      <c r="H202" s="44" t="s">
        <v>185</v>
      </c>
      <c r="I202" s="26" t="s">
        <v>27</v>
      </c>
      <c r="J202" s="28" t="s">
        <v>35</v>
      </c>
      <c r="K202" s="123">
        <v>88</v>
      </c>
      <c r="L202" s="29">
        <f t="shared" si="33"/>
        <v>19.041</v>
      </c>
      <c r="M202" s="110">
        <v>13</v>
      </c>
      <c r="N202" s="30">
        <v>0.28199999999999997</v>
      </c>
      <c r="O202" s="116">
        <v>3.6659999999999995</v>
      </c>
      <c r="P202" s="30">
        <v>7.4999999999999997E-2</v>
      </c>
      <c r="Q202" s="116">
        <v>0.97499999999999998</v>
      </c>
      <c r="R202" s="30">
        <v>7.0000000000000007E-2</v>
      </c>
      <c r="S202" s="116">
        <v>0.91000000000000014</v>
      </c>
      <c r="T202" s="117">
        <v>0.49</v>
      </c>
      <c r="U202" s="39">
        <v>600</v>
      </c>
      <c r="V202" s="32"/>
      <c r="W202" s="33"/>
      <c r="X202" s="32"/>
      <c r="Y202" s="32"/>
      <c r="Z202" s="32"/>
      <c r="AA202" s="34"/>
      <c r="AB202" s="35">
        <f t="shared" si="34"/>
        <v>600</v>
      </c>
      <c r="AC202" s="75">
        <f t="shared" si="35"/>
        <v>52800</v>
      </c>
      <c r="AD202" s="78">
        <f t="shared" si="43"/>
        <v>0</v>
      </c>
      <c r="AE202" s="72">
        <f t="shared" si="36"/>
        <v>52800</v>
      </c>
      <c r="AF202" s="75">
        <f t="shared" si="37"/>
        <v>11424.6</v>
      </c>
      <c r="AG202" s="78">
        <f t="shared" si="38"/>
        <v>0</v>
      </c>
      <c r="AH202" s="72">
        <f t="shared" si="39"/>
        <v>11424.6</v>
      </c>
      <c r="AI202" s="75">
        <f t="shared" si="40"/>
        <v>7800</v>
      </c>
      <c r="AJ202" s="78">
        <f t="shared" si="41"/>
        <v>0</v>
      </c>
      <c r="AK202" s="72">
        <f t="shared" si="42"/>
        <v>7800</v>
      </c>
    </row>
    <row r="203" spans="1:37" ht="15.95" customHeight="1">
      <c r="A203" s="25" t="s">
        <v>12</v>
      </c>
      <c r="B203" s="25" t="s">
        <v>13</v>
      </c>
      <c r="C203" s="26" t="s">
        <v>29</v>
      </c>
      <c r="D203" s="26" t="s">
        <v>375</v>
      </c>
      <c r="E203" s="26" t="s">
        <v>16</v>
      </c>
      <c r="F203" s="26" t="s">
        <v>210</v>
      </c>
      <c r="G203" s="41" t="s">
        <v>184</v>
      </c>
      <c r="H203" s="44" t="s">
        <v>185</v>
      </c>
      <c r="I203" s="26" t="s">
        <v>27</v>
      </c>
      <c r="J203" s="28" t="s">
        <v>35</v>
      </c>
      <c r="K203" s="123">
        <v>88</v>
      </c>
      <c r="L203" s="29">
        <f t="shared" si="33"/>
        <v>19.041</v>
      </c>
      <c r="M203" s="110">
        <v>13</v>
      </c>
      <c r="N203" s="30">
        <v>0.28199999999999997</v>
      </c>
      <c r="O203" s="116">
        <v>3.6659999999999995</v>
      </c>
      <c r="P203" s="30">
        <v>7.4999999999999997E-2</v>
      </c>
      <c r="Q203" s="116">
        <v>0.97499999999999998</v>
      </c>
      <c r="R203" s="30">
        <v>7.0000000000000007E-2</v>
      </c>
      <c r="S203" s="116">
        <v>0.91000000000000014</v>
      </c>
      <c r="T203" s="117">
        <v>0.49</v>
      </c>
      <c r="U203" s="39">
        <v>500</v>
      </c>
      <c r="V203" s="32">
        <v>8</v>
      </c>
      <c r="W203" s="33"/>
      <c r="X203" s="32">
        <v>60</v>
      </c>
      <c r="Y203" s="32"/>
      <c r="Z203" s="32"/>
      <c r="AA203" s="34"/>
      <c r="AB203" s="35">
        <f t="shared" si="34"/>
        <v>568</v>
      </c>
      <c r="AC203" s="75">
        <f t="shared" si="35"/>
        <v>44000</v>
      </c>
      <c r="AD203" s="78">
        <f t="shared" si="43"/>
        <v>5984</v>
      </c>
      <c r="AE203" s="72">
        <f t="shared" si="36"/>
        <v>49984</v>
      </c>
      <c r="AF203" s="75">
        <f t="shared" si="37"/>
        <v>9520.5</v>
      </c>
      <c r="AG203" s="78">
        <f t="shared" si="38"/>
        <v>932.32799999999997</v>
      </c>
      <c r="AH203" s="72">
        <f t="shared" si="39"/>
        <v>10452.828</v>
      </c>
      <c r="AI203" s="75">
        <f t="shared" si="40"/>
        <v>6500</v>
      </c>
      <c r="AJ203" s="78">
        <f t="shared" si="41"/>
        <v>884</v>
      </c>
      <c r="AK203" s="72">
        <f t="shared" si="42"/>
        <v>7384</v>
      </c>
    </row>
    <row r="204" spans="1:37" ht="15.95" customHeight="1">
      <c r="A204" s="25" t="s">
        <v>12</v>
      </c>
      <c r="B204" s="25" t="s">
        <v>13</v>
      </c>
      <c r="C204" s="26" t="s">
        <v>124</v>
      </c>
      <c r="D204" s="26" t="s">
        <v>375</v>
      </c>
      <c r="E204" s="26" t="s">
        <v>16</v>
      </c>
      <c r="F204" s="26" t="s">
        <v>211</v>
      </c>
      <c r="G204" s="41" t="s">
        <v>184</v>
      </c>
      <c r="H204" s="44" t="s">
        <v>212</v>
      </c>
      <c r="I204" s="26" t="s">
        <v>27</v>
      </c>
      <c r="J204" s="28" t="s">
        <v>41</v>
      </c>
      <c r="K204" s="123">
        <v>225</v>
      </c>
      <c r="L204" s="29">
        <f t="shared" si="33"/>
        <v>43.014600000000002</v>
      </c>
      <c r="M204" s="110">
        <v>29.8</v>
      </c>
      <c r="N204" s="30">
        <v>0.28199999999999997</v>
      </c>
      <c r="O204" s="116">
        <v>8.4035999999999991</v>
      </c>
      <c r="P204" s="30">
        <v>7.4999999999999997E-2</v>
      </c>
      <c r="Q204" s="116">
        <v>2.2349999999999999</v>
      </c>
      <c r="R204" s="30">
        <v>7.0000000000000007E-2</v>
      </c>
      <c r="S204" s="116">
        <v>2.0860000000000003</v>
      </c>
      <c r="T204" s="117">
        <v>0.49</v>
      </c>
      <c r="U204" s="39">
        <v>250</v>
      </c>
      <c r="V204" s="32">
        <v>24</v>
      </c>
      <c r="W204" s="33"/>
      <c r="X204" s="32"/>
      <c r="Y204" s="32"/>
      <c r="Z204" s="32"/>
      <c r="AA204" s="34"/>
      <c r="AB204" s="35">
        <f t="shared" si="34"/>
        <v>274</v>
      </c>
      <c r="AC204" s="75">
        <f t="shared" si="35"/>
        <v>56250</v>
      </c>
      <c r="AD204" s="78">
        <f t="shared" si="43"/>
        <v>5400</v>
      </c>
      <c r="AE204" s="72">
        <f t="shared" si="36"/>
        <v>61650</v>
      </c>
      <c r="AF204" s="75">
        <f t="shared" si="37"/>
        <v>10753.65</v>
      </c>
      <c r="AG204" s="78">
        <f t="shared" si="38"/>
        <v>1032.3504</v>
      </c>
      <c r="AH204" s="72">
        <f t="shared" si="39"/>
        <v>11786.000399999999</v>
      </c>
      <c r="AI204" s="75">
        <f t="shared" si="40"/>
        <v>7450</v>
      </c>
      <c r="AJ204" s="78">
        <f t="shared" si="41"/>
        <v>715.2</v>
      </c>
      <c r="AK204" s="72">
        <f t="shared" si="42"/>
        <v>8165.2</v>
      </c>
    </row>
    <row r="205" spans="1:37" ht="15.95" customHeight="1">
      <c r="A205" s="25" t="s">
        <v>12</v>
      </c>
      <c r="B205" s="25" t="s">
        <v>13</v>
      </c>
      <c r="C205" s="26" t="s">
        <v>124</v>
      </c>
      <c r="D205" s="26" t="s">
        <v>375</v>
      </c>
      <c r="E205" s="26" t="s">
        <v>16</v>
      </c>
      <c r="F205" s="26" t="s">
        <v>211</v>
      </c>
      <c r="G205" s="41" t="s">
        <v>184</v>
      </c>
      <c r="H205" s="44" t="s">
        <v>212</v>
      </c>
      <c r="I205" s="26" t="s">
        <v>27</v>
      </c>
      <c r="J205" s="28" t="s">
        <v>41</v>
      </c>
      <c r="K205" s="123">
        <v>225</v>
      </c>
      <c r="L205" s="29">
        <f t="shared" si="33"/>
        <v>43.014600000000002</v>
      </c>
      <c r="M205" s="110">
        <v>29.8</v>
      </c>
      <c r="N205" s="30">
        <v>0.28199999999999997</v>
      </c>
      <c r="O205" s="116">
        <v>8.4035999999999991</v>
      </c>
      <c r="P205" s="30">
        <v>7.4999999999999997E-2</v>
      </c>
      <c r="Q205" s="116">
        <v>2.2349999999999999</v>
      </c>
      <c r="R205" s="30">
        <v>7.0000000000000007E-2</v>
      </c>
      <c r="S205" s="116">
        <v>2.0860000000000003</v>
      </c>
      <c r="T205" s="117">
        <v>0.49</v>
      </c>
      <c r="U205" s="39">
        <v>250</v>
      </c>
      <c r="V205" s="32">
        <v>24</v>
      </c>
      <c r="W205" s="33"/>
      <c r="X205" s="32"/>
      <c r="Y205" s="32"/>
      <c r="Z205" s="32"/>
      <c r="AA205" s="34"/>
      <c r="AB205" s="35">
        <f t="shared" si="34"/>
        <v>274</v>
      </c>
      <c r="AC205" s="75">
        <f t="shared" si="35"/>
        <v>56250</v>
      </c>
      <c r="AD205" s="78">
        <f t="shared" si="43"/>
        <v>5400</v>
      </c>
      <c r="AE205" s="72">
        <f t="shared" si="36"/>
        <v>61650</v>
      </c>
      <c r="AF205" s="75">
        <f t="shared" si="37"/>
        <v>10753.65</v>
      </c>
      <c r="AG205" s="78">
        <f t="shared" si="38"/>
        <v>1032.3504</v>
      </c>
      <c r="AH205" s="72">
        <f t="shared" si="39"/>
        <v>11786.000399999999</v>
      </c>
      <c r="AI205" s="75">
        <f t="shared" si="40"/>
        <v>7450</v>
      </c>
      <c r="AJ205" s="78">
        <f t="shared" si="41"/>
        <v>715.2</v>
      </c>
      <c r="AK205" s="72">
        <f t="shared" si="42"/>
        <v>8165.2</v>
      </c>
    </row>
    <row r="206" spans="1:37" ht="15.95" customHeight="1">
      <c r="A206" s="25" t="s">
        <v>12</v>
      </c>
      <c r="B206" s="25" t="s">
        <v>13</v>
      </c>
      <c r="C206" s="26" t="s">
        <v>48</v>
      </c>
      <c r="D206" s="26" t="s">
        <v>213</v>
      </c>
      <c r="E206" s="26" t="s">
        <v>214</v>
      </c>
      <c r="F206" s="26" t="s">
        <v>215</v>
      </c>
      <c r="G206" s="26" t="s">
        <v>216</v>
      </c>
      <c r="H206" s="27" t="s">
        <v>395</v>
      </c>
      <c r="I206" s="26" t="s">
        <v>27</v>
      </c>
      <c r="J206" s="28" t="s">
        <v>41</v>
      </c>
      <c r="K206" s="123">
        <v>98</v>
      </c>
      <c r="L206" s="29">
        <f t="shared" si="33"/>
        <v>17.779999999999998</v>
      </c>
      <c r="M206" s="110">
        <v>14</v>
      </c>
      <c r="N206" s="30">
        <v>0.16500000000000001</v>
      </c>
      <c r="O206" s="116">
        <v>2.31</v>
      </c>
      <c r="P206" s="30"/>
      <c r="Q206" s="116"/>
      <c r="R206" s="30">
        <v>7.0000000000000007E-2</v>
      </c>
      <c r="S206" s="116">
        <v>0.98000000000000009</v>
      </c>
      <c r="T206" s="117">
        <v>0.49</v>
      </c>
      <c r="U206" s="39">
        <v>600</v>
      </c>
      <c r="V206" s="32">
        <v>163</v>
      </c>
      <c r="W206" s="33"/>
      <c r="X206" s="32"/>
      <c r="Y206" s="32"/>
      <c r="Z206" s="32"/>
      <c r="AA206" s="34"/>
      <c r="AB206" s="35">
        <f t="shared" si="34"/>
        <v>763</v>
      </c>
      <c r="AC206" s="75">
        <f t="shared" si="35"/>
        <v>58800</v>
      </c>
      <c r="AD206" s="78">
        <f t="shared" si="43"/>
        <v>15974</v>
      </c>
      <c r="AE206" s="72">
        <f t="shared" si="36"/>
        <v>74774</v>
      </c>
      <c r="AF206" s="75">
        <f t="shared" si="37"/>
        <v>10667.999999999998</v>
      </c>
      <c r="AG206" s="78">
        <f t="shared" si="38"/>
        <v>2898.1399999999994</v>
      </c>
      <c r="AH206" s="72">
        <f t="shared" si="39"/>
        <v>13566.139999999998</v>
      </c>
      <c r="AI206" s="75">
        <f t="shared" si="40"/>
        <v>8400</v>
      </c>
      <c r="AJ206" s="78">
        <f t="shared" si="41"/>
        <v>2282</v>
      </c>
      <c r="AK206" s="72">
        <f t="shared" si="42"/>
        <v>10682</v>
      </c>
    </row>
    <row r="207" spans="1:37" ht="15.95" customHeight="1">
      <c r="A207" s="25" t="s">
        <v>12</v>
      </c>
      <c r="B207" s="25" t="s">
        <v>13</v>
      </c>
      <c r="C207" s="26" t="s">
        <v>48</v>
      </c>
      <c r="D207" s="26" t="s">
        <v>213</v>
      </c>
      <c r="E207" s="26" t="s">
        <v>214</v>
      </c>
      <c r="F207" s="26" t="s">
        <v>215</v>
      </c>
      <c r="G207" s="26" t="s">
        <v>216</v>
      </c>
      <c r="H207" s="27" t="s">
        <v>395</v>
      </c>
      <c r="I207" s="26" t="s">
        <v>27</v>
      </c>
      <c r="J207" s="28" t="s">
        <v>41</v>
      </c>
      <c r="K207" s="123">
        <v>98</v>
      </c>
      <c r="L207" s="29">
        <f t="shared" si="33"/>
        <v>17.779999999999998</v>
      </c>
      <c r="M207" s="110">
        <v>14</v>
      </c>
      <c r="N207" s="30">
        <v>0.16500000000000001</v>
      </c>
      <c r="O207" s="116">
        <v>2.31</v>
      </c>
      <c r="P207" s="30"/>
      <c r="Q207" s="116"/>
      <c r="R207" s="30">
        <v>7.0000000000000007E-2</v>
      </c>
      <c r="S207" s="116">
        <v>0.98000000000000009</v>
      </c>
      <c r="T207" s="117">
        <v>0.49</v>
      </c>
      <c r="U207" s="39">
        <v>600</v>
      </c>
      <c r="V207" s="32">
        <v>161</v>
      </c>
      <c r="W207" s="33"/>
      <c r="X207" s="32"/>
      <c r="Y207" s="32"/>
      <c r="Z207" s="32"/>
      <c r="AA207" s="34"/>
      <c r="AB207" s="35">
        <f t="shared" si="34"/>
        <v>761</v>
      </c>
      <c r="AC207" s="75">
        <f t="shared" si="35"/>
        <v>58800</v>
      </c>
      <c r="AD207" s="78">
        <f t="shared" si="43"/>
        <v>15778</v>
      </c>
      <c r="AE207" s="72">
        <f t="shared" si="36"/>
        <v>74578</v>
      </c>
      <c r="AF207" s="75">
        <f t="shared" si="37"/>
        <v>10667.999999999998</v>
      </c>
      <c r="AG207" s="78">
        <f t="shared" si="38"/>
        <v>2862.5799999999995</v>
      </c>
      <c r="AH207" s="72">
        <f t="shared" si="39"/>
        <v>13530.579999999998</v>
      </c>
      <c r="AI207" s="75">
        <f t="shared" si="40"/>
        <v>8400</v>
      </c>
      <c r="AJ207" s="78">
        <f t="shared" si="41"/>
        <v>2254</v>
      </c>
      <c r="AK207" s="72">
        <f t="shared" si="42"/>
        <v>10654</v>
      </c>
    </row>
    <row r="208" spans="1:37" ht="15.95" customHeight="1">
      <c r="A208" s="25" t="s">
        <v>12</v>
      </c>
      <c r="B208" s="25" t="s">
        <v>13</v>
      </c>
      <c r="C208" s="26" t="s">
        <v>81</v>
      </c>
      <c r="D208" s="26" t="s">
        <v>213</v>
      </c>
      <c r="E208" s="26" t="s">
        <v>214</v>
      </c>
      <c r="F208" s="26" t="s">
        <v>217</v>
      </c>
      <c r="G208" s="26" t="s">
        <v>218</v>
      </c>
      <c r="H208" s="27" t="s">
        <v>95</v>
      </c>
      <c r="I208" s="26" t="s">
        <v>27</v>
      </c>
      <c r="J208" s="37" t="s">
        <v>83</v>
      </c>
      <c r="K208" s="123">
        <v>88</v>
      </c>
      <c r="L208" s="29">
        <f t="shared" si="33"/>
        <v>17.555999999999997</v>
      </c>
      <c r="M208" s="110">
        <v>14</v>
      </c>
      <c r="N208" s="30">
        <v>0.14899999999999999</v>
      </c>
      <c r="O208" s="116">
        <v>2.0859999999999999</v>
      </c>
      <c r="P208" s="30"/>
      <c r="Q208" s="116"/>
      <c r="R208" s="30">
        <v>7.0000000000000007E-2</v>
      </c>
      <c r="S208" s="116">
        <v>0.98000000000000009</v>
      </c>
      <c r="T208" s="117">
        <v>0.49</v>
      </c>
      <c r="U208" s="39">
        <v>500</v>
      </c>
      <c r="V208" s="32">
        <v>163</v>
      </c>
      <c r="W208" s="33"/>
      <c r="X208" s="32"/>
      <c r="Y208" s="32"/>
      <c r="Z208" s="32"/>
      <c r="AA208" s="34"/>
      <c r="AB208" s="35">
        <f t="shared" si="34"/>
        <v>663</v>
      </c>
      <c r="AC208" s="75">
        <f t="shared" si="35"/>
        <v>44000</v>
      </c>
      <c r="AD208" s="78">
        <f t="shared" si="43"/>
        <v>14344</v>
      </c>
      <c r="AE208" s="72">
        <f t="shared" si="36"/>
        <v>58344</v>
      </c>
      <c r="AF208" s="75">
        <f t="shared" si="37"/>
        <v>8777.9999999999982</v>
      </c>
      <c r="AG208" s="78">
        <f t="shared" si="38"/>
        <v>2861.6279999999997</v>
      </c>
      <c r="AH208" s="72">
        <f t="shared" si="39"/>
        <v>11639.627999999997</v>
      </c>
      <c r="AI208" s="75">
        <f t="shared" si="40"/>
        <v>7000</v>
      </c>
      <c r="AJ208" s="78">
        <f t="shared" si="41"/>
        <v>2282</v>
      </c>
      <c r="AK208" s="72">
        <f t="shared" si="42"/>
        <v>9282</v>
      </c>
    </row>
    <row r="209" spans="1:37" ht="15.95" customHeight="1">
      <c r="A209" s="25" t="s">
        <v>12</v>
      </c>
      <c r="B209" s="25" t="s">
        <v>13</v>
      </c>
      <c r="C209" s="26" t="s">
        <v>81</v>
      </c>
      <c r="D209" s="26" t="s">
        <v>213</v>
      </c>
      <c r="E209" s="26" t="s">
        <v>214</v>
      </c>
      <c r="F209" s="26" t="s">
        <v>217</v>
      </c>
      <c r="G209" s="26" t="s">
        <v>218</v>
      </c>
      <c r="H209" s="27" t="s">
        <v>95</v>
      </c>
      <c r="I209" s="26" t="s">
        <v>27</v>
      </c>
      <c r="J209" s="37" t="s">
        <v>83</v>
      </c>
      <c r="K209" s="123">
        <v>88</v>
      </c>
      <c r="L209" s="29">
        <f t="shared" si="33"/>
        <v>17.555999999999997</v>
      </c>
      <c r="M209" s="110">
        <v>14</v>
      </c>
      <c r="N209" s="30">
        <v>0.14899999999999999</v>
      </c>
      <c r="O209" s="116">
        <v>2.0859999999999999</v>
      </c>
      <c r="P209" s="30"/>
      <c r="Q209" s="116"/>
      <c r="R209" s="30">
        <v>7.0000000000000007E-2</v>
      </c>
      <c r="S209" s="116">
        <v>0.98000000000000009</v>
      </c>
      <c r="T209" s="117">
        <v>0.49</v>
      </c>
      <c r="U209" s="39">
        <v>500</v>
      </c>
      <c r="V209" s="32">
        <v>166</v>
      </c>
      <c r="W209" s="33"/>
      <c r="X209" s="32"/>
      <c r="Y209" s="32"/>
      <c r="Z209" s="32"/>
      <c r="AA209" s="34"/>
      <c r="AB209" s="35">
        <f t="shared" si="34"/>
        <v>666</v>
      </c>
      <c r="AC209" s="75">
        <f t="shared" si="35"/>
        <v>44000</v>
      </c>
      <c r="AD209" s="78">
        <f t="shared" si="43"/>
        <v>14608</v>
      </c>
      <c r="AE209" s="72">
        <f t="shared" si="36"/>
        <v>58608</v>
      </c>
      <c r="AF209" s="75">
        <f t="shared" si="37"/>
        <v>8777.9999999999982</v>
      </c>
      <c r="AG209" s="78">
        <f t="shared" si="38"/>
        <v>2914.2959999999994</v>
      </c>
      <c r="AH209" s="72">
        <f t="shared" si="39"/>
        <v>11692.295999999998</v>
      </c>
      <c r="AI209" s="75">
        <f t="shared" si="40"/>
        <v>7000</v>
      </c>
      <c r="AJ209" s="78">
        <f t="shared" si="41"/>
        <v>2324</v>
      </c>
      <c r="AK209" s="72">
        <f t="shared" si="42"/>
        <v>9324</v>
      </c>
    </row>
    <row r="210" spans="1:37" ht="15.95" customHeight="1">
      <c r="A210" s="25" t="s">
        <v>12</v>
      </c>
      <c r="B210" s="25" t="s">
        <v>13</v>
      </c>
      <c r="C210" s="26" t="s">
        <v>76</v>
      </c>
      <c r="D210" s="26" t="s">
        <v>213</v>
      </c>
      <c r="E210" s="26" t="s">
        <v>214</v>
      </c>
      <c r="F210" s="26" t="s">
        <v>219</v>
      </c>
      <c r="G210" s="26" t="s">
        <v>220</v>
      </c>
      <c r="H210" s="27" t="s">
        <v>221</v>
      </c>
      <c r="I210" s="26" t="s">
        <v>27</v>
      </c>
      <c r="J210" s="28" t="s">
        <v>222</v>
      </c>
      <c r="K210" s="123">
        <v>88</v>
      </c>
      <c r="L210" s="29">
        <f t="shared" si="33"/>
        <v>15.31</v>
      </c>
      <c r="M210" s="110">
        <v>12</v>
      </c>
      <c r="N210" s="30">
        <v>0.16500000000000001</v>
      </c>
      <c r="O210" s="116">
        <v>1.98</v>
      </c>
      <c r="P210" s="30"/>
      <c r="Q210" s="116"/>
      <c r="R210" s="30">
        <v>7.0000000000000007E-2</v>
      </c>
      <c r="S210" s="116">
        <v>0.84000000000000008</v>
      </c>
      <c r="T210" s="117">
        <v>0.49</v>
      </c>
      <c r="U210" s="39">
        <v>600</v>
      </c>
      <c r="V210" s="32">
        <v>128</v>
      </c>
      <c r="W210" s="33"/>
      <c r="X210" s="32"/>
      <c r="Y210" s="32"/>
      <c r="Z210" s="32"/>
      <c r="AA210" s="34">
        <v>12</v>
      </c>
      <c r="AB210" s="35">
        <f t="shared" si="34"/>
        <v>740</v>
      </c>
      <c r="AC210" s="75">
        <f t="shared" si="35"/>
        <v>52800</v>
      </c>
      <c r="AD210" s="78">
        <f t="shared" si="43"/>
        <v>12320</v>
      </c>
      <c r="AE210" s="72">
        <f t="shared" si="36"/>
        <v>65120</v>
      </c>
      <c r="AF210" s="75">
        <f t="shared" si="37"/>
        <v>9186</v>
      </c>
      <c r="AG210" s="78">
        <f t="shared" si="38"/>
        <v>2103.6800000000003</v>
      </c>
      <c r="AH210" s="72">
        <f t="shared" si="39"/>
        <v>11289.68</v>
      </c>
      <c r="AI210" s="75">
        <f t="shared" si="40"/>
        <v>7200</v>
      </c>
      <c r="AJ210" s="78">
        <f t="shared" si="41"/>
        <v>1680</v>
      </c>
      <c r="AK210" s="72">
        <f t="shared" si="42"/>
        <v>8880</v>
      </c>
    </row>
    <row r="211" spans="1:37" ht="15.95" customHeight="1">
      <c r="A211" s="25" t="s">
        <v>12</v>
      </c>
      <c r="B211" s="25" t="s">
        <v>13</v>
      </c>
      <c r="C211" s="26" t="s">
        <v>76</v>
      </c>
      <c r="D211" s="26" t="s">
        <v>213</v>
      </c>
      <c r="E211" s="26" t="s">
        <v>214</v>
      </c>
      <c r="F211" s="26" t="s">
        <v>219</v>
      </c>
      <c r="G211" s="26" t="s">
        <v>220</v>
      </c>
      <c r="H211" s="27" t="s">
        <v>221</v>
      </c>
      <c r="I211" s="26" t="s">
        <v>27</v>
      </c>
      <c r="J211" s="28" t="s">
        <v>222</v>
      </c>
      <c r="K211" s="123">
        <v>88</v>
      </c>
      <c r="L211" s="29">
        <f t="shared" si="33"/>
        <v>15.31</v>
      </c>
      <c r="M211" s="110">
        <v>12</v>
      </c>
      <c r="N211" s="30">
        <v>0.16500000000000001</v>
      </c>
      <c r="O211" s="116">
        <v>1.98</v>
      </c>
      <c r="P211" s="30"/>
      <c r="Q211" s="116"/>
      <c r="R211" s="30">
        <v>7.0000000000000007E-2</v>
      </c>
      <c r="S211" s="116">
        <v>0.84000000000000008</v>
      </c>
      <c r="T211" s="117">
        <v>0.49</v>
      </c>
      <c r="U211" s="39">
        <v>600</v>
      </c>
      <c r="V211" s="32">
        <v>123</v>
      </c>
      <c r="W211" s="33"/>
      <c r="X211" s="32"/>
      <c r="Y211" s="32"/>
      <c r="Z211" s="32"/>
      <c r="AA211" s="34">
        <v>6</v>
      </c>
      <c r="AB211" s="35">
        <f t="shared" si="34"/>
        <v>729</v>
      </c>
      <c r="AC211" s="75">
        <f t="shared" si="35"/>
        <v>52800</v>
      </c>
      <c r="AD211" s="78">
        <f t="shared" si="43"/>
        <v>11352</v>
      </c>
      <c r="AE211" s="72">
        <f t="shared" si="36"/>
        <v>64152</v>
      </c>
      <c r="AF211" s="75">
        <f t="shared" si="37"/>
        <v>9186</v>
      </c>
      <c r="AG211" s="78">
        <f t="shared" si="38"/>
        <v>1955.13</v>
      </c>
      <c r="AH211" s="72">
        <f t="shared" si="39"/>
        <v>11141.130000000001</v>
      </c>
      <c r="AI211" s="75">
        <f t="shared" si="40"/>
        <v>7200</v>
      </c>
      <c r="AJ211" s="78">
        <f t="shared" si="41"/>
        <v>1548</v>
      </c>
      <c r="AK211" s="72">
        <f t="shared" si="42"/>
        <v>8748</v>
      </c>
    </row>
    <row r="212" spans="1:37" ht="15.95" customHeight="1">
      <c r="A212" s="25" t="s">
        <v>12</v>
      </c>
      <c r="B212" s="25" t="s">
        <v>13</v>
      </c>
      <c r="C212" s="26" t="s">
        <v>76</v>
      </c>
      <c r="D212" s="26" t="s">
        <v>213</v>
      </c>
      <c r="E212" s="26" t="s">
        <v>214</v>
      </c>
      <c r="F212" s="26" t="s">
        <v>223</v>
      </c>
      <c r="G212" s="26" t="s">
        <v>216</v>
      </c>
      <c r="H212" s="27" t="s">
        <v>395</v>
      </c>
      <c r="I212" s="26" t="s">
        <v>27</v>
      </c>
      <c r="J212" s="28" t="s">
        <v>222</v>
      </c>
      <c r="K212" s="123">
        <v>118</v>
      </c>
      <c r="L212" s="29">
        <f t="shared" si="33"/>
        <v>22.72</v>
      </c>
      <c r="M212" s="110">
        <v>18</v>
      </c>
      <c r="N212" s="30">
        <v>0.16500000000000001</v>
      </c>
      <c r="O212" s="116">
        <v>2.97</v>
      </c>
      <c r="P212" s="30"/>
      <c r="Q212" s="116"/>
      <c r="R212" s="30">
        <v>7.0000000000000007E-2</v>
      </c>
      <c r="S212" s="116">
        <v>1.2600000000000002</v>
      </c>
      <c r="T212" s="117">
        <v>0.49</v>
      </c>
      <c r="U212" s="39">
        <v>500</v>
      </c>
      <c r="V212" s="32">
        <v>132</v>
      </c>
      <c r="W212" s="33"/>
      <c r="X212" s="32"/>
      <c r="Y212" s="32"/>
      <c r="Z212" s="32"/>
      <c r="AA212" s="34">
        <v>6</v>
      </c>
      <c r="AB212" s="35">
        <f t="shared" si="34"/>
        <v>638</v>
      </c>
      <c r="AC212" s="75">
        <f t="shared" si="35"/>
        <v>59000</v>
      </c>
      <c r="AD212" s="78">
        <f t="shared" si="43"/>
        <v>16284</v>
      </c>
      <c r="AE212" s="72">
        <f t="shared" si="36"/>
        <v>75284</v>
      </c>
      <c r="AF212" s="75">
        <f t="shared" si="37"/>
        <v>11360</v>
      </c>
      <c r="AG212" s="78">
        <f t="shared" si="38"/>
        <v>3107.04</v>
      </c>
      <c r="AH212" s="72">
        <f t="shared" si="39"/>
        <v>14467.04</v>
      </c>
      <c r="AI212" s="75">
        <f t="shared" si="40"/>
        <v>9000</v>
      </c>
      <c r="AJ212" s="78">
        <f t="shared" si="41"/>
        <v>2484</v>
      </c>
      <c r="AK212" s="72">
        <f t="shared" si="42"/>
        <v>11484</v>
      </c>
    </row>
    <row r="213" spans="1:37" ht="15.95" customHeight="1">
      <c r="A213" s="25" t="s">
        <v>12</v>
      </c>
      <c r="B213" s="25" t="s">
        <v>13</v>
      </c>
      <c r="C213" s="26" t="s">
        <v>76</v>
      </c>
      <c r="D213" s="26" t="s">
        <v>213</v>
      </c>
      <c r="E213" s="26" t="s">
        <v>214</v>
      </c>
      <c r="F213" s="26" t="s">
        <v>223</v>
      </c>
      <c r="G213" s="26" t="s">
        <v>216</v>
      </c>
      <c r="H213" s="27" t="s">
        <v>395</v>
      </c>
      <c r="I213" s="26" t="s">
        <v>27</v>
      </c>
      <c r="J213" s="28" t="s">
        <v>222</v>
      </c>
      <c r="K213" s="123">
        <v>118</v>
      </c>
      <c r="L213" s="29">
        <f t="shared" si="33"/>
        <v>22.72</v>
      </c>
      <c r="M213" s="110">
        <v>18</v>
      </c>
      <c r="N213" s="30">
        <v>0.16500000000000001</v>
      </c>
      <c r="O213" s="116">
        <v>2.97</v>
      </c>
      <c r="P213" s="30"/>
      <c r="Q213" s="116"/>
      <c r="R213" s="30">
        <v>7.0000000000000007E-2</v>
      </c>
      <c r="S213" s="116">
        <v>1.2600000000000002</v>
      </c>
      <c r="T213" s="117">
        <v>0.49</v>
      </c>
      <c r="U213" s="39">
        <v>500</v>
      </c>
      <c r="V213" s="32">
        <v>124</v>
      </c>
      <c r="W213" s="33"/>
      <c r="X213" s="32"/>
      <c r="Y213" s="32"/>
      <c r="Z213" s="32"/>
      <c r="AA213" s="34">
        <v>6</v>
      </c>
      <c r="AB213" s="35">
        <f t="shared" si="34"/>
        <v>630</v>
      </c>
      <c r="AC213" s="75">
        <f t="shared" si="35"/>
        <v>59000</v>
      </c>
      <c r="AD213" s="78">
        <f t="shared" si="43"/>
        <v>15340</v>
      </c>
      <c r="AE213" s="72">
        <f t="shared" si="36"/>
        <v>74340</v>
      </c>
      <c r="AF213" s="75">
        <f t="shared" si="37"/>
        <v>11360</v>
      </c>
      <c r="AG213" s="78">
        <f t="shared" si="38"/>
        <v>2925.2799999999997</v>
      </c>
      <c r="AH213" s="72">
        <f t="shared" si="39"/>
        <v>14285.279999999999</v>
      </c>
      <c r="AI213" s="75">
        <f t="shared" si="40"/>
        <v>9000</v>
      </c>
      <c r="AJ213" s="78">
        <f t="shared" si="41"/>
        <v>2340</v>
      </c>
      <c r="AK213" s="72">
        <f t="shared" si="42"/>
        <v>11340</v>
      </c>
    </row>
    <row r="214" spans="1:37" ht="15.95" customHeight="1">
      <c r="A214" s="25" t="s">
        <v>12</v>
      </c>
      <c r="B214" s="25" t="s">
        <v>13</v>
      </c>
      <c r="C214" s="26" t="s">
        <v>24</v>
      </c>
      <c r="D214" s="26" t="s">
        <v>213</v>
      </c>
      <c r="E214" s="26" t="s">
        <v>214</v>
      </c>
      <c r="F214" s="26" t="s">
        <v>224</v>
      </c>
      <c r="G214" s="26" t="s">
        <v>225</v>
      </c>
      <c r="H214" s="27" t="s">
        <v>226</v>
      </c>
      <c r="I214" s="26" t="s">
        <v>27</v>
      </c>
      <c r="J214" s="28" t="s">
        <v>227</v>
      </c>
      <c r="K214" s="123">
        <v>42</v>
      </c>
      <c r="L214" s="29">
        <f t="shared" si="33"/>
        <v>7.2824999999999998</v>
      </c>
      <c r="M214" s="110">
        <v>5.5</v>
      </c>
      <c r="N214" s="30">
        <v>0.16500000000000001</v>
      </c>
      <c r="O214" s="116">
        <v>0.90750000000000008</v>
      </c>
      <c r="P214" s="30"/>
      <c r="Q214" s="116"/>
      <c r="R214" s="30">
        <v>7.0000000000000007E-2</v>
      </c>
      <c r="S214" s="116">
        <v>0.38500000000000001</v>
      </c>
      <c r="T214" s="117">
        <v>0.49</v>
      </c>
      <c r="U214" s="39">
        <v>500</v>
      </c>
      <c r="V214" s="32">
        <v>150</v>
      </c>
      <c r="W214" s="33"/>
      <c r="X214" s="32"/>
      <c r="Y214" s="32"/>
      <c r="Z214" s="32"/>
      <c r="AA214" s="34"/>
      <c r="AB214" s="35">
        <f t="shared" si="34"/>
        <v>650</v>
      </c>
      <c r="AC214" s="75">
        <f t="shared" si="35"/>
        <v>21000</v>
      </c>
      <c r="AD214" s="78">
        <f t="shared" si="43"/>
        <v>6300</v>
      </c>
      <c r="AE214" s="72">
        <f t="shared" si="36"/>
        <v>27300</v>
      </c>
      <c r="AF214" s="75">
        <f t="shared" si="37"/>
        <v>3641.25</v>
      </c>
      <c r="AG214" s="78">
        <f t="shared" si="38"/>
        <v>1092.375</v>
      </c>
      <c r="AH214" s="72">
        <f t="shared" si="39"/>
        <v>4733.625</v>
      </c>
      <c r="AI214" s="75">
        <f t="shared" si="40"/>
        <v>2750</v>
      </c>
      <c r="AJ214" s="78">
        <f t="shared" si="41"/>
        <v>825</v>
      </c>
      <c r="AK214" s="72">
        <f t="shared" si="42"/>
        <v>3575</v>
      </c>
    </row>
    <row r="215" spans="1:37" ht="15.95" customHeight="1">
      <c r="A215" s="25" t="s">
        <v>12</v>
      </c>
      <c r="B215" s="25" t="s">
        <v>13</v>
      </c>
      <c r="C215" s="26" t="s">
        <v>24</v>
      </c>
      <c r="D215" s="26" t="s">
        <v>213</v>
      </c>
      <c r="E215" s="26" t="s">
        <v>214</v>
      </c>
      <c r="F215" s="26" t="s">
        <v>224</v>
      </c>
      <c r="G215" s="26" t="s">
        <v>225</v>
      </c>
      <c r="H215" s="27" t="s">
        <v>226</v>
      </c>
      <c r="I215" s="26" t="s">
        <v>27</v>
      </c>
      <c r="J215" s="28" t="s">
        <v>227</v>
      </c>
      <c r="K215" s="123">
        <v>42</v>
      </c>
      <c r="L215" s="29">
        <f t="shared" si="33"/>
        <v>7.2824999999999998</v>
      </c>
      <c r="M215" s="110">
        <v>5.5</v>
      </c>
      <c r="N215" s="30">
        <v>0.16500000000000001</v>
      </c>
      <c r="O215" s="116">
        <v>0.90750000000000008</v>
      </c>
      <c r="P215" s="30"/>
      <c r="Q215" s="116"/>
      <c r="R215" s="30">
        <v>7.0000000000000007E-2</v>
      </c>
      <c r="S215" s="116">
        <v>0.38500000000000001</v>
      </c>
      <c r="T215" s="117">
        <v>0.49</v>
      </c>
      <c r="U215" s="39">
        <v>500</v>
      </c>
      <c r="V215" s="32">
        <v>200</v>
      </c>
      <c r="W215" s="33"/>
      <c r="X215" s="32"/>
      <c r="Y215" s="32"/>
      <c r="Z215" s="32"/>
      <c r="AA215" s="34"/>
      <c r="AB215" s="35">
        <f t="shared" si="34"/>
        <v>700</v>
      </c>
      <c r="AC215" s="75">
        <f t="shared" si="35"/>
        <v>21000</v>
      </c>
      <c r="AD215" s="78">
        <f t="shared" si="43"/>
        <v>8400</v>
      </c>
      <c r="AE215" s="72">
        <f t="shared" si="36"/>
        <v>29400</v>
      </c>
      <c r="AF215" s="75">
        <f t="shared" si="37"/>
        <v>3641.25</v>
      </c>
      <c r="AG215" s="78">
        <f t="shared" si="38"/>
        <v>1456.5</v>
      </c>
      <c r="AH215" s="72">
        <f t="shared" si="39"/>
        <v>5097.75</v>
      </c>
      <c r="AI215" s="75">
        <f t="shared" si="40"/>
        <v>2750</v>
      </c>
      <c r="AJ215" s="78">
        <f t="shared" si="41"/>
        <v>1100</v>
      </c>
      <c r="AK215" s="72">
        <f t="shared" si="42"/>
        <v>3850</v>
      </c>
    </row>
    <row r="216" spans="1:37" ht="15.95" customHeight="1">
      <c r="A216" s="25" t="s">
        <v>12</v>
      </c>
      <c r="B216" s="25" t="s">
        <v>13</v>
      </c>
      <c r="C216" s="26" t="s">
        <v>29</v>
      </c>
      <c r="D216" s="26" t="s">
        <v>213</v>
      </c>
      <c r="E216" s="26" t="s">
        <v>214</v>
      </c>
      <c r="F216" s="26" t="s">
        <v>228</v>
      </c>
      <c r="G216" s="26" t="s">
        <v>216</v>
      </c>
      <c r="H216" s="27" t="s">
        <v>395</v>
      </c>
      <c r="I216" s="26" t="s">
        <v>27</v>
      </c>
      <c r="J216" s="28" t="s">
        <v>174</v>
      </c>
      <c r="K216" s="123">
        <v>68</v>
      </c>
      <c r="L216" s="29">
        <f t="shared" si="33"/>
        <v>12.799999999999999</v>
      </c>
      <c r="M216" s="110">
        <v>10</v>
      </c>
      <c r="N216" s="30">
        <v>0.161</v>
      </c>
      <c r="O216" s="116">
        <v>1.61</v>
      </c>
      <c r="P216" s="30"/>
      <c r="Q216" s="116"/>
      <c r="R216" s="30">
        <v>7.0000000000000007E-2</v>
      </c>
      <c r="S216" s="116">
        <v>0.70000000000000007</v>
      </c>
      <c r="T216" s="117">
        <v>0.49</v>
      </c>
      <c r="U216" s="39">
        <v>400</v>
      </c>
      <c r="V216" s="32">
        <v>158</v>
      </c>
      <c r="W216" s="33"/>
      <c r="X216" s="32"/>
      <c r="Y216" s="32"/>
      <c r="Z216" s="32"/>
      <c r="AA216" s="34"/>
      <c r="AB216" s="35">
        <f t="shared" si="34"/>
        <v>558</v>
      </c>
      <c r="AC216" s="75">
        <f t="shared" si="35"/>
        <v>27200</v>
      </c>
      <c r="AD216" s="78">
        <f t="shared" si="43"/>
        <v>10744</v>
      </c>
      <c r="AE216" s="72">
        <f t="shared" si="36"/>
        <v>37944</v>
      </c>
      <c r="AF216" s="75">
        <f t="shared" si="37"/>
        <v>5120</v>
      </c>
      <c r="AG216" s="78">
        <f t="shared" si="38"/>
        <v>2022.3999999999999</v>
      </c>
      <c r="AH216" s="72">
        <f t="shared" si="39"/>
        <v>7142.4</v>
      </c>
      <c r="AI216" s="75">
        <f t="shared" si="40"/>
        <v>4000</v>
      </c>
      <c r="AJ216" s="78">
        <f t="shared" si="41"/>
        <v>1580</v>
      </c>
      <c r="AK216" s="72">
        <f t="shared" si="42"/>
        <v>5580</v>
      </c>
    </row>
    <row r="217" spans="1:37" ht="15.95" customHeight="1">
      <c r="A217" s="25" t="s">
        <v>12</v>
      </c>
      <c r="B217" s="25" t="s">
        <v>13</v>
      </c>
      <c r="C217" s="26" t="s">
        <v>29</v>
      </c>
      <c r="D217" s="26" t="s">
        <v>213</v>
      </c>
      <c r="E217" s="26" t="s">
        <v>214</v>
      </c>
      <c r="F217" s="26" t="s">
        <v>228</v>
      </c>
      <c r="G217" s="26" t="s">
        <v>216</v>
      </c>
      <c r="H217" s="27" t="s">
        <v>395</v>
      </c>
      <c r="I217" s="26" t="s">
        <v>27</v>
      </c>
      <c r="J217" s="28" t="s">
        <v>174</v>
      </c>
      <c r="K217" s="123">
        <v>68</v>
      </c>
      <c r="L217" s="29">
        <f t="shared" si="33"/>
        <v>12.799999999999999</v>
      </c>
      <c r="M217" s="110">
        <v>10</v>
      </c>
      <c r="N217" s="30">
        <v>0.161</v>
      </c>
      <c r="O217" s="116">
        <v>1.61</v>
      </c>
      <c r="P217" s="30"/>
      <c r="Q217" s="116"/>
      <c r="R217" s="30">
        <v>7.0000000000000007E-2</v>
      </c>
      <c r="S217" s="116">
        <v>0.70000000000000007</v>
      </c>
      <c r="T217" s="117">
        <v>0.49</v>
      </c>
      <c r="U217" s="39">
        <v>400</v>
      </c>
      <c r="V217" s="32">
        <v>150</v>
      </c>
      <c r="W217" s="33"/>
      <c r="X217" s="32"/>
      <c r="Y217" s="32"/>
      <c r="Z217" s="32"/>
      <c r="AA217" s="34"/>
      <c r="AB217" s="35">
        <f t="shared" si="34"/>
        <v>550</v>
      </c>
      <c r="AC217" s="75">
        <f t="shared" si="35"/>
        <v>27200</v>
      </c>
      <c r="AD217" s="78">
        <f t="shared" si="43"/>
        <v>10200</v>
      </c>
      <c r="AE217" s="72">
        <f t="shared" si="36"/>
        <v>37400</v>
      </c>
      <c r="AF217" s="75">
        <f t="shared" si="37"/>
        <v>5120</v>
      </c>
      <c r="AG217" s="78">
        <f t="shared" si="38"/>
        <v>1919.9999999999998</v>
      </c>
      <c r="AH217" s="72">
        <f t="shared" si="39"/>
        <v>7040</v>
      </c>
      <c r="AI217" s="75">
        <f t="shared" si="40"/>
        <v>4000</v>
      </c>
      <c r="AJ217" s="78">
        <f t="shared" si="41"/>
        <v>1500</v>
      </c>
      <c r="AK217" s="72">
        <f t="shared" si="42"/>
        <v>5500</v>
      </c>
    </row>
    <row r="218" spans="1:37" ht="15.95" customHeight="1">
      <c r="A218" s="25" t="s">
        <v>12</v>
      </c>
      <c r="B218" s="25" t="s">
        <v>13</v>
      </c>
      <c r="C218" s="26" t="s">
        <v>24</v>
      </c>
      <c r="D218" s="26" t="s">
        <v>229</v>
      </c>
      <c r="E218" s="26" t="s">
        <v>214</v>
      </c>
      <c r="F218" s="26" t="s">
        <v>230</v>
      </c>
      <c r="G218" s="26" t="s">
        <v>225</v>
      </c>
      <c r="H218" s="27" t="s">
        <v>226</v>
      </c>
      <c r="I218" s="26" t="s">
        <v>27</v>
      </c>
      <c r="J218" s="28" t="s">
        <v>227</v>
      </c>
      <c r="K218" s="123">
        <v>42</v>
      </c>
      <c r="L218" s="29">
        <f t="shared" si="33"/>
        <v>7.2824999999999998</v>
      </c>
      <c r="M218" s="110">
        <v>5.5</v>
      </c>
      <c r="N218" s="30">
        <v>0.16500000000000001</v>
      </c>
      <c r="O218" s="116">
        <v>0.90750000000000008</v>
      </c>
      <c r="P218" s="30"/>
      <c r="Q218" s="116"/>
      <c r="R218" s="30">
        <v>7.0000000000000007E-2</v>
      </c>
      <c r="S218" s="116">
        <v>0.38500000000000001</v>
      </c>
      <c r="T218" s="117">
        <v>0.49</v>
      </c>
      <c r="U218" s="39">
        <v>500</v>
      </c>
      <c r="V218" s="32">
        <v>5</v>
      </c>
      <c r="W218" s="33"/>
      <c r="X218" s="32"/>
      <c r="Y218" s="32"/>
      <c r="Z218" s="32"/>
      <c r="AA218" s="34"/>
      <c r="AB218" s="35">
        <f t="shared" si="34"/>
        <v>505</v>
      </c>
      <c r="AC218" s="75">
        <f t="shared" si="35"/>
        <v>21000</v>
      </c>
      <c r="AD218" s="78">
        <f t="shared" si="43"/>
        <v>210</v>
      </c>
      <c r="AE218" s="72">
        <f t="shared" si="36"/>
        <v>21210</v>
      </c>
      <c r="AF218" s="75">
        <f t="shared" si="37"/>
        <v>3641.25</v>
      </c>
      <c r="AG218" s="78">
        <f t="shared" si="38"/>
        <v>36.412500000000001</v>
      </c>
      <c r="AH218" s="72">
        <f t="shared" si="39"/>
        <v>3677.6624999999999</v>
      </c>
      <c r="AI218" s="75">
        <f t="shared" si="40"/>
        <v>2750</v>
      </c>
      <c r="AJ218" s="78">
        <f t="shared" si="41"/>
        <v>27.5</v>
      </c>
      <c r="AK218" s="72">
        <f t="shared" si="42"/>
        <v>2777.5</v>
      </c>
    </row>
    <row r="219" spans="1:37" ht="15.95" customHeight="1">
      <c r="A219" s="25" t="s">
        <v>12</v>
      </c>
      <c r="B219" s="25" t="s">
        <v>13</v>
      </c>
      <c r="C219" s="26" t="s">
        <v>76</v>
      </c>
      <c r="D219" s="26" t="s">
        <v>213</v>
      </c>
      <c r="E219" s="26" t="s">
        <v>214</v>
      </c>
      <c r="F219" s="26" t="s">
        <v>231</v>
      </c>
      <c r="G219" s="26" t="s">
        <v>216</v>
      </c>
      <c r="H219" s="27" t="s">
        <v>395</v>
      </c>
      <c r="I219" s="26" t="s">
        <v>27</v>
      </c>
      <c r="J219" s="28" t="s">
        <v>222</v>
      </c>
      <c r="K219" s="123">
        <v>118</v>
      </c>
      <c r="L219" s="29">
        <f t="shared" si="33"/>
        <v>22.349499999999999</v>
      </c>
      <c r="M219" s="110">
        <v>17.7</v>
      </c>
      <c r="N219" s="30">
        <v>0.16500000000000001</v>
      </c>
      <c r="O219" s="116">
        <v>2.9205000000000001</v>
      </c>
      <c r="P219" s="30"/>
      <c r="Q219" s="116"/>
      <c r="R219" s="30">
        <v>7.0000000000000007E-2</v>
      </c>
      <c r="S219" s="116">
        <v>1.2390000000000001</v>
      </c>
      <c r="T219" s="117">
        <v>0.49</v>
      </c>
      <c r="U219" s="39">
        <v>400</v>
      </c>
      <c r="V219" s="32"/>
      <c r="W219" s="33"/>
      <c r="X219" s="32"/>
      <c r="Y219" s="32"/>
      <c r="Z219" s="32"/>
      <c r="AA219" s="34"/>
      <c r="AB219" s="35">
        <f t="shared" si="34"/>
        <v>400</v>
      </c>
      <c r="AC219" s="75">
        <f t="shared" si="35"/>
        <v>47200</v>
      </c>
      <c r="AD219" s="78">
        <f t="shared" si="43"/>
        <v>0</v>
      </c>
      <c r="AE219" s="72">
        <f t="shared" si="36"/>
        <v>47200</v>
      </c>
      <c r="AF219" s="75">
        <f t="shared" si="37"/>
        <v>8939.7999999999993</v>
      </c>
      <c r="AG219" s="78">
        <f t="shared" si="38"/>
        <v>0</v>
      </c>
      <c r="AH219" s="72">
        <f t="shared" si="39"/>
        <v>8939.7999999999993</v>
      </c>
      <c r="AI219" s="75">
        <f t="shared" si="40"/>
        <v>7080</v>
      </c>
      <c r="AJ219" s="78">
        <f t="shared" si="41"/>
        <v>0</v>
      </c>
      <c r="AK219" s="72">
        <f t="shared" si="42"/>
        <v>7080</v>
      </c>
    </row>
    <row r="220" spans="1:37" ht="15.95" customHeight="1">
      <c r="A220" s="25" t="s">
        <v>12</v>
      </c>
      <c r="B220" s="25" t="s">
        <v>13</v>
      </c>
      <c r="C220" s="26" t="s">
        <v>76</v>
      </c>
      <c r="D220" s="26" t="s">
        <v>213</v>
      </c>
      <c r="E220" s="26" t="s">
        <v>214</v>
      </c>
      <c r="F220" s="26" t="s">
        <v>231</v>
      </c>
      <c r="G220" s="26" t="s">
        <v>216</v>
      </c>
      <c r="H220" s="27" t="s">
        <v>395</v>
      </c>
      <c r="I220" s="26" t="s">
        <v>27</v>
      </c>
      <c r="J220" s="28" t="s">
        <v>222</v>
      </c>
      <c r="K220" s="123">
        <v>118</v>
      </c>
      <c r="L220" s="29">
        <f t="shared" si="33"/>
        <v>22.349499999999999</v>
      </c>
      <c r="M220" s="110">
        <v>17.7</v>
      </c>
      <c r="N220" s="30">
        <v>0.16500000000000001</v>
      </c>
      <c r="O220" s="116">
        <v>2.9205000000000001</v>
      </c>
      <c r="P220" s="30"/>
      <c r="Q220" s="116"/>
      <c r="R220" s="30">
        <v>7.0000000000000007E-2</v>
      </c>
      <c r="S220" s="116">
        <v>1.2390000000000001</v>
      </c>
      <c r="T220" s="117">
        <v>0.49</v>
      </c>
      <c r="U220" s="39">
        <v>400</v>
      </c>
      <c r="V220" s="32">
        <v>48</v>
      </c>
      <c r="W220" s="33"/>
      <c r="X220" s="32"/>
      <c r="Y220" s="32"/>
      <c r="Z220" s="32"/>
      <c r="AA220" s="34"/>
      <c r="AB220" s="35">
        <f t="shared" si="34"/>
        <v>448</v>
      </c>
      <c r="AC220" s="75">
        <f t="shared" si="35"/>
        <v>47200</v>
      </c>
      <c r="AD220" s="78">
        <f t="shared" si="43"/>
        <v>5664</v>
      </c>
      <c r="AE220" s="72">
        <f t="shared" si="36"/>
        <v>52864</v>
      </c>
      <c r="AF220" s="75">
        <f t="shared" si="37"/>
        <v>8939.7999999999993</v>
      </c>
      <c r="AG220" s="78">
        <f t="shared" si="38"/>
        <v>1072.7759999999998</v>
      </c>
      <c r="AH220" s="72">
        <f t="shared" si="39"/>
        <v>10012.575999999999</v>
      </c>
      <c r="AI220" s="75">
        <f t="shared" si="40"/>
        <v>7080</v>
      </c>
      <c r="AJ220" s="78">
        <f t="shared" si="41"/>
        <v>849.59999999999991</v>
      </c>
      <c r="AK220" s="72">
        <f t="shared" si="42"/>
        <v>7929.6</v>
      </c>
    </row>
    <row r="221" spans="1:37" ht="15.95" customHeight="1">
      <c r="A221" s="25" t="s">
        <v>12</v>
      </c>
      <c r="B221" s="25" t="s">
        <v>13</v>
      </c>
      <c r="C221" s="26" t="s">
        <v>76</v>
      </c>
      <c r="D221" s="26" t="s">
        <v>213</v>
      </c>
      <c r="E221" s="26" t="s">
        <v>214</v>
      </c>
      <c r="F221" s="26" t="s">
        <v>231</v>
      </c>
      <c r="G221" s="26" t="s">
        <v>216</v>
      </c>
      <c r="H221" s="27" t="s">
        <v>395</v>
      </c>
      <c r="I221" s="26" t="s">
        <v>27</v>
      </c>
      <c r="J221" s="28" t="s">
        <v>222</v>
      </c>
      <c r="K221" s="123">
        <v>118</v>
      </c>
      <c r="L221" s="29">
        <f t="shared" si="33"/>
        <v>22.349499999999999</v>
      </c>
      <c r="M221" s="110">
        <v>17.7</v>
      </c>
      <c r="N221" s="30">
        <v>0.16500000000000001</v>
      </c>
      <c r="O221" s="116">
        <v>2.9205000000000001</v>
      </c>
      <c r="P221" s="30"/>
      <c r="Q221" s="116"/>
      <c r="R221" s="30">
        <v>7.0000000000000007E-2</v>
      </c>
      <c r="S221" s="116">
        <v>1.2390000000000001</v>
      </c>
      <c r="T221" s="117">
        <v>0.49</v>
      </c>
      <c r="U221" s="39">
        <v>400</v>
      </c>
      <c r="V221" s="32">
        <v>48</v>
      </c>
      <c r="W221" s="33"/>
      <c r="X221" s="32"/>
      <c r="Y221" s="32"/>
      <c r="Z221" s="32"/>
      <c r="AA221" s="34"/>
      <c r="AB221" s="35">
        <f t="shared" si="34"/>
        <v>448</v>
      </c>
      <c r="AC221" s="75">
        <f t="shared" si="35"/>
        <v>47200</v>
      </c>
      <c r="AD221" s="78">
        <f t="shared" si="43"/>
        <v>5664</v>
      </c>
      <c r="AE221" s="72">
        <f t="shared" si="36"/>
        <v>52864</v>
      </c>
      <c r="AF221" s="75">
        <f t="shared" si="37"/>
        <v>8939.7999999999993</v>
      </c>
      <c r="AG221" s="78">
        <f t="shared" si="38"/>
        <v>1072.7759999999998</v>
      </c>
      <c r="AH221" s="72">
        <f t="shared" si="39"/>
        <v>10012.575999999999</v>
      </c>
      <c r="AI221" s="75">
        <f t="shared" si="40"/>
        <v>7080</v>
      </c>
      <c r="AJ221" s="78">
        <f t="shared" si="41"/>
        <v>849.59999999999991</v>
      </c>
      <c r="AK221" s="72">
        <f t="shared" si="42"/>
        <v>7929.6</v>
      </c>
    </row>
    <row r="222" spans="1:37" ht="15.95" customHeight="1">
      <c r="A222" s="25" t="s">
        <v>12</v>
      </c>
      <c r="B222" s="25" t="s">
        <v>13</v>
      </c>
      <c r="C222" s="26" t="s">
        <v>81</v>
      </c>
      <c r="D222" s="26" t="s">
        <v>213</v>
      </c>
      <c r="E222" s="26" t="s">
        <v>214</v>
      </c>
      <c r="F222" s="26" t="s">
        <v>232</v>
      </c>
      <c r="G222" s="26" t="s">
        <v>216</v>
      </c>
      <c r="H222" s="27" t="s">
        <v>95</v>
      </c>
      <c r="I222" s="26" t="s">
        <v>27</v>
      </c>
      <c r="J222" s="37" t="s">
        <v>83</v>
      </c>
      <c r="K222" s="123">
        <v>98</v>
      </c>
      <c r="L222" s="29">
        <f t="shared" si="33"/>
        <v>17.860749999999996</v>
      </c>
      <c r="M222" s="110">
        <v>14.25</v>
      </c>
      <c r="N222" s="30">
        <v>0.14899999999999999</v>
      </c>
      <c r="O222" s="116">
        <v>2.1232500000000001</v>
      </c>
      <c r="P222" s="30"/>
      <c r="Q222" s="116"/>
      <c r="R222" s="30">
        <v>7.0000000000000007E-2</v>
      </c>
      <c r="S222" s="116">
        <v>0.99750000000000005</v>
      </c>
      <c r="T222" s="117">
        <v>0.49</v>
      </c>
      <c r="U222" s="39">
        <v>400</v>
      </c>
      <c r="V222" s="32"/>
      <c r="W222" s="33"/>
      <c r="X222" s="32"/>
      <c r="Y222" s="32"/>
      <c r="Z222" s="32"/>
      <c r="AA222" s="34"/>
      <c r="AB222" s="35">
        <f t="shared" si="34"/>
        <v>400</v>
      </c>
      <c r="AC222" s="75">
        <f t="shared" si="35"/>
        <v>39200</v>
      </c>
      <c r="AD222" s="78">
        <f t="shared" si="43"/>
        <v>0</v>
      </c>
      <c r="AE222" s="72">
        <f t="shared" si="36"/>
        <v>39200</v>
      </c>
      <c r="AF222" s="75">
        <f t="shared" si="37"/>
        <v>7144.2999999999984</v>
      </c>
      <c r="AG222" s="78">
        <f t="shared" si="38"/>
        <v>0</v>
      </c>
      <c r="AH222" s="72">
        <f t="shared" si="39"/>
        <v>7144.2999999999984</v>
      </c>
      <c r="AI222" s="75">
        <f t="shared" si="40"/>
        <v>5700</v>
      </c>
      <c r="AJ222" s="78">
        <f t="shared" si="41"/>
        <v>0</v>
      </c>
      <c r="AK222" s="72">
        <f t="shared" si="42"/>
        <v>5700</v>
      </c>
    </row>
    <row r="223" spans="1:37" ht="15.95" customHeight="1">
      <c r="A223" s="25" t="s">
        <v>12</v>
      </c>
      <c r="B223" s="25" t="s">
        <v>13</v>
      </c>
      <c r="C223" s="26" t="s">
        <v>81</v>
      </c>
      <c r="D223" s="26" t="s">
        <v>213</v>
      </c>
      <c r="E223" s="26" t="s">
        <v>214</v>
      </c>
      <c r="F223" s="26" t="s">
        <v>232</v>
      </c>
      <c r="G223" s="26" t="s">
        <v>216</v>
      </c>
      <c r="H223" s="27" t="s">
        <v>95</v>
      </c>
      <c r="I223" s="26" t="s">
        <v>27</v>
      </c>
      <c r="J223" s="37" t="s">
        <v>83</v>
      </c>
      <c r="K223" s="123">
        <v>98</v>
      </c>
      <c r="L223" s="29">
        <f t="shared" si="33"/>
        <v>17.860749999999996</v>
      </c>
      <c r="M223" s="110">
        <v>14.25</v>
      </c>
      <c r="N223" s="30">
        <v>0.14899999999999999</v>
      </c>
      <c r="O223" s="116">
        <v>2.1232500000000001</v>
      </c>
      <c r="P223" s="30"/>
      <c r="Q223" s="116"/>
      <c r="R223" s="30">
        <v>7.0000000000000007E-2</v>
      </c>
      <c r="S223" s="116">
        <v>0.99750000000000005</v>
      </c>
      <c r="T223" s="117">
        <v>0.49</v>
      </c>
      <c r="U223" s="39">
        <v>400</v>
      </c>
      <c r="V223" s="32">
        <v>48</v>
      </c>
      <c r="W223" s="33"/>
      <c r="X223" s="32"/>
      <c r="Y223" s="32"/>
      <c r="Z223" s="32"/>
      <c r="AA223" s="34"/>
      <c r="AB223" s="35">
        <f t="shared" si="34"/>
        <v>448</v>
      </c>
      <c r="AC223" s="75">
        <f t="shared" si="35"/>
        <v>39200</v>
      </c>
      <c r="AD223" s="78">
        <f t="shared" si="43"/>
        <v>4704</v>
      </c>
      <c r="AE223" s="72">
        <f t="shared" si="36"/>
        <v>43904</v>
      </c>
      <c r="AF223" s="75">
        <f t="shared" si="37"/>
        <v>7144.2999999999984</v>
      </c>
      <c r="AG223" s="78">
        <f t="shared" si="38"/>
        <v>857.3159999999998</v>
      </c>
      <c r="AH223" s="72">
        <f t="shared" si="39"/>
        <v>8001.6159999999982</v>
      </c>
      <c r="AI223" s="75">
        <f t="shared" si="40"/>
        <v>5700</v>
      </c>
      <c r="AJ223" s="78">
        <f t="shared" si="41"/>
        <v>684</v>
      </c>
      <c r="AK223" s="72">
        <f t="shared" si="42"/>
        <v>6384</v>
      </c>
    </row>
    <row r="224" spans="1:37" ht="15.95" customHeight="1">
      <c r="A224" s="25" t="s">
        <v>12</v>
      </c>
      <c r="B224" s="25" t="s">
        <v>13</v>
      </c>
      <c r="C224" s="26" t="s">
        <v>81</v>
      </c>
      <c r="D224" s="26" t="s">
        <v>213</v>
      </c>
      <c r="E224" s="26" t="s">
        <v>214</v>
      </c>
      <c r="F224" s="26" t="s">
        <v>232</v>
      </c>
      <c r="G224" s="26" t="s">
        <v>216</v>
      </c>
      <c r="H224" s="27" t="s">
        <v>95</v>
      </c>
      <c r="I224" s="26" t="s">
        <v>27</v>
      </c>
      <c r="J224" s="37" t="s">
        <v>83</v>
      </c>
      <c r="K224" s="123">
        <v>98</v>
      </c>
      <c r="L224" s="29">
        <f t="shared" si="33"/>
        <v>17.860749999999996</v>
      </c>
      <c r="M224" s="110">
        <v>14.25</v>
      </c>
      <c r="N224" s="30">
        <v>0.14899999999999999</v>
      </c>
      <c r="O224" s="116">
        <v>2.1232500000000001</v>
      </c>
      <c r="P224" s="30"/>
      <c r="Q224" s="116"/>
      <c r="R224" s="30">
        <v>7.0000000000000007E-2</v>
      </c>
      <c r="S224" s="116">
        <v>0.99750000000000005</v>
      </c>
      <c r="T224" s="117">
        <v>0.49</v>
      </c>
      <c r="U224" s="39">
        <v>400</v>
      </c>
      <c r="V224" s="32">
        <v>48</v>
      </c>
      <c r="W224" s="33"/>
      <c r="X224" s="32"/>
      <c r="Y224" s="32"/>
      <c r="Z224" s="32"/>
      <c r="AA224" s="34"/>
      <c r="AB224" s="35">
        <f t="shared" si="34"/>
        <v>448</v>
      </c>
      <c r="AC224" s="75">
        <f t="shared" si="35"/>
        <v>39200</v>
      </c>
      <c r="AD224" s="78">
        <f t="shared" si="43"/>
        <v>4704</v>
      </c>
      <c r="AE224" s="72">
        <f t="shared" si="36"/>
        <v>43904</v>
      </c>
      <c r="AF224" s="75">
        <f t="shared" si="37"/>
        <v>7144.2999999999984</v>
      </c>
      <c r="AG224" s="78">
        <f t="shared" si="38"/>
        <v>857.3159999999998</v>
      </c>
      <c r="AH224" s="72">
        <f t="shared" si="39"/>
        <v>8001.6159999999982</v>
      </c>
      <c r="AI224" s="75">
        <f t="shared" si="40"/>
        <v>5700</v>
      </c>
      <c r="AJ224" s="78">
        <f t="shared" si="41"/>
        <v>684</v>
      </c>
      <c r="AK224" s="72">
        <f t="shared" si="42"/>
        <v>6384</v>
      </c>
    </row>
    <row r="225" spans="1:37" ht="15.95" customHeight="1">
      <c r="A225" s="25" t="s">
        <v>12</v>
      </c>
      <c r="B225" s="25" t="s">
        <v>13</v>
      </c>
      <c r="C225" s="26" t="s">
        <v>24</v>
      </c>
      <c r="D225" s="26" t="s">
        <v>213</v>
      </c>
      <c r="E225" s="26" t="s">
        <v>214</v>
      </c>
      <c r="F225" s="26" t="s">
        <v>233</v>
      </c>
      <c r="G225" s="26" t="s">
        <v>225</v>
      </c>
      <c r="H225" s="27" t="s">
        <v>226</v>
      </c>
      <c r="I225" s="26" t="s">
        <v>27</v>
      </c>
      <c r="J225" s="28" t="s">
        <v>227</v>
      </c>
      <c r="K225" s="123">
        <v>42</v>
      </c>
      <c r="L225" s="29">
        <f t="shared" si="33"/>
        <v>6.9737499999999999</v>
      </c>
      <c r="M225" s="110">
        <v>5.25</v>
      </c>
      <c r="N225" s="30">
        <v>0.16500000000000001</v>
      </c>
      <c r="O225" s="116">
        <v>0.86625000000000008</v>
      </c>
      <c r="P225" s="30"/>
      <c r="Q225" s="116"/>
      <c r="R225" s="30">
        <v>7.0000000000000007E-2</v>
      </c>
      <c r="S225" s="116">
        <v>0.36750000000000005</v>
      </c>
      <c r="T225" s="117">
        <v>0.49</v>
      </c>
      <c r="U225" s="39">
        <v>500</v>
      </c>
      <c r="V225" s="32">
        <v>19</v>
      </c>
      <c r="W225" s="33"/>
      <c r="X225" s="32"/>
      <c r="Y225" s="32"/>
      <c r="Z225" s="32"/>
      <c r="AA225" s="34"/>
      <c r="AB225" s="35">
        <f t="shared" si="34"/>
        <v>519</v>
      </c>
      <c r="AC225" s="75">
        <f t="shared" si="35"/>
        <v>21000</v>
      </c>
      <c r="AD225" s="78">
        <f t="shared" si="43"/>
        <v>798</v>
      </c>
      <c r="AE225" s="72">
        <f t="shared" si="36"/>
        <v>21798</v>
      </c>
      <c r="AF225" s="75">
        <f t="shared" si="37"/>
        <v>3486.875</v>
      </c>
      <c r="AG225" s="78">
        <f t="shared" si="38"/>
        <v>132.50125</v>
      </c>
      <c r="AH225" s="72">
        <f t="shared" si="39"/>
        <v>3619.3762499999998</v>
      </c>
      <c r="AI225" s="75">
        <f t="shared" si="40"/>
        <v>2625</v>
      </c>
      <c r="AJ225" s="78">
        <f t="shared" si="41"/>
        <v>99.75</v>
      </c>
      <c r="AK225" s="72">
        <f t="shared" si="42"/>
        <v>2724.75</v>
      </c>
    </row>
    <row r="226" spans="1:37" ht="15.95" customHeight="1">
      <c r="A226" s="25" t="s">
        <v>12</v>
      </c>
      <c r="B226" s="25" t="s">
        <v>13</v>
      </c>
      <c r="C226" s="26" t="s">
        <v>24</v>
      </c>
      <c r="D226" s="26" t="s">
        <v>213</v>
      </c>
      <c r="E226" s="26" t="s">
        <v>214</v>
      </c>
      <c r="F226" s="26" t="s">
        <v>233</v>
      </c>
      <c r="G226" s="26" t="s">
        <v>225</v>
      </c>
      <c r="H226" s="27" t="s">
        <v>226</v>
      </c>
      <c r="I226" s="26" t="s">
        <v>27</v>
      </c>
      <c r="J226" s="28" t="s">
        <v>227</v>
      </c>
      <c r="K226" s="123">
        <v>42</v>
      </c>
      <c r="L226" s="29">
        <f t="shared" si="33"/>
        <v>6.9737499999999999</v>
      </c>
      <c r="M226" s="110">
        <v>5.25</v>
      </c>
      <c r="N226" s="30">
        <v>0.16500000000000001</v>
      </c>
      <c r="O226" s="116">
        <v>0.86625000000000008</v>
      </c>
      <c r="P226" s="30"/>
      <c r="Q226" s="116"/>
      <c r="R226" s="30">
        <v>7.0000000000000007E-2</v>
      </c>
      <c r="S226" s="116">
        <v>0.36750000000000005</v>
      </c>
      <c r="T226" s="117">
        <v>0.49</v>
      </c>
      <c r="U226" s="39">
        <v>500</v>
      </c>
      <c r="V226" s="32">
        <v>133</v>
      </c>
      <c r="W226" s="33"/>
      <c r="X226" s="32"/>
      <c r="Y226" s="32"/>
      <c r="Z226" s="32"/>
      <c r="AA226" s="34"/>
      <c r="AB226" s="35">
        <f t="shared" si="34"/>
        <v>633</v>
      </c>
      <c r="AC226" s="75">
        <f t="shared" si="35"/>
        <v>21000</v>
      </c>
      <c r="AD226" s="78">
        <f t="shared" si="43"/>
        <v>5586</v>
      </c>
      <c r="AE226" s="72">
        <f t="shared" si="36"/>
        <v>26586</v>
      </c>
      <c r="AF226" s="75">
        <f t="shared" si="37"/>
        <v>3486.875</v>
      </c>
      <c r="AG226" s="78">
        <f t="shared" si="38"/>
        <v>927.50874999999996</v>
      </c>
      <c r="AH226" s="72">
        <f t="shared" si="39"/>
        <v>4414.38375</v>
      </c>
      <c r="AI226" s="75">
        <f t="shared" si="40"/>
        <v>2625</v>
      </c>
      <c r="AJ226" s="78">
        <f t="shared" si="41"/>
        <v>698.25</v>
      </c>
      <c r="AK226" s="72">
        <f t="shared" si="42"/>
        <v>3323.25</v>
      </c>
    </row>
    <row r="227" spans="1:37" ht="15.95" customHeight="1">
      <c r="A227" s="25" t="s">
        <v>12</v>
      </c>
      <c r="B227" s="25" t="s">
        <v>13</v>
      </c>
      <c r="C227" s="26" t="s">
        <v>24</v>
      </c>
      <c r="D227" s="26" t="s">
        <v>213</v>
      </c>
      <c r="E227" s="26" t="s">
        <v>214</v>
      </c>
      <c r="F227" s="26" t="s">
        <v>233</v>
      </c>
      <c r="G227" s="26" t="s">
        <v>225</v>
      </c>
      <c r="H227" s="27" t="s">
        <v>234</v>
      </c>
      <c r="I227" s="26" t="s">
        <v>27</v>
      </c>
      <c r="J227" s="28" t="s">
        <v>227</v>
      </c>
      <c r="K227" s="123">
        <v>42</v>
      </c>
      <c r="L227" s="29">
        <f t="shared" si="33"/>
        <v>6.9737499999999999</v>
      </c>
      <c r="M227" s="110">
        <v>5.25</v>
      </c>
      <c r="N227" s="30">
        <v>0.16500000000000001</v>
      </c>
      <c r="O227" s="116">
        <v>0.86625000000000008</v>
      </c>
      <c r="P227" s="30"/>
      <c r="Q227" s="116"/>
      <c r="R227" s="30">
        <v>7.0000000000000007E-2</v>
      </c>
      <c r="S227" s="116">
        <v>0.36750000000000005</v>
      </c>
      <c r="T227" s="117">
        <v>0.49</v>
      </c>
      <c r="U227" s="39">
        <v>500</v>
      </c>
      <c r="V227" s="32">
        <v>82</v>
      </c>
      <c r="W227" s="33"/>
      <c r="X227" s="32"/>
      <c r="Y227" s="32"/>
      <c r="Z227" s="32"/>
      <c r="AA227" s="34"/>
      <c r="AB227" s="35">
        <f t="shared" si="34"/>
        <v>582</v>
      </c>
      <c r="AC227" s="75">
        <f t="shared" si="35"/>
        <v>21000</v>
      </c>
      <c r="AD227" s="78">
        <f t="shared" si="43"/>
        <v>3444</v>
      </c>
      <c r="AE227" s="72">
        <f t="shared" si="36"/>
        <v>24444</v>
      </c>
      <c r="AF227" s="75">
        <f t="shared" si="37"/>
        <v>3486.875</v>
      </c>
      <c r="AG227" s="78">
        <f t="shared" si="38"/>
        <v>571.84749999999997</v>
      </c>
      <c r="AH227" s="72">
        <f t="shared" si="39"/>
        <v>4058.7224999999999</v>
      </c>
      <c r="AI227" s="75">
        <f t="shared" si="40"/>
        <v>2625</v>
      </c>
      <c r="AJ227" s="78">
        <f t="shared" si="41"/>
        <v>430.5</v>
      </c>
      <c r="AK227" s="72">
        <f t="shared" si="42"/>
        <v>3055.5</v>
      </c>
    </row>
    <row r="228" spans="1:37" ht="15.95" customHeight="1">
      <c r="A228" s="25" t="s">
        <v>12</v>
      </c>
      <c r="B228" s="25" t="s">
        <v>13</v>
      </c>
      <c r="C228" s="26" t="s">
        <v>235</v>
      </c>
      <c r="D228" s="26" t="s">
        <v>213</v>
      </c>
      <c r="E228" s="26" t="s">
        <v>214</v>
      </c>
      <c r="F228" s="26" t="s">
        <v>236</v>
      </c>
      <c r="G228" s="26" t="s">
        <v>237</v>
      </c>
      <c r="H228" s="27" t="s">
        <v>238</v>
      </c>
      <c r="I228" s="26" t="s">
        <v>27</v>
      </c>
      <c r="J228" s="28" t="s">
        <v>227</v>
      </c>
      <c r="K228" s="123">
        <v>78</v>
      </c>
      <c r="L228" s="29">
        <f t="shared" si="33"/>
        <v>11.913750000000002</v>
      </c>
      <c r="M228" s="110">
        <v>9.25</v>
      </c>
      <c r="N228" s="30">
        <v>0.16500000000000001</v>
      </c>
      <c r="O228" s="116">
        <v>1.5262500000000001</v>
      </c>
      <c r="P228" s="30"/>
      <c r="Q228" s="116"/>
      <c r="R228" s="30">
        <v>7.0000000000000007E-2</v>
      </c>
      <c r="S228" s="116">
        <v>0.64750000000000008</v>
      </c>
      <c r="T228" s="117">
        <v>0.49</v>
      </c>
      <c r="U228" s="39">
        <v>400</v>
      </c>
      <c r="V228" s="32">
        <v>64</v>
      </c>
      <c r="W228" s="33"/>
      <c r="X228" s="32"/>
      <c r="Y228" s="32"/>
      <c r="Z228" s="32"/>
      <c r="AA228" s="34"/>
      <c r="AB228" s="35">
        <f t="shared" si="34"/>
        <v>464</v>
      </c>
      <c r="AC228" s="75">
        <f t="shared" si="35"/>
        <v>31200</v>
      </c>
      <c r="AD228" s="78">
        <f t="shared" si="43"/>
        <v>4992</v>
      </c>
      <c r="AE228" s="72">
        <f t="shared" si="36"/>
        <v>36192</v>
      </c>
      <c r="AF228" s="75">
        <f t="shared" si="37"/>
        <v>4765.5000000000009</v>
      </c>
      <c r="AG228" s="78">
        <f t="shared" si="38"/>
        <v>762.48000000000013</v>
      </c>
      <c r="AH228" s="72">
        <f t="shared" si="39"/>
        <v>5527.9800000000014</v>
      </c>
      <c r="AI228" s="75">
        <f t="shared" si="40"/>
        <v>3700</v>
      </c>
      <c r="AJ228" s="78">
        <f t="shared" si="41"/>
        <v>592</v>
      </c>
      <c r="AK228" s="72">
        <f t="shared" si="42"/>
        <v>4292</v>
      </c>
    </row>
    <row r="229" spans="1:37" ht="15.95" customHeight="1">
      <c r="A229" s="25" t="s">
        <v>12</v>
      </c>
      <c r="B229" s="25" t="s">
        <v>13</v>
      </c>
      <c r="C229" s="26" t="s">
        <v>81</v>
      </c>
      <c r="D229" s="26" t="s">
        <v>213</v>
      </c>
      <c r="E229" s="26" t="s">
        <v>214</v>
      </c>
      <c r="F229" s="26" t="s">
        <v>239</v>
      </c>
      <c r="G229" s="26" t="s">
        <v>240</v>
      </c>
      <c r="H229" s="27" t="s">
        <v>95</v>
      </c>
      <c r="I229" s="26" t="s">
        <v>27</v>
      </c>
      <c r="J229" s="37" t="s">
        <v>83</v>
      </c>
      <c r="K229" s="123">
        <v>98</v>
      </c>
      <c r="L229" s="29">
        <f t="shared" si="33"/>
        <v>18.774999999999999</v>
      </c>
      <c r="M229" s="110">
        <v>15</v>
      </c>
      <c r="N229" s="30">
        <v>0.14899999999999999</v>
      </c>
      <c r="O229" s="116">
        <v>2.2349999999999999</v>
      </c>
      <c r="P229" s="30"/>
      <c r="Q229" s="116"/>
      <c r="R229" s="30">
        <v>7.0000000000000007E-2</v>
      </c>
      <c r="S229" s="116">
        <v>1.05</v>
      </c>
      <c r="T229" s="117">
        <v>0.49</v>
      </c>
      <c r="U229" s="39">
        <v>300</v>
      </c>
      <c r="V229" s="32">
        <v>64</v>
      </c>
      <c r="W229" s="33"/>
      <c r="X229" s="32"/>
      <c r="Y229" s="32"/>
      <c r="Z229" s="32"/>
      <c r="AA229" s="34"/>
      <c r="AB229" s="35">
        <f t="shared" si="34"/>
        <v>364</v>
      </c>
      <c r="AC229" s="75">
        <f t="shared" si="35"/>
        <v>29400</v>
      </c>
      <c r="AD229" s="78">
        <f t="shared" si="43"/>
        <v>6272</v>
      </c>
      <c r="AE229" s="72">
        <f t="shared" si="36"/>
        <v>35672</v>
      </c>
      <c r="AF229" s="75">
        <f t="shared" si="37"/>
        <v>5632.5</v>
      </c>
      <c r="AG229" s="78">
        <f t="shared" si="38"/>
        <v>1201.5999999999999</v>
      </c>
      <c r="AH229" s="72">
        <f t="shared" si="39"/>
        <v>6834.1</v>
      </c>
      <c r="AI229" s="75">
        <f t="shared" si="40"/>
        <v>4500</v>
      </c>
      <c r="AJ229" s="78">
        <f t="shared" si="41"/>
        <v>960</v>
      </c>
      <c r="AK229" s="72">
        <f t="shared" si="42"/>
        <v>5460</v>
      </c>
    </row>
    <row r="230" spans="1:37" ht="15.95" customHeight="1">
      <c r="A230" s="25" t="s">
        <v>12</v>
      </c>
      <c r="B230" s="25" t="s">
        <v>13</v>
      </c>
      <c r="C230" s="26" t="s">
        <v>24</v>
      </c>
      <c r="D230" s="26" t="s">
        <v>213</v>
      </c>
      <c r="E230" s="26" t="s">
        <v>214</v>
      </c>
      <c r="F230" s="26" t="s">
        <v>241</v>
      </c>
      <c r="G230" s="26" t="s">
        <v>242</v>
      </c>
      <c r="H230" s="27" t="s">
        <v>243</v>
      </c>
      <c r="I230" s="26" t="s">
        <v>27</v>
      </c>
      <c r="J230" s="28" t="s">
        <v>28</v>
      </c>
      <c r="K230" s="123">
        <v>48</v>
      </c>
      <c r="L230" s="29">
        <f t="shared" si="33"/>
        <v>8.4824999999999999</v>
      </c>
      <c r="M230" s="110">
        <v>5.75</v>
      </c>
      <c r="N230" s="30">
        <v>0.32</v>
      </c>
      <c r="O230" s="116">
        <v>1.84</v>
      </c>
      <c r="P230" s="30"/>
      <c r="Q230" s="116"/>
      <c r="R230" s="30">
        <v>7.0000000000000007E-2</v>
      </c>
      <c r="S230" s="116">
        <v>0.40250000000000002</v>
      </c>
      <c r="T230" s="117">
        <v>0.49</v>
      </c>
      <c r="U230" s="39">
        <v>500</v>
      </c>
      <c r="V230" s="32">
        <v>136</v>
      </c>
      <c r="W230" s="33"/>
      <c r="X230" s="32"/>
      <c r="Y230" s="32"/>
      <c r="Z230" s="32"/>
      <c r="AA230" s="34"/>
      <c r="AB230" s="35">
        <f t="shared" si="34"/>
        <v>636</v>
      </c>
      <c r="AC230" s="75">
        <f t="shared" si="35"/>
        <v>24000</v>
      </c>
      <c r="AD230" s="78">
        <f t="shared" si="43"/>
        <v>6528</v>
      </c>
      <c r="AE230" s="72">
        <f t="shared" si="36"/>
        <v>30528</v>
      </c>
      <c r="AF230" s="75">
        <f t="shared" si="37"/>
        <v>4241.25</v>
      </c>
      <c r="AG230" s="78">
        <f t="shared" si="38"/>
        <v>1153.6199999999999</v>
      </c>
      <c r="AH230" s="72">
        <f t="shared" si="39"/>
        <v>5394.87</v>
      </c>
      <c r="AI230" s="75">
        <f t="shared" si="40"/>
        <v>2875</v>
      </c>
      <c r="AJ230" s="78">
        <f t="shared" si="41"/>
        <v>782</v>
      </c>
      <c r="AK230" s="72">
        <f t="shared" si="42"/>
        <v>3657</v>
      </c>
    </row>
    <row r="231" spans="1:37" ht="15.95" customHeight="1">
      <c r="A231" s="25" t="s">
        <v>12</v>
      </c>
      <c r="B231" s="25" t="s">
        <v>13</v>
      </c>
      <c r="C231" s="26" t="s">
        <v>24</v>
      </c>
      <c r="D231" s="26" t="s">
        <v>213</v>
      </c>
      <c r="E231" s="26" t="s">
        <v>214</v>
      </c>
      <c r="F231" s="26" t="s">
        <v>241</v>
      </c>
      <c r="G231" s="26" t="s">
        <v>242</v>
      </c>
      <c r="H231" s="27" t="s">
        <v>243</v>
      </c>
      <c r="I231" s="26" t="s">
        <v>27</v>
      </c>
      <c r="J231" s="28" t="s">
        <v>28</v>
      </c>
      <c r="K231" s="123">
        <v>48</v>
      </c>
      <c r="L231" s="29">
        <f t="shared" si="33"/>
        <v>8.4824999999999999</v>
      </c>
      <c r="M231" s="110">
        <v>5.75</v>
      </c>
      <c r="N231" s="30">
        <v>0.32</v>
      </c>
      <c r="O231" s="116">
        <v>1.84</v>
      </c>
      <c r="P231" s="30"/>
      <c r="Q231" s="116"/>
      <c r="R231" s="30">
        <v>7.0000000000000007E-2</v>
      </c>
      <c r="S231" s="116">
        <v>0.40250000000000002</v>
      </c>
      <c r="T231" s="117">
        <v>0.49</v>
      </c>
      <c r="U231" s="39">
        <v>500</v>
      </c>
      <c r="V231" s="32">
        <v>151</v>
      </c>
      <c r="W231" s="33"/>
      <c r="X231" s="32"/>
      <c r="Y231" s="32"/>
      <c r="Z231" s="32"/>
      <c r="AA231" s="34"/>
      <c r="AB231" s="35">
        <f t="shared" si="34"/>
        <v>651</v>
      </c>
      <c r="AC231" s="75">
        <f t="shared" si="35"/>
        <v>24000</v>
      </c>
      <c r="AD231" s="78">
        <f t="shared" si="43"/>
        <v>7248</v>
      </c>
      <c r="AE231" s="72">
        <f t="shared" si="36"/>
        <v>31248</v>
      </c>
      <c r="AF231" s="75">
        <f t="shared" si="37"/>
        <v>4241.25</v>
      </c>
      <c r="AG231" s="78">
        <f t="shared" si="38"/>
        <v>1280.8575000000001</v>
      </c>
      <c r="AH231" s="72">
        <f t="shared" si="39"/>
        <v>5522.1075000000001</v>
      </c>
      <c r="AI231" s="75">
        <f t="shared" si="40"/>
        <v>2875</v>
      </c>
      <c r="AJ231" s="78">
        <f t="shared" si="41"/>
        <v>868.25</v>
      </c>
      <c r="AK231" s="72">
        <f t="shared" si="42"/>
        <v>3743.25</v>
      </c>
    </row>
    <row r="232" spans="1:37" ht="15.95" customHeight="1">
      <c r="A232" s="25" t="s">
        <v>12</v>
      </c>
      <c r="B232" s="25" t="s">
        <v>13</v>
      </c>
      <c r="C232" s="26" t="s">
        <v>24</v>
      </c>
      <c r="D232" s="26" t="s">
        <v>213</v>
      </c>
      <c r="E232" s="26" t="s">
        <v>214</v>
      </c>
      <c r="F232" s="26" t="s">
        <v>244</v>
      </c>
      <c r="G232" s="26" t="s">
        <v>225</v>
      </c>
      <c r="H232" s="27" t="s">
        <v>226</v>
      </c>
      <c r="I232" s="26" t="s">
        <v>27</v>
      </c>
      <c r="J232" s="28" t="s">
        <v>227</v>
      </c>
      <c r="K232" s="123">
        <v>42</v>
      </c>
      <c r="L232" s="29">
        <f t="shared" si="33"/>
        <v>6.9737499999999999</v>
      </c>
      <c r="M232" s="110">
        <v>5.25</v>
      </c>
      <c r="N232" s="30">
        <v>0.16500000000000001</v>
      </c>
      <c r="O232" s="116">
        <v>0.86625000000000008</v>
      </c>
      <c r="P232" s="30"/>
      <c r="Q232" s="116"/>
      <c r="R232" s="30">
        <v>7.0000000000000007E-2</v>
      </c>
      <c r="S232" s="116">
        <v>0.36750000000000005</v>
      </c>
      <c r="T232" s="117">
        <v>0.49</v>
      </c>
      <c r="U232" s="39">
        <v>500</v>
      </c>
      <c r="V232" s="32"/>
      <c r="W232" s="33"/>
      <c r="X232" s="32"/>
      <c r="Y232" s="32"/>
      <c r="Z232" s="32"/>
      <c r="AA232" s="34"/>
      <c r="AB232" s="35">
        <f t="shared" si="34"/>
        <v>500</v>
      </c>
      <c r="AC232" s="75">
        <f t="shared" si="35"/>
        <v>21000</v>
      </c>
      <c r="AD232" s="78">
        <f t="shared" si="43"/>
        <v>0</v>
      </c>
      <c r="AE232" s="72">
        <f t="shared" si="36"/>
        <v>21000</v>
      </c>
      <c r="AF232" s="75">
        <f t="shared" si="37"/>
        <v>3486.875</v>
      </c>
      <c r="AG232" s="78">
        <f t="shared" si="38"/>
        <v>0</v>
      </c>
      <c r="AH232" s="72">
        <f t="shared" si="39"/>
        <v>3486.875</v>
      </c>
      <c r="AI232" s="75">
        <f t="shared" si="40"/>
        <v>2625</v>
      </c>
      <c r="AJ232" s="78">
        <f t="shared" si="41"/>
        <v>0</v>
      </c>
      <c r="AK232" s="72">
        <f t="shared" si="42"/>
        <v>2625</v>
      </c>
    </row>
    <row r="233" spans="1:37" ht="15.95" customHeight="1">
      <c r="A233" s="25" t="s">
        <v>12</v>
      </c>
      <c r="B233" s="25" t="s">
        <v>13</v>
      </c>
      <c r="C233" s="26" t="s">
        <v>24</v>
      </c>
      <c r="D233" s="26" t="s">
        <v>213</v>
      </c>
      <c r="E233" s="26" t="s">
        <v>214</v>
      </c>
      <c r="F233" s="26" t="s">
        <v>244</v>
      </c>
      <c r="G233" s="26" t="s">
        <v>225</v>
      </c>
      <c r="H233" s="27" t="s">
        <v>226</v>
      </c>
      <c r="I233" s="26" t="s">
        <v>27</v>
      </c>
      <c r="J233" s="28" t="s">
        <v>227</v>
      </c>
      <c r="K233" s="123">
        <v>42</v>
      </c>
      <c r="L233" s="29">
        <f t="shared" si="33"/>
        <v>6.9737499999999999</v>
      </c>
      <c r="M233" s="110">
        <v>5.25</v>
      </c>
      <c r="N233" s="30">
        <v>0.16500000000000001</v>
      </c>
      <c r="O233" s="116">
        <v>0.86625000000000008</v>
      </c>
      <c r="P233" s="30"/>
      <c r="Q233" s="116"/>
      <c r="R233" s="30">
        <v>7.0000000000000007E-2</v>
      </c>
      <c r="S233" s="116">
        <v>0.36750000000000005</v>
      </c>
      <c r="T233" s="117">
        <v>0.49</v>
      </c>
      <c r="U233" s="39">
        <v>500</v>
      </c>
      <c r="V233" s="32"/>
      <c r="W233" s="33"/>
      <c r="X233" s="32"/>
      <c r="Y233" s="32"/>
      <c r="Z233" s="32"/>
      <c r="AA233" s="34"/>
      <c r="AB233" s="35">
        <f t="shared" si="34"/>
        <v>500</v>
      </c>
      <c r="AC233" s="75">
        <f t="shared" si="35"/>
        <v>21000</v>
      </c>
      <c r="AD233" s="78">
        <f t="shared" si="43"/>
        <v>0</v>
      </c>
      <c r="AE233" s="72">
        <f t="shared" si="36"/>
        <v>21000</v>
      </c>
      <c r="AF233" s="75">
        <f t="shared" si="37"/>
        <v>3486.875</v>
      </c>
      <c r="AG233" s="78">
        <f t="shared" si="38"/>
        <v>0</v>
      </c>
      <c r="AH233" s="72">
        <f t="shared" si="39"/>
        <v>3486.875</v>
      </c>
      <c r="AI233" s="75">
        <f t="shared" si="40"/>
        <v>2625</v>
      </c>
      <c r="AJ233" s="78">
        <f t="shared" si="41"/>
        <v>0</v>
      </c>
      <c r="AK233" s="72">
        <f t="shared" si="42"/>
        <v>2625</v>
      </c>
    </row>
    <row r="234" spans="1:37" ht="15.95" customHeight="1">
      <c r="A234" s="25" t="s">
        <v>12</v>
      </c>
      <c r="B234" s="25" t="s">
        <v>13</v>
      </c>
      <c r="C234" s="26" t="s">
        <v>164</v>
      </c>
      <c r="D234" s="26" t="s">
        <v>10</v>
      </c>
      <c r="E234" s="26" t="s">
        <v>445</v>
      </c>
      <c r="F234" s="26" t="s">
        <v>245</v>
      </c>
      <c r="G234" s="36"/>
      <c r="H234" s="27" t="s">
        <v>246</v>
      </c>
      <c r="I234" s="26" t="s">
        <v>167</v>
      </c>
      <c r="J234" s="28" t="s">
        <v>172</v>
      </c>
      <c r="K234" s="123">
        <v>125</v>
      </c>
      <c r="L234" s="29">
        <f t="shared" si="33"/>
        <v>24.881249999999998</v>
      </c>
      <c r="M234" s="110">
        <v>19.75</v>
      </c>
      <c r="N234" s="30">
        <v>0.16500000000000001</v>
      </c>
      <c r="O234" s="116">
        <v>3.25875</v>
      </c>
      <c r="P234" s="30"/>
      <c r="Q234" s="116"/>
      <c r="R234" s="30">
        <v>7.0000000000000007E-2</v>
      </c>
      <c r="S234" s="116">
        <v>1.3825000000000001</v>
      </c>
      <c r="T234" s="117">
        <v>0.49</v>
      </c>
      <c r="U234" s="39">
        <v>500</v>
      </c>
      <c r="V234" s="32">
        <v>218</v>
      </c>
      <c r="W234" s="33"/>
      <c r="X234" s="32"/>
      <c r="Y234" s="32"/>
      <c r="Z234" s="32"/>
      <c r="AA234" s="34"/>
      <c r="AB234" s="35">
        <f t="shared" si="34"/>
        <v>718</v>
      </c>
      <c r="AC234" s="75">
        <f t="shared" si="35"/>
        <v>62500</v>
      </c>
      <c r="AD234" s="78">
        <f t="shared" si="43"/>
        <v>27250</v>
      </c>
      <c r="AE234" s="72">
        <f t="shared" si="36"/>
        <v>89750</v>
      </c>
      <c r="AF234" s="75">
        <f t="shared" si="37"/>
        <v>12440.624999999998</v>
      </c>
      <c r="AG234" s="78">
        <f t="shared" si="38"/>
        <v>5424.1124999999993</v>
      </c>
      <c r="AH234" s="72">
        <f t="shared" si="39"/>
        <v>17864.737499999996</v>
      </c>
      <c r="AI234" s="75">
        <f t="shared" si="40"/>
        <v>9875</v>
      </c>
      <c r="AJ234" s="78">
        <f t="shared" si="41"/>
        <v>4305.5</v>
      </c>
      <c r="AK234" s="72">
        <f t="shared" si="42"/>
        <v>14180.5</v>
      </c>
    </row>
    <row r="235" spans="1:37" ht="15.95" customHeight="1">
      <c r="A235" s="25" t="s">
        <v>12</v>
      </c>
      <c r="B235" s="25" t="s">
        <v>13</v>
      </c>
      <c r="C235" s="26" t="s">
        <v>164</v>
      </c>
      <c r="D235" s="26" t="s">
        <v>10</v>
      </c>
      <c r="E235" s="26" t="s">
        <v>445</v>
      </c>
      <c r="F235" s="26" t="s">
        <v>245</v>
      </c>
      <c r="G235" s="36"/>
      <c r="H235" s="27" t="s">
        <v>246</v>
      </c>
      <c r="I235" s="26" t="s">
        <v>167</v>
      </c>
      <c r="J235" s="28" t="s">
        <v>172</v>
      </c>
      <c r="K235" s="123">
        <v>125</v>
      </c>
      <c r="L235" s="29">
        <f t="shared" si="33"/>
        <v>24.881249999999998</v>
      </c>
      <c r="M235" s="110">
        <v>19.75</v>
      </c>
      <c r="N235" s="30">
        <v>0.16500000000000001</v>
      </c>
      <c r="O235" s="116">
        <v>3.25875</v>
      </c>
      <c r="P235" s="30"/>
      <c r="Q235" s="116"/>
      <c r="R235" s="30">
        <v>7.0000000000000007E-2</v>
      </c>
      <c r="S235" s="116">
        <v>1.3825000000000001</v>
      </c>
      <c r="T235" s="117">
        <v>0.49</v>
      </c>
      <c r="U235" s="39">
        <v>600</v>
      </c>
      <c r="V235" s="32">
        <v>194</v>
      </c>
      <c r="W235" s="33"/>
      <c r="X235" s="32"/>
      <c r="Y235" s="32"/>
      <c r="Z235" s="32"/>
      <c r="AA235" s="34"/>
      <c r="AB235" s="35">
        <f t="shared" si="34"/>
        <v>794</v>
      </c>
      <c r="AC235" s="75">
        <f t="shared" si="35"/>
        <v>75000</v>
      </c>
      <c r="AD235" s="78">
        <f t="shared" si="43"/>
        <v>24250</v>
      </c>
      <c r="AE235" s="72">
        <f t="shared" si="36"/>
        <v>99250</v>
      </c>
      <c r="AF235" s="75">
        <f t="shared" si="37"/>
        <v>14928.749999999998</v>
      </c>
      <c r="AG235" s="78">
        <f t="shared" si="38"/>
        <v>4826.9624999999996</v>
      </c>
      <c r="AH235" s="72">
        <f t="shared" si="39"/>
        <v>19755.712499999998</v>
      </c>
      <c r="AI235" s="75">
        <f t="shared" si="40"/>
        <v>11850</v>
      </c>
      <c r="AJ235" s="78">
        <f t="shared" si="41"/>
        <v>3831.5</v>
      </c>
      <c r="AK235" s="72">
        <f t="shared" si="42"/>
        <v>15681.5</v>
      </c>
    </row>
    <row r="236" spans="1:37" ht="15.95" customHeight="1">
      <c r="A236" s="25" t="s">
        <v>12</v>
      </c>
      <c r="B236" s="25" t="s">
        <v>13</v>
      </c>
      <c r="C236" s="26" t="s">
        <v>164</v>
      </c>
      <c r="D236" s="26" t="s">
        <v>10</v>
      </c>
      <c r="E236" s="26" t="s">
        <v>445</v>
      </c>
      <c r="F236" s="26" t="s">
        <v>247</v>
      </c>
      <c r="G236" s="36"/>
      <c r="H236" s="27" t="s">
        <v>248</v>
      </c>
      <c r="I236" s="26" t="s">
        <v>167</v>
      </c>
      <c r="J236" s="28" t="s">
        <v>172</v>
      </c>
      <c r="K236" s="123">
        <v>125</v>
      </c>
      <c r="L236" s="29">
        <f t="shared" si="33"/>
        <v>25.375249999999998</v>
      </c>
      <c r="M236" s="110">
        <v>20.149999999999999</v>
      </c>
      <c r="N236" s="30">
        <v>0.16500000000000001</v>
      </c>
      <c r="O236" s="116">
        <v>3.3247499999999999</v>
      </c>
      <c r="P236" s="30"/>
      <c r="Q236" s="116"/>
      <c r="R236" s="30">
        <v>7.0000000000000007E-2</v>
      </c>
      <c r="S236" s="116">
        <v>1.4105000000000001</v>
      </c>
      <c r="T236" s="117">
        <v>0.49</v>
      </c>
      <c r="U236" s="39">
        <v>600</v>
      </c>
      <c r="V236" s="32">
        <v>164</v>
      </c>
      <c r="W236" s="33"/>
      <c r="X236" s="32"/>
      <c r="Y236" s="32"/>
      <c r="Z236" s="32"/>
      <c r="AA236" s="34"/>
      <c r="AB236" s="35">
        <f t="shared" si="34"/>
        <v>764</v>
      </c>
      <c r="AC236" s="75">
        <f t="shared" si="35"/>
        <v>75000</v>
      </c>
      <c r="AD236" s="78">
        <f t="shared" si="43"/>
        <v>20500</v>
      </c>
      <c r="AE236" s="72">
        <f t="shared" si="36"/>
        <v>95500</v>
      </c>
      <c r="AF236" s="75">
        <f t="shared" si="37"/>
        <v>15225.149999999998</v>
      </c>
      <c r="AG236" s="78">
        <f t="shared" si="38"/>
        <v>4161.5409999999993</v>
      </c>
      <c r="AH236" s="72">
        <f t="shared" si="39"/>
        <v>19386.690999999999</v>
      </c>
      <c r="AI236" s="75">
        <f t="shared" si="40"/>
        <v>12090</v>
      </c>
      <c r="AJ236" s="78">
        <f t="shared" si="41"/>
        <v>3304.6</v>
      </c>
      <c r="AK236" s="72">
        <f t="shared" si="42"/>
        <v>15394.6</v>
      </c>
    </row>
    <row r="237" spans="1:37" ht="15.95" customHeight="1">
      <c r="A237" s="25" t="s">
        <v>12</v>
      </c>
      <c r="B237" s="25" t="s">
        <v>13</v>
      </c>
      <c r="C237" s="26" t="s">
        <v>164</v>
      </c>
      <c r="D237" s="26" t="s">
        <v>10</v>
      </c>
      <c r="E237" s="26" t="s">
        <v>445</v>
      </c>
      <c r="F237" s="26" t="s">
        <v>249</v>
      </c>
      <c r="G237" s="36"/>
      <c r="H237" s="27" t="s">
        <v>250</v>
      </c>
      <c r="I237" s="26" t="s">
        <v>167</v>
      </c>
      <c r="J237" s="28" t="s">
        <v>172</v>
      </c>
      <c r="K237" s="123">
        <v>98</v>
      </c>
      <c r="L237" s="29">
        <f t="shared" si="33"/>
        <v>20.25</v>
      </c>
      <c r="M237" s="110">
        <v>16</v>
      </c>
      <c r="N237" s="30">
        <v>0.16500000000000001</v>
      </c>
      <c r="O237" s="116">
        <v>2.64</v>
      </c>
      <c r="P237" s="30"/>
      <c r="Q237" s="116"/>
      <c r="R237" s="30">
        <v>7.0000000000000007E-2</v>
      </c>
      <c r="S237" s="116">
        <v>1.1200000000000001</v>
      </c>
      <c r="T237" s="117">
        <v>0.49</v>
      </c>
      <c r="U237" s="39">
        <v>500</v>
      </c>
      <c r="V237" s="32">
        <v>139</v>
      </c>
      <c r="W237" s="33"/>
      <c r="X237" s="32"/>
      <c r="Y237" s="32"/>
      <c r="Z237" s="32"/>
      <c r="AA237" s="34"/>
      <c r="AB237" s="35">
        <f t="shared" si="34"/>
        <v>639</v>
      </c>
      <c r="AC237" s="75">
        <f t="shared" si="35"/>
        <v>49000</v>
      </c>
      <c r="AD237" s="78">
        <f t="shared" si="43"/>
        <v>13622</v>
      </c>
      <c r="AE237" s="72">
        <f t="shared" si="36"/>
        <v>62622</v>
      </c>
      <c r="AF237" s="75">
        <f t="shared" si="37"/>
        <v>10125</v>
      </c>
      <c r="AG237" s="78">
        <f t="shared" si="38"/>
        <v>2814.75</v>
      </c>
      <c r="AH237" s="72">
        <f t="shared" si="39"/>
        <v>12939.75</v>
      </c>
      <c r="AI237" s="75">
        <f t="shared" si="40"/>
        <v>8000</v>
      </c>
      <c r="AJ237" s="78">
        <f t="shared" si="41"/>
        <v>2224</v>
      </c>
      <c r="AK237" s="72">
        <f t="shared" si="42"/>
        <v>10224</v>
      </c>
    </row>
    <row r="238" spans="1:37" ht="15.95" customHeight="1">
      <c r="A238" s="25" t="s">
        <v>12</v>
      </c>
      <c r="B238" s="25" t="s">
        <v>13</v>
      </c>
      <c r="C238" s="26" t="s">
        <v>164</v>
      </c>
      <c r="D238" s="26" t="s">
        <v>10</v>
      </c>
      <c r="E238" s="26" t="s">
        <v>445</v>
      </c>
      <c r="F238" s="26" t="s">
        <v>251</v>
      </c>
      <c r="G238" s="36"/>
      <c r="H238" s="27" t="s">
        <v>250</v>
      </c>
      <c r="I238" s="26" t="s">
        <v>167</v>
      </c>
      <c r="J238" s="28" t="s">
        <v>172</v>
      </c>
      <c r="K238" s="123">
        <v>110</v>
      </c>
      <c r="L238" s="29">
        <f t="shared" si="33"/>
        <v>18.397499999999997</v>
      </c>
      <c r="M238" s="110">
        <v>14.5</v>
      </c>
      <c r="N238" s="30">
        <v>0.16500000000000001</v>
      </c>
      <c r="O238" s="116">
        <v>2.3925000000000001</v>
      </c>
      <c r="P238" s="30"/>
      <c r="Q238" s="116"/>
      <c r="R238" s="30">
        <v>7.0000000000000007E-2</v>
      </c>
      <c r="S238" s="116">
        <v>1.0150000000000001</v>
      </c>
      <c r="T238" s="117">
        <v>0.49</v>
      </c>
      <c r="U238" s="39">
        <v>500</v>
      </c>
      <c r="V238" s="32">
        <v>53</v>
      </c>
      <c r="W238" s="33"/>
      <c r="X238" s="32"/>
      <c r="Y238" s="32"/>
      <c r="Z238" s="32"/>
      <c r="AA238" s="34"/>
      <c r="AB238" s="35">
        <f t="shared" si="34"/>
        <v>553</v>
      </c>
      <c r="AC238" s="75">
        <f t="shared" si="35"/>
        <v>55000</v>
      </c>
      <c r="AD238" s="78">
        <f t="shared" si="43"/>
        <v>5830</v>
      </c>
      <c r="AE238" s="72">
        <f t="shared" si="36"/>
        <v>60830</v>
      </c>
      <c r="AF238" s="75">
        <f t="shared" si="37"/>
        <v>9198.7499999999982</v>
      </c>
      <c r="AG238" s="78">
        <f t="shared" si="38"/>
        <v>975.06749999999988</v>
      </c>
      <c r="AH238" s="72">
        <f t="shared" si="39"/>
        <v>10173.817499999997</v>
      </c>
      <c r="AI238" s="75">
        <f t="shared" si="40"/>
        <v>7250</v>
      </c>
      <c r="AJ238" s="78">
        <f t="shared" si="41"/>
        <v>768.5</v>
      </c>
      <c r="AK238" s="72">
        <f t="shared" si="42"/>
        <v>8018.5</v>
      </c>
    </row>
    <row r="239" spans="1:37" ht="15.95" customHeight="1">
      <c r="A239" s="25" t="s">
        <v>12</v>
      </c>
      <c r="B239" s="25" t="s">
        <v>252</v>
      </c>
      <c r="C239" s="26" t="s">
        <v>253</v>
      </c>
      <c r="D239" s="26" t="s">
        <v>15</v>
      </c>
      <c r="E239" s="26" t="s">
        <v>16</v>
      </c>
      <c r="F239" s="26" t="s">
        <v>254</v>
      </c>
      <c r="G239" s="26" t="s">
        <v>255</v>
      </c>
      <c r="H239" s="27" t="s">
        <v>402</v>
      </c>
      <c r="I239" s="26" t="s">
        <v>27</v>
      </c>
      <c r="J239" s="28" t="s">
        <v>256</v>
      </c>
      <c r="K239" s="123">
        <v>78</v>
      </c>
      <c r="L239" s="29">
        <f>M239+O239+Q239+S239+T239</f>
        <v>15.56485</v>
      </c>
      <c r="M239" s="110">
        <v>10.29</v>
      </c>
      <c r="N239" s="30">
        <v>0.32</v>
      </c>
      <c r="O239" s="116">
        <v>3.2927999999999997</v>
      </c>
      <c r="P239" s="30">
        <v>7.4999999999999997E-2</v>
      </c>
      <c r="Q239" s="116">
        <v>0.77174999999999994</v>
      </c>
      <c r="R239" s="30">
        <v>7.0000000000000007E-2</v>
      </c>
      <c r="S239" s="116">
        <v>0.72030000000000005</v>
      </c>
      <c r="T239" s="117">
        <v>0.49</v>
      </c>
      <c r="U239" s="31">
        <v>200</v>
      </c>
      <c r="V239" s="32">
        <v>40</v>
      </c>
      <c r="W239" s="33">
        <v>10</v>
      </c>
      <c r="X239" s="32"/>
      <c r="Y239" s="32"/>
      <c r="Z239" s="32"/>
      <c r="AA239" s="34"/>
      <c r="AB239" s="35">
        <f>SUM(U239:AA239)</f>
        <v>250</v>
      </c>
      <c r="AC239" s="75">
        <f>$K239*U239</f>
        <v>15600</v>
      </c>
      <c r="AD239" s="78">
        <f>$K239*SUM(V239:AA239)</f>
        <v>3900</v>
      </c>
      <c r="AE239" s="72">
        <f>SUM(AC239:AD239)</f>
        <v>19500</v>
      </c>
      <c r="AF239" s="75">
        <f>$L239*U239</f>
        <v>3112.97</v>
      </c>
      <c r="AG239" s="78">
        <f>$L239*SUM(V239:W239)+M239*SUM(X239:AA239)</f>
        <v>778.24249999999995</v>
      </c>
      <c r="AH239" s="72">
        <f>SUM(AF239:AG239)</f>
        <v>3891.2124999999996</v>
      </c>
      <c r="AI239" s="75">
        <f>$M239*U239</f>
        <v>2058</v>
      </c>
      <c r="AJ239" s="78">
        <f>$M239*SUM(V239:AA239)</f>
        <v>514.5</v>
      </c>
      <c r="AK239" s="72">
        <f>SUM(AI239:AJ239)</f>
        <v>2572.5</v>
      </c>
    </row>
    <row r="240" spans="1:37" ht="15.95" customHeight="1">
      <c r="A240" s="25" t="s">
        <v>12</v>
      </c>
      <c r="B240" s="25" t="s">
        <v>252</v>
      </c>
      <c r="C240" s="26" t="s">
        <v>253</v>
      </c>
      <c r="D240" s="26" t="s">
        <v>15</v>
      </c>
      <c r="E240" s="26" t="s">
        <v>16</v>
      </c>
      <c r="F240" s="26" t="s">
        <v>254</v>
      </c>
      <c r="G240" s="26" t="s">
        <v>255</v>
      </c>
      <c r="H240" s="27" t="s">
        <v>402</v>
      </c>
      <c r="I240" s="26" t="s">
        <v>27</v>
      </c>
      <c r="J240" s="28" t="s">
        <v>256</v>
      </c>
      <c r="K240" s="123">
        <v>78</v>
      </c>
      <c r="L240" s="29">
        <f t="shared" ref="L240:L303" si="44">M240+O240+Q240+S240+T240</f>
        <v>15.56485</v>
      </c>
      <c r="M240" s="110">
        <v>10.29</v>
      </c>
      <c r="N240" s="30">
        <v>0.32</v>
      </c>
      <c r="O240" s="116">
        <v>3.2927999999999997</v>
      </c>
      <c r="P240" s="30">
        <v>7.4999999999999997E-2</v>
      </c>
      <c r="Q240" s="116">
        <v>0.77174999999999994</v>
      </c>
      <c r="R240" s="30">
        <v>7.0000000000000007E-2</v>
      </c>
      <c r="S240" s="116">
        <v>0.72030000000000005</v>
      </c>
      <c r="T240" s="117">
        <v>0.49</v>
      </c>
      <c r="U240" s="31">
        <v>250</v>
      </c>
      <c r="V240" s="32">
        <v>56</v>
      </c>
      <c r="W240" s="33"/>
      <c r="X240" s="32"/>
      <c r="Y240" s="32"/>
      <c r="Z240" s="32"/>
      <c r="AA240" s="34"/>
      <c r="AB240" s="35">
        <f t="shared" ref="AB240:AB303" si="45">SUM(U240:AA240)</f>
        <v>306</v>
      </c>
      <c r="AC240" s="75">
        <f t="shared" ref="AC240:AC303" si="46">$K240*U240</f>
        <v>19500</v>
      </c>
      <c r="AD240" s="78">
        <f>$K240*SUM(V240:AA240)</f>
        <v>4368</v>
      </c>
      <c r="AE240" s="72">
        <f t="shared" ref="AE240:AE303" si="47">SUM(AC240:AD240)</f>
        <v>23868</v>
      </c>
      <c r="AF240" s="75">
        <f t="shared" ref="AF240:AF303" si="48">$L240*U240</f>
        <v>3891.2125000000001</v>
      </c>
      <c r="AG240" s="78">
        <f t="shared" ref="AG240:AG303" si="49">$L240*SUM(V240:W240)+M240*SUM(X240:AA240)</f>
        <v>871.63159999999993</v>
      </c>
      <c r="AH240" s="72">
        <f t="shared" ref="AH240:AH303" si="50">SUM(AF240:AG240)</f>
        <v>4762.8441000000003</v>
      </c>
      <c r="AI240" s="75">
        <f t="shared" ref="AI240:AI303" si="51">$M240*U240</f>
        <v>2572.5</v>
      </c>
      <c r="AJ240" s="78">
        <f t="shared" ref="AJ240:AJ303" si="52">$M240*SUM(V240:AA240)</f>
        <v>576.24</v>
      </c>
      <c r="AK240" s="72">
        <f t="shared" ref="AK240:AK303" si="53">SUM(AI240:AJ240)</f>
        <v>3148.74</v>
      </c>
    </row>
    <row r="241" spans="1:37" ht="15.95" customHeight="1">
      <c r="A241" s="25" t="s">
        <v>12</v>
      </c>
      <c r="B241" s="25" t="s">
        <v>252</v>
      </c>
      <c r="C241" s="26" t="s">
        <v>257</v>
      </c>
      <c r="D241" s="26" t="s">
        <v>15</v>
      </c>
      <c r="E241" s="26" t="s">
        <v>16</v>
      </c>
      <c r="F241" s="26" t="s">
        <v>258</v>
      </c>
      <c r="G241" s="26" t="s">
        <v>255</v>
      </c>
      <c r="H241" s="27" t="s">
        <v>401</v>
      </c>
      <c r="I241" s="26" t="s">
        <v>27</v>
      </c>
      <c r="J241" s="28" t="s">
        <v>259</v>
      </c>
      <c r="K241" s="123">
        <v>88</v>
      </c>
      <c r="L241" s="29">
        <f t="shared" si="44"/>
        <v>18.61645</v>
      </c>
      <c r="M241" s="110">
        <v>13.89</v>
      </c>
      <c r="N241" s="30">
        <v>0.16</v>
      </c>
      <c r="O241" s="116">
        <v>2.2223999999999999</v>
      </c>
      <c r="P241" s="30">
        <v>7.4999999999999997E-2</v>
      </c>
      <c r="Q241" s="116">
        <v>1.04175</v>
      </c>
      <c r="R241" s="30">
        <v>7.0000000000000007E-2</v>
      </c>
      <c r="S241" s="116">
        <v>0.97230000000000016</v>
      </c>
      <c r="T241" s="117">
        <v>0.49</v>
      </c>
      <c r="U241" s="31">
        <v>200</v>
      </c>
      <c r="V241" s="32">
        <v>40</v>
      </c>
      <c r="W241" s="33">
        <v>10</v>
      </c>
      <c r="X241" s="32"/>
      <c r="Y241" s="32"/>
      <c r="Z241" s="32"/>
      <c r="AA241" s="34"/>
      <c r="AB241" s="35">
        <f t="shared" si="45"/>
        <v>250</v>
      </c>
      <c r="AC241" s="75">
        <f t="shared" si="46"/>
        <v>17600</v>
      </c>
      <c r="AD241" s="78">
        <f>$K241*SUM(V241:AA241)</f>
        <v>4400</v>
      </c>
      <c r="AE241" s="72">
        <f t="shared" si="47"/>
        <v>22000</v>
      </c>
      <c r="AF241" s="75">
        <f t="shared" si="48"/>
        <v>3723.29</v>
      </c>
      <c r="AG241" s="78">
        <f t="shared" si="49"/>
        <v>930.82249999999999</v>
      </c>
      <c r="AH241" s="72">
        <f t="shared" si="50"/>
        <v>4654.1125000000002</v>
      </c>
      <c r="AI241" s="75">
        <f t="shared" si="51"/>
        <v>2778</v>
      </c>
      <c r="AJ241" s="78">
        <f t="shared" si="52"/>
        <v>694.5</v>
      </c>
      <c r="AK241" s="72">
        <f t="shared" si="53"/>
        <v>3472.5</v>
      </c>
    </row>
    <row r="242" spans="1:37" ht="15.95" customHeight="1">
      <c r="A242" s="25" t="s">
        <v>12</v>
      </c>
      <c r="B242" s="25" t="s">
        <v>252</v>
      </c>
      <c r="C242" s="26" t="s">
        <v>257</v>
      </c>
      <c r="D242" s="26" t="s">
        <v>15</v>
      </c>
      <c r="E242" s="26" t="s">
        <v>16</v>
      </c>
      <c r="F242" s="26" t="s">
        <v>258</v>
      </c>
      <c r="G242" s="26" t="s">
        <v>255</v>
      </c>
      <c r="H242" s="27" t="s">
        <v>401</v>
      </c>
      <c r="I242" s="26" t="s">
        <v>27</v>
      </c>
      <c r="J242" s="28" t="s">
        <v>259</v>
      </c>
      <c r="K242" s="123">
        <v>88</v>
      </c>
      <c r="L242" s="29">
        <f t="shared" si="44"/>
        <v>18.61645</v>
      </c>
      <c r="M242" s="110">
        <v>13.89</v>
      </c>
      <c r="N242" s="30">
        <v>0.16</v>
      </c>
      <c r="O242" s="116">
        <v>2.2223999999999999</v>
      </c>
      <c r="P242" s="30">
        <v>7.4999999999999997E-2</v>
      </c>
      <c r="Q242" s="116">
        <v>1.04175</v>
      </c>
      <c r="R242" s="30">
        <v>7.0000000000000007E-2</v>
      </c>
      <c r="S242" s="116">
        <v>0.97230000000000016</v>
      </c>
      <c r="T242" s="117">
        <v>0.49</v>
      </c>
      <c r="U242" s="31">
        <v>250</v>
      </c>
      <c r="V242" s="32">
        <v>56</v>
      </c>
      <c r="W242" s="33"/>
      <c r="X242" s="32"/>
      <c r="Y242" s="32"/>
      <c r="Z242" s="32"/>
      <c r="AA242" s="34"/>
      <c r="AB242" s="35">
        <f t="shared" si="45"/>
        <v>306</v>
      </c>
      <c r="AC242" s="75">
        <f t="shared" si="46"/>
        <v>22000</v>
      </c>
      <c r="AD242" s="78">
        <f t="shared" ref="AD242:AD305" si="54">$K242*SUM(V242:AA242)</f>
        <v>4928</v>
      </c>
      <c r="AE242" s="72">
        <f t="shared" si="47"/>
        <v>26928</v>
      </c>
      <c r="AF242" s="75">
        <f t="shared" si="48"/>
        <v>4654.1125000000002</v>
      </c>
      <c r="AG242" s="78">
        <f t="shared" si="49"/>
        <v>1042.5212000000001</v>
      </c>
      <c r="AH242" s="72">
        <f t="shared" si="50"/>
        <v>5696.6337000000003</v>
      </c>
      <c r="AI242" s="75">
        <f t="shared" si="51"/>
        <v>3472.5</v>
      </c>
      <c r="AJ242" s="78">
        <f t="shared" si="52"/>
        <v>777.84</v>
      </c>
      <c r="AK242" s="72">
        <f t="shared" si="53"/>
        <v>4250.34</v>
      </c>
    </row>
    <row r="243" spans="1:37" ht="15.95" customHeight="1">
      <c r="A243" s="25" t="s">
        <v>12</v>
      </c>
      <c r="B243" s="25" t="s">
        <v>252</v>
      </c>
      <c r="C243" s="26" t="s">
        <v>14</v>
      </c>
      <c r="D243" s="26" t="s">
        <v>15</v>
      </c>
      <c r="E243" s="26" t="s">
        <v>16</v>
      </c>
      <c r="F243" s="26" t="s">
        <v>260</v>
      </c>
      <c r="G243" s="36" t="s">
        <v>255</v>
      </c>
      <c r="H243" s="27" t="s">
        <v>402</v>
      </c>
      <c r="I243" s="26" t="s">
        <v>27</v>
      </c>
      <c r="J243" s="28" t="s">
        <v>261</v>
      </c>
      <c r="K243" s="123">
        <v>135</v>
      </c>
      <c r="L243" s="29">
        <f t="shared" si="44"/>
        <v>24.877429999999997</v>
      </c>
      <c r="M243" s="110">
        <v>17.09</v>
      </c>
      <c r="N243" s="30">
        <v>0.28199999999999997</v>
      </c>
      <c r="O243" s="116">
        <v>4.8193799999999998</v>
      </c>
      <c r="P243" s="30">
        <v>7.4999999999999997E-2</v>
      </c>
      <c r="Q243" s="116">
        <v>1.2817499999999999</v>
      </c>
      <c r="R243" s="30">
        <v>7.0000000000000007E-2</v>
      </c>
      <c r="S243" s="116">
        <v>1.1963000000000001</v>
      </c>
      <c r="T243" s="117">
        <v>0.49</v>
      </c>
      <c r="U243" s="31">
        <v>200</v>
      </c>
      <c r="V243" s="32">
        <v>24</v>
      </c>
      <c r="W243" s="33">
        <v>26</v>
      </c>
      <c r="X243" s="32"/>
      <c r="Y243" s="32"/>
      <c r="Z243" s="32"/>
      <c r="AA243" s="34"/>
      <c r="AB243" s="35">
        <f t="shared" si="45"/>
        <v>250</v>
      </c>
      <c r="AC243" s="75">
        <f t="shared" si="46"/>
        <v>27000</v>
      </c>
      <c r="AD243" s="78">
        <f t="shared" si="54"/>
        <v>6750</v>
      </c>
      <c r="AE243" s="72">
        <f t="shared" si="47"/>
        <v>33750</v>
      </c>
      <c r="AF243" s="75">
        <f t="shared" si="48"/>
        <v>4975.485999999999</v>
      </c>
      <c r="AG243" s="78">
        <f t="shared" si="49"/>
        <v>1243.8714999999997</v>
      </c>
      <c r="AH243" s="72">
        <f t="shared" si="50"/>
        <v>6219.3574999999983</v>
      </c>
      <c r="AI243" s="75">
        <f t="shared" si="51"/>
        <v>3418</v>
      </c>
      <c r="AJ243" s="78">
        <f t="shared" si="52"/>
        <v>854.5</v>
      </c>
      <c r="AK243" s="72">
        <f t="shared" si="53"/>
        <v>4272.5</v>
      </c>
    </row>
    <row r="244" spans="1:37" ht="15.95" customHeight="1">
      <c r="A244" s="25" t="s">
        <v>12</v>
      </c>
      <c r="B244" s="25" t="s">
        <v>252</v>
      </c>
      <c r="C244" s="26" t="s">
        <v>14</v>
      </c>
      <c r="D244" s="26" t="s">
        <v>15</v>
      </c>
      <c r="E244" s="26" t="s">
        <v>16</v>
      </c>
      <c r="F244" s="26" t="s">
        <v>260</v>
      </c>
      <c r="G244" s="36" t="s">
        <v>255</v>
      </c>
      <c r="H244" s="27" t="s">
        <v>402</v>
      </c>
      <c r="I244" s="26" t="s">
        <v>27</v>
      </c>
      <c r="J244" s="28" t="s">
        <v>261</v>
      </c>
      <c r="K244" s="123">
        <v>135</v>
      </c>
      <c r="L244" s="29">
        <f t="shared" si="44"/>
        <v>24.877429999999997</v>
      </c>
      <c r="M244" s="110">
        <v>17.09</v>
      </c>
      <c r="N244" s="30">
        <v>0.28199999999999997</v>
      </c>
      <c r="O244" s="116">
        <v>4.8193799999999998</v>
      </c>
      <c r="P244" s="30">
        <v>7.4999999999999997E-2</v>
      </c>
      <c r="Q244" s="116">
        <v>1.2817499999999999</v>
      </c>
      <c r="R244" s="30">
        <v>7.0000000000000007E-2</v>
      </c>
      <c r="S244" s="116">
        <v>1.1963000000000001</v>
      </c>
      <c r="T244" s="117">
        <v>0.49</v>
      </c>
      <c r="U244" s="31">
        <v>250</v>
      </c>
      <c r="V244" s="32">
        <v>32</v>
      </c>
      <c r="W244" s="33"/>
      <c r="X244" s="32"/>
      <c r="Y244" s="32"/>
      <c r="Z244" s="32"/>
      <c r="AA244" s="34"/>
      <c r="AB244" s="35">
        <f t="shared" si="45"/>
        <v>282</v>
      </c>
      <c r="AC244" s="75">
        <f t="shared" si="46"/>
        <v>33750</v>
      </c>
      <c r="AD244" s="78">
        <f t="shared" si="54"/>
        <v>4320</v>
      </c>
      <c r="AE244" s="72">
        <f t="shared" si="47"/>
        <v>38070</v>
      </c>
      <c r="AF244" s="75">
        <f t="shared" si="48"/>
        <v>6219.3574999999992</v>
      </c>
      <c r="AG244" s="78">
        <f t="shared" si="49"/>
        <v>796.0777599999999</v>
      </c>
      <c r="AH244" s="72">
        <f t="shared" si="50"/>
        <v>7015.4352599999993</v>
      </c>
      <c r="AI244" s="75">
        <f t="shared" si="51"/>
        <v>4272.5</v>
      </c>
      <c r="AJ244" s="78">
        <f t="shared" si="52"/>
        <v>546.88</v>
      </c>
      <c r="AK244" s="72">
        <f t="shared" si="53"/>
        <v>4819.38</v>
      </c>
    </row>
    <row r="245" spans="1:37" ht="15.95" customHeight="1">
      <c r="A245" s="25" t="s">
        <v>12</v>
      </c>
      <c r="B245" s="25" t="s">
        <v>252</v>
      </c>
      <c r="C245" s="26" t="s">
        <v>262</v>
      </c>
      <c r="D245" s="26" t="s">
        <v>15</v>
      </c>
      <c r="E245" s="26" t="s">
        <v>16</v>
      </c>
      <c r="F245" s="26" t="s">
        <v>263</v>
      </c>
      <c r="G245" s="26" t="s">
        <v>26</v>
      </c>
      <c r="H245" s="27" t="s">
        <v>381</v>
      </c>
      <c r="I245" s="26" t="s">
        <v>27</v>
      </c>
      <c r="J245" s="37" t="s">
        <v>256</v>
      </c>
      <c r="K245" s="123">
        <v>78</v>
      </c>
      <c r="L245" s="29">
        <f t="shared" si="44"/>
        <v>16.736849999999997</v>
      </c>
      <c r="M245" s="110">
        <v>11.09</v>
      </c>
      <c r="N245" s="30">
        <v>0.32</v>
      </c>
      <c r="O245" s="116">
        <v>3.5488</v>
      </c>
      <c r="P245" s="30">
        <v>7.4999999999999997E-2</v>
      </c>
      <c r="Q245" s="116">
        <v>0.83174999999999999</v>
      </c>
      <c r="R245" s="30">
        <v>7.0000000000000007E-2</v>
      </c>
      <c r="S245" s="116">
        <v>0.7763000000000001</v>
      </c>
      <c r="T245" s="117">
        <v>0.49</v>
      </c>
      <c r="U245" s="31">
        <v>250</v>
      </c>
      <c r="V245" s="32">
        <v>31</v>
      </c>
      <c r="W245" s="33"/>
      <c r="X245" s="32"/>
      <c r="Y245" s="32"/>
      <c r="Z245" s="32"/>
      <c r="AA245" s="34"/>
      <c r="AB245" s="35">
        <f t="shared" si="45"/>
        <v>281</v>
      </c>
      <c r="AC245" s="75">
        <f t="shared" si="46"/>
        <v>19500</v>
      </c>
      <c r="AD245" s="78">
        <f t="shared" si="54"/>
        <v>2418</v>
      </c>
      <c r="AE245" s="72">
        <f t="shared" si="47"/>
        <v>21918</v>
      </c>
      <c r="AF245" s="75">
        <f t="shared" si="48"/>
        <v>4184.2124999999996</v>
      </c>
      <c r="AG245" s="78">
        <f t="shared" si="49"/>
        <v>518.8423499999999</v>
      </c>
      <c r="AH245" s="72">
        <f t="shared" si="50"/>
        <v>4703.0548499999995</v>
      </c>
      <c r="AI245" s="75">
        <f t="shared" si="51"/>
        <v>2772.5</v>
      </c>
      <c r="AJ245" s="78">
        <f t="shared" si="52"/>
        <v>343.79</v>
      </c>
      <c r="AK245" s="72">
        <f t="shared" si="53"/>
        <v>3116.29</v>
      </c>
    </row>
    <row r="246" spans="1:37" ht="15.95" customHeight="1">
      <c r="A246" s="25" t="s">
        <v>12</v>
      </c>
      <c r="B246" s="25" t="s">
        <v>252</v>
      </c>
      <c r="C246" s="26" t="s">
        <v>262</v>
      </c>
      <c r="D246" s="26" t="s">
        <v>15</v>
      </c>
      <c r="E246" s="26" t="s">
        <v>16</v>
      </c>
      <c r="F246" s="26" t="s">
        <v>263</v>
      </c>
      <c r="G246" s="26" t="s">
        <v>26</v>
      </c>
      <c r="H246" s="27" t="s">
        <v>381</v>
      </c>
      <c r="I246" s="26" t="s">
        <v>27</v>
      </c>
      <c r="J246" s="37" t="s">
        <v>256</v>
      </c>
      <c r="K246" s="123">
        <v>78</v>
      </c>
      <c r="L246" s="29">
        <f t="shared" si="44"/>
        <v>16.736849999999997</v>
      </c>
      <c r="M246" s="110">
        <v>11.09</v>
      </c>
      <c r="N246" s="30">
        <v>0.32</v>
      </c>
      <c r="O246" s="116">
        <v>3.5488</v>
      </c>
      <c r="P246" s="30">
        <v>7.4999999999999997E-2</v>
      </c>
      <c r="Q246" s="116">
        <v>0.83174999999999999</v>
      </c>
      <c r="R246" s="30">
        <v>7.0000000000000007E-2</v>
      </c>
      <c r="S246" s="116">
        <v>0.7763000000000001</v>
      </c>
      <c r="T246" s="117">
        <v>0.49</v>
      </c>
      <c r="U246" s="31">
        <v>250</v>
      </c>
      <c r="V246" s="32"/>
      <c r="W246" s="33"/>
      <c r="X246" s="32"/>
      <c r="Y246" s="32"/>
      <c r="Z246" s="32"/>
      <c r="AA246" s="34"/>
      <c r="AB246" s="35">
        <f t="shared" si="45"/>
        <v>250</v>
      </c>
      <c r="AC246" s="75">
        <f t="shared" si="46"/>
        <v>19500</v>
      </c>
      <c r="AD246" s="78">
        <f t="shared" si="54"/>
        <v>0</v>
      </c>
      <c r="AE246" s="72">
        <f t="shared" si="47"/>
        <v>19500</v>
      </c>
      <c r="AF246" s="75">
        <f t="shared" si="48"/>
        <v>4184.2124999999996</v>
      </c>
      <c r="AG246" s="78">
        <f t="shared" si="49"/>
        <v>0</v>
      </c>
      <c r="AH246" s="72">
        <f t="shared" si="50"/>
        <v>4184.2124999999996</v>
      </c>
      <c r="AI246" s="75">
        <f t="shared" si="51"/>
        <v>2772.5</v>
      </c>
      <c r="AJ246" s="78">
        <f t="shared" si="52"/>
        <v>0</v>
      </c>
      <c r="AK246" s="72">
        <f t="shared" si="53"/>
        <v>2772.5</v>
      </c>
    </row>
    <row r="247" spans="1:37" ht="15.95" customHeight="1">
      <c r="A247" s="25" t="s">
        <v>12</v>
      </c>
      <c r="B247" s="25" t="s">
        <v>252</v>
      </c>
      <c r="C247" s="26" t="s">
        <v>262</v>
      </c>
      <c r="D247" s="26" t="s">
        <v>15</v>
      </c>
      <c r="E247" s="26" t="s">
        <v>16</v>
      </c>
      <c r="F247" s="26" t="s">
        <v>263</v>
      </c>
      <c r="G247" s="26" t="s">
        <v>26</v>
      </c>
      <c r="H247" s="27" t="s">
        <v>381</v>
      </c>
      <c r="I247" s="26" t="s">
        <v>27</v>
      </c>
      <c r="J247" s="28" t="s">
        <v>256</v>
      </c>
      <c r="K247" s="123">
        <v>78</v>
      </c>
      <c r="L247" s="29">
        <f t="shared" si="44"/>
        <v>16.736849999999997</v>
      </c>
      <c r="M247" s="110">
        <v>11.09</v>
      </c>
      <c r="N247" s="30">
        <v>0.32</v>
      </c>
      <c r="O247" s="116">
        <v>3.5488</v>
      </c>
      <c r="P247" s="30">
        <v>7.4999999999999997E-2</v>
      </c>
      <c r="Q247" s="116">
        <v>0.83174999999999999</v>
      </c>
      <c r="R247" s="30">
        <v>7.0000000000000007E-2</v>
      </c>
      <c r="S247" s="116">
        <v>0.7763000000000001</v>
      </c>
      <c r="T247" s="117">
        <v>0.49</v>
      </c>
      <c r="U247" s="31">
        <v>250</v>
      </c>
      <c r="V247" s="32">
        <v>32</v>
      </c>
      <c r="W247" s="33"/>
      <c r="X247" s="32"/>
      <c r="Y247" s="32"/>
      <c r="Z247" s="32"/>
      <c r="AA247" s="34"/>
      <c r="AB247" s="35">
        <f t="shared" si="45"/>
        <v>282</v>
      </c>
      <c r="AC247" s="75">
        <f t="shared" si="46"/>
        <v>19500</v>
      </c>
      <c r="AD247" s="78">
        <f t="shared" si="54"/>
        <v>2496</v>
      </c>
      <c r="AE247" s="72">
        <f t="shared" si="47"/>
        <v>21996</v>
      </c>
      <c r="AF247" s="75">
        <f t="shared" si="48"/>
        <v>4184.2124999999996</v>
      </c>
      <c r="AG247" s="78">
        <f t="shared" si="49"/>
        <v>535.5791999999999</v>
      </c>
      <c r="AH247" s="72">
        <f t="shared" si="50"/>
        <v>4719.7916999999998</v>
      </c>
      <c r="AI247" s="75">
        <f t="shared" si="51"/>
        <v>2772.5</v>
      </c>
      <c r="AJ247" s="78">
        <f t="shared" si="52"/>
        <v>354.88</v>
      </c>
      <c r="AK247" s="72">
        <f t="shared" si="53"/>
        <v>3127.38</v>
      </c>
    </row>
    <row r="248" spans="1:37" ht="15.95" customHeight="1">
      <c r="A248" s="25" t="s">
        <v>12</v>
      </c>
      <c r="B248" s="25" t="s">
        <v>252</v>
      </c>
      <c r="C248" s="26" t="s">
        <v>21</v>
      </c>
      <c r="D248" s="26" t="s">
        <v>15</v>
      </c>
      <c r="E248" s="26" t="s">
        <v>16</v>
      </c>
      <c r="F248" s="26" t="s">
        <v>264</v>
      </c>
      <c r="G248" s="36" t="s">
        <v>255</v>
      </c>
      <c r="H248" s="27" t="s">
        <v>404</v>
      </c>
      <c r="I248" s="26" t="s">
        <v>27</v>
      </c>
      <c r="J248" s="28" t="s">
        <v>265</v>
      </c>
      <c r="K248" s="123">
        <v>125</v>
      </c>
      <c r="L248" s="29">
        <f t="shared" si="44"/>
        <v>26.732530000000001</v>
      </c>
      <c r="M248" s="110">
        <v>18.39</v>
      </c>
      <c r="N248" s="30">
        <v>0.28199999999999997</v>
      </c>
      <c r="O248" s="116">
        <v>5.1859799999999998</v>
      </c>
      <c r="P248" s="30">
        <v>7.4999999999999997E-2</v>
      </c>
      <c r="Q248" s="116">
        <v>1.3792500000000001</v>
      </c>
      <c r="R248" s="30">
        <v>7.0000000000000007E-2</v>
      </c>
      <c r="S248" s="116">
        <v>1.2873000000000001</v>
      </c>
      <c r="T248" s="117">
        <v>0.49</v>
      </c>
      <c r="U248" s="31">
        <v>250</v>
      </c>
      <c r="V248" s="32">
        <v>31</v>
      </c>
      <c r="W248" s="33"/>
      <c r="X248" s="32"/>
      <c r="Y248" s="32"/>
      <c r="Z248" s="32"/>
      <c r="AA248" s="34"/>
      <c r="AB248" s="35">
        <f t="shared" si="45"/>
        <v>281</v>
      </c>
      <c r="AC248" s="75">
        <f t="shared" si="46"/>
        <v>31250</v>
      </c>
      <c r="AD248" s="78">
        <f t="shared" si="54"/>
        <v>3875</v>
      </c>
      <c r="AE248" s="72">
        <f t="shared" si="47"/>
        <v>35125</v>
      </c>
      <c r="AF248" s="75">
        <f t="shared" si="48"/>
        <v>6683.1324999999997</v>
      </c>
      <c r="AG248" s="78">
        <f t="shared" si="49"/>
        <v>828.70843000000002</v>
      </c>
      <c r="AH248" s="72">
        <f t="shared" si="50"/>
        <v>7511.8409299999994</v>
      </c>
      <c r="AI248" s="75">
        <f t="shared" si="51"/>
        <v>4597.5</v>
      </c>
      <c r="AJ248" s="78">
        <f t="shared" si="52"/>
        <v>570.09</v>
      </c>
      <c r="AK248" s="72">
        <f t="shared" si="53"/>
        <v>5167.59</v>
      </c>
    </row>
    <row r="249" spans="1:37" ht="15.95" customHeight="1">
      <c r="A249" s="25" t="s">
        <v>12</v>
      </c>
      <c r="B249" s="25" t="s">
        <v>252</v>
      </c>
      <c r="C249" s="26" t="s">
        <v>21</v>
      </c>
      <c r="D249" s="26" t="s">
        <v>15</v>
      </c>
      <c r="E249" s="26" t="s">
        <v>16</v>
      </c>
      <c r="F249" s="26" t="s">
        <v>264</v>
      </c>
      <c r="G249" s="36" t="s">
        <v>255</v>
      </c>
      <c r="H249" s="27" t="s">
        <v>403</v>
      </c>
      <c r="I249" s="26" t="s">
        <v>27</v>
      </c>
      <c r="J249" s="28" t="s">
        <v>265</v>
      </c>
      <c r="K249" s="123">
        <v>125</v>
      </c>
      <c r="L249" s="29">
        <f t="shared" si="44"/>
        <v>26.732530000000001</v>
      </c>
      <c r="M249" s="110">
        <v>18.39</v>
      </c>
      <c r="N249" s="30">
        <v>0.28199999999999997</v>
      </c>
      <c r="O249" s="116">
        <v>5.1859799999999998</v>
      </c>
      <c r="P249" s="30">
        <v>7.4999999999999997E-2</v>
      </c>
      <c r="Q249" s="116">
        <v>1.3792500000000001</v>
      </c>
      <c r="R249" s="30">
        <v>7.0000000000000007E-2</v>
      </c>
      <c r="S249" s="116">
        <v>1.2873000000000001</v>
      </c>
      <c r="T249" s="117">
        <v>0.49</v>
      </c>
      <c r="U249" s="31">
        <v>250</v>
      </c>
      <c r="V249" s="32"/>
      <c r="W249" s="33"/>
      <c r="X249" s="32"/>
      <c r="Y249" s="32"/>
      <c r="Z249" s="32"/>
      <c r="AA249" s="34"/>
      <c r="AB249" s="35">
        <f t="shared" si="45"/>
        <v>250</v>
      </c>
      <c r="AC249" s="75">
        <f t="shared" si="46"/>
        <v>31250</v>
      </c>
      <c r="AD249" s="78">
        <f t="shared" si="54"/>
        <v>0</v>
      </c>
      <c r="AE249" s="72">
        <f t="shared" si="47"/>
        <v>31250</v>
      </c>
      <c r="AF249" s="75">
        <f t="shared" si="48"/>
        <v>6683.1324999999997</v>
      </c>
      <c r="AG249" s="78">
        <f t="shared" si="49"/>
        <v>0</v>
      </c>
      <c r="AH249" s="72">
        <f t="shared" si="50"/>
        <v>6683.1324999999997</v>
      </c>
      <c r="AI249" s="75">
        <f t="shared" si="51"/>
        <v>4597.5</v>
      </c>
      <c r="AJ249" s="78">
        <f t="shared" si="52"/>
        <v>0</v>
      </c>
      <c r="AK249" s="72">
        <f t="shared" si="53"/>
        <v>4597.5</v>
      </c>
    </row>
    <row r="250" spans="1:37" ht="15.95" customHeight="1">
      <c r="A250" s="25" t="s">
        <v>12</v>
      </c>
      <c r="B250" s="25" t="s">
        <v>252</v>
      </c>
      <c r="C250" s="26" t="s">
        <v>21</v>
      </c>
      <c r="D250" s="26" t="s">
        <v>15</v>
      </c>
      <c r="E250" s="26" t="s">
        <v>16</v>
      </c>
      <c r="F250" s="26" t="s">
        <v>264</v>
      </c>
      <c r="G250" s="36" t="s">
        <v>255</v>
      </c>
      <c r="H250" s="27" t="s">
        <v>403</v>
      </c>
      <c r="I250" s="26" t="s">
        <v>27</v>
      </c>
      <c r="J250" s="28" t="s">
        <v>265</v>
      </c>
      <c r="K250" s="123">
        <v>125</v>
      </c>
      <c r="L250" s="29">
        <f t="shared" si="44"/>
        <v>26.732530000000001</v>
      </c>
      <c r="M250" s="110">
        <v>18.39</v>
      </c>
      <c r="N250" s="30">
        <v>0.28199999999999997</v>
      </c>
      <c r="O250" s="116">
        <v>5.1859799999999998</v>
      </c>
      <c r="P250" s="30">
        <v>7.4999999999999997E-2</v>
      </c>
      <c r="Q250" s="116">
        <v>1.3792500000000001</v>
      </c>
      <c r="R250" s="30">
        <v>7.0000000000000007E-2</v>
      </c>
      <c r="S250" s="116">
        <v>1.2873000000000001</v>
      </c>
      <c r="T250" s="117">
        <v>0.49</v>
      </c>
      <c r="U250" s="31">
        <v>250</v>
      </c>
      <c r="V250" s="32">
        <v>32</v>
      </c>
      <c r="W250" s="33"/>
      <c r="X250" s="32"/>
      <c r="Y250" s="32"/>
      <c r="Z250" s="32"/>
      <c r="AA250" s="34"/>
      <c r="AB250" s="35">
        <f t="shared" si="45"/>
        <v>282</v>
      </c>
      <c r="AC250" s="75">
        <f t="shared" si="46"/>
        <v>31250</v>
      </c>
      <c r="AD250" s="78">
        <f t="shared" si="54"/>
        <v>4000</v>
      </c>
      <c r="AE250" s="72">
        <f t="shared" si="47"/>
        <v>35250</v>
      </c>
      <c r="AF250" s="75">
        <f t="shared" si="48"/>
        <v>6683.1324999999997</v>
      </c>
      <c r="AG250" s="78">
        <f t="shared" si="49"/>
        <v>855.44096000000002</v>
      </c>
      <c r="AH250" s="72">
        <f t="shared" si="50"/>
        <v>7538.5734599999996</v>
      </c>
      <c r="AI250" s="75">
        <f t="shared" si="51"/>
        <v>4597.5</v>
      </c>
      <c r="AJ250" s="78">
        <f t="shared" si="52"/>
        <v>588.48</v>
      </c>
      <c r="AK250" s="72">
        <f t="shared" si="53"/>
        <v>5185.9799999999996</v>
      </c>
    </row>
    <row r="251" spans="1:37" ht="15.95" customHeight="1">
      <c r="A251" s="25" t="s">
        <v>12</v>
      </c>
      <c r="B251" s="25" t="s">
        <v>252</v>
      </c>
      <c r="C251" s="26" t="s">
        <v>253</v>
      </c>
      <c r="D251" s="26" t="s">
        <v>15</v>
      </c>
      <c r="E251" s="26" t="s">
        <v>16</v>
      </c>
      <c r="F251" s="26" t="s">
        <v>266</v>
      </c>
      <c r="G251" s="36" t="s">
        <v>33</v>
      </c>
      <c r="H251" s="27" t="s">
        <v>406</v>
      </c>
      <c r="I251" s="26" t="s">
        <v>27</v>
      </c>
      <c r="J251" s="28" t="s">
        <v>256</v>
      </c>
      <c r="K251" s="123">
        <v>68</v>
      </c>
      <c r="L251" s="29">
        <f t="shared" si="44"/>
        <v>13.806849999999999</v>
      </c>
      <c r="M251" s="110">
        <v>9.09</v>
      </c>
      <c r="N251" s="30">
        <v>0.32</v>
      </c>
      <c r="O251" s="116">
        <v>2.9087999999999998</v>
      </c>
      <c r="P251" s="30">
        <v>7.4999999999999997E-2</v>
      </c>
      <c r="Q251" s="116">
        <v>0.68174999999999997</v>
      </c>
      <c r="R251" s="30">
        <v>7.0000000000000007E-2</v>
      </c>
      <c r="S251" s="116">
        <v>0.63630000000000009</v>
      </c>
      <c r="T251" s="117">
        <v>0.49</v>
      </c>
      <c r="U251" s="31">
        <v>200</v>
      </c>
      <c r="V251" s="32">
        <v>50</v>
      </c>
      <c r="W251" s="33"/>
      <c r="X251" s="32"/>
      <c r="Y251" s="32"/>
      <c r="Z251" s="32"/>
      <c r="AA251" s="34"/>
      <c r="AB251" s="35">
        <f t="shared" si="45"/>
        <v>250</v>
      </c>
      <c r="AC251" s="75">
        <f t="shared" si="46"/>
        <v>13600</v>
      </c>
      <c r="AD251" s="78">
        <f t="shared" si="54"/>
        <v>3400</v>
      </c>
      <c r="AE251" s="72">
        <f t="shared" si="47"/>
        <v>17000</v>
      </c>
      <c r="AF251" s="75">
        <f t="shared" si="48"/>
        <v>2761.37</v>
      </c>
      <c r="AG251" s="78">
        <f t="shared" si="49"/>
        <v>690.34249999999997</v>
      </c>
      <c r="AH251" s="72">
        <f t="shared" si="50"/>
        <v>3451.7124999999996</v>
      </c>
      <c r="AI251" s="75">
        <f t="shared" si="51"/>
        <v>1818</v>
      </c>
      <c r="AJ251" s="78">
        <f t="shared" si="52"/>
        <v>454.5</v>
      </c>
      <c r="AK251" s="72">
        <f t="shared" si="53"/>
        <v>2272.5</v>
      </c>
    </row>
    <row r="252" spans="1:37" ht="15.95" customHeight="1">
      <c r="A252" s="25" t="s">
        <v>12</v>
      </c>
      <c r="B252" s="25" t="s">
        <v>252</v>
      </c>
      <c r="C252" s="26" t="s">
        <v>253</v>
      </c>
      <c r="D252" s="26" t="s">
        <v>15</v>
      </c>
      <c r="E252" s="26" t="s">
        <v>16</v>
      </c>
      <c r="F252" s="26" t="s">
        <v>266</v>
      </c>
      <c r="G252" s="36" t="s">
        <v>33</v>
      </c>
      <c r="H252" s="27" t="s">
        <v>405</v>
      </c>
      <c r="I252" s="26" t="s">
        <v>27</v>
      </c>
      <c r="J252" s="28" t="s">
        <v>256</v>
      </c>
      <c r="K252" s="123">
        <v>68</v>
      </c>
      <c r="L252" s="29">
        <f t="shared" si="44"/>
        <v>13.806849999999999</v>
      </c>
      <c r="M252" s="110">
        <v>9.09</v>
      </c>
      <c r="N252" s="30">
        <v>0.32</v>
      </c>
      <c r="O252" s="116">
        <v>2.9087999999999998</v>
      </c>
      <c r="P252" s="30">
        <v>7.4999999999999997E-2</v>
      </c>
      <c r="Q252" s="116">
        <v>0.68174999999999997</v>
      </c>
      <c r="R252" s="30">
        <v>7.0000000000000007E-2</v>
      </c>
      <c r="S252" s="116">
        <v>0.63630000000000009</v>
      </c>
      <c r="T252" s="117">
        <v>0.49</v>
      </c>
      <c r="U252" s="31">
        <v>200</v>
      </c>
      <c r="V252" s="32">
        <v>50</v>
      </c>
      <c r="W252" s="33"/>
      <c r="X252" s="32"/>
      <c r="Y252" s="32"/>
      <c r="Z252" s="32"/>
      <c r="AA252" s="34"/>
      <c r="AB252" s="35">
        <f t="shared" si="45"/>
        <v>250</v>
      </c>
      <c r="AC252" s="75">
        <f t="shared" si="46"/>
        <v>13600</v>
      </c>
      <c r="AD252" s="78">
        <f t="shared" si="54"/>
        <v>3400</v>
      </c>
      <c r="AE252" s="72">
        <f t="shared" si="47"/>
        <v>17000</v>
      </c>
      <c r="AF252" s="75">
        <f t="shared" si="48"/>
        <v>2761.37</v>
      </c>
      <c r="AG252" s="78">
        <f t="shared" si="49"/>
        <v>690.34249999999997</v>
      </c>
      <c r="AH252" s="72">
        <f t="shared" si="50"/>
        <v>3451.7124999999996</v>
      </c>
      <c r="AI252" s="75">
        <f t="shared" si="51"/>
        <v>1818</v>
      </c>
      <c r="AJ252" s="78">
        <f t="shared" si="52"/>
        <v>454.5</v>
      </c>
      <c r="AK252" s="72">
        <f t="shared" si="53"/>
        <v>2272.5</v>
      </c>
    </row>
    <row r="253" spans="1:37" ht="15.95" customHeight="1">
      <c r="A253" s="25" t="s">
        <v>12</v>
      </c>
      <c r="B253" s="25" t="s">
        <v>252</v>
      </c>
      <c r="C253" s="26" t="s">
        <v>267</v>
      </c>
      <c r="D253" s="26" t="s">
        <v>15</v>
      </c>
      <c r="E253" s="26" t="s">
        <v>16</v>
      </c>
      <c r="F253" s="26" t="s">
        <v>268</v>
      </c>
      <c r="G253" s="26" t="s">
        <v>33</v>
      </c>
      <c r="H253" s="27" t="s">
        <v>406</v>
      </c>
      <c r="I253" s="26" t="s">
        <v>27</v>
      </c>
      <c r="J253" s="28" t="s">
        <v>269</v>
      </c>
      <c r="K253" s="123">
        <v>88</v>
      </c>
      <c r="L253" s="29">
        <f t="shared" si="44"/>
        <v>19.937289999999997</v>
      </c>
      <c r="M253" s="110">
        <v>13.59</v>
      </c>
      <c r="N253" s="30">
        <v>0.28599999999999998</v>
      </c>
      <c r="O253" s="116">
        <v>3.8867399999999996</v>
      </c>
      <c r="P253" s="30">
        <v>7.4999999999999997E-2</v>
      </c>
      <c r="Q253" s="116">
        <v>1.01925</v>
      </c>
      <c r="R253" s="30">
        <v>7.0000000000000007E-2</v>
      </c>
      <c r="S253" s="116">
        <v>0.95130000000000003</v>
      </c>
      <c r="T253" s="117">
        <v>0.49</v>
      </c>
      <c r="U253" s="31">
        <v>200</v>
      </c>
      <c r="V253" s="32">
        <v>50</v>
      </c>
      <c r="W253" s="38"/>
      <c r="X253" s="32"/>
      <c r="Y253" s="32"/>
      <c r="Z253" s="32"/>
      <c r="AA253" s="34"/>
      <c r="AB253" s="35">
        <f t="shared" si="45"/>
        <v>250</v>
      </c>
      <c r="AC253" s="75">
        <f t="shared" si="46"/>
        <v>17600</v>
      </c>
      <c r="AD253" s="78">
        <f t="shared" si="54"/>
        <v>4400</v>
      </c>
      <c r="AE253" s="72">
        <f t="shared" si="47"/>
        <v>22000</v>
      </c>
      <c r="AF253" s="75">
        <f t="shared" si="48"/>
        <v>3987.4579999999996</v>
      </c>
      <c r="AG253" s="78">
        <f t="shared" si="49"/>
        <v>996.86449999999991</v>
      </c>
      <c r="AH253" s="72">
        <f t="shared" si="50"/>
        <v>4984.3224999999993</v>
      </c>
      <c r="AI253" s="75">
        <f t="shared" si="51"/>
        <v>2718</v>
      </c>
      <c r="AJ253" s="78">
        <f t="shared" si="52"/>
        <v>679.5</v>
      </c>
      <c r="AK253" s="72">
        <f t="shared" si="53"/>
        <v>3397.5</v>
      </c>
    </row>
    <row r="254" spans="1:37" ht="15.95" customHeight="1">
      <c r="A254" s="25" t="s">
        <v>12</v>
      </c>
      <c r="B254" s="25" t="s">
        <v>252</v>
      </c>
      <c r="C254" s="26" t="s">
        <v>267</v>
      </c>
      <c r="D254" s="26" t="s">
        <v>15</v>
      </c>
      <c r="E254" s="26" t="s">
        <v>16</v>
      </c>
      <c r="F254" s="26" t="s">
        <v>268</v>
      </c>
      <c r="G254" s="26" t="s">
        <v>33</v>
      </c>
      <c r="H254" s="27" t="s">
        <v>406</v>
      </c>
      <c r="I254" s="26" t="s">
        <v>27</v>
      </c>
      <c r="J254" s="28" t="s">
        <v>269</v>
      </c>
      <c r="K254" s="123">
        <v>88</v>
      </c>
      <c r="L254" s="29">
        <f t="shared" si="44"/>
        <v>19.937289999999997</v>
      </c>
      <c r="M254" s="110">
        <v>13.59</v>
      </c>
      <c r="N254" s="30">
        <v>0.28599999999999998</v>
      </c>
      <c r="O254" s="116">
        <v>3.8867399999999996</v>
      </c>
      <c r="P254" s="30">
        <v>7.4999999999999997E-2</v>
      </c>
      <c r="Q254" s="116">
        <v>1.01925</v>
      </c>
      <c r="R254" s="30">
        <v>7.0000000000000007E-2</v>
      </c>
      <c r="S254" s="116">
        <v>0.95130000000000003</v>
      </c>
      <c r="T254" s="117">
        <v>0.49</v>
      </c>
      <c r="U254" s="31">
        <v>200</v>
      </c>
      <c r="V254" s="32">
        <v>50</v>
      </c>
      <c r="W254" s="38"/>
      <c r="X254" s="32"/>
      <c r="Y254" s="32"/>
      <c r="Z254" s="32"/>
      <c r="AA254" s="34"/>
      <c r="AB254" s="35">
        <f t="shared" si="45"/>
        <v>250</v>
      </c>
      <c r="AC254" s="75">
        <f t="shared" si="46"/>
        <v>17600</v>
      </c>
      <c r="AD254" s="78">
        <f t="shared" si="54"/>
        <v>4400</v>
      </c>
      <c r="AE254" s="72">
        <f t="shared" si="47"/>
        <v>22000</v>
      </c>
      <c r="AF254" s="75">
        <f t="shared" si="48"/>
        <v>3987.4579999999996</v>
      </c>
      <c r="AG254" s="78">
        <f t="shared" si="49"/>
        <v>996.86449999999991</v>
      </c>
      <c r="AH254" s="72">
        <f t="shared" si="50"/>
        <v>4984.3224999999993</v>
      </c>
      <c r="AI254" s="75">
        <f t="shared" si="51"/>
        <v>2718</v>
      </c>
      <c r="AJ254" s="78">
        <f t="shared" si="52"/>
        <v>679.5</v>
      </c>
      <c r="AK254" s="72">
        <f t="shared" si="53"/>
        <v>3397.5</v>
      </c>
    </row>
    <row r="255" spans="1:37" ht="15.95" customHeight="1">
      <c r="A255" s="25" t="s">
        <v>12</v>
      </c>
      <c r="B255" s="25" t="s">
        <v>252</v>
      </c>
      <c r="C255" s="26" t="s">
        <v>257</v>
      </c>
      <c r="D255" s="26" t="s">
        <v>15</v>
      </c>
      <c r="E255" s="26" t="s">
        <v>16</v>
      </c>
      <c r="F255" s="26" t="s">
        <v>270</v>
      </c>
      <c r="G255" s="26" t="s">
        <v>18</v>
      </c>
      <c r="H255" s="27" t="s">
        <v>407</v>
      </c>
      <c r="I255" s="26" t="s">
        <v>19</v>
      </c>
      <c r="J255" s="28" t="s">
        <v>271</v>
      </c>
      <c r="K255" s="123">
        <v>88</v>
      </c>
      <c r="L255" s="29">
        <f t="shared" si="44"/>
        <v>18.22495</v>
      </c>
      <c r="M255" s="110">
        <v>13.59</v>
      </c>
      <c r="N255" s="30">
        <v>0.16</v>
      </c>
      <c r="O255" s="116">
        <v>2.1743999999999999</v>
      </c>
      <c r="P255" s="30">
        <v>7.4999999999999997E-2</v>
      </c>
      <c r="Q255" s="116">
        <v>1.01925</v>
      </c>
      <c r="R255" s="30">
        <v>7.0000000000000007E-2</v>
      </c>
      <c r="S255" s="116">
        <v>0.95130000000000003</v>
      </c>
      <c r="T255" s="117">
        <v>0.49</v>
      </c>
      <c r="U255" s="31">
        <v>350</v>
      </c>
      <c r="V255" s="32">
        <v>56</v>
      </c>
      <c r="W255" s="33"/>
      <c r="X255" s="32"/>
      <c r="Y255" s="32"/>
      <c r="Z255" s="32"/>
      <c r="AA255" s="34">
        <v>8</v>
      </c>
      <c r="AB255" s="35">
        <f t="shared" si="45"/>
        <v>414</v>
      </c>
      <c r="AC255" s="75">
        <f t="shared" si="46"/>
        <v>30800</v>
      </c>
      <c r="AD255" s="78">
        <f t="shared" si="54"/>
        <v>5632</v>
      </c>
      <c r="AE255" s="72">
        <f t="shared" si="47"/>
        <v>36432</v>
      </c>
      <c r="AF255" s="75">
        <f t="shared" si="48"/>
        <v>6378.7325000000001</v>
      </c>
      <c r="AG255" s="78">
        <f t="shared" si="49"/>
        <v>1129.3172</v>
      </c>
      <c r="AH255" s="72">
        <f t="shared" si="50"/>
        <v>7508.0496999999996</v>
      </c>
      <c r="AI255" s="75">
        <f t="shared" si="51"/>
        <v>4756.5</v>
      </c>
      <c r="AJ255" s="78">
        <f t="shared" si="52"/>
        <v>869.76</v>
      </c>
      <c r="AK255" s="72">
        <f t="shared" si="53"/>
        <v>5626.26</v>
      </c>
    </row>
    <row r="256" spans="1:37" ht="15.95" customHeight="1">
      <c r="A256" s="25" t="s">
        <v>12</v>
      </c>
      <c r="B256" s="25" t="s">
        <v>252</v>
      </c>
      <c r="C256" s="26" t="s">
        <v>14</v>
      </c>
      <c r="D256" s="26" t="s">
        <v>374</v>
      </c>
      <c r="E256" s="26" t="s">
        <v>16</v>
      </c>
      <c r="F256" s="26" t="s">
        <v>272</v>
      </c>
      <c r="G256" s="26" t="s">
        <v>273</v>
      </c>
      <c r="H256" s="27" t="s">
        <v>89</v>
      </c>
      <c r="I256" s="26" t="s">
        <v>27</v>
      </c>
      <c r="J256" s="28" t="s">
        <v>261</v>
      </c>
      <c r="K256" s="123">
        <v>125</v>
      </c>
      <c r="L256" s="29">
        <f t="shared" si="44"/>
        <v>26.176000000000002</v>
      </c>
      <c r="M256" s="110">
        <v>18</v>
      </c>
      <c r="N256" s="30">
        <v>0.28199999999999997</v>
      </c>
      <c r="O256" s="116">
        <v>5.0759999999999996</v>
      </c>
      <c r="P256" s="30">
        <v>7.4999999999999997E-2</v>
      </c>
      <c r="Q256" s="116">
        <v>1.3499999999999999</v>
      </c>
      <c r="R256" s="30">
        <v>7.0000000000000007E-2</v>
      </c>
      <c r="S256" s="116">
        <v>1.2600000000000002</v>
      </c>
      <c r="T256" s="117">
        <v>0.49</v>
      </c>
      <c r="U256" s="39">
        <v>300</v>
      </c>
      <c r="V256" s="32">
        <v>55</v>
      </c>
      <c r="W256" s="33"/>
      <c r="X256" s="32"/>
      <c r="Y256" s="32"/>
      <c r="Z256" s="32"/>
      <c r="AA256" s="34"/>
      <c r="AB256" s="35">
        <f t="shared" si="45"/>
        <v>355</v>
      </c>
      <c r="AC256" s="75">
        <f t="shared" si="46"/>
        <v>37500</v>
      </c>
      <c r="AD256" s="78">
        <f t="shared" si="54"/>
        <v>6875</v>
      </c>
      <c r="AE256" s="72">
        <f t="shared" si="47"/>
        <v>44375</v>
      </c>
      <c r="AF256" s="75">
        <f t="shared" si="48"/>
        <v>7852.8</v>
      </c>
      <c r="AG256" s="78">
        <f t="shared" si="49"/>
        <v>1439.68</v>
      </c>
      <c r="AH256" s="72">
        <f t="shared" si="50"/>
        <v>9292.48</v>
      </c>
      <c r="AI256" s="75">
        <f t="shared" si="51"/>
        <v>5400</v>
      </c>
      <c r="AJ256" s="78">
        <f t="shared" si="52"/>
        <v>990</v>
      </c>
      <c r="AK256" s="72">
        <f t="shared" si="53"/>
        <v>6390</v>
      </c>
    </row>
    <row r="257" spans="1:37" ht="15.95" customHeight="1">
      <c r="A257" s="25" t="s">
        <v>12</v>
      </c>
      <c r="B257" s="25" t="s">
        <v>252</v>
      </c>
      <c r="C257" s="26" t="s">
        <v>21</v>
      </c>
      <c r="D257" s="26" t="s">
        <v>373</v>
      </c>
      <c r="E257" s="26" t="s">
        <v>16</v>
      </c>
      <c r="F257" s="26" t="s">
        <v>274</v>
      </c>
      <c r="G257" s="26" t="s">
        <v>273</v>
      </c>
      <c r="H257" s="27" t="s">
        <v>89</v>
      </c>
      <c r="I257" s="26" t="s">
        <v>27</v>
      </c>
      <c r="J257" s="28" t="s">
        <v>265</v>
      </c>
      <c r="K257" s="123">
        <v>110</v>
      </c>
      <c r="L257" s="29">
        <f t="shared" si="44"/>
        <v>22.965249999999994</v>
      </c>
      <c r="M257" s="110">
        <v>15.75</v>
      </c>
      <c r="N257" s="30">
        <v>0.28199999999999997</v>
      </c>
      <c r="O257" s="116">
        <v>4.4414999999999996</v>
      </c>
      <c r="P257" s="30">
        <v>7.4999999999999997E-2</v>
      </c>
      <c r="Q257" s="116">
        <v>1.1812499999999999</v>
      </c>
      <c r="R257" s="30">
        <v>7.0000000000000007E-2</v>
      </c>
      <c r="S257" s="116">
        <v>1.1025</v>
      </c>
      <c r="T257" s="117">
        <v>0.49</v>
      </c>
      <c r="U257" s="39">
        <v>300</v>
      </c>
      <c r="V257" s="32">
        <v>55</v>
      </c>
      <c r="W257" s="33"/>
      <c r="X257" s="32"/>
      <c r="Y257" s="32"/>
      <c r="Z257" s="32"/>
      <c r="AA257" s="34"/>
      <c r="AB257" s="35">
        <f t="shared" si="45"/>
        <v>355</v>
      </c>
      <c r="AC257" s="75">
        <f t="shared" si="46"/>
        <v>33000</v>
      </c>
      <c r="AD257" s="78">
        <f t="shared" si="54"/>
        <v>6050</v>
      </c>
      <c r="AE257" s="72">
        <f t="shared" si="47"/>
        <v>39050</v>
      </c>
      <c r="AF257" s="75">
        <f t="shared" si="48"/>
        <v>6889.574999999998</v>
      </c>
      <c r="AG257" s="78">
        <f t="shared" si="49"/>
        <v>1263.0887499999997</v>
      </c>
      <c r="AH257" s="72">
        <f t="shared" si="50"/>
        <v>8152.6637499999979</v>
      </c>
      <c r="AI257" s="75">
        <f t="shared" si="51"/>
        <v>4725</v>
      </c>
      <c r="AJ257" s="78">
        <f t="shared" si="52"/>
        <v>866.25</v>
      </c>
      <c r="AK257" s="72">
        <f t="shared" si="53"/>
        <v>5591.25</v>
      </c>
    </row>
    <row r="258" spans="1:37" ht="15.95" customHeight="1">
      <c r="A258" s="25" t="s">
        <v>12</v>
      </c>
      <c r="B258" s="25" t="s">
        <v>252</v>
      </c>
      <c r="C258" s="26" t="s">
        <v>14</v>
      </c>
      <c r="D258" s="26" t="s">
        <v>373</v>
      </c>
      <c r="E258" s="26" t="s">
        <v>16</v>
      </c>
      <c r="F258" s="26" t="s">
        <v>272</v>
      </c>
      <c r="G258" s="26" t="s">
        <v>273</v>
      </c>
      <c r="H258" s="27" t="s">
        <v>89</v>
      </c>
      <c r="I258" s="26" t="s">
        <v>27</v>
      </c>
      <c r="J258" s="28" t="s">
        <v>261</v>
      </c>
      <c r="K258" s="123">
        <v>125</v>
      </c>
      <c r="L258" s="29">
        <f t="shared" si="44"/>
        <v>26.176000000000002</v>
      </c>
      <c r="M258" s="110">
        <v>18</v>
      </c>
      <c r="N258" s="30">
        <v>0.28199999999999997</v>
      </c>
      <c r="O258" s="116">
        <v>5.0759999999999996</v>
      </c>
      <c r="P258" s="30">
        <v>7.4999999999999997E-2</v>
      </c>
      <c r="Q258" s="116">
        <v>1.3499999999999999</v>
      </c>
      <c r="R258" s="30">
        <v>7.0000000000000007E-2</v>
      </c>
      <c r="S258" s="116">
        <v>1.2600000000000002</v>
      </c>
      <c r="T258" s="117">
        <v>0.49</v>
      </c>
      <c r="U258" s="39">
        <v>250</v>
      </c>
      <c r="V258" s="32">
        <v>64</v>
      </c>
      <c r="W258" s="33"/>
      <c r="X258" s="32"/>
      <c r="Y258" s="32"/>
      <c r="Z258" s="32"/>
      <c r="AA258" s="34"/>
      <c r="AB258" s="35">
        <f t="shared" si="45"/>
        <v>314</v>
      </c>
      <c r="AC258" s="75">
        <f t="shared" si="46"/>
        <v>31250</v>
      </c>
      <c r="AD258" s="78">
        <f t="shared" si="54"/>
        <v>8000</v>
      </c>
      <c r="AE258" s="72">
        <f t="shared" si="47"/>
        <v>39250</v>
      </c>
      <c r="AF258" s="75">
        <f t="shared" si="48"/>
        <v>6544.0000000000009</v>
      </c>
      <c r="AG258" s="78">
        <f t="shared" si="49"/>
        <v>1675.2640000000001</v>
      </c>
      <c r="AH258" s="72">
        <f t="shared" si="50"/>
        <v>8219.264000000001</v>
      </c>
      <c r="AI258" s="75">
        <f t="shared" si="51"/>
        <v>4500</v>
      </c>
      <c r="AJ258" s="78">
        <f t="shared" si="52"/>
        <v>1152</v>
      </c>
      <c r="AK258" s="72">
        <f t="shared" si="53"/>
        <v>5652</v>
      </c>
    </row>
    <row r="259" spans="1:37" ht="15.95" customHeight="1">
      <c r="A259" s="25" t="s">
        <v>12</v>
      </c>
      <c r="B259" s="25" t="s">
        <v>252</v>
      </c>
      <c r="C259" s="26" t="s">
        <v>21</v>
      </c>
      <c r="D259" s="26" t="s">
        <v>373</v>
      </c>
      <c r="E259" s="26" t="s">
        <v>16</v>
      </c>
      <c r="F259" s="26" t="s">
        <v>274</v>
      </c>
      <c r="G259" s="26" t="s">
        <v>273</v>
      </c>
      <c r="H259" s="27" t="s">
        <v>414</v>
      </c>
      <c r="I259" s="26" t="s">
        <v>27</v>
      </c>
      <c r="J259" s="28" t="s">
        <v>265</v>
      </c>
      <c r="K259" s="123">
        <v>110</v>
      </c>
      <c r="L259" s="29">
        <f t="shared" si="44"/>
        <v>22.965249999999994</v>
      </c>
      <c r="M259" s="110">
        <v>15.75</v>
      </c>
      <c r="N259" s="30">
        <v>0.28199999999999997</v>
      </c>
      <c r="O259" s="116">
        <v>4.4414999999999996</v>
      </c>
      <c r="P259" s="30">
        <v>7.4999999999999997E-2</v>
      </c>
      <c r="Q259" s="116">
        <v>1.1812499999999999</v>
      </c>
      <c r="R259" s="30">
        <v>7.0000000000000007E-2</v>
      </c>
      <c r="S259" s="116">
        <v>1.1025</v>
      </c>
      <c r="T259" s="117">
        <v>0.49</v>
      </c>
      <c r="U259" s="39">
        <v>250</v>
      </c>
      <c r="V259" s="32">
        <v>64</v>
      </c>
      <c r="W259" s="33"/>
      <c r="X259" s="32"/>
      <c r="Y259" s="32"/>
      <c r="Z259" s="32"/>
      <c r="AA259" s="34"/>
      <c r="AB259" s="35">
        <f t="shared" si="45"/>
        <v>314</v>
      </c>
      <c r="AC259" s="75">
        <f t="shared" si="46"/>
        <v>27500</v>
      </c>
      <c r="AD259" s="78">
        <f t="shared" si="54"/>
        <v>7040</v>
      </c>
      <c r="AE259" s="72">
        <f t="shared" si="47"/>
        <v>34540</v>
      </c>
      <c r="AF259" s="75">
        <f t="shared" si="48"/>
        <v>5741.3124999999982</v>
      </c>
      <c r="AG259" s="78">
        <f t="shared" si="49"/>
        <v>1469.7759999999996</v>
      </c>
      <c r="AH259" s="72">
        <f t="shared" si="50"/>
        <v>7211.088499999998</v>
      </c>
      <c r="AI259" s="75">
        <f t="shared" si="51"/>
        <v>3937.5</v>
      </c>
      <c r="AJ259" s="78">
        <f t="shared" si="52"/>
        <v>1008</v>
      </c>
      <c r="AK259" s="72">
        <f t="shared" si="53"/>
        <v>4945.5</v>
      </c>
    </row>
    <row r="260" spans="1:37" ht="15.95" customHeight="1">
      <c r="A260" s="25" t="s">
        <v>12</v>
      </c>
      <c r="B260" s="25" t="s">
        <v>252</v>
      </c>
      <c r="C260" s="26" t="s">
        <v>14</v>
      </c>
      <c r="D260" s="26" t="s">
        <v>373</v>
      </c>
      <c r="E260" s="26" t="s">
        <v>16</v>
      </c>
      <c r="F260" s="26" t="s">
        <v>272</v>
      </c>
      <c r="G260" s="26" t="s">
        <v>273</v>
      </c>
      <c r="H260" s="27" t="s">
        <v>414</v>
      </c>
      <c r="I260" s="26" t="s">
        <v>27</v>
      </c>
      <c r="J260" s="28" t="s">
        <v>261</v>
      </c>
      <c r="K260" s="123">
        <v>125</v>
      </c>
      <c r="L260" s="29">
        <f t="shared" si="44"/>
        <v>26.176000000000002</v>
      </c>
      <c r="M260" s="110">
        <v>18</v>
      </c>
      <c r="N260" s="30">
        <v>0.28199999999999997</v>
      </c>
      <c r="O260" s="116">
        <v>5.0759999999999996</v>
      </c>
      <c r="P260" s="30">
        <v>7.4999999999999997E-2</v>
      </c>
      <c r="Q260" s="116">
        <v>1.3499999999999999</v>
      </c>
      <c r="R260" s="30">
        <v>7.0000000000000007E-2</v>
      </c>
      <c r="S260" s="116">
        <v>1.2600000000000002</v>
      </c>
      <c r="T260" s="117">
        <v>0.49</v>
      </c>
      <c r="U260" s="39">
        <v>250</v>
      </c>
      <c r="V260" s="32">
        <v>48</v>
      </c>
      <c r="W260" s="33"/>
      <c r="X260" s="32"/>
      <c r="Y260" s="32"/>
      <c r="Z260" s="32"/>
      <c r="AA260" s="34">
        <v>4</v>
      </c>
      <c r="AB260" s="35">
        <f t="shared" si="45"/>
        <v>302</v>
      </c>
      <c r="AC260" s="75">
        <f t="shared" si="46"/>
        <v>31250</v>
      </c>
      <c r="AD260" s="78">
        <f t="shared" si="54"/>
        <v>6500</v>
      </c>
      <c r="AE260" s="72">
        <f t="shared" si="47"/>
        <v>37750</v>
      </c>
      <c r="AF260" s="75">
        <f t="shared" si="48"/>
        <v>6544.0000000000009</v>
      </c>
      <c r="AG260" s="78">
        <f t="shared" si="49"/>
        <v>1328.4480000000001</v>
      </c>
      <c r="AH260" s="72">
        <f t="shared" si="50"/>
        <v>7872.4480000000012</v>
      </c>
      <c r="AI260" s="75">
        <f t="shared" si="51"/>
        <v>4500</v>
      </c>
      <c r="AJ260" s="78">
        <f t="shared" si="52"/>
        <v>936</v>
      </c>
      <c r="AK260" s="72">
        <f t="shared" si="53"/>
        <v>5436</v>
      </c>
    </row>
    <row r="261" spans="1:37" ht="15.95" customHeight="1">
      <c r="A261" s="25" t="s">
        <v>12</v>
      </c>
      <c r="B261" s="25" t="s">
        <v>252</v>
      </c>
      <c r="C261" s="26" t="s">
        <v>275</v>
      </c>
      <c r="D261" s="26" t="s">
        <v>373</v>
      </c>
      <c r="E261" s="26" t="s">
        <v>16</v>
      </c>
      <c r="F261" s="26" t="s">
        <v>276</v>
      </c>
      <c r="G261" s="26" t="s">
        <v>273</v>
      </c>
      <c r="H261" s="27" t="s">
        <v>89</v>
      </c>
      <c r="I261" s="26" t="s">
        <v>27</v>
      </c>
      <c r="J261" s="28" t="s">
        <v>259</v>
      </c>
      <c r="K261" s="123">
        <v>78</v>
      </c>
      <c r="L261" s="29">
        <f t="shared" si="44"/>
        <v>14.844999999999999</v>
      </c>
      <c r="M261" s="110">
        <v>11</v>
      </c>
      <c r="N261" s="30">
        <v>0.16</v>
      </c>
      <c r="O261" s="116">
        <v>1.76</v>
      </c>
      <c r="P261" s="30">
        <v>7.4999999999999997E-2</v>
      </c>
      <c r="Q261" s="116">
        <v>0.82499999999999996</v>
      </c>
      <c r="R261" s="30">
        <v>7.0000000000000007E-2</v>
      </c>
      <c r="S261" s="116">
        <v>0.77</v>
      </c>
      <c r="T261" s="117">
        <v>0.49</v>
      </c>
      <c r="U261" s="39">
        <v>250</v>
      </c>
      <c r="V261" s="32">
        <v>48</v>
      </c>
      <c r="W261" s="33"/>
      <c r="X261" s="32"/>
      <c r="Y261" s="32"/>
      <c r="Z261" s="32"/>
      <c r="AA261" s="34">
        <v>4</v>
      </c>
      <c r="AB261" s="35">
        <f t="shared" si="45"/>
        <v>302</v>
      </c>
      <c r="AC261" s="75">
        <f t="shared" si="46"/>
        <v>19500</v>
      </c>
      <c r="AD261" s="78">
        <f t="shared" si="54"/>
        <v>4056</v>
      </c>
      <c r="AE261" s="72">
        <f t="shared" si="47"/>
        <v>23556</v>
      </c>
      <c r="AF261" s="75">
        <f t="shared" si="48"/>
        <v>3711.2499999999995</v>
      </c>
      <c r="AG261" s="78">
        <f t="shared" si="49"/>
        <v>756.56</v>
      </c>
      <c r="AH261" s="72">
        <f t="shared" si="50"/>
        <v>4467.8099999999995</v>
      </c>
      <c r="AI261" s="75">
        <f t="shared" si="51"/>
        <v>2750</v>
      </c>
      <c r="AJ261" s="78">
        <f t="shared" si="52"/>
        <v>572</v>
      </c>
      <c r="AK261" s="72">
        <f t="shared" si="53"/>
        <v>3322</v>
      </c>
    </row>
    <row r="262" spans="1:37" ht="15.95" customHeight="1">
      <c r="A262" s="25" t="s">
        <v>12</v>
      </c>
      <c r="B262" s="25" t="s">
        <v>252</v>
      </c>
      <c r="C262" s="26" t="s">
        <v>14</v>
      </c>
      <c r="D262" s="26" t="s">
        <v>373</v>
      </c>
      <c r="E262" s="26" t="s">
        <v>16</v>
      </c>
      <c r="F262" s="26" t="s">
        <v>277</v>
      </c>
      <c r="G262" s="26" t="s">
        <v>273</v>
      </c>
      <c r="H262" s="27" t="s">
        <v>89</v>
      </c>
      <c r="I262" s="26" t="s">
        <v>27</v>
      </c>
      <c r="J262" s="28" t="s">
        <v>261</v>
      </c>
      <c r="K262" s="123">
        <v>150</v>
      </c>
      <c r="L262" s="29">
        <f t="shared" si="44"/>
        <v>28.673249999999996</v>
      </c>
      <c r="M262" s="110">
        <v>19.75</v>
      </c>
      <c r="N262" s="30">
        <v>0.28199999999999997</v>
      </c>
      <c r="O262" s="116">
        <v>5.5694999999999997</v>
      </c>
      <c r="P262" s="30">
        <v>7.4999999999999997E-2</v>
      </c>
      <c r="Q262" s="116">
        <v>1.48125</v>
      </c>
      <c r="R262" s="30">
        <v>7.0000000000000007E-2</v>
      </c>
      <c r="S262" s="116">
        <v>1.3825000000000001</v>
      </c>
      <c r="T262" s="117">
        <v>0.49</v>
      </c>
      <c r="U262" s="39">
        <v>200</v>
      </c>
      <c r="V262" s="32">
        <v>11</v>
      </c>
      <c r="W262" s="33"/>
      <c r="X262" s="32"/>
      <c r="Y262" s="32"/>
      <c r="Z262" s="32"/>
      <c r="AA262" s="34"/>
      <c r="AB262" s="35">
        <f t="shared" si="45"/>
        <v>211</v>
      </c>
      <c r="AC262" s="75">
        <f t="shared" si="46"/>
        <v>30000</v>
      </c>
      <c r="AD262" s="78">
        <f t="shared" si="54"/>
        <v>1650</v>
      </c>
      <c r="AE262" s="72">
        <f t="shared" si="47"/>
        <v>31650</v>
      </c>
      <c r="AF262" s="75">
        <f t="shared" si="48"/>
        <v>5734.65</v>
      </c>
      <c r="AG262" s="78">
        <f t="shared" si="49"/>
        <v>315.40574999999995</v>
      </c>
      <c r="AH262" s="72">
        <f t="shared" si="50"/>
        <v>6050.0557499999995</v>
      </c>
      <c r="AI262" s="75">
        <f t="shared" si="51"/>
        <v>3950</v>
      </c>
      <c r="AJ262" s="78">
        <f t="shared" si="52"/>
        <v>217.25</v>
      </c>
      <c r="AK262" s="72">
        <f t="shared" si="53"/>
        <v>4167.25</v>
      </c>
    </row>
    <row r="263" spans="1:37" ht="15.95" customHeight="1">
      <c r="A263" s="25" t="s">
        <v>12</v>
      </c>
      <c r="B263" s="25" t="s">
        <v>252</v>
      </c>
      <c r="C263" s="26" t="s">
        <v>21</v>
      </c>
      <c r="D263" s="26" t="s">
        <v>373</v>
      </c>
      <c r="E263" s="26" t="s">
        <v>16</v>
      </c>
      <c r="F263" s="26" t="s">
        <v>278</v>
      </c>
      <c r="G263" s="36" t="s">
        <v>273</v>
      </c>
      <c r="H263" s="27" t="s">
        <v>414</v>
      </c>
      <c r="I263" s="26" t="s">
        <v>27</v>
      </c>
      <c r="J263" s="28" t="s">
        <v>265</v>
      </c>
      <c r="K263" s="123">
        <v>125</v>
      </c>
      <c r="L263" s="29">
        <f t="shared" si="44"/>
        <v>21.895</v>
      </c>
      <c r="M263" s="110">
        <v>15</v>
      </c>
      <c r="N263" s="30">
        <v>0.28199999999999997</v>
      </c>
      <c r="O263" s="116">
        <v>4.2299999999999995</v>
      </c>
      <c r="P263" s="30">
        <v>7.4999999999999997E-2</v>
      </c>
      <c r="Q263" s="116">
        <v>1.125</v>
      </c>
      <c r="R263" s="30">
        <v>7.0000000000000007E-2</v>
      </c>
      <c r="S263" s="116">
        <v>1.05</v>
      </c>
      <c r="T263" s="117">
        <v>0.49</v>
      </c>
      <c r="U263" s="39">
        <v>200</v>
      </c>
      <c r="V263" s="32">
        <v>11</v>
      </c>
      <c r="W263" s="33"/>
      <c r="X263" s="32"/>
      <c r="Y263" s="32"/>
      <c r="Z263" s="32"/>
      <c r="AA263" s="34"/>
      <c r="AB263" s="35">
        <f t="shared" si="45"/>
        <v>211</v>
      </c>
      <c r="AC263" s="75">
        <f t="shared" si="46"/>
        <v>25000</v>
      </c>
      <c r="AD263" s="78">
        <f t="shared" si="54"/>
        <v>1375</v>
      </c>
      <c r="AE263" s="72">
        <f t="shared" si="47"/>
        <v>26375</v>
      </c>
      <c r="AF263" s="75">
        <f t="shared" si="48"/>
        <v>4379</v>
      </c>
      <c r="AG263" s="78">
        <f t="shared" si="49"/>
        <v>240.845</v>
      </c>
      <c r="AH263" s="72">
        <f t="shared" si="50"/>
        <v>4619.8450000000003</v>
      </c>
      <c r="AI263" s="75">
        <f t="shared" si="51"/>
        <v>3000</v>
      </c>
      <c r="AJ263" s="78">
        <f t="shared" si="52"/>
        <v>165</v>
      </c>
      <c r="AK263" s="72">
        <f t="shared" si="53"/>
        <v>3165</v>
      </c>
    </row>
    <row r="264" spans="1:37" ht="15.95" customHeight="1">
      <c r="A264" s="25" t="s">
        <v>12</v>
      </c>
      <c r="B264" s="25" t="s">
        <v>252</v>
      </c>
      <c r="C264" s="26" t="s">
        <v>14</v>
      </c>
      <c r="D264" s="26" t="s">
        <v>373</v>
      </c>
      <c r="E264" s="26" t="s">
        <v>16</v>
      </c>
      <c r="F264" s="26" t="s">
        <v>277</v>
      </c>
      <c r="G264" s="36" t="s">
        <v>273</v>
      </c>
      <c r="H264" s="27" t="s">
        <v>414</v>
      </c>
      <c r="I264" s="26" t="s">
        <v>27</v>
      </c>
      <c r="J264" s="28" t="s">
        <v>261</v>
      </c>
      <c r="K264" s="123">
        <v>150</v>
      </c>
      <c r="L264" s="29">
        <f t="shared" si="44"/>
        <v>28.673249999999996</v>
      </c>
      <c r="M264" s="110">
        <v>19.75</v>
      </c>
      <c r="N264" s="30">
        <v>0.28199999999999997</v>
      </c>
      <c r="O264" s="116">
        <v>5.5694999999999997</v>
      </c>
      <c r="P264" s="30">
        <v>7.4999999999999997E-2</v>
      </c>
      <c r="Q264" s="116">
        <v>1.48125</v>
      </c>
      <c r="R264" s="30">
        <v>7.0000000000000007E-2</v>
      </c>
      <c r="S264" s="116">
        <v>1.3825000000000001</v>
      </c>
      <c r="T264" s="117">
        <v>0.49</v>
      </c>
      <c r="U264" s="39">
        <v>200</v>
      </c>
      <c r="V264" s="32">
        <v>43</v>
      </c>
      <c r="W264" s="33"/>
      <c r="X264" s="32"/>
      <c r="Y264" s="32"/>
      <c r="Z264" s="32"/>
      <c r="AA264" s="34"/>
      <c r="AB264" s="35">
        <f t="shared" si="45"/>
        <v>243</v>
      </c>
      <c r="AC264" s="75">
        <f t="shared" si="46"/>
        <v>30000</v>
      </c>
      <c r="AD264" s="78">
        <f t="shared" si="54"/>
        <v>6450</v>
      </c>
      <c r="AE264" s="72">
        <f t="shared" si="47"/>
        <v>36450</v>
      </c>
      <c r="AF264" s="75">
        <f t="shared" si="48"/>
        <v>5734.65</v>
      </c>
      <c r="AG264" s="78">
        <f t="shared" si="49"/>
        <v>1232.9497499999998</v>
      </c>
      <c r="AH264" s="72">
        <f t="shared" si="50"/>
        <v>6967.5997499999994</v>
      </c>
      <c r="AI264" s="75">
        <f t="shared" si="51"/>
        <v>3950</v>
      </c>
      <c r="AJ264" s="78">
        <f t="shared" si="52"/>
        <v>849.25</v>
      </c>
      <c r="AK264" s="72">
        <f t="shared" si="53"/>
        <v>4799.25</v>
      </c>
    </row>
    <row r="265" spans="1:37" ht="15.95" customHeight="1">
      <c r="A265" s="25" t="s">
        <v>12</v>
      </c>
      <c r="B265" s="25" t="s">
        <v>252</v>
      </c>
      <c r="C265" s="26" t="s">
        <v>21</v>
      </c>
      <c r="D265" s="26" t="s">
        <v>373</v>
      </c>
      <c r="E265" s="26" t="s">
        <v>16</v>
      </c>
      <c r="F265" s="26" t="s">
        <v>278</v>
      </c>
      <c r="G265" s="26" t="s">
        <v>273</v>
      </c>
      <c r="H265" s="27" t="s">
        <v>414</v>
      </c>
      <c r="I265" s="26" t="s">
        <v>27</v>
      </c>
      <c r="J265" s="28" t="s">
        <v>265</v>
      </c>
      <c r="K265" s="123">
        <v>125</v>
      </c>
      <c r="L265" s="29">
        <f t="shared" si="44"/>
        <v>21.895</v>
      </c>
      <c r="M265" s="110">
        <v>15</v>
      </c>
      <c r="N265" s="30">
        <v>0.28199999999999997</v>
      </c>
      <c r="O265" s="116">
        <v>4.2299999999999995</v>
      </c>
      <c r="P265" s="30">
        <v>7.4999999999999997E-2</v>
      </c>
      <c r="Q265" s="116">
        <v>1.125</v>
      </c>
      <c r="R265" s="30">
        <v>7.0000000000000007E-2</v>
      </c>
      <c r="S265" s="116">
        <v>1.05</v>
      </c>
      <c r="T265" s="117">
        <v>0.49</v>
      </c>
      <c r="U265" s="39">
        <v>200</v>
      </c>
      <c r="V265" s="32">
        <v>43</v>
      </c>
      <c r="W265" s="33"/>
      <c r="X265" s="32"/>
      <c r="Y265" s="32"/>
      <c r="Z265" s="32"/>
      <c r="AA265" s="34"/>
      <c r="AB265" s="35">
        <f t="shared" si="45"/>
        <v>243</v>
      </c>
      <c r="AC265" s="75">
        <f t="shared" si="46"/>
        <v>25000</v>
      </c>
      <c r="AD265" s="78">
        <f t="shared" si="54"/>
        <v>5375</v>
      </c>
      <c r="AE265" s="72">
        <f t="shared" si="47"/>
        <v>30375</v>
      </c>
      <c r="AF265" s="75">
        <f t="shared" si="48"/>
        <v>4379</v>
      </c>
      <c r="AG265" s="78">
        <f t="shared" si="49"/>
        <v>941.48500000000001</v>
      </c>
      <c r="AH265" s="72">
        <f t="shared" si="50"/>
        <v>5320.4849999999997</v>
      </c>
      <c r="AI265" s="75">
        <f t="shared" si="51"/>
        <v>3000</v>
      </c>
      <c r="AJ265" s="78">
        <f t="shared" si="52"/>
        <v>645</v>
      </c>
      <c r="AK265" s="72">
        <f t="shared" si="53"/>
        <v>3645</v>
      </c>
    </row>
    <row r="266" spans="1:37" ht="15.95" customHeight="1">
      <c r="A266" s="25" t="s">
        <v>12</v>
      </c>
      <c r="B266" s="25" t="s">
        <v>252</v>
      </c>
      <c r="C266" s="26" t="s">
        <v>14</v>
      </c>
      <c r="D266" s="26" t="s">
        <v>373</v>
      </c>
      <c r="E266" s="26" t="s">
        <v>16</v>
      </c>
      <c r="F266" s="26" t="s">
        <v>279</v>
      </c>
      <c r="G266" s="26" t="s">
        <v>98</v>
      </c>
      <c r="H266" s="27" t="s">
        <v>415</v>
      </c>
      <c r="I266" s="26" t="s">
        <v>27</v>
      </c>
      <c r="J266" s="28" t="s">
        <v>261</v>
      </c>
      <c r="K266" s="123">
        <v>135</v>
      </c>
      <c r="L266" s="29">
        <f t="shared" si="44"/>
        <v>24.035499999999999</v>
      </c>
      <c r="M266" s="110">
        <v>16.5</v>
      </c>
      <c r="N266" s="30">
        <v>0.28199999999999997</v>
      </c>
      <c r="O266" s="116">
        <v>4.6529999999999996</v>
      </c>
      <c r="P266" s="30">
        <v>7.4999999999999997E-2</v>
      </c>
      <c r="Q266" s="116">
        <v>1.2375</v>
      </c>
      <c r="R266" s="30">
        <v>7.0000000000000007E-2</v>
      </c>
      <c r="S266" s="116">
        <v>1.155</v>
      </c>
      <c r="T266" s="117">
        <v>0.49</v>
      </c>
      <c r="U266" s="39">
        <v>250</v>
      </c>
      <c r="V266" s="32">
        <v>64</v>
      </c>
      <c r="W266" s="33"/>
      <c r="X266" s="32"/>
      <c r="Y266" s="32"/>
      <c r="Z266" s="32"/>
      <c r="AA266" s="34"/>
      <c r="AB266" s="35">
        <f t="shared" si="45"/>
        <v>314</v>
      </c>
      <c r="AC266" s="75">
        <f t="shared" si="46"/>
        <v>33750</v>
      </c>
      <c r="AD266" s="78">
        <f t="shared" si="54"/>
        <v>8640</v>
      </c>
      <c r="AE266" s="72">
        <f t="shared" si="47"/>
        <v>42390</v>
      </c>
      <c r="AF266" s="75">
        <f t="shared" si="48"/>
        <v>6008.875</v>
      </c>
      <c r="AG266" s="78">
        <f t="shared" si="49"/>
        <v>1538.2719999999999</v>
      </c>
      <c r="AH266" s="72">
        <f t="shared" si="50"/>
        <v>7547.1469999999999</v>
      </c>
      <c r="AI266" s="75">
        <f t="shared" si="51"/>
        <v>4125</v>
      </c>
      <c r="AJ266" s="78">
        <f t="shared" si="52"/>
        <v>1056</v>
      </c>
      <c r="AK266" s="72">
        <f t="shared" si="53"/>
        <v>5181</v>
      </c>
    </row>
    <row r="267" spans="1:37" ht="15.95" customHeight="1">
      <c r="A267" s="25" t="s">
        <v>12</v>
      </c>
      <c r="B267" s="25" t="s">
        <v>252</v>
      </c>
      <c r="C267" s="26" t="s">
        <v>21</v>
      </c>
      <c r="D267" s="26" t="s">
        <v>373</v>
      </c>
      <c r="E267" s="26" t="s">
        <v>16</v>
      </c>
      <c r="F267" s="26" t="s">
        <v>280</v>
      </c>
      <c r="G267" s="26" t="s">
        <v>98</v>
      </c>
      <c r="H267" s="27" t="s">
        <v>120</v>
      </c>
      <c r="I267" s="26" t="s">
        <v>27</v>
      </c>
      <c r="J267" s="28" t="s">
        <v>265</v>
      </c>
      <c r="K267" s="123">
        <v>110</v>
      </c>
      <c r="L267" s="29">
        <f t="shared" si="44"/>
        <v>17.613999999999997</v>
      </c>
      <c r="M267" s="110">
        <v>12</v>
      </c>
      <c r="N267" s="30">
        <v>0.28199999999999997</v>
      </c>
      <c r="O267" s="116">
        <v>3.3839999999999995</v>
      </c>
      <c r="P267" s="30">
        <v>7.4999999999999997E-2</v>
      </c>
      <c r="Q267" s="116">
        <v>0.89999999999999991</v>
      </c>
      <c r="R267" s="30">
        <v>7.0000000000000007E-2</v>
      </c>
      <c r="S267" s="116">
        <v>0.84000000000000008</v>
      </c>
      <c r="T267" s="117">
        <v>0.49</v>
      </c>
      <c r="U267" s="39">
        <v>250</v>
      </c>
      <c r="V267" s="32">
        <v>64</v>
      </c>
      <c r="W267" s="33"/>
      <c r="X267" s="32"/>
      <c r="Y267" s="32"/>
      <c r="Z267" s="32"/>
      <c r="AA267" s="34"/>
      <c r="AB267" s="35">
        <f t="shared" si="45"/>
        <v>314</v>
      </c>
      <c r="AC267" s="75">
        <f t="shared" si="46"/>
        <v>27500</v>
      </c>
      <c r="AD267" s="78">
        <f t="shared" si="54"/>
        <v>7040</v>
      </c>
      <c r="AE267" s="72">
        <f t="shared" si="47"/>
        <v>34540</v>
      </c>
      <c r="AF267" s="75">
        <f t="shared" si="48"/>
        <v>4403.4999999999991</v>
      </c>
      <c r="AG267" s="78">
        <f t="shared" si="49"/>
        <v>1127.2959999999998</v>
      </c>
      <c r="AH267" s="72">
        <f t="shared" si="50"/>
        <v>5530.7959999999985</v>
      </c>
      <c r="AI267" s="75">
        <f t="shared" si="51"/>
        <v>3000</v>
      </c>
      <c r="AJ267" s="78">
        <f t="shared" si="52"/>
        <v>768</v>
      </c>
      <c r="AK267" s="72">
        <f t="shared" si="53"/>
        <v>3768</v>
      </c>
    </row>
    <row r="268" spans="1:37" ht="15.95" customHeight="1">
      <c r="A268" s="25" t="s">
        <v>12</v>
      </c>
      <c r="B268" s="25" t="s">
        <v>252</v>
      </c>
      <c r="C268" s="26" t="s">
        <v>14</v>
      </c>
      <c r="D268" s="26" t="s">
        <v>373</v>
      </c>
      <c r="E268" s="26" t="s">
        <v>16</v>
      </c>
      <c r="F268" s="26" t="s">
        <v>279</v>
      </c>
      <c r="G268" s="26" t="s">
        <v>98</v>
      </c>
      <c r="H268" s="27" t="s">
        <v>415</v>
      </c>
      <c r="I268" s="26" t="s">
        <v>27</v>
      </c>
      <c r="J268" s="37" t="s">
        <v>261</v>
      </c>
      <c r="K268" s="123">
        <v>135</v>
      </c>
      <c r="L268" s="29">
        <f t="shared" si="44"/>
        <v>24.035499999999999</v>
      </c>
      <c r="M268" s="110">
        <v>16.5</v>
      </c>
      <c r="N268" s="30">
        <v>0.28199999999999997</v>
      </c>
      <c r="O268" s="116">
        <v>4.6529999999999996</v>
      </c>
      <c r="P268" s="30">
        <v>7.4999999999999997E-2</v>
      </c>
      <c r="Q268" s="116">
        <v>1.2375</v>
      </c>
      <c r="R268" s="30">
        <v>7.0000000000000007E-2</v>
      </c>
      <c r="S268" s="116">
        <v>1.155</v>
      </c>
      <c r="T268" s="117">
        <v>0.49</v>
      </c>
      <c r="U268" s="39">
        <v>250</v>
      </c>
      <c r="V268" s="32">
        <v>39</v>
      </c>
      <c r="W268" s="33"/>
      <c r="X268" s="32">
        <v>80</v>
      </c>
      <c r="Y268" s="32"/>
      <c r="Z268" s="32"/>
      <c r="AA268" s="34"/>
      <c r="AB268" s="35">
        <f t="shared" si="45"/>
        <v>369</v>
      </c>
      <c r="AC268" s="75">
        <f t="shared" si="46"/>
        <v>33750</v>
      </c>
      <c r="AD268" s="78">
        <f t="shared" si="54"/>
        <v>16065</v>
      </c>
      <c r="AE268" s="72">
        <f t="shared" si="47"/>
        <v>49815</v>
      </c>
      <c r="AF268" s="75">
        <f t="shared" si="48"/>
        <v>6008.875</v>
      </c>
      <c r="AG268" s="78">
        <f t="shared" si="49"/>
        <v>2257.3845000000001</v>
      </c>
      <c r="AH268" s="72">
        <f t="shared" si="50"/>
        <v>8266.2595000000001</v>
      </c>
      <c r="AI268" s="75">
        <f t="shared" si="51"/>
        <v>4125</v>
      </c>
      <c r="AJ268" s="78">
        <f t="shared" si="52"/>
        <v>1963.5</v>
      </c>
      <c r="AK268" s="72">
        <f t="shared" si="53"/>
        <v>6088.5</v>
      </c>
    </row>
    <row r="269" spans="1:37" ht="15.95" customHeight="1">
      <c r="A269" s="25" t="s">
        <v>12</v>
      </c>
      <c r="B269" s="25" t="s">
        <v>252</v>
      </c>
      <c r="C269" s="26" t="s">
        <v>21</v>
      </c>
      <c r="D269" s="26" t="s">
        <v>373</v>
      </c>
      <c r="E269" s="26" t="s">
        <v>16</v>
      </c>
      <c r="F269" s="26" t="s">
        <v>280</v>
      </c>
      <c r="G269" s="26" t="s">
        <v>98</v>
      </c>
      <c r="H269" s="27" t="s">
        <v>415</v>
      </c>
      <c r="I269" s="26" t="s">
        <v>27</v>
      </c>
      <c r="J269" s="28" t="s">
        <v>265</v>
      </c>
      <c r="K269" s="123">
        <v>110</v>
      </c>
      <c r="L269" s="29">
        <f t="shared" si="44"/>
        <v>17.613999999999997</v>
      </c>
      <c r="M269" s="110">
        <v>12</v>
      </c>
      <c r="N269" s="30">
        <v>0.28199999999999997</v>
      </c>
      <c r="O269" s="116">
        <v>3.3839999999999995</v>
      </c>
      <c r="P269" s="30">
        <v>7.4999999999999997E-2</v>
      </c>
      <c r="Q269" s="116">
        <v>0.89999999999999991</v>
      </c>
      <c r="R269" s="30">
        <v>7.0000000000000007E-2</v>
      </c>
      <c r="S269" s="116">
        <v>0.84000000000000008</v>
      </c>
      <c r="T269" s="117">
        <v>0.49</v>
      </c>
      <c r="U269" s="39">
        <v>250</v>
      </c>
      <c r="V269" s="32">
        <v>39</v>
      </c>
      <c r="W269" s="33"/>
      <c r="X269" s="32">
        <v>70</v>
      </c>
      <c r="Y269" s="32"/>
      <c r="Z269" s="32"/>
      <c r="AA269" s="34"/>
      <c r="AB269" s="35">
        <f t="shared" si="45"/>
        <v>359</v>
      </c>
      <c r="AC269" s="75">
        <f t="shared" si="46"/>
        <v>27500</v>
      </c>
      <c r="AD269" s="78">
        <f t="shared" si="54"/>
        <v>11990</v>
      </c>
      <c r="AE269" s="72">
        <f t="shared" si="47"/>
        <v>39490</v>
      </c>
      <c r="AF269" s="75">
        <f t="shared" si="48"/>
        <v>4403.4999999999991</v>
      </c>
      <c r="AG269" s="78">
        <f t="shared" si="49"/>
        <v>1526.9459999999999</v>
      </c>
      <c r="AH269" s="72">
        <f t="shared" si="50"/>
        <v>5930.445999999999</v>
      </c>
      <c r="AI269" s="75">
        <f t="shared" si="51"/>
        <v>3000</v>
      </c>
      <c r="AJ269" s="78">
        <f t="shared" si="52"/>
        <v>1308</v>
      </c>
      <c r="AK269" s="72">
        <f t="shared" si="53"/>
        <v>4308</v>
      </c>
    </row>
    <row r="270" spans="1:37" ht="15.95" customHeight="1">
      <c r="A270" s="25" t="s">
        <v>12</v>
      </c>
      <c r="B270" s="25" t="s">
        <v>252</v>
      </c>
      <c r="C270" s="26" t="s">
        <v>14</v>
      </c>
      <c r="D270" s="26" t="s">
        <v>373</v>
      </c>
      <c r="E270" s="26" t="s">
        <v>16</v>
      </c>
      <c r="F270" s="26" t="s">
        <v>281</v>
      </c>
      <c r="G270" s="26" t="s">
        <v>113</v>
      </c>
      <c r="H270" s="27" t="s">
        <v>282</v>
      </c>
      <c r="I270" s="26" t="s">
        <v>19</v>
      </c>
      <c r="J270" s="37" t="s">
        <v>283</v>
      </c>
      <c r="K270" s="123">
        <v>135</v>
      </c>
      <c r="L270" s="29">
        <f t="shared" si="44"/>
        <v>28.316499999999994</v>
      </c>
      <c r="M270" s="110">
        <v>19.5</v>
      </c>
      <c r="N270" s="30">
        <v>0.28199999999999997</v>
      </c>
      <c r="O270" s="116">
        <v>5.4989999999999997</v>
      </c>
      <c r="P270" s="30">
        <v>7.4999999999999997E-2</v>
      </c>
      <c r="Q270" s="116">
        <v>1.4624999999999999</v>
      </c>
      <c r="R270" s="30">
        <v>7.0000000000000007E-2</v>
      </c>
      <c r="S270" s="116">
        <v>1.3650000000000002</v>
      </c>
      <c r="T270" s="117">
        <v>0.49</v>
      </c>
      <c r="U270" s="39">
        <v>250</v>
      </c>
      <c r="V270" s="32">
        <v>49</v>
      </c>
      <c r="W270" s="33"/>
      <c r="X270" s="32"/>
      <c r="Y270" s="32"/>
      <c r="Z270" s="32"/>
      <c r="AA270" s="34">
        <v>4</v>
      </c>
      <c r="AB270" s="35">
        <f t="shared" si="45"/>
        <v>303</v>
      </c>
      <c r="AC270" s="75">
        <f t="shared" si="46"/>
        <v>33750</v>
      </c>
      <c r="AD270" s="78">
        <f t="shared" si="54"/>
        <v>7155</v>
      </c>
      <c r="AE270" s="72">
        <f t="shared" si="47"/>
        <v>40905</v>
      </c>
      <c r="AF270" s="75">
        <f t="shared" si="48"/>
        <v>7079.1249999999982</v>
      </c>
      <c r="AG270" s="78">
        <f t="shared" si="49"/>
        <v>1465.5084999999997</v>
      </c>
      <c r="AH270" s="72">
        <f t="shared" si="50"/>
        <v>8544.6334999999981</v>
      </c>
      <c r="AI270" s="75">
        <f t="shared" si="51"/>
        <v>4875</v>
      </c>
      <c r="AJ270" s="78">
        <f t="shared" si="52"/>
        <v>1033.5</v>
      </c>
      <c r="AK270" s="72">
        <f t="shared" si="53"/>
        <v>5908.5</v>
      </c>
    </row>
    <row r="271" spans="1:37" ht="15.95" customHeight="1">
      <c r="A271" s="25" t="s">
        <v>12</v>
      </c>
      <c r="B271" s="25" t="s">
        <v>252</v>
      </c>
      <c r="C271" s="26" t="s">
        <v>21</v>
      </c>
      <c r="D271" s="26" t="s">
        <v>373</v>
      </c>
      <c r="E271" s="26" t="s">
        <v>16</v>
      </c>
      <c r="F271" s="26" t="s">
        <v>284</v>
      </c>
      <c r="G271" s="26" t="s">
        <v>113</v>
      </c>
      <c r="H271" s="27" t="s">
        <v>282</v>
      </c>
      <c r="I271" s="26" t="s">
        <v>19</v>
      </c>
      <c r="J271" s="28" t="s">
        <v>285</v>
      </c>
      <c r="K271" s="123">
        <v>110</v>
      </c>
      <c r="L271" s="29">
        <f t="shared" si="44"/>
        <v>24.035499999999999</v>
      </c>
      <c r="M271" s="110">
        <v>16.5</v>
      </c>
      <c r="N271" s="30">
        <v>0.28199999999999997</v>
      </c>
      <c r="O271" s="116">
        <v>4.6529999999999996</v>
      </c>
      <c r="P271" s="30">
        <v>7.4999999999999997E-2</v>
      </c>
      <c r="Q271" s="116">
        <v>1.2375</v>
      </c>
      <c r="R271" s="30">
        <v>7.0000000000000007E-2</v>
      </c>
      <c r="S271" s="116">
        <v>1.155</v>
      </c>
      <c r="T271" s="117">
        <v>0.49</v>
      </c>
      <c r="U271" s="39">
        <v>250</v>
      </c>
      <c r="V271" s="32">
        <v>49</v>
      </c>
      <c r="W271" s="33"/>
      <c r="X271" s="32"/>
      <c r="Y271" s="32"/>
      <c r="Z271" s="32"/>
      <c r="AA271" s="34">
        <v>4</v>
      </c>
      <c r="AB271" s="35">
        <f t="shared" si="45"/>
        <v>303</v>
      </c>
      <c r="AC271" s="75">
        <f t="shared" si="46"/>
        <v>27500</v>
      </c>
      <c r="AD271" s="78">
        <f t="shared" si="54"/>
        <v>5830</v>
      </c>
      <c r="AE271" s="72">
        <f t="shared" si="47"/>
        <v>33330</v>
      </c>
      <c r="AF271" s="75">
        <f t="shared" si="48"/>
        <v>6008.875</v>
      </c>
      <c r="AG271" s="78">
        <f t="shared" si="49"/>
        <v>1243.7394999999999</v>
      </c>
      <c r="AH271" s="72">
        <f t="shared" si="50"/>
        <v>7252.6144999999997</v>
      </c>
      <c r="AI271" s="75">
        <f t="shared" si="51"/>
        <v>4125</v>
      </c>
      <c r="AJ271" s="78">
        <f t="shared" si="52"/>
        <v>874.5</v>
      </c>
      <c r="AK271" s="72">
        <f t="shared" si="53"/>
        <v>4999.5</v>
      </c>
    </row>
    <row r="272" spans="1:37" ht="15.95" customHeight="1">
      <c r="A272" s="25" t="s">
        <v>12</v>
      </c>
      <c r="B272" s="25" t="s">
        <v>252</v>
      </c>
      <c r="C272" s="26" t="s">
        <v>14</v>
      </c>
      <c r="D272" s="26" t="s">
        <v>374</v>
      </c>
      <c r="E272" s="26" t="s">
        <v>16</v>
      </c>
      <c r="F272" s="26" t="s">
        <v>281</v>
      </c>
      <c r="G272" s="26" t="s">
        <v>113</v>
      </c>
      <c r="H272" s="27" t="s">
        <v>282</v>
      </c>
      <c r="I272" s="26" t="s">
        <v>19</v>
      </c>
      <c r="J272" s="28" t="s">
        <v>283</v>
      </c>
      <c r="K272" s="123">
        <v>135</v>
      </c>
      <c r="L272" s="29">
        <f t="shared" si="44"/>
        <v>28.316499999999994</v>
      </c>
      <c r="M272" s="110">
        <v>19.5</v>
      </c>
      <c r="N272" s="30">
        <v>0.28199999999999997</v>
      </c>
      <c r="O272" s="116">
        <v>5.4989999999999997</v>
      </c>
      <c r="P272" s="30">
        <v>7.4999999999999997E-2</v>
      </c>
      <c r="Q272" s="116">
        <v>1.4624999999999999</v>
      </c>
      <c r="R272" s="30">
        <v>7.0000000000000007E-2</v>
      </c>
      <c r="S272" s="116">
        <v>1.3650000000000002</v>
      </c>
      <c r="T272" s="117">
        <v>0.49</v>
      </c>
      <c r="U272" s="39">
        <v>250</v>
      </c>
      <c r="V272" s="32">
        <v>81</v>
      </c>
      <c r="W272" s="33"/>
      <c r="X272" s="32"/>
      <c r="Y272" s="32"/>
      <c r="Z272" s="32"/>
      <c r="AA272" s="34">
        <v>4</v>
      </c>
      <c r="AB272" s="35">
        <f t="shared" si="45"/>
        <v>335</v>
      </c>
      <c r="AC272" s="75">
        <f t="shared" si="46"/>
        <v>33750</v>
      </c>
      <c r="AD272" s="78">
        <f t="shared" si="54"/>
        <v>11475</v>
      </c>
      <c r="AE272" s="72">
        <f t="shared" si="47"/>
        <v>45225</v>
      </c>
      <c r="AF272" s="75">
        <f t="shared" si="48"/>
        <v>7079.1249999999982</v>
      </c>
      <c r="AG272" s="78">
        <f t="shared" si="49"/>
        <v>2371.6364999999996</v>
      </c>
      <c r="AH272" s="72">
        <f t="shared" si="50"/>
        <v>9450.7614999999969</v>
      </c>
      <c r="AI272" s="75">
        <f t="shared" si="51"/>
        <v>4875</v>
      </c>
      <c r="AJ272" s="78">
        <f t="shared" si="52"/>
        <v>1657.5</v>
      </c>
      <c r="AK272" s="72">
        <f t="shared" si="53"/>
        <v>6532.5</v>
      </c>
    </row>
    <row r="273" spans="1:37" ht="15.95" customHeight="1">
      <c r="A273" s="25" t="s">
        <v>12</v>
      </c>
      <c r="B273" s="25" t="s">
        <v>252</v>
      </c>
      <c r="C273" s="26" t="s">
        <v>21</v>
      </c>
      <c r="D273" s="26" t="s">
        <v>374</v>
      </c>
      <c r="E273" s="26" t="s">
        <v>16</v>
      </c>
      <c r="F273" s="26" t="s">
        <v>284</v>
      </c>
      <c r="G273" s="26" t="s">
        <v>113</v>
      </c>
      <c r="H273" s="27" t="s">
        <v>282</v>
      </c>
      <c r="I273" s="26" t="s">
        <v>19</v>
      </c>
      <c r="J273" s="28" t="s">
        <v>285</v>
      </c>
      <c r="K273" s="123">
        <v>110</v>
      </c>
      <c r="L273" s="29">
        <f t="shared" si="44"/>
        <v>24.035499999999999</v>
      </c>
      <c r="M273" s="110">
        <v>16.5</v>
      </c>
      <c r="N273" s="30">
        <v>0.28199999999999997</v>
      </c>
      <c r="O273" s="116">
        <v>4.6529999999999996</v>
      </c>
      <c r="P273" s="30">
        <v>7.4999999999999997E-2</v>
      </c>
      <c r="Q273" s="116">
        <v>1.2375</v>
      </c>
      <c r="R273" s="30">
        <v>7.0000000000000007E-2</v>
      </c>
      <c r="S273" s="116">
        <v>1.155</v>
      </c>
      <c r="T273" s="117">
        <v>0.49</v>
      </c>
      <c r="U273" s="39">
        <v>250</v>
      </c>
      <c r="V273" s="32">
        <v>81</v>
      </c>
      <c r="W273" s="33"/>
      <c r="X273" s="32"/>
      <c r="Y273" s="32"/>
      <c r="Z273" s="32"/>
      <c r="AA273" s="34">
        <v>4</v>
      </c>
      <c r="AB273" s="35">
        <f t="shared" si="45"/>
        <v>335</v>
      </c>
      <c r="AC273" s="75">
        <f t="shared" si="46"/>
        <v>27500</v>
      </c>
      <c r="AD273" s="78">
        <f t="shared" si="54"/>
        <v>9350</v>
      </c>
      <c r="AE273" s="72">
        <f t="shared" si="47"/>
        <v>36850</v>
      </c>
      <c r="AF273" s="75">
        <f t="shared" si="48"/>
        <v>6008.875</v>
      </c>
      <c r="AG273" s="78">
        <f t="shared" si="49"/>
        <v>2012.8754999999999</v>
      </c>
      <c r="AH273" s="72">
        <f t="shared" si="50"/>
        <v>8021.7505000000001</v>
      </c>
      <c r="AI273" s="75">
        <f t="shared" si="51"/>
        <v>4125</v>
      </c>
      <c r="AJ273" s="78">
        <f t="shared" si="52"/>
        <v>1402.5</v>
      </c>
      <c r="AK273" s="72">
        <f t="shared" si="53"/>
        <v>5527.5</v>
      </c>
    </row>
    <row r="274" spans="1:37" ht="15.95" customHeight="1">
      <c r="A274" s="25" t="s">
        <v>12</v>
      </c>
      <c r="B274" s="25" t="s">
        <v>252</v>
      </c>
      <c r="C274" s="26" t="s">
        <v>124</v>
      </c>
      <c r="D274" s="26" t="s">
        <v>373</v>
      </c>
      <c r="E274" s="26" t="s">
        <v>16</v>
      </c>
      <c r="F274" s="26" t="s">
        <v>286</v>
      </c>
      <c r="G274" s="26" t="s">
        <v>126</v>
      </c>
      <c r="H274" s="27" t="s">
        <v>127</v>
      </c>
      <c r="I274" s="26" t="s">
        <v>19</v>
      </c>
      <c r="J274" s="37" t="s">
        <v>400</v>
      </c>
      <c r="K274" s="123">
        <v>275</v>
      </c>
      <c r="L274" s="29">
        <f t="shared" si="44"/>
        <v>57.465000000000003</v>
      </c>
      <c r="M274" s="110">
        <v>43</v>
      </c>
      <c r="N274" s="30">
        <v>0.18</v>
      </c>
      <c r="O274" s="116">
        <v>7.7399999999999993</v>
      </c>
      <c r="P274" s="30">
        <v>7.4999999999999997E-2</v>
      </c>
      <c r="Q274" s="116">
        <v>3.2250000000000001</v>
      </c>
      <c r="R274" s="30">
        <v>7.0000000000000007E-2</v>
      </c>
      <c r="S274" s="116">
        <v>3.0100000000000002</v>
      </c>
      <c r="T274" s="117">
        <v>0.49</v>
      </c>
      <c r="U274" s="39">
        <v>200</v>
      </c>
      <c r="V274" s="32">
        <v>32</v>
      </c>
      <c r="W274" s="33"/>
      <c r="X274" s="32"/>
      <c r="Y274" s="32"/>
      <c r="Z274" s="32"/>
      <c r="AA274" s="34"/>
      <c r="AB274" s="35">
        <f t="shared" si="45"/>
        <v>232</v>
      </c>
      <c r="AC274" s="75">
        <f t="shared" si="46"/>
        <v>55000</v>
      </c>
      <c r="AD274" s="78">
        <f t="shared" si="54"/>
        <v>8800</v>
      </c>
      <c r="AE274" s="72">
        <f t="shared" si="47"/>
        <v>63800</v>
      </c>
      <c r="AF274" s="75">
        <f t="shared" si="48"/>
        <v>11493</v>
      </c>
      <c r="AG274" s="78">
        <f t="shared" si="49"/>
        <v>1838.88</v>
      </c>
      <c r="AH274" s="72">
        <f t="shared" si="50"/>
        <v>13331.880000000001</v>
      </c>
      <c r="AI274" s="75">
        <f t="shared" si="51"/>
        <v>8600</v>
      </c>
      <c r="AJ274" s="78">
        <f t="shared" si="52"/>
        <v>1376</v>
      </c>
      <c r="AK274" s="72">
        <f t="shared" si="53"/>
        <v>9976</v>
      </c>
    </row>
    <row r="275" spans="1:37" ht="15.95" customHeight="1">
      <c r="A275" s="25" t="s">
        <v>12</v>
      </c>
      <c r="B275" s="25" t="s">
        <v>252</v>
      </c>
      <c r="C275" s="26" t="s">
        <v>14</v>
      </c>
      <c r="D275" s="26" t="s">
        <v>373</v>
      </c>
      <c r="E275" s="26" t="s">
        <v>16</v>
      </c>
      <c r="F275" s="26" t="s">
        <v>287</v>
      </c>
      <c r="G275" s="26" t="s">
        <v>288</v>
      </c>
      <c r="H275" s="27" t="s">
        <v>408</v>
      </c>
      <c r="I275" s="26" t="s">
        <v>19</v>
      </c>
      <c r="J275" s="37" t="s">
        <v>283</v>
      </c>
      <c r="K275" s="123">
        <v>145</v>
      </c>
      <c r="L275" s="29">
        <f t="shared" si="44"/>
        <v>30.456999999999997</v>
      </c>
      <c r="M275" s="110">
        <v>21</v>
      </c>
      <c r="N275" s="30">
        <v>0.28199999999999997</v>
      </c>
      <c r="O275" s="116">
        <v>5.9219999999999997</v>
      </c>
      <c r="P275" s="30">
        <v>7.4999999999999997E-2</v>
      </c>
      <c r="Q275" s="116">
        <v>1.575</v>
      </c>
      <c r="R275" s="30">
        <v>7.0000000000000007E-2</v>
      </c>
      <c r="S275" s="116">
        <v>1.4700000000000002</v>
      </c>
      <c r="T275" s="117">
        <v>0.49</v>
      </c>
      <c r="U275" s="39">
        <v>200</v>
      </c>
      <c r="V275" s="32"/>
      <c r="W275" s="33"/>
      <c r="X275" s="32"/>
      <c r="Y275" s="32"/>
      <c r="Z275" s="32"/>
      <c r="AA275" s="34"/>
      <c r="AB275" s="35">
        <f t="shared" si="45"/>
        <v>200</v>
      </c>
      <c r="AC275" s="75">
        <f t="shared" si="46"/>
        <v>29000</v>
      </c>
      <c r="AD275" s="78">
        <f t="shared" si="54"/>
        <v>0</v>
      </c>
      <c r="AE275" s="72">
        <f t="shared" si="47"/>
        <v>29000</v>
      </c>
      <c r="AF275" s="75">
        <f t="shared" si="48"/>
        <v>6091.4</v>
      </c>
      <c r="AG275" s="78">
        <f t="shared" si="49"/>
        <v>0</v>
      </c>
      <c r="AH275" s="72">
        <f t="shared" si="50"/>
        <v>6091.4</v>
      </c>
      <c r="AI275" s="75">
        <f t="shared" si="51"/>
        <v>4200</v>
      </c>
      <c r="AJ275" s="78">
        <f t="shared" si="52"/>
        <v>0</v>
      </c>
      <c r="AK275" s="72">
        <f t="shared" si="53"/>
        <v>4200</v>
      </c>
    </row>
    <row r="276" spans="1:37" ht="15.95" customHeight="1">
      <c r="A276" s="25" t="s">
        <v>12</v>
      </c>
      <c r="B276" s="25" t="s">
        <v>252</v>
      </c>
      <c r="C276" s="26" t="s">
        <v>14</v>
      </c>
      <c r="D276" s="26" t="s">
        <v>375</v>
      </c>
      <c r="E276" s="26" t="s">
        <v>16</v>
      </c>
      <c r="F276" s="26" t="s">
        <v>289</v>
      </c>
      <c r="G276" s="26" t="s">
        <v>146</v>
      </c>
      <c r="H276" s="27" t="s">
        <v>147</v>
      </c>
      <c r="I276" s="26" t="s">
        <v>19</v>
      </c>
      <c r="J276" s="28" t="s">
        <v>290</v>
      </c>
      <c r="K276" s="123">
        <v>165</v>
      </c>
      <c r="L276" s="29">
        <f t="shared" si="44"/>
        <v>32.733800000000002</v>
      </c>
      <c r="M276" s="110">
        <v>26.3</v>
      </c>
      <c r="N276" s="30">
        <v>8.1000000000000003E-2</v>
      </c>
      <c r="O276" s="116">
        <v>2.1303000000000001</v>
      </c>
      <c r="P276" s="30">
        <v>7.4999999999999997E-2</v>
      </c>
      <c r="Q276" s="116">
        <v>1.9724999999999999</v>
      </c>
      <c r="R276" s="30">
        <v>7.0000000000000007E-2</v>
      </c>
      <c r="S276" s="116">
        <v>1.8410000000000002</v>
      </c>
      <c r="T276" s="117">
        <v>0.49</v>
      </c>
      <c r="U276" s="39">
        <v>200</v>
      </c>
      <c r="V276" s="32">
        <v>32</v>
      </c>
      <c r="W276" s="33"/>
      <c r="X276" s="32"/>
      <c r="Y276" s="32"/>
      <c r="Z276" s="32"/>
      <c r="AA276" s="34"/>
      <c r="AB276" s="35">
        <f t="shared" si="45"/>
        <v>232</v>
      </c>
      <c r="AC276" s="75">
        <f t="shared" si="46"/>
        <v>33000</v>
      </c>
      <c r="AD276" s="78">
        <f t="shared" si="54"/>
        <v>5280</v>
      </c>
      <c r="AE276" s="72">
        <f t="shared" si="47"/>
        <v>38280</v>
      </c>
      <c r="AF276" s="75">
        <f t="shared" si="48"/>
        <v>6546.76</v>
      </c>
      <c r="AG276" s="78">
        <f t="shared" si="49"/>
        <v>1047.4816000000001</v>
      </c>
      <c r="AH276" s="72">
        <f t="shared" si="50"/>
        <v>7594.2416000000003</v>
      </c>
      <c r="AI276" s="75">
        <f t="shared" si="51"/>
        <v>5260</v>
      </c>
      <c r="AJ276" s="78">
        <f t="shared" si="52"/>
        <v>841.6</v>
      </c>
      <c r="AK276" s="72">
        <f t="shared" si="53"/>
        <v>6101.6</v>
      </c>
    </row>
    <row r="277" spans="1:37" ht="15.95" customHeight="1">
      <c r="A277" s="25" t="s">
        <v>12</v>
      </c>
      <c r="B277" s="25" t="s">
        <v>252</v>
      </c>
      <c r="C277" s="26" t="s">
        <v>21</v>
      </c>
      <c r="D277" s="26" t="s">
        <v>375</v>
      </c>
      <c r="E277" s="26" t="s">
        <v>16</v>
      </c>
      <c r="F277" s="26" t="s">
        <v>291</v>
      </c>
      <c r="G277" s="26" t="s">
        <v>146</v>
      </c>
      <c r="H277" s="27" t="s">
        <v>147</v>
      </c>
      <c r="I277" s="26" t="s">
        <v>19</v>
      </c>
      <c r="J277" s="28" t="s">
        <v>292</v>
      </c>
      <c r="K277" s="123">
        <v>135</v>
      </c>
      <c r="L277" s="29">
        <f t="shared" si="44"/>
        <v>25.622999999999998</v>
      </c>
      <c r="M277" s="110">
        <v>20.5</v>
      </c>
      <c r="N277" s="30">
        <v>8.1000000000000003E-2</v>
      </c>
      <c r="O277" s="116">
        <v>1.6605000000000001</v>
      </c>
      <c r="P277" s="30">
        <v>7.4999999999999997E-2</v>
      </c>
      <c r="Q277" s="116">
        <v>1.5374999999999999</v>
      </c>
      <c r="R277" s="30">
        <v>7.0000000000000007E-2</v>
      </c>
      <c r="S277" s="116">
        <v>1.4350000000000001</v>
      </c>
      <c r="T277" s="117">
        <v>0.49</v>
      </c>
      <c r="U277" s="39">
        <v>200</v>
      </c>
      <c r="V277" s="32">
        <v>32</v>
      </c>
      <c r="W277" s="33"/>
      <c r="X277" s="32"/>
      <c r="Y277" s="32"/>
      <c r="Z277" s="32"/>
      <c r="AA277" s="34"/>
      <c r="AB277" s="35">
        <f t="shared" si="45"/>
        <v>232</v>
      </c>
      <c r="AC277" s="75">
        <f t="shared" si="46"/>
        <v>27000</v>
      </c>
      <c r="AD277" s="78">
        <f t="shared" si="54"/>
        <v>4320</v>
      </c>
      <c r="AE277" s="72">
        <f t="shared" si="47"/>
        <v>31320</v>
      </c>
      <c r="AF277" s="75">
        <f t="shared" si="48"/>
        <v>5124.5999999999995</v>
      </c>
      <c r="AG277" s="78">
        <f t="shared" si="49"/>
        <v>819.93599999999992</v>
      </c>
      <c r="AH277" s="72">
        <f t="shared" si="50"/>
        <v>5944.5359999999991</v>
      </c>
      <c r="AI277" s="75">
        <f t="shared" si="51"/>
        <v>4100</v>
      </c>
      <c r="AJ277" s="78">
        <f t="shared" si="52"/>
        <v>656</v>
      </c>
      <c r="AK277" s="72">
        <f t="shared" si="53"/>
        <v>4756</v>
      </c>
    </row>
    <row r="278" spans="1:37" ht="15.95" customHeight="1">
      <c r="A278" s="25" t="s">
        <v>12</v>
      </c>
      <c r="B278" s="25" t="s">
        <v>252</v>
      </c>
      <c r="C278" s="26" t="s">
        <v>14</v>
      </c>
      <c r="D278" s="26" t="s">
        <v>375</v>
      </c>
      <c r="E278" s="26" t="s">
        <v>16</v>
      </c>
      <c r="F278" s="26" t="s">
        <v>289</v>
      </c>
      <c r="G278" s="26" t="s">
        <v>146</v>
      </c>
      <c r="H278" s="27" t="s">
        <v>147</v>
      </c>
      <c r="I278" s="26" t="s">
        <v>19</v>
      </c>
      <c r="J278" s="28" t="s">
        <v>290</v>
      </c>
      <c r="K278" s="123">
        <v>165</v>
      </c>
      <c r="L278" s="29">
        <f t="shared" si="44"/>
        <v>32.733800000000002</v>
      </c>
      <c r="M278" s="110">
        <v>26.3</v>
      </c>
      <c r="N278" s="30">
        <v>8.1000000000000003E-2</v>
      </c>
      <c r="O278" s="116">
        <v>2.1303000000000001</v>
      </c>
      <c r="P278" s="30">
        <v>7.4999999999999997E-2</v>
      </c>
      <c r="Q278" s="116">
        <v>1.9724999999999999</v>
      </c>
      <c r="R278" s="30">
        <v>7.0000000000000007E-2</v>
      </c>
      <c r="S278" s="116">
        <v>1.8410000000000002</v>
      </c>
      <c r="T278" s="117">
        <v>0.49</v>
      </c>
      <c r="U278" s="39">
        <v>200</v>
      </c>
      <c r="V278" s="32"/>
      <c r="W278" s="33"/>
      <c r="X278" s="32"/>
      <c r="Y278" s="32"/>
      <c r="Z278" s="32"/>
      <c r="AA278" s="34"/>
      <c r="AB278" s="35">
        <f t="shared" si="45"/>
        <v>200</v>
      </c>
      <c r="AC278" s="75">
        <f t="shared" si="46"/>
        <v>33000</v>
      </c>
      <c r="AD278" s="78">
        <f t="shared" si="54"/>
        <v>0</v>
      </c>
      <c r="AE278" s="72">
        <f t="shared" si="47"/>
        <v>33000</v>
      </c>
      <c r="AF278" s="75">
        <f t="shared" si="48"/>
        <v>6546.76</v>
      </c>
      <c r="AG278" s="78">
        <f t="shared" si="49"/>
        <v>0</v>
      </c>
      <c r="AH278" s="72">
        <f t="shared" si="50"/>
        <v>6546.76</v>
      </c>
      <c r="AI278" s="75">
        <f t="shared" si="51"/>
        <v>5260</v>
      </c>
      <c r="AJ278" s="78">
        <f t="shared" si="52"/>
        <v>0</v>
      </c>
      <c r="AK278" s="72">
        <f t="shared" si="53"/>
        <v>5260</v>
      </c>
    </row>
    <row r="279" spans="1:37" ht="15.95" customHeight="1">
      <c r="A279" s="25" t="s">
        <v>12</v>
      </c>
      <c r="B279" s="25" t="s">
        <v>252</v>
      </c>
      <c r="C279" s="26" t="s">
        <v>21</v>
      </c>
      <c r="D279" s="26" t="s">
        <v>375</v>
      </c>
      <c r="E279" s="26" t="s">
        <v>16</v>
      </c>
      <c r="F279" s="26" t="s">
        <v>291</v>
      </c>
      <c r="G279" s="26" t="s">
        <v>146</v>
      </c>
      <c r="H279" s="27" t="s">
        <v>147</v>
      </c>
      <c r="I279" s="26" t="s">
        <v>19</v>
      </c>
      <c r="J279" s="28" t="s">
        <v>292</v>
      </c>
      <c r="K279" s="123">
        <v>135</v>
      </c>
      <c r="L279" s="29">
        <f t="shared" si="44"/>
        <v>25.622999999999998</v>
      </c>
      <c r="M279" s="110">
        <v>20.5</v>
      </c>
      <c r="N279" s="30">
        <v>8.1000000000000003E-2</v>
      </c>
      <c r="O279" s="116">
        <v>1.6605000000000001</v>
      </c>
      <c r="P279" s="30">
        <v>7.4999999999999997E-2</v>
      </c>
      <c r="Q279" s="116">
        <v>1.5374999999999999</v>
      </c>
      <c r="R279" s="30">
        <v>7.0000000000000007E-2</v>
      </c>
      <c r="S279" s="116">
        <v>1.4350000000000001</v>
      </c>
      <c r="T279" s="117">
        <v>0.49</v>
      </c>
      <c r="U279" s="39">
        <v>200</v>
      </c>
      <c r="V279" s="32"/>
      <c r="W279" s="33"/>
      <c r="X279" s="32"/>
      <c r="Y279" s="32"/>
      <c r="Z279" s="32"/>
      <c r="AA279" s="34"/>
      <c r="AB279" s="35">
        <f t="shared" si="45"/>
        <v>200</v>
      </c>
      <c r="AC279" s="75">
        <f t="shared" si="46"/>
        <v>27000</v>
      </c>
      <c r="AD279" s="78">
        <f t="shared" si="54"/>
        <v>0</v>
      </c>
      <c r="AE279" s="72">
        <f t="shared" si="47"/>
        <v>27000</v>
      </c>
      <c r="AF279" s="75">
        <f t="shared" si="48"/>
        <v>5124.5999999999995</v>
      </c>
      <c r="AG279" s="78">
        <f t="shared" si="49"/>
        <v>0</v>
      </c>
      <c r="AH279" s="72">
        <f t="shared" si="50"/>
        <v>5124.5999999999995</v>
      </c>
      <c r="AI279" s="75">
        <f t="shared" si="51"/>
        <v>4100</v>
      </c>
      <c r="AJ279" s="78">
        <f t="shared" si="52"/>
        <v>0</v>
      </c>
      <c r="AK279" s="72">
        <f t="shared" si="53"/>
        <v>4100</v>
      </c>
    </row>
    <row r="280" spans="1:37" ht="15.95" customHeight="1">
      <c r="A280" s="25" t="s">
        <v>12</v>
      </c>
      <c r="B280" s="25" t="s">
        <v>252</v>
      </c>
      <c r="C280" s="26" t="s">
        <v>293</v>
      </c>
      <c r="D280" s="26" t="s">
        <v>375</v>
      </c>
      <c r="E280" s="26" t="s">
        <v>16</v>
      </c>
      <c r="F280" s="26" t="s">
        <v>294</v>
      </c>
      <c r="G280" s="26" t="s">
        <v>146</v>
      </c>
      <c r="H280" s="27" t="s">
        <v>147</v>
      </c>
      <c r="I280" s="26" t="s">
        <v>19</v>
      </c>
      <c r="J280" s="28" t="s">
        <v>295</v>
      </c>
      <c r="K280" s="123">
        <v>175</v>
      </c>
      <c r="L280" s="29">
        <f t="shared" si="44"/>
        <v>37.786000000000008</v>
      </c>
      <c r="M280" s="110">
        <v>29.6</v>
      </c>
      <c r="N280" s="30">
        <v>0.115</v>
      </c>
      <c r="O280" s="116">
        <v>3.4040000000000004</v>
      </c>
      <c r="P280" s="30">
        <v>7.4999999999999997E-2</v>
      </c>
      <c r="Q280" s="116">
        <v>2.2200000000000002</v>
      </c>
      <c r="R280" s="30">
        <v>7.0000000000000007E-2</v>
      </c>
      <c r="S280" s="116">
        <v>2.0720000000000005</v>
      </c>
      <c r="T280" s="117">
        <v>0.49</v>
      </c>
      <c r="U280" s="39">
        <v>200</v>
      </c>
      <c r="V280" s="32">
        <v>38</v>
      </c>
      <c r="W280" s="33"/>
      <c r="X280" s="32"/>
      <c r="Y280" s="32"/>
      <c r="Z280" s="32"/>
      <c r="AA280" s="34"/>
      <c r="AB280" s="35">
        <f t="shared" si="45"/>
        <v>238</v>
      </c>
      <c r="AC280" s="75">
        <f t="shared" si="46"/>
        <v>35000</v>
      </c>
      <c r="AD280" s="78">
        <f t="shared" si="54"/>
        <v>6650</v>
      </c>
      <c r="AE280" s="72">
        <f t="shared" si="47"/>
        <v>41650</v>
      </c>
      <c r="AF280" s="75">
        <f t="shared" si="48"/>
        <v>7557.2000000000016</v>
      </c>
      <c r="AG280" s="78">
        <f t="shared" si="49"/>
        <v>1435.8680000000004</v>
      </c>
      <c r="AH280" s="72">
        <f t="shared" si="50"/>
        <v>8993.0680000000029</v>
      </c>
      <c r="AI280" s="75">
        <f t="shared" si="51"/>
        <v>5920</v>
      </c>
      <c r="AJ280" s="78">
        <f t="shared" si="52"/>
        <v>1124.8</v>
      </c>
      <c r="AK280" s="72">
        <f t="shared" si="53"/>
        <v>7044.8</v>
      </c>
    </row>
    <row r="281" spans="1:37" ht="15.95" customHeight="1">
      <c r="A281" s="25" t="s">
        <v>12</v>
      </c>
      <c r="B281" s="25" t="s">
        <v>252</v>
      </c>
      <c r="C281" s="26" t="s">
        <v>44</v>
      </c>
      <c r="D281" s="26" t="s">
        <v>375</v>
      </c>
      <c r="E281" s="26" t="s">
        <v>16</v>
      </c>
      <c r="F281" s="26" t="s">
        <v>296</v>
      </c>
      <c r="G281" s="26" t="s">
        <v>297</v>
      </c>
      <c r="H281" s="27" t="s">
        <v>298</v>
      </c>
      <c r="I281" s="26" t="s">
        <v>27</v>
      </c>
      <c r="J281" s="28" t="s">
        <v>256</v>
      </c>
      <c r="K281" s="123">
        <v>78</v>
      </c>
      <c r="L281" s="29">
        <f t="shared" si="44"/>
        <v>18.069999999999997</v>
      </c>
      <c r="M281" s="110">
        <v>12</v>
      </c>
      <c r="N281" s="30">
        <v>0.32</v>
      </c>
      <c r="O281" s="116">
        <v>3.84</v>
      </c>
      <c r="P281" s="30">
        <v>7.4999999999999997E-2</v>
      </c>
      <c r="Q281" s="116">
        <v>0.89999999999999991</v>
      </c>
      <c r="R281" s="30">
        <v>7.0000000000000007E-2</v>
      </c>
      <c r="S281" s="116">
        <v>0.84000000000000008</v>
      </c>
      <c r="T281" s="117">
        <v>0.49</v>
      </c>
      <c r="U281" s="39">
        <v>250</v>
      </c>
      <c r="V281" s="32">
        <v>48</v>
      </c>
      <c r="W281" s="33"/>
      <c r="X281" s="32"/>
      <c r="Y281" s="32"/>
      <c r="Z281" s="32"/>
      <c r="AA281" s="34"/>
      <c r="AB281" s="35">
        <f t="shared" si="45"/>
        <v>298</v>
      </c>
      <c r="AC281" s="75">
        <f t="shared" si="46"/>
        <v>19500</v>
      </c>
      <c r="AD281" s="78">
        <f t="shared" si="54"/>
        <v>3744</v>
      </c>
      <c r="AE281" s="72">
        <f t="shared" si="47"/>
        <v>23244</v>
      </c>
      <c r="AF281" s="75">
        <f t="shared" si="48"/>
        <v>4517.4999999999991</v>
      </c>
      <c r="AG281" s="78">
        <f t="shared" si="49"/>
        <v>867.3599999999999</v>
      </c>
      <c r="AH281" s="72">
        <f t="shared" si="50"/>
        <v>5384.8599999999988</v>
      </c>
      <c r="AI281" s="75">
        <f t="shared" si="51"/>
        <v>3000</v>
      </c>
      <c r="AJ281" s="78">
        <f t="shared" si="52"/>
        <v>576</v>
      </c>
      <c r="AK281" s="72">
        <f t="shared" si="53"/>
        <v>3576</v>
      </c>
    </row>
    <row r="282" spans="1:37" ht="15.95" customHeight="1">
      <c r="A282" s="25" t="s">
        <v>12</v>
      </c>
      <c r="B282" s="25" t="s">
        <v>252</v>
      </c>
      <c r="C282" s="26" t="s">
        <v>44</v>
      </c>
      <c r="D282" s="26" t="s">
        <v>375</v>
      </c>
      <c r="E282" s="26" t="s">
        <v>16</v>
      </c>
      <c r="F282" s="26" t="s">
        <v>296</v>
      </c>
      <c r="G282" s="26" t="s">
        <v>297</v>
      </c>
      <c r="H282" s="27" t="s">
        <v>298</v>
      </c>
      <c r="I282" s="26" t="s">
        <v>27</v>
      </c>
      <c r="J282" s="28" t="s">
        <v>256</v>
      </c>
      <c r="K282" s="123">
        <v>78</v>
      </c>
      <c r="L282" s="29">
        <f t="shared" si="44"/>
        <v>18.069999999999997</v>
      </c>
      <c r="M282" s="110">
        <v>12</v>
      </c>
      <c r="N282" s="30">
        <v>0.32</v>
      </c>
      <c r="O282" s="116">
        <v>3.84</v>
      </c>
      <c r="P282" s="30">
        <v>7.4999999999999997E-2</v>
      </c>
      <c r="Q282" s="116">
        <v>0.89999999999999991</v>
      </c>
      <c r="R282" s="30">
        <v>7.0000000000000007E-2</v>
      </c>
      <c r="S282" s="116">
        <v>0.84000000000000008</v>
      </c>
      <c r="T282" s="117">
        <v>0.49</v>
      </c>
      <c r="U282" s="39">
        <v>250</v>
      </c>
      <c r="V282" s="32">
        <v>32</v>
      </c>
      <c r="W282" s="33"/>
      <c r="X282" s="32"/>
      <c r="Y282" s="32"/>
      <c r="Z282" s="32"/>
      <c r="AA282" s="34"/>
      <c r="AB282" s="35">
        <f t="shared" si="45"/>
        <v>282</v>
      </c>
      <c r="AC282" s="75">
        <f t="shared" si="46"/>
        <v>19500</v>
      </c>
      <c r="AD282" s="78">
        <f t="shared" si="54"/>
        <v>2496</v>
      </c>
      <c r="AE282" s="72">
        <f t="shared" si="47"/>
        <v>21996</v>
      </c>
      <c r="AF282" s="75">
        <f t="shared" si="48"/>
        <v>4517.4999999999991</v>
      </c>
      <c r="AG282" s="78">
        <f t="shared" si="49"/>
        <v>578.2399999999999</v>
      </c>
      <c r="AH282" s="72">
        <f t="shared" si="50"/>
        <v>5095.7399999999989</v>
      </c>
      <c r="AI282" s="75">
        <f t="shared" si="51"/>
        <v>3000</v>
      </c>
      <c r="AJ282" s="78">
        <f t="shared" si="52"/>
        <v>384</v>
      </c>
      <c r="AK282" s="72">
        <f t="shared" si="53"/>
        <v>3384</v>
      </c>
    </row>
    <row r="283" spans="1:37" ht="15.95" customHeight="1">
      <c r="A283" s="25" t="s">
        <v>12</v>
      </c>
      <c r="B283" s="25" t="s">
        <v>252</v>
      </c>
      <c r="C283" s="26" t="s">
        <v>257</v>
      </c>
      <c r="D283" s="26" t="s">
        <v>375</v>
      </c>
      <c r="E283" s="26" t="s">
        <v>16</v>
      </c>
      <c r="F283" s="26" t="s">
        <v>299</v>
      </c>
      <c r="G283" s="26" t="s">
        <v>297</v>
      </c>
      <c r="H283" s="27" t="s">
        <v>298</v>
      </c>
      <c r="I283" s="26" t="s">
        <v>27</v>
      </c>
      <c r="J283" s="28" t="s">
        <v>259</v>
      </c>
      <c r="K283" s="124">
        <v>78</v>
      </c>
      <c r="L283" s="29">
        <f t="shared" si="44"/>
        <v>17.454999999999998</v>
      </c>
      <c r="M283" s="110">
        <v>13</v>
      </c>
      <c r="N283" s="30">
        <v>0.16</v>
      </c>
      <c r="O283" s="116">
        <v>2.08</v>
      </c>
      <c r="P283" s="30">
        <v>7.4999999999999997E-2</v>
      </c>
      <c r="Q283" s="116">
        <v>0.97499999999999998</v>
      </c>
      <c r="R283" s="30">
        <v>7.0000000000000007E-2</v>
      </c>
      <c r="S283" s="116">
        <v>0.91000000000000014</v>
      </c>
      <c r="T283" s="117">
        <v>0.49</v>
      </c>
      <c r="U283" s="39">
        <v>250</v>
      </c>
      <c r="V283" s="32">
        <v>48</v>
      </c>
      <c r="W283" s="33"/>
      <c r="X283" s="32"/>
      <c r="Y283" s="32"/>
      <c r="Z283" s="32"/>
      <c r="AA283" s="34"/>
      <c r="AB283" s="35">
        <f t="shared" si="45"/>
        <v>298</v>
      </c>
      <c r="AC283" s="75">
        <f t="shared" si="46"/>
        <v>19500</v>
      </c>
      <c r="AD283" s="78">
        <f t="shared" si="54"/>
        <v>3744</v>
      </c>
      <c r="AE283" s="72">
        <f t="shared" si="47"/>
        <v>23244</v>
      </c>
      <c r="AF283" s="75">
        <f t="shared" si="48"/>
        <v>4363.75</v>
      </c>
      <c r="AG283" s="78">
        <f t="shared" si="49"/>
        <v>837.83999999999992</v>
      </c>
      <c r="AH283" s="72">
        <f t="shared" si="50"/>
        <v>5201.59</v>
      </c>
      <c r="AI283" s="75">
        <f t="shared" si="51"/>
        <v>3250</v>
      </c>
      <c r="AJ283" s="78">
        <f t="shared" si="52"/>
        <v>624</v>
      </c>
      <c r="AK283" s="72">
        <f t="shared" si="53"/>
        <v>3874</v>
      </c>
    </row>
    <row r="284" spans="1:37" ht="15.95" customHeight="1">
      <c r="A284" s="25" t="s">
        <v>12</v>
      </c>
      <c r="B284" s="25" t="s">
        <v>252</v>
      </c>
      <c r="C284" s="26" t="s">
        <v>257</v>
      </c>
      <c r="D284" s="26" t="s">
        <v>375</v>
      </c>
      <c r="E284" s="26" t="s">
        <v>16</v>
      </c>
      <c r="F284" s="26" t="s">
        <v>299</v>
      </c>
      <c r="G284" s="26" t="s">
        <v>297</v>
      </c>
      <c r="H284" s="27" t="s">
        <v>298</v>
      </c>
      <c r="I284" s="26" t="s">
        <v>27</v>
      </c>
      <c r="J284" s="28" t="s">
        <v>259</v>
      </c>
      <c r="K284" s="123">
        <v>78</v>
      </c>
      <c r="L284" s="29">
        <f t="shared" si="44"/>
        <v>17.454999999999998</v>
      </c>
      <c r="M284" s="110">
        <v>13</v>
      </c>
      <c r="N284" s="30">
        <v>0.16</v>
      </c>
      <c r="O284" s="116">
        <v>2.08</v>
      </c>
      <c r="P284" s="30">
        <v>7.4999999999999997E-2</v>
      </c>
      <c r="Q284" s="116">
        <v>0.97499999999999998</v>
      </c>
      <c r="R284" s="30">
        <v>7.0000000000000007E-2</v>
      </c>
      <c r="S284" s="116">
        <v>0.91000000000000014</v>
      </c>
      <c r="T284" s="117">
        <v>0.49</v>
      </c>
      <c r="U284" s="39">
        <v>250</v>
      </c>
      <c r="V284" s="32">
        <v>32</v>
      </c>
      <c r="W284" s="33"/>
      <c r="X284" s="32"/>
      <c r="Y284" s="32"/>
      <c r="Z284" s="32"/>
      <c r="AA284" s="34"/>
      <c r="AB284" s="35">
        <f t="shared" si="45"/>
        <v>282</v>
      </c>
      <c r="AC284" s="75">
        <f t="shared" si="46"/>
        <v>19500</v>
      </c>
      <c r="AD284" s="78">
        <f t="shared" si="54"/>
        <v>2496</v>
      </c>
      <c r="AE284" s="72">
        <f t="shared" si="47"/>
        <v>21996</v>
      </c>
      <c r="AF284" s="75">
        <f t="shared" si="48"/>
        <v>4363.75</v>
      </c>
      <c r="AG284" s="78">
        <f t="shared" si="49"/>
        <v>558.55999999999995</v>
      </c>
      <c r="AH284" s="72">
        <f t="shared" si="50"/>
        <v>4922.3099999999995</v>
      </c>
      <c r="AI284" s="75">
        <f t="shared" si="51"/>
        <v>3250</v>
      </c>
      <c r="AJ284" s="78">
        <f t="shared" si="52"/>
        <v>416</v>
      </c>
      <c r="AK284" s="72">
        <f t="shared" si="53"/>
        <v>3666</v>
      </c>
    </row>
    <row r="285" spans="1:37" ht="15.95" customHeight="1">
      <c r="A285" s="25" t="s">
        <v>12</v>
      </c>
      <c r="B285" s="25" t="s">
        <v>252</v>
      </c>
      <c r="C285" s="26" t="s">
        <v>293</v>
      </c>
      <c r="D285" s="26" t="s">
        <v>375</v>
      </c>
      <c r="E285" s="26" t="s">
        <v>16</v>
      </c>
      <c r="F285" s="26" t="s">
        <v>300</v>
      </c>
      <c r="G285" s="26" t="s">
        <v>297</v>
      </c>
      <c r="H285" s="27" t="s">
        <v>298</v>
      </c>
      <c r="I285" s="26" t="s">
        <v>27</v>
      </c>
      <c r="J285" s="28" t="s">
        <v>301</v>
      </c>
      <c r="K285" s="123">
        <v>135</v>
      </c>
      <c r="L285" s="29">
        <f t="shared" si="44"/>
        <v>26.916250000000002</v>
      </c>
      <c r="M285" s="110">
        <v>20.25</v>
      </c>
      <c r="N285" s="30">
        <v>0.16</v>
      </c>
      <c r="O285" s="116">
        <v>3.24</v>
      </c>
      <c r="P285" s="30">
        <v>7.4999999999999997E-2</v>
      </c>
      <c r="Q285" s="116">
        <v>1.51875</v>
      </c>
      <c r="R285" s="30">
        <v>7.0000000000000007E-2</v>
      </c>
      <c r="S285" s="116">
        <v>1.4175000000000002</v>
      </c>
      <c r="T285" s="117">
        <v>0.49</v>
      </c>
      <c r="U285" s="39">
        <v>250</v>
      </c>
      <c r="V285" s="32"/>
      <c r="W285" s="33"/>
      <c r="X285" s="32"/>
      <c r="Y285" s="32"/>
      <c r="Z285" s="32"/>
      <c r="AA285" s="34"/>
      <c r="AB285" s="35">
        <f t="shared" si="45"/>
        <v>250</v>
      </c>
      <c r="AC285" s="75">
        <f t="shared" si="46"/>
        <v>33750</v>
      </c>
      <c r="AD285" s="78">
        <f t="shared" si="54"/>
        <v>0</v>
      </c>
      <c r="AE285" s="72">
        <f t="shared" si="47"/>
        <v>33750</v>
      </c>
      <c r="AF285" s="75">
        <f t="shared" si="48"/>
        <v>6729.0625</v>
      </c>
      <c r="AG285" s="78">
        <f t="shared" si="49"/>
        <v>0</v>
      </c>
      <c r="AH285" s="72">
        <f t="shared" si="50"/>
        <v>6729.0625</v>
      </c>
      <c r="AI285" s="75">
        <f t="shared" si="51"/>
        <v>5062.5</v>
      </c>
      <c r="AJ285" s="78">
        <f t="shared" si="52"/>
        <v>0</v>
      </c>
      <c r="AK285" s="72">
        <f t="shared" si="53"/>
        <v>5062.5</v>
      </c>
    </row>
    <row r="286" spans="1:37" ht="15.95" customHeight="1">
      <c r="A286" s="25" t="s">
        <v>12</v>
      </c>
      <c r="B286" s="25" t="s">
        <v>252</v>
      </c>
      <c r="C286" s="26" t="s">
        <v>293</v>
      </c>
      <c r="D286" s="26" t="s">
        <v>375</v>
      </c>
      <c r="E286" s="26" t="s">
        <v>16</v>
      </c>
      <c r="F286" s="26" t="s">
        <v>302</v>
      </c>
      <c r="G286" s="26" t="s">
        <v>303</v>
      </c>
      <c r="H286" s="27" t="s">
        <v>304</v>
      </c>
      <c r="I286" s="26" t="s">
        <v>27</v>
      </c>
      <c r="J286" s="28" t="s">
        <v>301</v>
      </c>
      <c r="K286" s="123">
        <v>125</v>
      </c>
      <c r="L286" s="29">
        <f t="shared" si="44"/>
        <v>25.937499999999996</v>
      </c>
      <c r="M286" s="110">
        <v>19.5</v>
      </c>
      <c r="N286" s="30">
        <v>0.16</v>
      </c>
      <c r="O286" s="116">
        <v>3.12</v>
      </c>
      <c r="P286" s="30">
        <v>7.4999999999999997E-2</v>
      </c>
      <c r="Q286" s="116">
        <v>1.4624999999999999</v>
      </c>
      <c r="R286" s="30">
        <v>7.0000000000000007E-2</v>
      </c>
      <c r="S286" s="116">
        <v>1.3650000000000002</v>
      </c>
      <c r="T286" s="117">
        <v>0.49</v>
      </c>
      <c r="U286" s="39">
        <v>300</v>
      </c>
      <c r="V286" s="32">
        <v>39</v>
      </c>
      <c r="W286" s="33"/>
      <c r="X286" s="32"/>
      <c r="Y286" s="32"/>
      <c r="Z286" s="32"/>
      <c r="AA286" s="34"/>
      <c r="AB286" s="35">
        <f t="shared" si="45"/>
        <v>339</v>
      </c>
      <c r="AC286" s="75">
        <f t="shared" si="46"/>
        <v>37500</v>
      </c>
      <c r="AD286" s="78">
        <f t="shared" si="54"/>
        <v>4875</v>
      </c>
      <c r="AE286" s="72">
        <f t="shared" si="47"/>
        <v>42375</v>
      </c>
      <c r="AF286" s="75">
        <f t="shared" si="48"/>
        <v>7781.2499999999991</v>
      </c>
      <c r="AG286" s="78">
        <f t="shared" si="49"/>
        <v>1011.5624999999999</v>
      </c>
      <c r="AH286" s="72">
        <f t="shared" si="50"/>
        <v>8792.8124999999982</v>
      </c>
      <c r="AI286" s="75">
        <f t="shared" si="51"/>
        <v>5850</v>
      </c>
      <c r="AJ286" s="78">
        <f t="shared" si="52"/>
        <v>760.5</v>
      </c>
      <c r="AK286" s="72">
        <f t="shared" si="53"/>
        <v>6610.5</v>
      </c>
    </row>
    <row r="287" spans="1:37" ht="15.95" customHeight="1">
      <c r="A287" s="25" t="s">
        <v>12</v>
      </c>
      <c r="B287" s="25" t="s">
        <v>252</v>
      </c>
      <c r="C287" s="26" t="s">
        <v>293</v>
      </c>
      <c r="D287" s="26" t="s">
        <v>375</v>
      </c>
      <c r="E287" s="26" t="s">
        <v>16</v>
      </c>
      <c r="F287" s="26" t="s">
        <v>302</v>
      </c>
      <c r="G287" s="26" t="s">
        <v>303</v>
      </c>
      <c r="H287" s="27" t="s">
        <v>304</v>
      </c>
      <c r="I287" s="26" t="s">
        <v>27</v>
      </c>
      <c r="J287" s="28" t="s">
        <v>301</v>
      </c>
      <c r="K287" s="123">
        <v>125</v>
      </c>
      <c r="L287" s="29">
        <f t="shared" si="44"/>
        <v>25.937499999999996</v>
      </c>
      <c r="M287" s="110">
        <v>19.5</v>
      </c>
      <c r="N287" s="30">
        <v>0.16</v>
      </c>
      <c r="O287" s="116">
        <v>3.12</v>
      </c>
      <c r="P287" s="30">
        <v>7.4999999999999997E-2</v>
      </c>
      <c r="Q287" s="116">
        <v>1.4624999999999999</v>
      </c>
      <c r="R287" s="30">
        <v>7.0000000000000007E-2</v>
      </c>
      <c r="S287" s="116">
        <v>1.3650000000000002</v>
      </c>
      <c r="T287" s="117">
        <v>0.49</v>
      </c>
      <c r="U287" s="39">
        <v>250</v>
      </c>
      <c r="V287" s="32">
        <v>32</v>
      </c>
      <c r="W287" s="33"/>
      <c r="X287" s="32"/>
      <c r="Y287" s="32"/>
      <c r="Z287" s="32"/>
      <c r="AA287" s="34"/>
      <c r="AB287" s="35">
        <f t="shared" si="45"/>
        <v>282</v>
      </c>
      <c r="AC287" s="75">
        <f t="shared" si="46"/>
        <v>31250</v>
      </c>
      <c r="AD287" s="78">
        <f t="shared" si="54"/>
        <v>4000</v>
      </c>
      <c r="AE287" s="72">
        <f t="shared" si="47"/>
        <v>35250</v>
      </c>
      <c r="AF287" s="75">
        <f t="shared" si="48"/>
        <v>6484.3749999999991</v>
      </c>
      <c r="AG287" s="78">
        <f t="shared" si="49"/>
        <v>829.99999999999989</v>
      </c>
      <c r="AH287" s="72">
        <f t="shared" si="50"/>
        <v>7314.3749999999991</v>
      </c>
      <c r="AI287" s="75">
        <f t="shared" si="51"/>
        <v>4875</v>
      </c>
      <c r="AJ287" s="78">
        <f t="shared" si="52"/>
        <v>624</v>
      </c>
      <c r="AK287" s="72">
        <f t="shared" si="53"/>
        <v>5499</v>
      </c>
    </row>
    <row r="288" spans="1:37" ht="15.95" customHeight="1">
      <c r="A288" s="25" t="s">
        <v>12</v>
      </c>
      <c r="B288" s="25" t="s">
        <v>252</v>
      </c>
      <c r="C288" s="26" t="s">
        <v>55</v>
      </c>
      <c r="D288" s="26" t="s">
        <v>375</v>
      </c>
      <c r="E288" s="26" t="s">
        <v>16</v>
      </c>
      <c r="F288" s="26" t="s">
        <v>305</v>
      </c>
      <c r="G288" s="26" t="s">
        <v>297</v>
      </c>
      <c r="H288" s="27" t="s">
        <v>416</v>
      </c>
      <c r="I288" s="26" t="s">
        <v>27</v>
      </c>
      <c r="J288" s="37" t="s">
        <v>256</v>
      </c>
      <c r="K288" s="123">
        <v>98</v>
      </c>
      <c r="L288" s="29">
        <f t="shared" si="44"/>
        <v>23.197500000000002</v>
      </c>
      <c r="M288" s="110">
        <v>15.5</v>
      </c>
      <c r="N288" s="30">
        <v>0.32</v>
      </c>
      <c r="O288" s="116">
        <v>4.96</v>
      </c>
      <c r="P288" s="30">
        <v>7.4999999999999997E-2</v>
      </c>
      <c r="Q288" s="116">
        <v>1.1624999999999999</v>
      </c>
      <c r="R288" s="30">
        <v>7.0000000000000007E-2</v>
      </c>
      <c r="S288" s="116">
        <v>1.0850000000000002</v>
      </c>
      <c r="T288" s="117">
        <v>0.49</v>
      </c>
      <c r="U288" s="39">
        <v>250</v>
      </c>
      <c r="V288" s="32">
        <v>48</v>
      </c>
      <c r="W288" s="33"/>
      <c r="X288" s="32"/>
      <c r="Y288" s="32"/>
      <c r="Z288" s="32"/>
      <c r="AA288" s="34"/>
      <c r="AB288" s="35">
        <f t="shared" si="45"/>
        <v>298</v>
      </c>
      <c r="AC288" s="75">
        <f t="shared" si="46"/>
        <v>24500</v>
      </c>
      <c r="AD288" s="78">
        <f t="shared" si="54"/>
        <v>4704</v>
      </c>
      <c r="AE288" s="72">
        <f t="shared" si="47"/>
        <v>29204</v>
      </c>
      <c r="AF288" s="75">
        <f t="shared" si="48"/>
        <v>5799.375</v>
      </c>
      <c r="AG288" s="78">
        <f t="shared" si="49"/>
        <v>1113.48</v>
      </c>
      <c r="AH288" s="72">
        <f t="shared" si="50"/>
        <v>6912.8549999999996</v>
      </c>
      <c r="AI288" s="75">
        <f t="shared" si="51"/>
        <v>3875</v>
      </c>
      <c r="AJ288" s="78">
        <f t="shared" si="52"/>
        <v>744</v>
      </c>
      <c r="AK288" s="72">
        <f t="shared" si="53"/>
        <v>4619</v>
      </c>
    </row>
    <row r="289" spans="1:37" ht="15.95" customHeight="1">
      <c r="A289" s="25" t="s">
        <v>12</v>
      </c>
      <c r="B289" s="25" t="s">
        <v>252</v>
      </c>
      <c r="C289" s="26" t="s">
        <v>306</v>
      </c>
      <c r="D289" s="26" t="s">
        <v>375</v>
      </c>
      <c r="E289" s="26" t="s">
        <v>16</v>
      </c>
      <c r="F289" s="26" t="s">
        <v>307</v>
      </c>
      <c r="G289" s="26" t="s">
        <v>297</v>
      </c>
      <c r="H289" s="27" t="s">
        <v>416</v>
      </c>
      <c r="I289" s="26" t="s">
        <v>27</v>
      </c>
      <c r="J289" s="28" t="s">
        <v>308</v>
      </c>
      <c r="K289" s="123">
        <v>118</v>
      </c>
      <c r="L289" s="29">
        <f t="shared" si="44"/>
        <v>21.181499999999996</v>
      </c>
      <c r="M289" s="110">
        <v>14.5</v>
      </c>
      <c r="N289" s="30">
        <v>0.28199999999999997</v>
      </c>
      <c r="O289" s="116">
        <v>4.0889999999999995</v>
      </c>
      <c r="P289" s="30">
        <v>7.4999999999999997E-2</v>
      </c>
      <c r="Q289" s="116">
        <v>1.0874999999999999</v>
      </c>
      <c r="R289" s="30">
        <v>7.0000000000000007E-2</v>
      </c>
      <c r="S289" s="116">
        <v>1.0150000000000001</v>
      </c>
      <c r="T289" s="117">
        <v>0.49</v>
      </c>
      <c r="U289" s="39">
        <v>250</v>
      </c>
      <c r="V289" s="32">
        <v>48</v>
      </c>
      <c r="W289" s="33"/>
      <c r="X289" s="32"/>
      <c r="Y289" s="32"/>
      <c r="Z289" s="32"/>
      <c r="AA289" s="34"/>
      <c r="AB289" s="35">
        <f t="shared" si="45"/>
        <v>298</v>
      </c>
      <c r="AC289" s="75">
        <f t="shared" si="46"/>
        <v>29500</v>
      </c>
      <c r="AD289" s="78">
        <f t="shared" si="54"/>
        <v>5664</v>
      </c>
      <c r="AE289" s="72">
        <f t="shared" si="47"/>
        <v>35164</v>
      </c>
      <c r="AF289" s="75">
        <f t="shared" si="48"/>
        <v>5295.3749999999991</v>
      </c>
      <c r="AG289" s="78">
        <f t="shared" si="49"/>
        <v>1016.7119999999998</v>
      </c>
      <c r="AH289" s="72">
        <f t="shared" si="50"/>
        <v>6312.0869999999986</v>
      </c>
      <c r="AI289" s="75">
        <f t="shared" si="51"/>
        <v>3625</v>
      </c>
      <c r="AJ289" s="78">
        <f t="shared" si="52"/>
        <v>696</v>
      </c>
      <c r="AK289" s="72">
        <f t="shared" si="53"/>
        <v>4321</v>
      </c>
    </row>
    <row r="290" spans="1:37" ht="15.95" customHeight="1">
      <c r="A290" s="25" t="s">
        <v>12</v>
      </c>
      <c r="B290" s="25" t="s">
        <v>252</v>
      </c>
      <c r="C290" s="26" t="s">
        <v>55</v>
      </c>
      <c r="D290" s="26" t="s">
        <v>375</v>
      </c>
      <c r="E290" s="26" t="s">
        <v>16</v>
      </c>
      <c r="F290" s="26" t="s">
        <v>305</v>
      </c>
      <c r="G290" s="26" t="s">
        <v>297</v>
      </c>
      <c r="H290" s="27" t="s">
        <v>416</v>
      </c>
      <c r="I290" s="26" t="s">
        <v>27</v>
      </c>
      <c r="J290" s="37" t="s">
        <v>256</v>
      </c>
      <c r="K290" s="123">
        <v>98</v>
      </c>
      <c r="L290" s="29">
        <f t="shared" si="44"/>
        <v>23.197500000000002</v>
      </c>
      <c r="M290" s="110">
        <v>15.5</v>
      </c>
      <c r="N290" s="30">
        <v>0.32</v>
      </c>
      <c r="O290" s="116">
        <v>4.96</v>
      </c>
      <c r="P290" s="30">
        <v>7.4999999999999997E-2</v>
      </c>
      <c r="Q290" s="116">
        <v>1.1624999999999999</v>
      </c>
      <c r="R290" s="30">
        <v>7.0000000000000007E-2</v>
      </c>
      <c r="S290" s="116">
        <v>1.0850000000000002</v>
      </c>
      <c r="T290" s="117">
        <v>0.49</v>
      </c>
      <c r="U290" s="39">
        <v>250</v>
      </c>
      <c r="V290" s="32">
        <v>48</v>
      </c>
      <c r="W290" s="33"/>
      <c r="X290" s="32"/>
      <c r="Y290" s="32"/>
      <c r="Z290" s="32"/>
      <c r="AA290" s="34"/>
      <c r="AB290" s="35">
        <f t="shared" si="45"/>
        <v>298</v>
      </c>
      <c r="AC290" s="75">
        <f t="shared" si="46"/>
        <v>24500</v>
      </c>
      <c r="AD290" s="78">
        <f t="shared" si="54"/>
        <v>4704</v>
      </c>
      <c r="AE290" s="72">
        <f t="shared" si="47"/>
        <v>29204</v>
      </c>
      <c r="AF290" s="75">
        <f t="shared" si="48"/>
        <v>5799.375</v>
      </c>
      <c r="AG290" s="78">
        <f t="shared" si="49"/>
        <v>1113.48</v>
      </c>
      <c r="AH290" s="72">
        <f t="shared" si="50"/>
        <v>6912.8549999999996</v>
      </c>
      <c r="AI290" s="75">
        <f t="shared" si="51"/>
        <v>3875</v>
      </c>
      <c r="AJ290" s="78">
        <f t="shared" si="52"/>
        <v>744</v>
      </c>
      <c r="AK290" s="72">
        <f t="shared" si="53"/>
        <v>4619</v>
      </c>
    </row>
    <row r="291" spans="1:37" ht="15.95" customHeight="1">
      <c r="A291" s="25" t="s">
        <v>12</v>
      </c>
      <c r="B291" s="25" t="s">
        <v>252</v>
      </c>
      <c r="C291" s="26" t="s">
        <v>306</v>
      </c>
      <c r="D291" s="26" t="s">
        <v>375</v>
      </c>
      <c r="E291" s="26" t="s">
        <v>16</v>
      </c>
      <c r="F291" s="26" t="s">
        <v>307</v>
      </c>
      <c r="G291" s="26" t="s">
        <v>297</v>
      </c>
      <c r="H291" s="27" t="s">
        <v>416</v>
      </c>
      <c r="I291" s="26" t="s">
        <v>27</v>
      </c>
      <c r="J291" s="28" t="s">
        <v>308</v>
      </c>
      <c r="K291" s="123">
        <v>118</v>
      </c>
      <c r="L291" s="29">
        <f t="shared" si="44"/>
        <v>21.181499999999996</v>
      </c>
      <c r="M291" s="110">
        <v>14.5</v>
      </c>
      <c r="N291" s="30">
        <v>0.28199999999999997</v>
      </c>
      <c r="O291" s="116">
        <v>4.0889999999999995</v>
      </c>
      <c r="P291" s="30">
        <v>7.4999999999999997E-2</v>
      </c>
      <c r="Q291" s="116">
        <v>1.0874999999999999</v>
      </c>
      <c r="R291" s="30">
        <v>7.0000000000000007E-2</v>
      </c>
      <c r="S291" s="116">
        <v>1.0150000000000001</v>
      </c>
      <c r="T291" s="117">
        <v>0.49</v>
      </c>
      <c r="U291" s="39">
        <v>250</v>
      </c>
      <c r="V291" s="32">
        <v>48</v>
      </c>
      <c r="W291" s="33"/>
      <c r="X291" s="32"/>
      <c r="Y291" s="32"/>
      <c r="Z291" s="32"/>
      <c r="AA291" s="34"/>
      <c r="AB291" s="35">
        <f t="shared" si="45"/>
        <v>298</v>
      </c>
      <c r="AC291" s="75">
        <f t="shared" si="46"/>
        <v>29500</v>
      </c>
      <c r="AD291" s="78">
        <f t="shared" si="54"/>
        <v>5664</v>
      </c>
      <c r="AE291" s="72">
        <f t="shared" si="47"/>
        <v>35164</v>
      </c>
      <c r="AF291" s="75">
        <f t="shared" si="48"/>
        <v>5295.3749999999991</v>
      </c>
      <c r="AG291" s="78">
        <f t="shared" si="49"/>
        <v>1016.7119999999998</v>
      </c>
      <c r="AH291" s="72">
        <f t="shared" si="50"/>
        <v>6312.0869999999986</v>
      </c>
      <c r="AI291" s="75">
        <f t="shared" si="51"/>
        <v>3625</v>
      </c>
      <c r="AJ291" s="78">
        <f t="shared" si="52"/>
        <v>696</v>
      </c>
      <c r="AK291" s="72">
        <f t="shared" si="53"/>
        <v>4321</v>
      </c>
    </row>
    <row r="292" spans="1:37" ht="15.95" customHeight="1">
      <c r="A292" s="25" t="s">
        <v>12</v>
      </c>
      <c r="B292" s="25" t="s">
        <v>252</v>
      </c>
      <c r="C292" s="26" t="s">
        <v>309</v>
      </c>
      <c r="D292" s="26" t="s">
        <v>375</v>
      </c>
      <c r="E292" s="26" t="s">
        <v>16</v>
      </c>
      <c r="F292" s="26" t="s">
        <v>310</v>
      </c>
      <c r="G292" s="26" t="s">
        <v>297</v>
      </c>
      <c r="H292" s="27" t="s">
        <v>416</v>
      </c>
      <c r="I292" s="26" t="s">
        <v>27</v>
      </c>
      <c r="J292" s="28" t="s">
        <v>311</v>
      </c>
      <c r="K292" s="123">
        <v>68</v>
      </c>
      <c r="L292" s="29">
        <f t="shared" si="44"/>
        <v>16.231719999999999</v>
      </c>
      <c r="M292" s="110">
        <v>11.98</v>
      </c>
      <c r="N292" s="30">
        <v>0.16900000000000001</v>
      </c>
      <c r="O292" s="116">
        <v>2.0246200000000001</v>
      </c>
      <c r="P292" s="30">
        <v>7.4999999999999997E-2</v>
      </c>
      <c r="Q292" s="116">
        <v>0.89849999999999997</v>
      </c>
      <c r="R292" s="30">
        <v>7.0000000000000007E-2</v>
      </c>
      <c r="S292" s="116">
        <v>0.83860000000000012</v>
      </c>
      <c r="T292" s="117">
        <v>0.49</v>
      </c>
      <c r="U292" s="39">
        <v>250</v>
      </c>
      <c r="V292" s="32"/>
      <c r="W292" s="33"/>
      <c r="X292" s="32"/>
      <c r="Y292" s="32"/>
      <c r="Z292" s="32"/>
      <c r="AA292" s="34"/>
      <c r="AB292" s="35">
        <f t="shared" si="45"/>
        <v>250</v>
      </c>
      <c r="AC292" s="75">
        <f t="shared" si="46"/>
        <v>17000</v>
      </c>
      <c r="AD292" s="78">
        <f t="shared" si="54"/>
        <v>0</v>
      </c>
      <c r="AE292" s="72">
        <f t="shared" si="47"/>
        <v>17000</v>
      </c>
      <c r="AF292" s="75">
        <f t="shared" si="48"/>
        <v>4057.93</v>
      </c>
      <c r="AG292" s="78">
        <f t="shared" si="49"/>
        <v>0</v>
      </c>
      <c r="AH292" s="72">
        <f t="shared" si="50"/>
        <v>4057.93</v>
      </c>
      <c r="AI292" s="75">
        <f t="shared" si="51"/>
        <v>2995</v>
      </c>
      <c r="AJ292" s="78">
        <f t="shared" si="52"/>
        <v>0</v>
      </c>
      <c r="AK292" s="72">
        <f t="shared" si="53"/>
        <v>2995</v>
      </c>
    </row>
    <row r="293" spans="1:37" ht="15.95" customHeight="1">
      <c r="A293" s="25" t="s">
        <v>12</v>
      </c>
      <c r="B293" s="25" t="s">
        <v>252</v>
      </c>
      <c r="C293" s="26" t="s">
        <v>306</v>
      </c>
      <c r="D293" s="26" t="s">
        <v>375</v>
      </c>
      <c r="E293" s="26" t="s">
        <v>16</v>
      </c>
      <c r="F293" s="26" t="s">
        <v>312</v>
      </c>
      <c r="G293" s="26" t="s">
        <v>297</v>
      </c>
      <c r="H293" s="27" t="s">
        <v>298</v>
      </c>
      <c r="I293" s="26" t="s">
        <v>27</v>
      </c>
      <c r="J293" s="28" t="s">
        <v>308</v>
      </c>
      <c r="K293" s="123">
        <v>110</v>
      </c>
      <c r="L293" s="29">
        <f t="shared" si="44"/>
        <v>20.468</v>
      </c>
      <c r="M293" s="110">
        <v>14</v>
      </c>
      <c r="N293" s="30">
        <v>0.28199999999999997</v>
      </c>
      <c r="O293" s="116">
        <v>3.9479999999999995</v>
      </c>
      <c r="P293" s="30">
        <v>7.4999999999999997E-2</v>
      </c>
      <c r="Q293" s="116">
        <v>1.05</v>
      </c>
      <c r="R293" s="30">
        <v>7.0000000000000007E-2</v>
      </c>
      <c r="S293" s="116">
        <v>0.98000000000000009</v>
      </c>
      <c r="T293" s="117">
        <v>0.49</v>
      </c>
      <c r="U293" s="39">
        <v>250</v>
      </c>
      <c r="V293" s="32">
        <v>56</v>
      </c>
      <c r="W293" s="33"/>
      <c r="X293" s="32">
        <v>70</v>
      </c>
      <c r="Y293" s="32"/>
      <c r="Z293" s="32"/>
      <c r="AA293" s="34"/>
      <c r="AB293" s="35">
        <f t="shared" si="45"/>
        <v>376</v>
      </c>
      <c r="AC293" s="75">
        <f t="shared" si="46"/>
        <v>27500</v>
      </c>
      <c r="AD293" s="78">
        <f t="shared" si="54"/>
        <v>13860</v>
      </c>
      <c r="AE293" s="72">
        <f t="shared" si="47"/>
        <v>41360</v>
      </c>
      <c r="AF293" s="75">
        <f t="shared" si="48"/>
        <v>5117</v>
      </c>
      <c r="AG293" s="78">
        <f t="shared" si="49"/>
        <v>2126.2080000000001</v>
      </c>
      <c r="AH293" s="72">
        <f t="shared" si="50"/>
        <v>7243.2080000000005</v>
      </c>
      <c r="AI293" s="75">
        <f t="shared" si="51"/>
        <v>3500</v>
      </c>
      <c r="AJ293" s="78">
        <f t="shared" si="52"/>
        <v>1764</v>
      </c>
      <c r="AK293" s="72">
        <f t="shared" si="53"/>
        <v>5264</v>
      </c>
    </row>
    <row r="294" spans="1:37" ht="15.95" customHeight="1">
      <c r="A294" s="25" t="s">
        <v>12</v>
      </c>
      <c r="B294" s="25" t="s">
        <v>252</v>
      </c>
      <c r="C294" s="40" t="s">
        <v>14</v>
      </c>
      <c r="D294" s="26" t="s">
        <v>375</v>
      </c>
      <c r="E294" s="26" t="s">
        <v>16</v>
      </c>
      <c r="F294" s="26" t="s">
        <v>313</v>
      </c>
      <c r="G294" s="41" t="s">
        <v>297</v>
      </c>
      <c r="H294" s="27" t="s">
        <v>298</v>
      </c>
      <c r="I294" s="26" t="s">
        <v>27</v>
      </c>
      <c r="J294" s="28" t="s">
        <v>261</v>
      </c>
      <c r="K294" s="123">
        <v>125</v>
      </c>
      <c r="L294" s="29">
        <f t="shared" si="44"/>
        <v>26.176000000000002</v>
      </c>
      <c r="M294" s="110">
        <v>18</v>
      </c>
      <c r="N294" s="30">
        <v>0.28199999999999997</v>
      </c>
      <c r="O294" s="116">
        <v>5.0759999999999996</v>
      </c>
      <c r="P294" s="30">
        <v>7.4999999999999997E-2</v>
      </c>
      <c r="Q294" s="116">
        <v>1.3499999999999999</v>
      </c>
      <c r="R294" s="30">
        <v>7.0000000000000007E-2</v>
      </c>
      <c r="S294" s="116">
        <v>1.2600000000000002</v>
      </c>
      <c r="T294" s="117">
        <v>0.49</v>
      </c>
      <c r="U294" s="39">
        <v>250</v>
      </c>
      <c r="V294" s="32">
        <v>56</v>
      </c>
      <c r="W294" s="33"/>
      <c r="X294" s="32">
        <v>80</v>
      </c>
      <c r="Y294" s="32"/>
      <c r="Z294" s="32"/>
      <c r="AA294" s="34"/>
      <c r="AB294" s="35">
        <f t="shared" si="45"/>
        <v>386</v>
      </c>
      <c r="AC294" s="75">
        <f t="shared" si="46"/>
        <v>31250</v>
      </c>
      <c r="AD294" s="78">
        <f t="shared" si="54"/>
        <v>17000</v>
      </c>
      <c r="AE294" s="72">
        <f t="shared" si="47"/>
        <v>48250</v>
      </c>
      <c r="AF294" s="75">
        <f t="shared" si="48"/>
        <v>6544.0000000000009</v>
      </c>
      <c r="AG294" s="78">
        <f t="shared" si="49"/>
        <v>2905.8560000000002</v>
      </c>
      <c r="AH294" s="72">
        <f t="shared" si="50"/>
        <v>9449.8560000000016</v>
      </c>
      <c r="AI294" s="75">
        <f t="shared" si="51"/>
        <v>4500</v>
      </c>
      <c r="AJ294" s="78">
        <f t="shared" si="52"/>
        <v>2448</v>
      </c>
      <c r="AK294" s="72">
        <f t="shared" si="53"/>
        <v>6948</v>
      </c>
    </row>
    <row r="295" spans="1:37" ht="15.95" customHeight="1">
      <c r="A295" s="25" t="s">
        <v>12</v>
      </c>
      <c r="B295" s="25" t="s">
        <v>252</v>
      </c>
      <c r="C295" s="26" t="s">
        <v>164</v>
      </c>
      <c r="D295" s="26" t="s">
        <v>375</v>
      </c>
      <c r="E295" s="26" t="s">
        <v>16</v>
      </c>
      <c r="F295" s="26" t="s">
        <v>314</v>
      </c>
      <c r="G295" s="41" t="s">
        <v>166</v>
      </c>
      <c r="H295" s="27" t="s">
        <v>409</v>
      </c>
      <c r="I295" s="26" t="s">
        <v>167</v>
      </c>
      <c r="J295" s="37" t="s">
        <v>315</v>
      </c>
      <c r="K295" s="123">
        <v>225</v>
      </c>
      <c r="L295" s="29">
        <f t="shared" si="44"/>
        <v>46.637499999999996</v>
      </c>
      <c r="M295" s="110">
        <v>31.5</v>
      </c>
      <c r="N295" s="30">
        <v>0.32</v>
      </c>
      <c r="O295" s="116">
        <v>10.08</v>
      </c>
      <c r="P295" s="30">
        <v>7.4999999999999997E-2</v>
      </c>
      <c r="Q295" s="116">
        <v>2.3624999999999998</v>
      </c>
      <c r="R295" s="30">
        <v>7.0000000000000007E-2</v>
      </c>
      <c r="S295" s="116">
        <v>2.2050000000000001</v>
      </c>
      <c r="T295" s="117">
        <v>0.49</v>
      </c>
      <c r="U295" s="39">
        <v>200</v>
      </c>
      <c r="V295" s="32"/>
      <c r="W295" s="33"/>
      <c r="X295" s="32"/>
      <c r="Y295" s="32"/>
      <c r="Z295" s="32"/>
      <c r="AA295" s="34"/>
      <c r="AB295" s="35">
        <f t="shared" si="45"/>
        <v>200</v>
      </c>
      <c r="AC295" s="75">
        <f t="shared" si="46"/>
        <v>45000</v>
      </c>
      <c r="AD295" s="78">
        <f t="shared" si="54"/>
        <v>0</v>
      </c>
      <c r="AE295" s="72">
        <f t="shared" si="47"/>
        <v>45000</v>
      </c>
      <c r="AF295" s="75">
        <f t="shared" si="48"/>
        <v>9327.5</v>
      </c>
      <c r="AG295" s="78">
        <f t="shared" si="49"/>
        <v>0</v>
      </c>
      <c r="AH295" s="72">
        <f t="shared" si="50"/>
        <v>9327.5</v>
      </c>
      <c r="AI295" s="75">
        <f t="shared" si="51"/>
        <v>6300</v>
      </c>
      <c r="AJ295" s="78">
        <f t="shared" si="52"/>
        <v>0</v>
      </c>
      <c r="AK295" s="72">
        <f t="shared" si="53"/>
        <v>6300</v>
      </c>
    </row>
    <row r="296" spans="1:37" ht="15.95" customHeight="1">
      <c r="A296" s="25" t="s">
        <v>12</v>
      </c>
      <c r="B296" s="25" t="s">
        <v>252</v>
      </c>
      <c r="C296" s="40" t="s">
        <v>164</v>
      </c>
      <c r="D296" s="26" t="s">
        <v>375</v>
      </c>
      <c r="E296" s="26" t="s">
        <v>16</v>
      </c>
      <c r="F296" s="26" t="s">
        <v>314</v>
      </c>
      <c r="G296" s="41" t="s">
        <v>166</v>
      </c>
      <c r="H296" s="27" t="s">
        <v>409</v>
      </c>
      <c r="I296" s="26" t="s">
        <v>167</v>
      </c>
      <c r="J296" s="28" t="s">
        <v>315</v>
      </c>
      <c r="K296" s="123">
        <v>225</v>
      </c>
      <c r="L296" s="29">
        <f t="shared" si="44"/>
        <v>46.637499999999996</v>
      </c>
      <c r="M296" s="110">
        <v>31.5</v>
      </c>
      <c r="N296" s="30">
        <v>0.32</v>
      </c>
      <c r="O296" s="116">
        <v>10.08</v>
      </c>
      <c r="P296" s="30">
        <v>7.4999999999999997E-2</v>
      </c>
      <c r="Q296" s="116">
        <v>2.3624999999999998</v>
      </c>
      <c r="R296" s="30">
        <v>7.0000000000000007E-2</v>
      </c>
      <c r="S296" s="116">
        <v>2.2050000000000001</v>
      </c>
      <c r="T296" s="117">
        <v>0.49</v>
      </c>
      <c r="U296" s="39">
        <v>200</v>
      </c>
      <c r="V296" s="32"/>
      <c r="W296" s="33"/>
      <c r="X296" s="32"/>
      <c r="Y296" s="32"/>
      <c r="Z296" s="32"/>
      <c r="AA296" s="34"/>
      <c r="AB296" s="35">
        <f t="shared" si="45"/>
        <v>200</v>
      </c>
      <c r="AC296" s="75">
        <f t="shared" si="46"/>
        <v>45000</v>
      </c>
      <c r="AD296" s="78">
        <f t="shared" si="54"/>
        <v>0</v>
      </c>
      <c r="AE296" s="72">
        <f t="shared" si="47"/>
        <v>45000</v>
      </c>
      <c r="AF296" s="75">
        <f t="shared" si="48"/>
        <v>9327.5</v>
      </c>
      <c r="AG296" s="78">
        <f t="shared" si="49"/>
        <v>0</v>
      </c>
      <c r="AH296" s="72">
        <f t="shared" si="50"/>
        <v>9327.5</v>
      </c>
      <c r="AI296" s="75">
        <f t="shared" si="51"/>
        <v>6300</v>
      </c>
      <c r="AJ296" s="78">
        <f t="shared" si="52"/>
        <v>0</v>
      </c>
      <c r="AK296" s="72">
        <f t="shared" si="53"/>
        <v>6300</v>
      </c>
    </row>
    <row r="297" spans="1:37" ht="15.95" customHeight="1">
      <c r="A297" s="25" t="s">
        <v>12</v>
      </c>
      <c r="B297" s="25" t="s">
        <v>252</v>
      </c>
      <c r="C297" s="26" t="s">
        <v>164</v>
      </c>
      <c r="D297" s="26" t="s">
        <v>375</v>
      </c>
      <c r="E297" s="26" t="s">
        <v>16</v>
      </c>
      <c r="F297" s="26" t="s">
        <v>316</v>
      </c>
      <c r="G297" s="41" t="s">
        <v>166</v>
      </c>
      <c r="H297" s="27" t="s">
        <v>410</v>
      </c>
      <c r="I297" s="26" t="s">
        <v>167</v>
      </c>
      <c r="J297" s="37" t="s">
        <v>317</v>
      </c>
      <c r="K297" s="123">
        <v>175</v>
      </c>
      <c r="L297" s="29">
        <f t="shared" si="44"/>
        <v>37.115000000000002</v>
      </c>
      <c r="M297" s="110">
        <v>25</v>
      </c>
      <c r="N297" s="30">
        <v>0.32</v>
      </c>
      <c r="O297" s="116">
        <v>8</v>
      </c>
      <c r="P297" s="30">
        <v>7.4999999999999997E-2</v>
      </c>
      <c r="Q297" s="116">
        <v>1.875</v>
      </c>
      <c r="R297" s="30">
        <v>7.0000000000000007E-2</v>
      </c>
      <c r="S297" s="116">
        <v>1.7500000000000002</v>
      </c>
      <c r="T297" s="117">
        <v>0.49</v>
      </c>
      <c r="U297" s="39">
        <v>200</v>
      </c>
      <c r="V297" s="32">
        <v>53</v>
      </c>
      <c r="W297" s="33"/>
      <c r="X297" s="32"/>
      <c r="Y297" s="32"/>
      <c r="Z297" s="32"/>
      <c r="AA297" s="34"/>
      <c r="AB297" s="35">
        <f t="shared" si="45"/>
        <v>253</v>
      </c>
      <c r="AC297" s="75">
        <f t="shared" si="46"/>
        <v>35000</v>
      </c>
      <c r="AD297" s="78">
        <f t="shared" si="54"/>
        <v>9275</v>
      </c>
      <c r="AE297" s="72">
        <f t="shared" si="47"/>
        <v>44275</v>
      </c>
      <c r="AF297" s="75">
        <f t="shared" si="48"/>
        <v>7423</v>
      </c>
      <c r="AG297" s="78">
        <f t="shared" si="49"/>
        <v>1967.095</v>
      </c>
      <c r="AH297" s="72">
        <f t="shared" si="50"/>
        <v>9390.0949999999993</v>
      </c>
      <c r="AI297" s="75">
        <f t="shared" si="51"/>
        <v>5000</v>
      </c>
      <c r="AJ297" s="78">
        <f t="shared" si="52"/>
        <v>1325</v>
      </c>
      <c r="AK297" s="72">
        <f t="shared" si="53"/>
        <v>6325</v>
      </c>
    </row>
    <row r="298" spans="1:37" ht="15.95" customHeight="1">
      <c r="A298" s="25" t="s">
        <v>12</v>
      </c>
      <c r="B298" s="25" t="s">
        <v>252</v>
      </c>
      <c r="C298" s="40" t="s">
        <v>164</v>
      </c>
      <c r="D298" s="26" t="s">
        <v>375</v>
      </c>
      <c r="E298" s="26" t="s">
        <v>16</v>
      </c>
      <c r="F298" s="26" t="s">
        <v>318</v>
      </c>
      <c r="G298" s="41" t="s">
        <v>166</v>
      </c>
      <c r="H298" s="27" t="s">
        <v>411</v>
      </c>
      <c r="I298" s="26" t="s">
        <v>167</v>
      </c>
      <c r="J298" s="28" t="s">
        <v>319</v>
      </c>
      <c r="K298" s="123">
        <v>125</v>
      </c>
      <c r="L298" s="29">
        <f t="shared" si="44"/>
        <v>24.965500000000002</v>
      </c>
      <c r="M298" s="110">
        <v>19.98</v>
      </c>
      <c r="N298" s="30">
        <v>0.08</v>
      </c>
      <c r="O298" s="116">
        <v>1.5984</v>
      </c>
      <c r="P298" s="30">
        <v>7.4999999999999997E-2</v>
      </c>
      <c r="Q298" s="116">
        <v>1.4984999999999999</v>
      </c>
      <c r="R298" s="30">
        <v>7.0000000000000007E-2</v>
      </c>
      <c r="S298" s="116">
        <v>1.3986000000000001</v>
      </c>
      <c r="T298" s="117">
        <v>0.49</v>
      </c>
      <c r="U298" s="39">
        <v>200</v>
      </c>
      <c r="V298" s="32">
        <v>37</v>
      </c>
      <c r="W298" s="33"/>
      <c r="X298" s="32"/>
      <c r="Y298" s="32"/>
      <c r="Z298" s="32"/>
      <c r="AA298" s="34"/>
      <c r="AB298" s="35">
        <f t="shared" si="45"/>
        <v>237</v>
      </c>
      <c r="AC298" s="75">
        <f t="shared" si="46"/>
        <v>25000</v>
      </c>
      <c r="AD298" s="78">
        <f t="shared" si="54"/>
        <v>4625</v>
      </c>
      <c r="AE298" s="72">
        <f t="shared" si="47"/>
        <v>29625</v>
      </c>
      <c r="AF298" s="75">
        <f t="shared" si="48"/>
        <v>4993.1000000000004</v>
      </c>
      <c r="AG298" s="78">
        <f t="shared" si="49"/>
        <v>923.72350000000006</v>
      </c>
      <c r="AH298" s="72">
        <f t="shared" si="50"/>
        <v>5916.8235000000004</v>
      </c>
      <c r="AI298" s="75">
        <f t="shared" si="51"/>
        <v>3996</v>
      </c>
      <c r="AJ298" s="78">
        <f t="shared" si="52"/>
        <v>739.26</v>
      </c>
      <c r="AK298" s="72">
        <f t="shared" si="53"/>
        <v>4735.26</v>
      </c>
    </row>
    <row r="299" spans="1:37" ht="15.95" customHeight="1">
      <c r="A299" s="25" t="s">
        <v>12</v>
      </c>
      <c r="B299" s="25" t="s">
        <v>252</v>
      </c>
      <c r="C299" s="26" t="s">
        <v>164</v>
      </c>
      <c r="D299" s="26" t="s">
        <v>375</v>
      </c>
      <c r="E299" s="26" t="s">
        <v>16</v>
      </c>
      <c r="F299" s="26" t="s">
        <v>320</v>
      </c>
      <c r="G299" s="41" t="s">
        <v>166</v>
      </c>
      <c r="H299" s="27" t="s">
        <v>412</v>
      </c>
      <c r="I299" s="26" t="s">
        <v>167</v>
      </c>
      <c r="J299" s="37" t="s">
        <v>321</v>
      </c>
      <c r="K299" s="123">
        <v>165</v>
      </c>
      <c r="L299" s="29">
        <f t="shared" si="44"/>
        <v>33.452500000000001</v>
      </c>
      <c r="M299" s="110">
        <v>22.5</v>
      </c>
      <c r="N299" s="30">
        <v>0.32</v>
      </c>
      <c r="O299" s="116">
        <v>7.2</v>
      </c>
      <c r="P299" s="30">
        <v>7.4999999999999997E-2</v>
      </c>
      <c r="Q299" s="116">
        <v>1.6875</v>
      </c>
      <c r="R299" s="30">
        <v>7.0000000000000007E-2</v>
      </c>
      <c r="S299" s="116">
        <v>1.5750000000000002</v>
      </c>
      <c r="T299" s="117">
        <v>0.49</v>
      </c>
      <c r="U299" s="39">
        <v>250</v>
      </c>
      <c r="V299" s="32">
        <v>48</v>
      </c>
      <c r="W299" s="33"/>
      <c r="X299" s="32"/>
      <c r="Y299" s="32"/>
      <c r="Z299" s="32"/>
      <c r="AA299" s="34">
        <v>8</v>
      </c>
      <c r="AB299" s="35">
        <f t="shared" si="45"/>
        <v>306</v>
      </c>
      <c r="AC299" s="75">
        <f t="shared" si="46"/>
        <v>41250</v>
      </c>
      <c r="AD299" s="78">
        <f t="shared" si="54"/>
        <v>9240</v>
      </c>
      <c r="AE299" s="72">
        <f t="shared" si="47"/>
        <v>50490</v>
      </c>
      <c r="AF299" s="75">
        <f t="shared" si="48"/>
        <v>8363.125</v>
      </c>
      <c r="AG299" s="78">
        <f t="shared" si="49"/>
        <v>1785.72</v>
      </c>
      <c r="AH299" s="72">
        <f t="shared" si="50"/>
        <v>10148.844999999999</v>
      </c>
      <c r="AI299" s="75">
        <f t="shared" si="51"/>
        <v>5625</v>
      </c>
      <c r="AJ299" s="78">
        <f t="shared" si="52"/>
        <v>1260</v>
      </c>
      <c r="AK299" s="72">
        <f t="shared" si="53"/>
        <v>6885</v>
      </c>
    </row>
    <row r="300" spans="1:37" ht="15.95" customHeight="1">
      <c r="A300" s="25" t="s">
        <v>12</v>
      </c>
      <c r="B300" s="25" t="s">
        <v>252</v>
      </c>
      <c r="C300" s="26" t="s">
        <v>164</v>
      </c>
      <c r="D300" s="26" t="s">
        <v>375</v>
      </c>
      <c r="E300" s="26" t="s">
        <v>16</v>
      </c>
      <c r="F300" s="26" t="s">
        <v>320</v>
      </c>
      <c r="G300" s="26" t="s">
        <v>166</v>
      </c>
      <c r="H300" s="27" t="s">
        <v>412</v>
      </c>
      <c r="I300" s="26" t="s">
        <v>167</v>
      </c>
      <c r="J300" s="28" t="s">
        <v>321</v>
      </c>
      <c r="K300" s="123">
        <v>165</v>
      </c>
      <c r="L300" s="29">
        <f t="shared" si="44"/>
        <v>33.452500000000001</v>
      </c>
      <c r="M300" s="110">
        <v>22.5</v>
      </c>
      <c r="N300" s="30">
        <v>0.32</v>
      </c>
      <c r="O300" s="116">
        <v>7.2</v>
      </c>
      <c r="P300" s="30">
        <v>7.4999999999999997E-2</v>
      </c>
      <c r="Q300" s="116">
        <v>1.6875</v>
      </c>
      <c r="R300" s="30">
        <v>7.0000000000000007E-2</v>
      </c>
      <c r="S300" s="116">
        <v>1.5750000000000002</v>
      </c>
      <c r="T300" s="117">
        <v>0.49</v>
      </c>
      <c r="U300" s="39">
        <v>200</v>
      </c>
      <c r="V300" s="32">
        <v>31</v>
      </c>
      <c r="W300" s="33"/>
      <c r="X300" s="32"/>
      <c r="Y300" s="32"/>
      <c r="Z300" s="32"/>
      <c r="AA300" s="34"/>
      <c r="AB300" s="35">
        <f t="shared" si="45"/>
        <v>231</v>
      </c>
      <c r="AC300" s="75">
        <f t="shared" si="46"/>
        <v>33000</v>
      </c>
      <c r="AD300" s="78">
        <f t="shared" si="54"/>
        <v>5115</v>
      </c>
      <c r="AE300" s="72">
        <f t="shared" si="47"/>
        <v>38115</v>
      </c>
      <c r="AF300" s="75">
        <f t="shared" si="48"/>
        <v>6690.5</v>
      </c>
      <c r="AG300" s="78">
        <f t="shared" si="49"/>
        <v>1037.0274999999999</v>
      </c>
      <c r="AH300" s="72">
        <f t="shared" si="50"/>
        <v>7727.5275000000001</v>
      </c>
      <c r="AI300" s="75">
        <f t="shared" si="51"/>
        <v>4500</v>
      </c>
      <c r="AJ300" s="78">
        <f t="shared" si="52"/>
        <v>697.5</v>
      </c>
      <c r="AK300" s="72">
        <f t="shared" si="53"/>
        <v>5197.5</v>
      </c>
    </row>
    <row r="301" spans="1:37" ht="15.95" customHeight="1">
      <c r="A301" s="25" t="s">
        <v>12</v>
      </c>
      <c r="B301" s="25" t="s">
        <v>252</v>
      </c>
      <c r="C301" s="26" t="s">
        <v>164</v>
      </c>
      <c r="D301" s="26" t="s">
        <v>375</v>
      </c>
      <c r="E301" s="26" t="s">
        <v>16</v>
      </c>
      <c r="F301" s="26" t="s">
        <v>322</v>
      </c>
      <c r="G301" s="26" t="s">
        <v>166</v>
      </c>
      <c r="H301" s="27" t="s">
        <v>413</v>
      </c>
      <c r="I301" s="26" t="s">
        <v>167</v>
      </c>
      <c r="J301" s="28" t="s">
        <v>323</v>
      </c>
      <c r="K301" s="123">
        <v>225</v>
      </c>
      <c r="L301" s="29">
        <f t="shared" si="44"/>
        <v>47.720999999999997</v>
      </c>
      <c r="M301" s="110">
        <v>36.5</v>
      </c>
      <c r="N301" s="30">
        <v>0.14899999999999999</v>
      </c>
      <c r="O301" s="116">
        <v>5.4384999999999994</v>
      </c>
      <c r="P301" s="30">
        <v>7.4999999999999997E-2</v>
      </c>
      <c r="Q301" s="116">
        <v>2.7374999999999998</v>
      </c>
      <c r="R301" s="30">
        <v>7.0000000000000007E-2</v>
      </c>
      <c r="S301" s="116">
        <v>2.5550000000000002</v>
      </c>
      <c r="T301" s="117">
        <v>0.49</v>
      </c>
      <c r="U301" s="39">
        <v>200</v>
      </c>
      <c r="V301" s="32">
        <v>40</v>
      </c>
      <c r="W301" s="33"/>
      <c r="X301" s="32"/>
      <c r="Y301" s="32"/>
      <c r="Z301" s="32"/>
      <c r="AA301" s="34"/>
      <c r="AB301" s="35">
        <f t="shared" si="45"/>
        <v>240</v>
      </c>
      <c r="AC301" s="75">
        <f t="shared" si="46"/>
        <v>45000</v>
      </c>
      <c r="AD301" s="78">
        <f t="shared" si="54"/>
        <v>9000</v>
      </c>
      <c r="AE301" s="72">
        <f t="shared" si="47"/>
        <v>54000</v>
      </c>
      <c r="AF301" s="75">
        <f t="shared" si="48"/>
        <v>9544.1999999999989</v>
      </c>
      <c r="AG301" s="78">
        <f t="shared" si="49"/>
        <v>1908.84</v>
      </c>
      <c r="AH301" s="72">
        <f t="shared" si="50"/>
        <v>11453.039999999999</v>
      </c>
      <c r="AI301" s="75">
        <f t="shared" si="51"/>
        <v>7300</v>
      </c>
      <c r="AJ301" s="78">
        <f t="shared" si="52"/>
        <v>1460</v>
      </c>
      <c r="AK301" s="72">
        <f t="shared" si="53"/>
        <v>8760</v>
      </c>
    </row>
    <row r="302" spans="1:37" ht="15.95" customHeight="1">
      <c r="A302" s="25" t="s">
        <v>12</v>
      </c>
      <c r="B302" s="25" t="s">
        <v>252</v>
      </c>
      <c r="C302" s="26" t="s">
        <v>14</v>
      </c>
      <c r="D302" s="26" t="s">
        <v>375</v>
      </c>
      <c r="E302" s="26" t="s">
        <v>16</v>
      </c>
      <c r="F302" s="26" t="s">
        <v>324</v>
      </c>
      <c r="G302" s="26" t="s">
        <v>184</v>
      </c>
      <c r="H302" s="27" t="s">
        <v>185</v>
      </c>
      <c r="I302" s="26" t="s">
        <v>27</v>
      </c>
      <c r="J302" s="28" t="s">
        <v>261</v>
      </c>
      <c r="K302" s="123">
        <v>150</v>
      </c>
      <c r="L302" s="29">
        <f t="shared" si="44"/>
        <v>30.456999999999997</v>
      </c>
      <c r="M302" s="110">
        <v>21</v>
      </c>
      <c r="N302" s="30">
        <v>0.28199999999999997</v>
      </c>
      <c r="O302" s="116">
        <v>5.9219999999999997</v>
      </c>
      <c r="P302" s="30">
        <v>7.4999999999999997E-2</v>
      </c>
      <c r="Q302" s="116">
        <v>1.575</v>
      </c>
      <c r="R302" s="30">
        <v>7.0000000000000007E-2</v>
      </c>
      <c r="S302" s="116">
        <v>1.4700000000000002</v>
      </c>
      <c r="T302" s="117">
        <v>0.49</v>
      </c>
      <c r="U302" s="39">
        <v>300</v>
      </c>
      <c r="V302" s="32">
        <v>48</v>
      </c>
      <c r="W302" s="33"/>
      <c r="X302" s="32">
        <v>100</v>
      </c>
      <c r="Y302" s="32"/>
      <c r="Z302" s="32"/>
      <c r="AA302" s="34"/>
      <c r="AB302" s="35">
        <f t="shared" si="45"/>
        <v>448</v>
      </c>
      <c r="AC302" s="75">
        <f t="shared" si="46"/>
        <v>45000</v>
      </c>
      <c r="AD302" s="78">
        <f t="shared" si="54"/>
        <v>22200</v>
      </c>
      <c r="AE302" s="72">
        <f t="shared" si="47"/>
        <v>67200</v>
      </c>
      <c r="AF302" s="75">
        <f t="shared" si="48"/>
        <v>9137.0999999999985</v>
      </c>
      <c r="AG302" s="78">
        <f t="shared" si="49"/>
        <v>3561.9359999999997</v>
      </c>
      <c r="AH302" s="72">
        <f t="shared" si="50"/>
        <v>12699.035999999998</v>
      </c>
      <c r="AI302" s="75">
        <f t="shared" si="51"/>
        <v>6300</v>
      </c>
      <c r="AJ302" s="78">
        <f t="shared" si="52"/>
        <v>3108</v>
      </c>
      <c r="AK302" s="72">
        <f t="shared" si="53"/>
        <v>9408</v>
      </c>
    </row>
    <row r="303" spans="1:37" ht="15.95" customHeight="1">
      <c r="A303" s="25" t="s">
        <v>12</v>
      </c>
      <c r="B303" s="25" t="s">
        <v>252</v>
      </c>
      <c r="C303" s="26" t="s">
        <v>21</v>
      </c>
      <c r="D303" s="26" t="s">
        <v>375</v>
      </c>
      <c r="E303" s="26" t="s">
        <v>16</v>
      </c>
      <c r="F303" s="26" t="s">
        <v>325</v>
      </c>
      <c r="G303" s="26" t="s">
        <v>184</v>
      </c>
      <c r="H303" s="27" t="s">
        <v>185</v>
      </c>
      <c r="I303" s="26" t="s">
        <v>27</v>
      </c>
      <c r="J303" s="28" t="s">
        <v>265</v>
      </c>
      <c r="K303" s="123">
        <v>125</v>
      </c>
      <c r="L303" s="29">
        <f t="shared" si="44"/>
        <v>24.748999999999999</v>
      </c>
      <c r="M303" s="110">
        <v>17</v>
      </c>
      <c r="N303" s="30">
        <v>0.28199999999999997</v>
      </c>
      <c r="O303" s="116">
        <v>4.7939999999999996</v>
      </c>
      <c r="P303" s="30">
        <v>7.4999999999999997E-2</v>
      </c>
      <c r="Q303" s="116">
        <v>1.2749999999999999</v>
      </c>
      <c r="R303" s="30">
        <v>7.0000000000000007E-2</v>
      </c>
      <c r="S303" s="116">
        <v>1.1900000000000002</v>
      </c>
      <c r="T303" s="117">
        <v>0.49</v>
      </c>
      <c r="U303" s="39">
        <v>300</v>
      </c>
      <c r="V303" s="32">
        <v>48</v>
      </c>
      <c r="W303" s="33"/>
      <c r="X303" s="32">
        <v>90</v>
      </c>
      <c r="Y303" s="32"/>
      <c r="Z303" s="32"/>
      <c r="AA303" s="34"/>
      <c r="AB303" s="35">
        <f t="shared" si="45"/>
        <v>438</v>
      </c>
      <c r="AC303" s="75">
        <f t="shared" si="46"/>
        <v>37500</v>
      </c>
      <c r="AD303" s="78">
        <f t="shared" si="54"/>
        <v>17250</v>
      </c>
      <c r="AE303" s="72">
        <f t="shared" si="47"/>
        <v>54750</v>
      </c>
      <c r="AF303" s="75">
        <f t="shared" si="48"/>
        <v>7424.7</v>
      </c>
      <c r="AG303" s="78">
        <f t="shared" si="49"/>
        <v>2717.9520000000002</v>
      </c>
      <c r="AH303" s="72">
        <f t="shared" si="50"/>
        <v>10142.652</v>
      </c>
      <c r="AI303" s="75">
        <f t="shared" si="51"/>
        <v>5100</v>
      </c>
      <c r="AJ303" s="78">
        <f t="shared" si="52"/>
        <v>2346</v>
      </c>
      <c r="AK303" s="72">
        <f t="shared" si="53"/>
        <v>7446</v>
      </c>
    </row>
    <row r="304" spans="1:37" ht="15.95" customHeight="1">
      <c r="A304" s="25" t="s">
        <v>12</v>
      </c>
      <c r="B304" s="25" t="s">
        <v>252</v>
      </c>
      <c r="C304" s="26" t="s">
        <v>14</v>
      </c>
      <c r="D304" s="26" t="s">
        <v>375</v>
      </c>
      <c r="E304" s="26" t="s">
        <v>16</v>
      </c>
      <c r="F304" s="26" t="s">
        <v>324</v>
      </c>
      <c r="G304" s="26" t="s">
        <v>184</v>
      </c>
      <c r="H304" s="27" t="s">
        <v>185</v>
      </c>
      <c r="I304" s="26" t="s">
        <v>27</v>
      </c>
      <c r="J304" s="28" t="s">
        <v>261</v>
      </c>
      <c r="K304" s="123">
        <v>150</v>
      </c>
      <c r="L304" s="29">
        <f t="shared" ref="L304:L349" si="55">M304+O304+Q304+S304+T304</f>
        <v>30.456999999999997</v>
      </c>
      <c r="M304" s="110">
        <v>21</v>
      </c>
      <c r="N304" s="30">
        <v>0.28199999999999997</v>
      </c>
      <c r="O304" s="116">
        <v>5.9219999999999997</v>
      </c>
      <c r="P304" s="30">
        <v>7.4999999999999997E-2</v>
      </c>
      <c r="Q304" s="116">
        <v>1.575</v>
      </c>
      <c r="R304" s="30">
        <v>7.0000000000000007E-2</v>
      </c>
      <c r="S304" s="116">
        <v>1.4700000000000002</v>
      </c>
      <c r="T304" s="117">
        <v>0.49</v>
      </c>
      <c r="U304" s="39">
        <v>250</v>
      </c>
      <c r="V304" s="32">
        <v>59</v>
      </c>
      <c r="W304" s="33"/>
      <c r="X304" s="32">
        <v>80</v>
      </c>
      <c r="Y304" s="32"/>
      <c r="Z304" s="32"/>
      <c r="AA304" s="34"/>
      <c r="AB304" s="35">
        <f t="shared" ref="AB304:AB349" si="56">SUM(U304:AA304)</f>
        <v>389</v>
      </c>
      <c r="AC304" s="75">
        <f t="shared" ref="AC304:AC349" si="57">$K304*U304</f>
        <v>37500</v>
      </c>
      <c r="AD304" s="78">
        <f t="shared" si="54"/>
        <v>20850</v>
      </c>
      <c r="AE304" s="72">
        <f t="shared" ref="AE304:AE349" si="58">SUM(AC304:AD304)</f>
        <v>58350</v>
      </c>
      <c r="AF304" s="75">
        <f t="shared" ref="AF304:AF349" si="59">$L304*U304</f>
        <v>7614.2499999999991</v>
      </c>
      <c r="AG304" s="78">
        <f t="shared" ref="AG304:AG349" si="60">$L304*SUM(V304:W304)+M304*SUM(X304:AA304)</f>
        <v>3476.9629999999997</v>
      </c>
      <c r="AH304" s="72">
        <f t="shared" ref="AH304:AH349" si="61">SUM(AF304:AG304)</f>
        <v>11091.213</v>
      </c>
      <c r="AI304" s="75">
        <f t="shared" ref="AI304:AI349" si="62">$M304*U304</f>
        <v>5250</v>
      </c>
      <c r="AJ304" s="78">
        <f t="shared" ref="AJ304:AJ349" si="63">$M304*SUM(V304:AA304)</f>
        <v>2919</v>
      </c>
      <c r="AK304" s="72">
        <f t="shared" ref="AK304:AK349" si="64">SUM(AI304:AJ304)</f>
        <v>8169</v>
      </c>
    </row>
    <row r="305" spans="1:37" ht="15.95" customHeight="1">
      <c r="A305" s="25" t="s">
        <v>12</v>
      </c>
      <c r="B305" s="25" t="s">
        <v>252</v>
      </c>
      <c r="C305" s="26" t="s">
        <v>21</v>
      </c>
      <c r="D305" s="26" t="s">
        <v>375</v>
      </c>
      <c r="E305" s="26" t="s">
        <v>16</v>
      </c>
      <c r="F305" s="26" t="s">
        <v>325</v>
      </c>
      <c r="G305" s="26" t="s">
        <v>184</v>
      </c>
      <c r="H305" s="27" t="s">
        <v>185</v>
      </c>
      <c r="I305" s="26" t="s">
        <v>27</v>
      </c>
      <c r="J305" s="28" t="s">
        <v>265</v>
      </c>
      <c r="K305" s="123">
        <v>125</v>
      </c>
      <c r="L305" s="29">
        <f t="shared" si="55"/>
        <v>24.748999999999999</v>
      </c>
      <c r="M305" s="110">
        <v>17</v>
      </c>
      <c r="N305" s="30">
        <v>0.28199999999999997</v>
      </c>
      <c r="O305" s="116">
        <v>4.7939999999999996</v>
      </c>
      <c r="P305" s="30">
        <v>7.4999999999999997E-2</v>
      </c>
      <c r="Q305" s="116">
        <v>1.2749999999999999</v>
      </c>
      <c r="R305" s="30">
        <v>7.0000000000000007E-2</v>
      </c>
      <c r="S305" s="116">
        <v>1.1900000000000002</v>
      </c>
      <c r="T305" s="117">
        <v>0.49</v>
      </c>
      <c r="U305" s="39">
        <v>250</v>
      </c>
      <c r="V305" s="32">
        <v>59</v>
      </c>
      <c r="W305" s="33"/>
      <c r="X305" s="32">
        <v>70</v>
      </c>
      <c r="Y305" s="32"/>
      <c r="Z305" s="32"/>
      <c r="AA305" s="34"/>
      <c r="AB305" s="35">
        <f t="shared" si="56"/>
        <v>379</v>
      </c>
      <c r="AC305" s="75">
        <f t="shared" si="57"/>
        <v>31250</v>
      </c>
      <c r="AD305" s="78">
        <f t="shared" si="54"/>
        <v>16125</v>
      </c>
      <c r="AE305" s="72">
        <f t="shared" si="58"/>
        <v>47375</v>
      </c>
      <c r="AF305" s="75">
        <f t="shared" si="59"/>
        <v>6187.25</v>
      </c>
      <c r="AG305" s="78">
        <f t="shared" si="60"/>
        <v>2650.1909999999998</v>
      </c>
      <c r="AH305" s="72">
        <f t="shared" si="61"/>
        <v>8837.4409999999989</v>
      </c>
      <c r="AI305" s="75">
        <f t="shared" si="62"/>
        <v>4250</v>
      </c>
      <c r="AJ305" s="78">
        <f t="shared" si="63"/>
        <v>2193</v>
      </c>
      <c r="AK305" s="72">
        <f t="shared" si="64"/>
        <v>6443</v>
      </c>
    </row>
    <row r="306" spans="1:37" ht="15.95" customHeight="1">
      <c r="A306" s="25" t="s">
        <v>12</v>
      </c>
      <c r="B306" s="25" t="s">
        <v>252</v>
      </c>
      <c r="C306" s="26" t="s">
        <v>14</v>
      </c>
      <c r="D306" s="26" t="s">
        <v>375</v>
      </c>
      <c r="E306" s="26" t="s">
        <v>16</v>
      </c>
      <c r="F306" s="26" t="s">
        <v>324</v>
      </c>
      <c r="G306" s="26" t="s">
        <v>184</v>
      </c>
      <c r="H306" s="27" t="s">
        <v>185</v>
      </c>
      <c r="I306" s="26" t="s">
        <v>27</v>
      </c>
      <c r="J306" s="28" t="s">
        <v>261</v>
      </c>
      <c r="K306" s="123">
        <v>150</v>
      </c>
      <c r="L306" s="29">
        <f t="shared" si="55"/>
        <v>30.456999999999997</v>
      </c>
      <c r="M306" s="110">
        <v>21</v>
      </c>
      <c r="N306" s="30">
        <v>0.28199999999999997</v>
      </c>
      <c r="O306" s="116">
        <v>5.9219999999999997</v>
      </c>
      <c r="P306" s="30">
        <v>7.4999999999999997E-2</v>
      </c>
      <c r="Q306" s="116">
        <v>1.575</v>
      </c>
      <c r="R306" s="30">
        <v>7.0000000000000007E-2</v>
      </c>
      <c r="S306" s="116">
        <v>1.4700000000000002</v>
      </c>
      <c r="T306" s="117">
        <v>0.49</v>
      </c>
      <c r="U306" s="39">
        <v>300</v>
      </c>
      <c r="V306" s="32">
        <v>91</v>
      </c>
      <c r="W306" s="33"/>
      <c r="X306" s="32"/>
      <c r="Y306" s="32"/>
      <c r="Z306" s="32"/>
      <c r="AA306" s="34"/>
      <c r="AB306" s="35">
        <f t="shared" si="56"/>
        <v>391</v>
      </c>
      <c r="AC306" s="75">
        <f t="shared" si="57"/>
        <v>45000</v>
      </c>
      <c r="AD306" s="78">
        <f t="shared" ref="AD306:AD349" si="65">$K306*SUM(V306:AA306)</f>
        <v>13650</v>
      </c>
      <c r="AE306" s="72">
        <f t="shared" si="58"/>
        <v>58650</v>
      </c>
      <c r="AF306" s="75">
        <f t="shared" si="59"/>
        <v>9137.0999999999985</v>
      </c>
      <c r="AG306" s="78">
        <f t="shared" si="60"/>
        <v>2771.5869999999995</v>
      </c>
      <c r="AH306" s="72">
        <f t="shared" si="61"/>
        <v>11908.686999999998</v>
      </c>
      <c r="AI306" s="75">
        <f t="shared" si="62"/>
        <v>6300</v>
      </c>
      <c r="AJ306" s="78">
        <f t="shared" si="63"/>
        <v>1911</v>
      </c>
      <c r="AK306" s="72">
        <f t="shared" si="64"/>
        <v>8211</v>
      </c>
    </row>
    <row r="307" spans="1:37" ht="15.95" customHeight="1">
      <c r="A307" s="25" t="s">
        <v>12</v>
      </c>
      <c r="B307" s="25" t="s">
        <v>252</v>
      </c>
      <c r="C307" s="26" t="s">
        <v>21</v>
      </c>
      <c r="D307" s="26" t="s">
        <v>375</v>
      </c>
      <c r="E307" s="26" t="s">
        <v>16</v>
      </c>
      <c r="F307" s="26" t="s">
        <v>325</v>
      </c>
      <c r="G307" s="26" t="s">
        <v>184</v>
      </c>
      <c r="H307" s="27" t="s">
        <v>185</v>
      </c>
      <c r="I307" s="26" t="s">
        <v>27</v>
      </c>
      <c r="J307" s="28" t="s">
        <v>265</v>
      </c>
      <c r="K307" s="123">
        <v>125</v>
      </c>
      <c r="L307" s="29">
        <f t="shared" si="55"/>
        <v>24.748999999999999</v>
      </c>
      <c r="M307" s="110">
        <v>17</v>
      </c>
      <c r="N307" s="30">
        <v>0.28199999999999997</v>
      </c>
      <c r="O307" s="116">
        <v>4.7939999999999996</v>
      </c>
      <c r="P307" s="30">
        <v>7.4999999999999997E-2</v>
      </c>
      <c r="Q307" s="116">
        <v>1.2749999999999999</v>
      </c>
      <c r="R307" s="30">
        <v>7.0000000000000007E-2</v>
      </c>
      <c r="S307" s="116">
        <v>1.1900000000000002</v>
      </c>
      <c r="T307" s="117">
        <v>0.49</v>
      </c>
      <c r="U307" s="39">
        <v>300</v>
      </c>
      <c r="V307" s="32">
        <v>91</v>
      </c>
      <c r="W307" s="33"/>
      <c r="X307" s="32"/>
      <c r="Y307" s="32"/>
      <c r="Z307" s="32"/>
      <c r="AA307" s="34"/>
      <c r="AB307" s="35">
        <f t="shared" si="56"/>
        <v>391</v>
      </c>
      <c r="AC307" s="75">
        <f t="shared" si="57"/>
        <v>37500</v>
      </c>
      <c r="AD307" s="78">
        <f t="shared" si="65"/>
        <v>11375</v>
      </c>
      <c r="AE307" s="72">
        <f t="shared" si="58"/>
        <v>48875</v>
      </c>
      <c r="AF307" s="75">
        <f t="shared" si="59"/>
        <v>7424.7</v>
      </c>
      <c r="AG307" s="78">
        <f t="shared" si="60"/>
        <v>2252.1590000000001</v>
      </c>
      <c r="AH307" s="72">
        <f t="shared" si="61"/>
        <v>9676.8590000000004</v>
      </c>
      <c r="AI307" s="75">
        <f t="shared" si="62"/>
        <v>5100</v>
      </c>
      <c r="AJ307" s="78">
        <f t="shared" si="63"/>
        <v>1547</v>
      </c>
      <c r="AK307" s="72">
        <f t="shared" si="64"/>
        <v>6647</v>
      </c>
    </row>
    <row r="308" spans="1:37" ht="15.95" customHeight="1">
      <c r="A308" s="25" t="s">
        <v>12</v>
      </c>
      <c r="B308" s="25" t="s">
        <v>252</v>
      </c>
      <c r="C308" s="26" t="s">
        <v>14</v>
      </c>
      <c r="D308" s="26" t="s">
        <v>375</v>
      </c>
      <c r="E308" s="26" t="s">
        <v>16</v>
      </c>
      <c r="F308" s="26" t="s">
        <v>326</v>
      </c>
      <c r="G308" s="26" t="s">
        <v>150</v>
      </c>
      <c r="H308" s="27" t="s">
        <v>327</v>
      </c>
      <c r="I308" s="26" t="s">
        <v>27</v>
      </c>
      <c r="J308" s="28" t="s">
        <v>261</v>
      </c>
      <c r="K308" s="123">
        <v>145</v>
      </c>
      <c r="L308" s="29">
        <f t="shared" si="55"/>
        <v>28.673249999999996</v>
      </c>
      <c r="M308" s="110">
        <v>19.75</v>
      </c>
      <c r="N308" s="30">
        <v>0.28199999999999997</v>
      </c>
      <c r="O308" s="116">
        <v>5.5694999999999997</v>
      </c>
      <c r="P308" s="30">
        <v>7.4999999999999997E-2</v>
      </c>
      <c r="Q308" s="116">
        <v>1.48125</v>
      </c>
      <c r="R308" s="30">
        <v>7.0000000000000007E-2</v>
      </c>
      <c r="S308" s="116">
        <v>1.3825000000000001</v>
      </c>
      <c r="T308" s="117">
        <v>0.49</v>
      </c>
      <c r="U308" s="39">
        <v>250</v>
      </c>
      <c r="V308" s="32">
        <v>75</v>
      </c>
      <c r="W308" s="33"/>
      <c r="X308" s="32"/>
      <c r="Y308" s="32"/>
      <c r="Z308" s="32"/>
      <c r="AA308" s="34"/>
      <c r="AB308" s="35">
        <f t="shared" si="56"/>
        <v>325</v>
      </c>
      <c r="AC308" s="75">
        <f t="shared" si="57"/>
        <v>36250</v>
      </c>
      <c r="AD308" s="78">
        <f t="shared" si="65"/>
        <v>10875</v>
      </c>
      <c r="AE308" s="72">
        <f t="shared" si="58"/>
        <v>47125</v>
      </c>
      <c r="AF308" s="75">
        <f t="shared" si="59"/>
        <v>7168.3124999999991</v>
      </c>
      <c r="AG308" s="78">
        <f t="shared" si="60"/>
        <v>2150.4937499999996</v>
      </c>
      <c r="AH308" s="72">
        <f t="shared" si="61"/>
        <v>9318.8062499999978</v>
      </c>
      <c r="AI308" s="75">
        <f t="shared" si="62"/>
        <v>4937.5</v>
      </c>
      <c r="AJ308" s="78">
        <f t="shared" si="63"/>
        <v>1481.25</v>
      </c>
      <c r="AK308" s="72">
        <f t="shared" si="64"/>
        <v>6418.75</v>
      </c>
    </row>
    <row r="309" spans="1:37" ht="15.95" customHeight="1">
      <c r="A309" s="25" t="s">
        <v>12</v>
      </c>
      <c r="B309" s="25" t="s">
        <v>252</v>
      </c>
      <c r="C309" s="26" t="s">
        <v>21</v>
      </c>
      <c r="D309" s="26" t="s">
        <v>375</v>
      </c>
      <c r="E309" s="26" t="s">
        <v>16</v>
      </c>
      <c r="F309" s="26" t="s">
        <v>328</v>
      </c>
      <c r="G309" s="26" t="s">
        <v>150</v>
      </c>
      <c r="H309" s="27" t="s">
        <v>327</v>
      </c>
      <c r="I309" s="26" t="s">
        <v>27</v>
      </c>
      <c r="J309" s="28" t="s">
        <v>265</v>
      </c>
      <c r="K309" s="123">
        <v>125</v>
      </c>
      <c r="L309" s="29">
        <f t="shared" si="55"/>
        <v>24.035499999999999</v>
      </c>
      <c r="M309" s="110">
        <v>16.5</v>
      </c>
      <c r="N309" s="30">
        <v>0.28199999999999997</v>
      </c>
      <c r="O309" s="116">
        <v>4.6529999999999996</v>
      </c>
      <c r="P309" s="30">
        <v>7.4999999999999997E-2</v>
      </c>
      <c r="Q309" s="116">
        <v>1.2375</v>
      </c>
      <c r="R309" s="30">
        <v>7.0000000000000007E-2</v>
      </c>
      <c r="S309" s="116">
        <v>1.155</v>
      </c>
      <c r="T309" s="117">
        <v>0.49</v>
      </c>
      <c r="U309" s="39">
        <v>250</v>
      </c>
      <c r="V309" s="32">
        <v>75</v>
      </c>
      <c r="W309" s="33"/>
      <c r="X309" s="32"/>
      <c r="Y309" s="32"/>
      <c r="Z309" s="32"/>
      <c r="AA309" s="34"/>
      <c r="AB309" s="35">
        <f t="shared" si="56"/>
        <v>325</v>
      </c>
      <c r="AC309" s="75">
        <f t="shared" si="57"/>
        <v>31250</v>
      </c>
      <c r="AD309" s="78">
        <f t="shared" si="65"/>
        <v>9375</v>
      </c>
      <c r="AE309" s="72">
        <f t="shared" si="58"/>
        <v>40625</v>
      </c>
      <c r="AF309" s="75">
        <f t="shared" si="59"/>
        <v>6008.875</v>
      </c>
      <c r="AG309" s="78">
        <f t="shared" si="60"/>
        <v>1802.6624999999999</v>
      </c>
      <c r="AH309" s="72">
        <f t="shared" si="61"/>
        <v>7811.5375000000004</v>
      </c>
      <c r="AI309" s="75">
        <f t="shared" si="62"/>
        <v>4125</v>
      </c>
      <c r="AJ309" s="78">
        <f t="shared" si="63"/>
        <v>1237.5</v>
      </c>
      <c r="AK309" s="72">
        <f t="shared" si="64"/>
        <v>5362.5</v>
      </c>
    </row>
    <row r="310" spans="1:37" ht="15.95" customHeight="1">
      <c r="A310" s="25" t="s">
        <v>12</v>
      </c>
      <c r="B310" s="25" t="s">
        <v>252</v>
      </c>
      <c r="C310" s="26" t="s">
        <v>14</v>
      </c>
      <c r="D310" s="26" t="s">
        <v>375</v>
      </c>
      <c r="E310" s="26" t="s">
        <v>16</v>
      </c>
      <c r="F310" s="26" t="s">
        <v>326</v>
      </c>
      <c r="G310" s="26" t="s">
        <v>150</v>
      </c>
      <c r="H310" s="27" t="s">
        <v>327</v>
      </c>
      <c r="I310" s="26" t="s">
        <v>27</v>
      </c>
      <c r="J310" s="28" t="s">
        <v>261</v>
      </c>
      <c r="K310" s="123">
        <v>145</v>
      </c>
      <c r="L310" s="29">
        <f t="shared" si="55"/>
        <v>28.673249999999996</v>
      </c>
      <c r="M310" s="110">
        <v>19.75</v>
      </c>
      <c r="N310" s="30">
        <v>0.28199999999999997</v>
      </c>
      <c r="O310" s="116">
        <v>5.5694999999999997</v>
      </c>
      <c r="P310" s="30">
        <v>7.4999999999999997E-2</v>
      </c>
      <c r="Q310" s="116">
        <v>1.48125</v>
      </c>
      <c r="R310" s="30">
        <v>7.0000000000000007E-2</v>
      </c>
      <c r="S310" s="116">
        <v>1.3825000000000001</v>
      </c>
      <c r="T310" s="117">
        <v>0.49</v>
      </c>
      <c r="U310" s="39">
        <v>250</v>
      </c>
      <c r="V310" s="32">
        <v>57</v>
      </c>
      <c r="W310" s="33"/>
      <c r="X310" s="32"/>
      <c r="Y310" s="32"/>
      <c r="Z310" s="32"/>
      <c r="AA310" s="34"/>
      <c r="AB310" s="35">
        <f t="shared" si="56"/>
        <v>307</v>
      </c>
      <c r="AC310" s="75">
        <f t="shared" si="57"/>
        <v>36250</v>
      </c>
      <c r="AD310" s="78">
        <f t="shared" si="65"/>
        <v>8265</v>
      </c>
      <c r="AE310" s="72">
        <f t="shared" si="58"/>
        <v>44515</v>
      </c>
      <c r="AF310" s="75">
        <f t="shared" si="59"/>
        <v>7168.3124999999991</v>
      </c>
      <c r="AG310" s="78">
        <f t="shared" si="60"/>
        <v>1634.3752499999998</v>
      </c>
      <c r="AH310" s="72">
        <f t="shared" si="61"/>
        <v>8802.6877499999991</v>
      </c>
      <c r="AI310" s="75">
        <f t="shared" si="62"/>
        <v>4937.5</v>
      </c>
      <c r="AJ310" s="78">
        <f t="shared" si="63"/>
        <v>1125.75</v>
      </c>
      <c r="AK310" s="72">
        <f t="shared" si="64"/>
        <v>6063.25</v>
      </c>
    </row>
    <row r="311" spans="1:37" ht="15.95" customHeight="1">
      <c r="A311" s="25" t="s">
        <v>12</v>
      </c>
      <c r="B311" s="25" t="s">
        <v>252</v>
      </c>
      <c r="C311" s="26" t="s">
        <v>21</v>
      </c>
      <c r="D311" s="26" t="s">
        <v>375</v>
      </c>
      <c r="E311" s="26" t="s">
        <v>16</v>
      </c>
      <c r="F311" s="26" t="s">
        <v>328</v>
      </c>
      <c r="G311" s="26" t="s">
        <v>150</v>
      </c>
      <c r="H311" s="27" t="s">
        <v>327</v>
      </c>
      <c r="I311" s="26" t="s">
        <v>27</v>
      </c>
      <c r="J311" s="28" t="s">
        <v>265</v>
      </c>
      <c r="K311" s="123">
        <v>125</v>
      </c>
      <c r="L311" s="29">
        <f t="shared" si="55"/>
        <v>24.035499999999999</v>
      </c>
      <c r="M311" s="110">
        <v>16.5</v>
      </c>
      <c r="N311" s="30">
        <v>0.28199999999999997</v>
      </c>
      <c r="O311" s="116">
        <v>4.6529999999999996</v>
      </c>
      <c r="P311" s="30">
        <v>7.4999999999999997E-2</v>
      </c>
      <c r="Q311" s="116">
        <v>1.2375</v>
      </c>
      <c r="R311" s="30">
        <v>7.0000000000000007E-2</v>
      </c>
      <c r="S311" s="116">
        <v>1.155</v>
      </c>
      <c r="T311" s="117">
        <v>0.49</v>
      </c>
      <c r="U311" s="39">
        <v>250</v>
      </c>
      <c r="V311" s="32">
        <v>57</v>
      </c>
      <c r="W311" s="33"/>
      <c r="X311" s="32"/>
      <c r="Y311" s="32"/>
      <c r="Z311" s="32"/>
      <c r="AA311" s="34"/>
      <c r="AB311" s="35">
        <f t="shared" si="56"/>
        <v>307</v>
      </c>
      <c r="AC311" s="75">
        <f t="shared" si="57"/>
        <v>31250</v>
      </c>
      <c r="AD311" s="78">
        <f t="shared" si="65"/>
        <v>7125</v>
      </c>
      <c r="AE311" s="72">
        <f t="shared" si="58"/>
        <v>38375</v>
      </c>
      <c r="AF311" s="75">
        <f t="shared" si="59"/>
        <v>6008.875</v>
      </c>
      <c r="AG311" s="78">
        <f t="shared" si="60"/>
        <v>1370.0235</v>
      </c>
      <c r="AH311" s="72">
        <f t="shared" si="61"/>
        <v>7378.8985000000002</v>
      </c>
      <c r="AI311" s="75">
        <f t="shared" si="62"/>
        <v>4125</v>
      </c>
      <c r="AJ311" s="78">
        <f t="shared" si="63"/>
        <v>940.5</v>
      </c>
      <c r="AK311" s="72">
        <f t="shared" si="64"/>
        <v>5065.5</v>
      </c>
    </row>
    <row r="312" spans="1:37" ht="15.95" customHeight="1">
      <c r="A312" s="25" t="s">
        <v>12</v>
      </c>
      <c r="B312" s="25" t="s">
        <v>252</v>
      </c>
      <c r="C312" s="26" t="s">
        <v>14</v>
      </c>
      <c r="D312" s="26" t="s">
        <v>375</v>
      </c>
      <c r="E312" s="26" t="s">
        <v>16</v>
      </c>
      <c r="F312" s="26" t="s">
        <v>329</v>
      </c>
      <c r="G312" s="25" t="s">
        <v>178</v>
      </c>
      <c r="H312" s="42" t="s">
        <v>330</v>
      </c>
      <c r="I312" s="43" t="s">
        <v>27</v>
      </c>
      <c r="J312" s="28" t="s">
        <v>261</v>
      </c>
      <c r="K312" s="123">
        <v>150</v>
      </c>
      <c r="L312" s="29">
        <f t="shared" si="55"/>
        <v>31.170499999999997</v>
      </c>
      <c r="M312" s="110">
        <v>21.5</v>
      </c>
      <c r="N312" s="30">
        <v>0.28199999999999997</v>
      </c>
      <c r="O312" s="116">
        <v>6.0629999999999997</v>
      </c>
      <c r="P312" s="30">
        <v>7.4999999999999997E-2</v>
      </c>
      <c r="Q312" s="116">
        <v>1.6125</v>
      </c>
      <c r="R312" s="30">
        <v>7.0000000000000007E-2</v>
      </c>
      <c r="S312" s="116">
        <v>1.5050000000000001</v>
      </c>
      <c r="T312" s="117">
        <v>0.49</v>
      </c>
      <c r="U312" s="39">
        <v>200</v>
      </c>
      <c r="V312" s="32">
        <v>24</v>
      </c>
      <c r="W312" s="33"/>
      <c r="X312" s="32"/>
      <c r="Y312" s="32"/>
      <c r="Z312" s="32"/>
      <c r="AA312" s="34"/>
      <c r="AB312" s="35">
        <f t="shared" si="56"/>
        <v>224</v>
      </c>
      <c r="AC312" s="75">
        <f t="shared" si="57"/>
        <v>30000</v>
      </c>
      <c r="AD312" s="78">
        <f t="shared" si="65"/>
        <v>3600</v>
      </c>
      <c r="AE312" s="72">
        <f t="shared" si="58"/>
        <v>33600</v>
      </c>
      <c r="AF312" s="75">
        <f t="shared" si="59"/>
        <v>6234.0999999999995</v>
      </c>
      <c r="AG312" s="78">
        <f t="shared" si="60"/>
        <v>748.09199999999987</v>
      </c>
      <c r="AH312" s="72">
        <f t="shared" si="61"/>
        <v>6982.1919999999991</v>
      </c>
      <c r="AI312" s="75">
        <f t="shared" si="62"/>
        <v>4300</v>
      </c>
      <c r="AJ312" s="78">
        <f t="shared" si="63"/>
        <v>516</v>
      </c>
      <c r="AK312" s="72">
        <f t="shared" si="64"/>
        <v>4816</v>
      </c>
    </row>
    <row r="313" spans="1:37" ht="15.95" customHeight="1">
      <c r="A313" s="25" t="s">
        <v>12</v>
      </c>
      <c r="B313" s="25" t="s">
        <v>252</v>
      </c>
      <c r="C313" s="26" t="s">
        <v>21</v>
      </c>
      <c r="D313" s="26" t="s">
        <v>375</v>
      </c>
      <c r="E313" s="26" t="s">
        <v>16</v>
      </c>
      <c r="F313" s="26" t="s">
        <v>331</v>
      </c>
      <c r="G313" s="25" t="s">
        <v>178</v>
      </c>
      <c r="H313" s="42" t="s">
        <v>330</v>
      </c>
      <c r="I313" s="43" t="s">
        <v>27</v>
      </c>
      <c r="J313" s="28" t="s">
        <v>265</v>
      </c>
      <c r="K313" s="123">
        <v>135</v>
      </c>
      <c r="L313" s="29">
        <f t="shared" si="55"/>
        <v>30.385649999999995</v>
      </c>
      <c r="M313" s="110">
        <v>20.95</v>
      </c>
      <c r="N313" s="30">
        <v>0.28199999999999997</v>
      </c>
      <c r="O313" s="116">
        <v>5.9078999999999988</v>
      </c>
      <c r="P313" s="30">
        <v>7.4999999999999997E-2</v>
      </c>
      <c r="Q313" s="116">
        <v>1.5712499999999998</v>
      </c>
      <c r="R313" s="30">
        <v>7.0000000000000007E-2</v>
      </c>
      <c r="S313" s="116">
        <v>1.4665000000000001</v>
      </c>
      <c r="T313" s="117">
        <v>0.49</v>
      </c>
      <c r="U313" s="39">
        <v>200</v>
      </c>
      <c r="V313" s="32">
        <v>24</v>
      </c>
      <c r="W313" s="33"/>
      <c r="X313" s="32"/>
      <c r="Y313" s="32"/>
      <c r="Z313" s="32"/>
      <c r="AA313" s="34"/>
      <c r="AB313" s="35">
        <f t="shared" si="56"/>
        <v>224</v>
      </c>
      <c r="AC313" s="75">
        <f t="shared" si="57"/>
        <v>27000</v>
      </c>
      <c r="AD313" s="78">
        <f t="shared" si="65"/>
        <v>3240</v>
      </c>
      <c r="AE313" s="72">
        <f t="shared" si="58"/>
        <v>30240</v>
      </c>
      <c r="AF313" s="75">
        <f t="shared" si="59"/>
        <v>6077.1299999999992</v>
      </c>
      <c r="AG313" s="78">
        <f t="shared" si="60"/>
        <v>729.25559999999984</v>
      </c>
      <c r="AH313" s="72">
        <f t="shared" si="61"/>
        <v>6806.3855999999987</v>
      </c>
      <c r="AI313" s="75">
        <f t="shared" si="62"/>
        <v>4190</v>
      </c>
      <c r="AJ313" s="78">
        <f t="shared" si="63"/>
        <v>502.79999999999995</v>
      </c>
      <c r="AK313" s="72">
        <f t="shared" si="64"/>
        <v>4692.8</v>
      </c>
    </row>
    <row r="314" spans="1:37" ht="15.95" customHeight="1">
      <c r="A314" s="25" t="s">
        <v>12</v>
      </c>
      <c r="B314" s="25" t="s">
        <v>252</v>
      </c>
      <c r="C314" s="26" t="s">
        <v>14</v>
      </c>
      <c r="D314" s="26" t="s">
        <v>375</v>
      </c>
      <c r="E314" s="26" t="s">
        <v>16</v>
      </c>
      <c r="F314" s="26" t="s">
        <v>332</v>
      </c>
      <c r="G314" s="26" t="s">
        <v>154</v>
      </c>
      <c r="H314" s="27" t="s">
        <v>333</v>
      </c>
      <c r="I314" s="26" t="s">
        <v>27</v>
      </c>
      <c r="J314" s="28" t="s">
        <v>261</v>
      </c>
      <c r="K314" s="123">
        <v>165</v>
      </c>
      <c r="L314" s="29">
        <f t="shared" si="55"/>
        <v>31.883999999999997</v>
      </c>
      <c r="M314" s="110">
        <v>22</v>
      </c>
      <c r="N314" s="30">
        <v>0.28199999999999997</v>
      </c>
      <c r="O314" s="116">
        <v>6.2039999999999997</v>
      </c>
      <c r="P314" s="30">
        <v>7.4999999999999997E-2</v>
      </c>
      <c r="Q314" s="116">
        <v>1.65</v>
      </c>
      <c r="R314" s="30">
        <v>7.0000000000000007E-2</v>
      </c>
      <c r="S314" s="116">
        <v>1.54</v>
      </c>
      <c r="T314" s="117">
        <v>0.49</v>
      </c>
      <c r="U314" s="39">
        <v>200</v>
      </c>
      <c r="V314" s="32">
        <v>59</v>
      </c>
      <c r="W314" s="33"/>
      <c r="X314" s="32"/>
      <c r="Y314" s="32"/>
      <c r="Z314" s="32"/>
      <c r="AA314" s="34"/>
      <c r="AB314" s="35">
        <f t="shared" si="56"/>
        <v>259</v>
      </c>
      <c r="AC314" s="75">
        <f t="shared" si="57"/>
        <v>33000</v>
      </c>
      <c r="AD314" s="78">
        <f t="shared" si="65"/>
        <v>9735</v>
      </c>
      <c r="AE314" s="72">
        <f t="shared" si="58"/>
        <v>42735</v>
      </c>
      <c r="AF314" s="75">
        <f t="shared" si="59"/>
        <v>6376.7999999999993</v>
      </c>
      <c r="AG314" s="78">
        <f t="shared" si="60"/>
        <v>1881.1559999999997</v>
      </c>
      <c r="AH314" s="72">
        <f t="shared" si="61"/>
        <v>8257.9559999999983</v>
      </c>
      <c r="AI314" s="75">
        <f t="shared" si="62"/>
        <v>4400</v>
      </c>
      <c r="AJ314" s="78">
        <f t="shared" si="63"/>
        <v>1298</v>
      </c>
      <c r="AK314" s="72">
        <f t="shared" si="64"/>
        <v>5698</v>
      </c>
    </row>
    <row r="315" spans="1:37" ht="15.95" customHeight="1">
      <c r="A315" s="25" t="s">
        <v>12</v>
      </c>
      <c r="B315" s="25" t="s">
        <v>252</v>
      </c>
      <c r="C315" s="26" t="s">
        <v>21</v>
      </c>
      <c r="D315" s="26" t="s">
        <v>375</v>
      </c>
      <c r="E315" s="26" t="s">
        <v>16</v>
      </c>
      <c r="F315" s="26" t="s">
        <v>334</v>
      </c>
      <c r="G315" s="26" t="s">
        <v>154</v>
      </c>
      <c r="H315" s="27" t="s">
        <v>333</v>
      </c>
      <c r="I315" s="26" t="s">
        <v>27</v>
      </c>
      <c r="J315" s="37" t="s">
        <v>265</v>
      </c>
      <c r="K315" s="123">
        <v>135</v>
      </c>
      <c r="L315" s="29">
        <f t="shared" si="55"/>
        <v>26.176000000000002</v>
      </c>
      <c r="M315" s="110">
        <v>18</v>
      </c>
      <c r="N315" s="30">
        <v>0.28199999999999997</v>
      </c>
      <c r="O315" s="116">
        <v>5.0759999999999996</v>
      </c>
      <c r="P315" s="30">
        <v>7.4999999999999997E-2</v>
      </c>
      <c r="Q315" s="116">
        <v>1.3499999999999999</v>
      </c>
      <c r="R315" s="30">
        <v>7.0000000000000007E-2</v>
      </c>
      <c r="S315" s="116">
        <v>1.2600000000000002</v>
      </c>
      <c r="T315" s="117">
        <v>0.49</v>
      </c>
      <c r="U315" s="39">
        <v>200</v>
      </c>
      <c r="V315" s="32">
        <v>59</v>
      </c>
      <c r="W315" s="33"/>
      <c r="X315" s="32"/>
      <c r="Y315" s="32"/>
      <c r="Z315" s="32"/>
      <c r="AA315" s="34"/>
      <c r="AB315" s="35">
        <f t="shared" si="56"/>
        <v>259</v>
      </c>
      <c r="AC315" s="75">
        <f t="shared" si="57"/>
        <v>27000</v>
      </c>
      <c r="AD315" s="78">
        <f t="shared" si="65"/>
        <v>7965</v>
      </c>
      <c r="AE315" s="72">
        <f t="shared" si="58"/>
        <v>34965</v>
      </c>
      <c r="AF315" s="75">
        <f t="shared" si="59"/>
        <v>5235.2000000000007</v>
      </c>
      <c r="AG315" s="78">
        <f t="shared" si="60"/>
        <v>1544.384</v>
      </c>
      <c r="AH315" s="72">
        <f t="shared" si="61"/>
        <v>6779.5840000000007</v>
      </c>
      <c r="AI315" s="75">
        <f t="shared" si="62"/>
        <v>3600</v>
      </c>
      <c r="AJ315" s="78">
        <f t="shared" si="63"/>
        <v>1062</v>
      </c>
      <c r="AK315" s="72">
        <f t="shared" si="64"/>
        <v>4662</v>
      </c>
    </row>
    <row r="316" spans="1:37" ht="15.95" customHeight="1">
      <c r="A316" s="25" t="s">
        <v>12</v>
      </c>
      <c r="B316" s="25" t="s">
        <v>252</v>
      </c>
      <c r="C316" s="26" t="s">
        <v>14</v>
      </c>
      <c r="D316" s="26" t="s">
        <v>375</v>
      </c>
      <c r="E316" s="26" t="s">
        <v>16</v>
      </c>
      <c r="F316" s="26" t="s">
        <v>332</v>
      </c>
      <c r="G316" s="26" t="s">
        <v>154</v>
      </c>
      <c r="H316" s="27" t="s">
        <v>333</v>
      </c>
      <c r="I316" s="26" t="s">
        <v>27</v>
      </c>
      <c r="J316" s="28" t="s">
        <v>261</v>
      </c>
      <c r="K316" s="123">
        <v>165</v>
      </c>
      <c r="L316" s="29">
        <f t="shared" si="55"/>
        <v>31.883999999999997</v>
      </c>
      <c r="M316" s="110">
        <v>22</v>
      </c>
      <c r="N316" s="30">
        <v>0.28199999999999997</v>
      </c>
      <c r="O316" s="116">
        <v>6.2039999999999997</v>
      </c>
      <c r="P316" s="30">
        <v>7.4999999999999997E-2</v>
      </c>
      <c r="Q316" s="116">
        <v>1.65</v>
      </c>
      <c r="R316" s="30">
        <v>7.0000000000000007E-2</v>
      </c>
      <c r="S316" s="116">
        <v>1.54</v>
      </c>
      <c r="T316" s="117">
        <v>0.49</v>
      </c>
      <c r="U316" s="39">
        <v>200</v>
      </c>
      <c r="V316" s="32">
        <v>54</v>
      </c>
      <c r="W316" s="33"/>
      <c r="X316" s="32"/>
      <c r="Y316" s="32"/>
      <c r="Z316" s="32"/>
      <c r="AA316" s="34">
        <v>4</v>
      </c>
      <c r="AB316" s="35">
        <f t="shared" si="56"/>
        <v>258</v>
      </c>
      <c r="AC316" s="75">
        <f t="shared" si="57"/>
        <v>33000</v>
      </c>
      <c r="AD316" s="78">
        <f t="shared" si="65"/>
        <v>9570</v>
      </c>
      <c r="AE316" s="72">
        <f t="shared" si="58"/>
        <v>42570</v>
      </c>
      <c r="AF316" s="75">
        <f t="shared" si="59"/>
        <v>6376.7999999999993</v>
      </c>
      <c r="AG316" s="78">
        <f t="shared" si="60"/>
        <v>1809.7359999999999</v>
      </c>
      <c r="AH316" s="72">
        <f t="shared" si="61"/>
        <v>8186.5359999999991</v>
      </c>
      <c r="AI316" s="75">
        <f t="shared" si="62"/>
        <v>4400</v>
      </c>
      <c r="AJ316" s="78">
        <f t="shared" si="63"/>
        <v>1276</v>
      </c>
      <c r="AK316" s="72">
        <f t="shared" si="64"/>
        <v>5676</v>
      </c>
    </row>
    <row r="317" spans="1:37" ht="15.95" customHeight="1">
      <c r="A317" s="25" t="s">
        <v>12</v>
      </c>
      <c r="B317" s="25" t="s">
        <v>252</v>
      </c>
      <c r="C317" s="26" t="s">
        <v>21</v>
      </c>
      <c r="D317" s="26" t="s">
        <v>375</v>
      </c>
      <c r="E317" s="26" t="s">
        <v>16</v>
      </c>
      <c r="F317" s="26" t="s">
        <v>334</v>
      </c>
      <c r="G317" s="26" t="s">
        <v>154</v>
      </c>
      <c r="H317" s="27" t="s">
        <v>333</v>
      </c>
      <c r="I317" s="26" t="s">
        <v>27</v>
      </c>
      <c r="J317" s="28" t="s">
        <v>265</v>
      </c>
      <c r="K317" s="123">
        <v>135</v>
      </c>
      <c r="L317" s="29">
        <f t="shared" si="55"/>
        <v>26.176000000000002</v>
      </c>
      <c r="M317" s="110">
        <v>18</v>
      </c>
      <c r="N317" s="30">
        <v>0.28199999999999997</v>
      </c>
      <c r="O317" s="116">
        <v>5.0759999999999996</v>
      </c>
      <c r="P317" s="30">
        <v>7.4999999999999997E-2</v>
      </c>
      <c r="Q317" s="116">
        <v>1.3499999999999999</v>
      </c>
      <c r="R317" s="30">
        <v>7.0000000000000007E-2</v>
      </c>
      <c r="S317" s="116">
        <v>1.2600000000000002</v>
      </c>
      <c r="T317" s="117">
        <v>0.49</v>
      </c>
      <c r="U317" s="39">
        <v>200</v>
      </c>
      <c r="V317" s="32">
        <v>54</v>
      </c>
      <c r="W317" s="33"/>
      <c r="X317" s="32"/>
      <c r="Y317" s="32"/>
      <c r="Z317" s="32"/>
      <c r="AA317" s="34">
        <v>4</v>
      </c>
      <c r="AB317" s="35">
        <f t="shared" si="56"/>
        <v>258</v>
      </c>
      <c r="AC317" s="75">
        <f t="shared" si="57"/>
        <v>27000</v>
      </c>
      <c r="AD317" s="78">
        <f t="shared" si="65"/>
        <v>7830</v>
      </c>
      <c r="AE317" s="72">
        <f t="shared" si="58"/>
        <v>34830</v>
      </c>
      <c r="AF317" s="75">
        <f t="shared" si="59"/>
        <v>5235.2000000000007</v>
      </c>
      <c r="AG317" s="78">
        <f t="shared" si="60"/>
        <v>1485.5040000000001</v>
      </c>
      <c r="AH317" s="72">
        <f t="shared" si="61"/>
        <v>6720.7040000000006</v>
      </c>
      <c r="AI317" s="75">
        <f t="shared" si="62"/>
        <v>3600</v>
      </c>
      <c r="AJ317" s="78">
        <f t="shared" si="63"/>
        <v>1044</v>
      </c>
      <c r="AK317" s="72">
        <f t="shared" si="64"/>
        <v>4644</v>
      </c>
    </row>
    <row r="318" spans="1:37" ht="15.95" customHeight="1">
      <c r="A318" s="25" t="s">
        <v>12</v>
      </c>
      <c r="B318" s="25" t="s">
        <v>252</v>
      </c>
      <c r="C318" s="26" t="s">
        <v>14</v>
      </c>
      <c r="D318" s="26" t="s">
        <v>375</v>
      </c>
      <c r="E318" s="26" t="s">
        <v>16</v>
      </c>
      <c r="F318" s="26" t="s">
        <v>335</v>
      </c>
      <c r="G318" s="26" t="s">
        <v>184</v>
      </c>
      <c r="H318" s="27" t="s">
        <v>185</v>
      </c>
      <c r="I318" s="26" t="s">
        <v>27</v>
      </c>
      <c r="J318" s="28" t="s">
        <v>261</v>
      </c>
      <c r="K318" s="123">
        <v>165</v>
      </c>
      <c r="L318" s="29">
        <f t="shared" si="55"/>
        <v>29.743499999999997</v>
      </c>
      <c r="M318" s="110">
        <v>20.5</v>
      </c>
      <c r="N318" s="30">
        <v>0.28199999999999997</v>
      </c>
      <c r="O318" s="116">
        <v>5.7809999999999997</v>
      </c>
      <c r="P318" s="30">
        <v>7.4999999999999997E-2</v>
      </c>
      <c r="Q318" s="116">
        <v>1.5374999999999999</v>
      </c>
      <c r="R318" s="30">
        <v>7.0000000000000007E-2</v>
      </c>
      <c r="S318" s="116">
        <v>1.4350000000000001</v>
      </c>
      <c r="T318" s="117">
        <v>0.49</v>
      </c>
      <c r="U318" s="39">
        <v>250</v>
      </c>
      <c r="V318" s="32">
        <v>78</v>
      </c>
      <c r="W318" s="33"/>
      <c r="X318" s="32"/>
      <c r="Y318" s="32"/>
      <c r="Z318" s="32"/>
      <c r="AA318" s="34"/>
      <c r="AB318" s="35">
        <f t="shared" si="56"/>
        <v>328</v>
      </c>
      <c r="AC318" s="75">
        <f t="shared" si="57"/>
        <v>41250</v>
      </c>
      <c r="AD318" s="78">
        <f t="shared" si="65"/>
        <v>12870</v>
      </c>
      <c r="AE318" s="72">
        <f t="shared" si="58"/>
        <v>54120</v>
      </c>
      <c r="AF318" s="75">
        <f t="shared" si="59"/>
        <v>7435.8749999999991</v>
      </c>
      <c r="AG318" s="78">
        <f t="shared" si="60"/>
        <v>2319.9929999999999</v>
      </c>
      <c r="AH318" s="72">
        <f t="shared" si="61"/>
        <v>9755.8679999999986</v>
      </c>
      <c r="AI318" s="75">
        <f t="shared" si="62"/>
        <v>5125</v>
      </c>
      <c r="AJ318" s="78">
        <f t="shared" si="63"/>
        <v>1599</v>
      </c>
      <c r="AK318" s="72">
        <f t="shared" si="64"/>
        <v>6724</v>
      </c>
    </row>
    <row r="319" spans="1:37" ht="15.95" customHeight="1">
      <c r="A319" s="25" t="s">
        <v>12</v>
      </c>
      <c r="B319" s="25" t="s">
        <v>252</v>
      </c>
      <c r="C319" s="26" t="s">
        <v>21</v>
      </c>
      <c r="D319" s="26" t="s">
        <v>375</v>
      </c>
      <c r="E319" s="26" t="s">
        <v>16</v>
      </c>
      <c r="F319" s="26" t="s">
        <v>336</v>
      </c>
      <c r="G319" s="26" t="s">
        <v>184</v>
      </c>
      <c r="H319" s="27" t="s">
        <v>185</v>
      </c>
      <c r="I319" s="26" t="s">
        <v>27</v>
      </c>
      <c r="J319" s="28" t="s">
        <v>265</v>
      </c>
      <c r="K319" s="123">
        <v>135</v>
      </c>
      <c r="L319" s="29">
        <f t="shared" si="55"/>
        <v>25.462499999999999</v>
      </c>
      <c r="M319" s="110">
        <v>17.5</v>
      </c>
      <c r="N319" s="30">
        <v>0.28199999999999997</v>
      </c>
      <c r="O319" s="116">
        <v>4.9349999999999996</v>
      </c>
      <c r="P319" s="30">
        <v>7.4999999999999997E-2</v>
      </c>
      <c r="Q319" s="116">
        <v>1.3125</v>
      </c>
      <c r="R319" s="30">
        <v>7.0000000000000007E-2</v>
      </c>
      <c r="S319" s="116">
        <v>1.2250000000000001</v>
      </c>
      <c r="T319" s="117">
        <v>0.49</v>
      </c>
      <c r="U319" s="39">
        <v>250</v>
      </c>
      <c r="V319" s="32">
        <v>78</v>
      </c>
      <c r="W319" s="33"/>
      <c r="X319" s="32"/>
      <c r="Y319" s="32"/>
      <c r="Z319" s="32"/>
      <c r="AA319" s="34"/>
      <c r="AB319" s="35">
        <f t="shared" si="56"/>
        <v>328</v>
      </c>
      <c r="AC319" s="75">
        <f t="shared" si="57"/>
        <v>33750</v>
      </c>
      <c r="AD319" s="78">
        <f t="shared" si="65"/>
        <v>10530</v>
      </c>
      <c r="AE319" s="72">
        <f t="shared" si="58"/>
        <v>44280</v>
      </c>
      <c r="AF319" s="75">
        <f t="shared" si="59"/>
        <v>6365.625</v>
      </c>
      <c r="AG319" s="78">
        <f t="shared" si="60"/>
        <v>1986.0749999999998</v>
      </c>
      <c r="AH319" s="72">
        <f t="shared" si="61"/>
        <v>8351.7000000000007</v>
      </c>
      <c r="AI319" s="75">
        <f t="shared" si="62"/>
        <v>4375</v>
      </c>
      <c r="AJ319" s="78">
        <f t="shared" si="63"/>
        <v>1365</v>
      </c>
      <c r="AK319" s="72">
        <f t="shared" si="64"/>
        <v>5740</v>
      </c>
    </row>
    <row r="320" spans="1:37" ht="15.95" customHeight="1">
      <c r="A320" s="25" t="s">
        <v>12</v>
      </c>
      <c r="B320" s="25" t="s">
        <v>252</v>
      </c>
      <c r="C320" s="26" t="s">
        <v>14</v>
      </c>
      <c r="D320" s="26" t="s">
        <v>375</v>
      </c>
      <c r="E320" s="26" t="s">
        <v>16</v>
      </c>
      <c r="F320" s="26" t="s">
        <v>335</v>
      </c>
      <c r="G320" s="26" t="s">
        <v>184</v>
      </c>
      <c r="H320" s="27" t="s">
        <v>185</v>
      </c>
      <c r="I320" s="26" t="s">
        <v>27</v>
      </c>
      <c r="J320" s="28" t="s">
        <v>261</v>
      </c>
      <c r="K320" s="123">
        <v>165</v>
      </c>
      <c r="L320" s="29">
        <f t="shared" si="55"/>
        <v>29.743499999999997</v>
      </c>
      <c r="M320" s="110">
        <v>20.5</v>
      </c>
      <c r="N320" s="30">
        <v>0.28199999999999997</v>
      </c>
      <c r="O320" s="116">
        <v>5.7809999999999997</v>
      </c>
      <c r="P320" s="30">
        <v>7.4999999999999997E-2</v>
      </c>
      <c r="Q320" s="116">
        <v>1.5374999999999999</v>
      </c>
      <c r="R320" s="30">
        <v>7.0000000000000007E-2</v>
      </c>
      <c r="S320" s="116">
        <v>1.4350000000000001</v>
      </c>
      <c r="T320" s="117">
        <v>0.49</v>
      </c>
      <c r="U320" s="39">
        <v>250</v>
      </c>
      <c r="V320" s="32">
        <v>38</v>
      </c>
      <c r="W320" s="33"/>
      <c r="X320" s="32"/>
      <c r="Y320" s="32"/>
      <c r="Z320" s="32"/>
      <c r="AA320" s="34"/>
      <c r="AB320" s="35">
        <f t="shared" si="56"/>
        <v>288</v>
      </c>
      <c r="AC320" s="75">
        <f t="shared" si="57"/>
        <v>41250</v>
      </c>
      <c r="AD320" s="78">
        <f t="shared" si="65"/>
        <v>6270</v>
      </c>
      <c r="AE320" s="72">
        <f t="shared" si="58"/>
        <v>47520</v>
      </c>
      <c r="AF320" s="75">
        <f t="shared" si="59"/>
        <v>7435.8749999999991</v>
      </c>
      <c r="AG320" s="78">
        <f t="shared" si="60"/>
        <v>1130.2529999999999</v>
      </c>
      <c r="AH320" s="72">
        <f t="shared" si="61"/>
        <v>8566.1279999999988</v>
      </c>
      <c r="AI320" s="75">
        <f t="shared" si="62"/>
        <v>5125</v>
      </c>
      <c r="AJ320" s="78">
        <f t="shared" si="63"/>
        <v>779</v>
      </c>
      <c r="AK320" s="72">
        <f t="shared" si="64"/>
        <v>5904</v>
      </c>
    </row>
    <row r="321" spans="1:37" ht="15.95" customHeight="1">
      <c r="A321" s="25" t="s">
        <v>12</v>
      </c>
      <c r="B321" s="25" t="s">
        <v>252</v>
      </c>
      <c r="C321" s="26" t="s">
        <v>21</v>
      </c>
      <c r="D321" s="26" t="s">
        <v>375</v>
      </c>
      <c r="E321" s="26" t="s">
        <v>16</v>
      </c>
      <c r="F321" s="26" t="s">
        <v>336</v>
      </c>
      <c r="G321" s="26" t="s">
        <v>184</v>
      </c>
      <c r="H321" s="27" t="s">
        <v>185</v>
      </c>
      <c r="I321" s="26" t="s">
        <v>27</v>
      </c>
      <c r="J321" s="28" t="s">
        <v>265</v>
      </c>
      <c r="K321" s="123">
        <v>135</v>
      </c>
      <c r="L321" s="29">
        <f t="shared" si="55"/>
        <v>25.462499999999999</v>
      </c>
      <c r="M321" s="110">
        <v>17.5</v>
      </c>
      <c r="N321" s="30">
        <v>0.28199999999999997</v>
      </c>
      <c r="O321" s="116">
        <v>4.9349999999999996</v>
      </c>
      <c r="P321" s="30">
        <v>7.4999999999999997E-2</v>
      </c>
      <c r="Q321" s="116">
        <v>1.3125</v>
      </c>
      <c r="R321" s="30">
        <v>7.0000000000000007E-2</v>
      </c>
      <c r="S321" s="116">
        <v>1.2250000000000001</v>
      </c>
      <c r="T321" s="117">
        <v>0.49</v>
      </c>
      <c r="U321" s="39">
        <v>250</v>
      </c>
      <c r="V321" s="32">
        <v>38</v>
      </c>
      <c r="W321" s="33"/>
      <c r="X321" s="32"/>
      <c r="Y321" s="32"/>
      <c r="Z321" s="32"/>
      <c r="AA321" s="34"/>
      <c r="AB321" s="35">
        <f t="shared" si="56"/>
        <v>288</v>
      </c>
      <c r="AC321" s="75">
        <f t="shared" si="57"/>
        <v>33750</v>
      </c>
      <c r="AD321" s="78">
        <f t="shared" si="65"/>
        <v>5130</v>
      </c>
      <c r="AE321" s="72">
        <f t="shared" si="58"/>
        <v>38880</v>
      </c>
      <c r="AF321" s="75">
        <f t="shared" si="59"/>
        <v>6365.625</v>
      </c>
      <c r="AG321" s="78">
        <f t="shared" si="60"/>
        <v>967.57499999999993</v>
      </c>
      <c r="AH321" s="72">
        <f t="shared" si="61"/>
        <v>7333.2</v>
      </c>
      <c r="AI321" s="75">
        <f t="shared" si="62"/>
        <v>4375</v>
      </c>
      <c r="AJ321" s="78">
        <f t="shared" si="63"/>
        <v>665</v>
      </c>
      <c r="AK321" s="72">
        <f t="shared" si="64"/>
        <v>5040</v>
      </c>
    </row>
    <row r="322" spans="1:37" ht="15.95" customHeight="1">
      <c r="A322" s="25" t="s">
        <v>12</v>
      </c>
      <c r="B322" s="25" t="s">
        <v>252</v>
      </c>
      <c r="C322" s="26" t="s">
        <v>14</v>
      </c>
      <c r="D322" s="26" t="s">
        <v>375</v>
      </c>
      <c r="E322" s="26" t="s">
        <v>16</v>
      </c>
      <c r="F322" s="26" t="s">
        <v>335</v>
      </c>
      <c r="G322" s="26" t="s">
        <v>184</v>
      </c>
      <c r="H322" s="27" t="s">
        <v>185</v>
      </c>
      <c r="I322" s="26" t="s">
        <v>27</v>
      </c>
      <c r="J322" s="28" t="s">
        <v>261</v>
      </c>
      <c r="K322" s="123">
        <v>165</v>
      </c>
      <c r="L322" s="29">
        <f t="shared" si="55"/>
        <v>29.743499999999997</v>
      </c>
      <c r="M322" s="110">
        <v>20.5</v>
      </c>
      <c r="N322" s="30">
        <v>0.28199999999999997</v>
      </c>
      <c r="O322" s="116">
        <v>5.7809999999999997</v>
      </c>
      <c r="P322" s="30">
        <v>7.4999999999999997E-2</v>
      </c>
      <c r="Q322" s="116">
        <v>1.5374999999999999</v>
      </c>
      <c r="R322" s="30">
        <v>7.0000000000000007E-2</v>
      </c>
      <c r="S322" s="116">
        <v>1.4350000000000001</v>
      </c>
      <c r="T322" s="117">
        <v>0.49</v>
      </c>
      <c r="U322" s="39">
        <v>200</v>
      </c>
      <c r="V322" s="32">
        <v>32</v>
      </c>
      <c r="W322" s="33"/>
      <c r="X322" s="32"/>
      <c r="Y322" s="32"/>
      <c r="Z322" s="32"/>
      <c r="AA322" s="34"/>
      <c r="AB322" s="35">
        <f t="shared" si="56"/>
        <v>232</v>
      </c>
      <c r="AC322" s="75">
        <f t="shared" si="57"/>
        <v>33000</v>
      </c>
      <c r="AD322" s="78">
        <f t="shared" si="65"/>
        <v>5280</v>
      </c>
      <c r="AE322" s="72">
        <f t="shared" si="58"/>
        <v>38280</v>
      </c>
      <c r="AF322" s="75">
        <f t="shared" si="59"/>
        <v>5948.7</v>
      </c>
      <c r="AG322" s="78">
        <f t="shared" si="60"/>
        <v>951.79199999999992</v>
      </c>
      <c r="AH322" s="72">
        <f t="shared" si="61"/>
        <v>6900.4920000000002</v>
      </c>
      <c r="AI322" s="75">
        <f t="shared" si="62"/>
        <v>4100</v>
      </c>
      <c r="AJ322" s="78">
        <f t="shared" si="63"/>
        <v>656</v>
      </c>
      <c r="AK322" s="72">
        <f t="shared" si="64"/>
        <v>4756</v>
      </c>
    </row>
    <row r="323" spans="1:37" ht="15.95" customHeight="1">
      <c r="A323" s="25" t="s">
        <v>12</v>
      </c>
      <c r="B323" s="25" t="s">
        <v>252</v>
      </c>
      <c r="C323" s="26" t="s">
        <v>21</v>
      </c>
      <c r="D323" s="26" t="s">
        <v>375</v>
      </c>
      <c r="E323" s="26" t="s">
        <v>16</v>
      </c>
      <c r="F323" s="26" t="s">
        <v>336</v>
      </c>
      <c r="G323" s="26" t="s">
        <v>184</v>
      </c>
      <c r="H323" s="27" t="s">
        <v>185</v>
      </c>
      <c r="I323" s="26" t="s">
        <v>27</v>
      </c>
      <c r="J323" s="28" t="s">
        <v>265</v>
      </c>
      <c r="K323" s="123">
        <v>135</v>
      </c>
      <c r="L323" s="29">
        <f t="shared" si="55"/>
        <v>25.462499999999999</v>
      </c>
      <c r="M323" s="110">
        <v>17.5</v>
      </c>
      <c r="N323" s="30">
        <v>0.28199999999999997</v>
      </c>
      <c r="O323" s="116">
        <v>4.9349999999999996</v>
      </c>
      <c r="P323" s="30">
        <v>7.4999999999999997E-2</v>
      </c>
      <c r="Q323" s="116">
        <v>1.3125</v>
      </c>
      <c r="R323" s="30">
        <v>7.0000000000000007E-2</v>
      </c>
      <c r="S323" s="116">
        <v>1.2250000000000001</v>
      </c>
      <c r="T323" s="117">
        <v>0.49</v>
      </c>
      <c r="U323" s="39">
        <v>200</v>
      </c>
      <c r="V323" s="32">
        <v>32</v>
      </c>
      <c r="W323" s="33"/>
      <c r="X323" s="32"/>
      <c r="Y323" s="32"/>
      <c r="Z323" s="32"/>
      <c r="AA323" s="34"/>
      <c r="AB323" s="35">
        <f t="shared" si="56"/>
        <v>232</v>
      </c>
      <c r="AC323" s="75">
        <f t="shared" si="57"/>
        <v>27000</v>
      </c>
      <c r="AD323" s="78">
        <f t="shared" si="65"/>
        <v>4320</v>
      </c>
      <c r="AE323" s="72">
        <f t="shared" si="58"/>
        <v>31320</v>
      </c>
      <c r="AF323" s="75">
        <f t="shared" si="59"/>
        <v>5092.5</v>
      </c>
      <c r="AG323" s="78">
        <f t="shared" si="60"/>
        <v>814.8</v>
      </c>
      <c r="AH323" s="72">
        <f t="shared" si="61"/>
        <v>5907.3</v>
      </c>
      <c r="AI323" s="75">
        <f t="shared" si="62"/>
        <v>3500</v>
      </c>
      <c r="AJ323" s="78">
        <f t="shared" si="63"/>
        <v>560</v>
      </c>
      <c r="AK323" s="72">
        <f t="shared" si="64"/>
        <v>4060</v>
      </c>
    </row>
    <row r="324" spans="1:37" ht="15.95" customHeight="1">
      <c r="A324" s="25" t="s">
        <v>12</v>
      </c>
      <c r="B324" s="25" t="s">
        <v>252</v>
      </c>
      <c r="C324" s="26" t="s">
        <v>293</v>
      </c>
      <c r="D324" s="26" t="s">
        <v>375</v>
      </c>
      <c r="E324" s="26" t="s">
        <v>16</v>
      </c>
      <c r="F324" s="26" t="s">
        <v>337</v>
      </c>
      <c r="G324" s="26" t="s">
        <v>184</v>
      </c>
      <c r="H324" s="44" t="s">
        <v>185</v>
      </c>
      <c r="I324" s="26" t="s">
        <v>27</v>
      </c>
      <c r="J324" s="28" t="s">
        <v>301</v>
      </c>
      <c r="K324" s="125">
        <v>125</v>
      </c>
      <c r="L324" s="29">
        <f t="shared" si="55"/>
        <v>22.674999999999997</v>
      </c>
      <c r="M324" s="110">
        <v>17</v>
      </c>
      <c r="N324" s="30">
        <v>0.16</v>
      </c>
      <c r="O324" s="116">
        <v>2.72</v>
      </c>
      <c r="P324" s="30">
        <v>7.4999999999999997E-2</v>
      </c>
      <c r="Q324" s="116">
        <v>1.2749999999999999</v>
      </c>
      <c r="R324" s="30">
        <v>7.0000000000000007E-2</v>
      </c>
      <c r="S324" s="116">
        <v>1.1900000000000002</v>
      </c>
      <c r="T324" s="117">
        <v>0.49</v>
      </c>
      <c r="U324" s="39">
        <v>250</v>
      </c>
      <c r="V324" s="32">
        <v>56</v>
      </c>
      <c r="W324" s="33"/>
      <c r="X324" s="32"/>
      <c r="Y324" s="32"/>
      <c r="Z324" s="32"/>
      <c r="AA324" s="34"/>
      <c r="AB324" s="35">
        <f t="shared" si="56"/>
        <v>306</v>
      </c>
      <c r="AC324" s="75">
        <f t="shared" si="57"/>
        <v>31250</v>
      </c>
      <c r="AD324" s="78">
        <f t="shared" si="65"/>
        <v>7000</v>
      </c>
      <c r="AE324" s="72">
        <f t="shared" si="58"/>
        <v>38250</v>
      </c>
      <c r="AF324" s="75">
        <f t="shared" si="59"/>
        <v>5668.7499999999991</v>
      </c>
      <c r="AG324" s="78">
        <f t="shared" si="60"/>
        <v>1269.7999999999997</v>
      </c>
      <c r="AH324" s="72">
        <f t="shared" si="61"/>
        <v>6938.5499999999993</v>
      </c>
      <c r="AI324" s="75">
        <f t="shared" si="62"/>
        <v>4250</v>
      </c>
      <c r="AJ324" s="78">
        <f t="shared" si="63"/>
        <v>952</v>
      </c>
      <c r="AK324" s="72">
        <f t="shared" si="64"/>
        <v>5202</v>
      </c>
    </row>
    <row r="325" spans="1:37" ht="15.95" customHeight="1">
      <c r="A325" s="25" t="s">
        <v>12</v>
      </c>
      <c r="B325" s="25" t="s">
        <v>252</v>
      </c>
      <c r="C325" s="26" t="s">
        <v>338</v>
      </c>
      <c r="D325" s="26" t="s">
        <v>375</v>
      </c>
      <c r="E325" s="26" t="s">
        <v>16</v>
      </c>
      <c r="F325" s="26" t="s">
        <v>339</v>
      </c>
      <c r="G325" s="26" t="s">
        <v>184</v>
      </c>
      <c r="H325" s="44" t="s">
        <v>185</v>
      </c>
      <c r="I325" s="26" t="s">
        <v>27</v>
      </c>
      <c r="J325" s="28" t="s">
        <v>340</v>
      </c>
      <c r="K325" s="125">
        <v>125</v>
      </c>
      <c r="L325" s="29">
        <f t="shared" si="55"/>
        <v>21.122499999999995</v>
      </c>
      <c r="M325" s="110">
        <v>15.75</v>
      </c>
      <c r="N325" s="30">
        <v>0.16500000000000001</v>
      </c>
      <c r="O325" s="116">
        <v>2.5987500000000003</v>
      </c>
      <c r="P325" s="30">
        <v>7.4999999999999997E-2</v>
      </c>
      <c r="Q325" s="116">
        <v>1.1812499999999999</v>
      </c>
      <c r="R325" s="30">
        <v>7.0000000000000007E-2</v>
      </c>
      <c r="S325" s="116">
        <v>1.1025</v>
      </c>
      <c r="T325" s="117">
        <v>0.49</v>
      </c>
      <c r="U325" s="39">
        <v>300</v>
      </c>
      <c r="V325" s="32"/>
      <c r="W325" s="33"/>
      <c r="X325" s="32"/>
      <c r="Y325" s="32"/>
      <c r="Z325" s="32"/>
      <c r="AA325" s="34"/>
      <c r="AB325" s="35">
        <f t="shared" si="56"/>
        <v>300</v>
      </c>
      <c r="AC325" s="75">
        <f t="shared" si="57"/>
        <v>37500</v>
      </c>
      <c r="AD325" s="78">
        <f t="shared" si="65"/>
        <v>0</v>
      </c>
      <c r="AE325" s="72">
        <f t="shared" si="58"/>
        <v>37500</v>
      </c>
      <c r="AF325" s="75">
        <f t="shared" si="59"/>
        <v>6336.7499999999982</v>
      </c>
      <c r="AG325" s="78">
        <f t="shared" si="60"/>
        <v>0</v>
      </c>
      <c r="AH325" s="72">
        <f t="shared" si="61"/>
        <v>6336.7499999999982</v>
      </c>
      <c r="AI325" s="75">
        <f t="shared" si="62"/>
        <v>4725</v>
      </c>
      <c r="AJ325" s="78">
        <f t="shared" si="63"/>
        <v>0</v>
      </c>
      <c r="AK325" s="72">
        <f t="shared" si="64"/>
        <v>4725</v>
      </c>
    </row>
    <row r="326" spans="1:37" ht="15.95" customHeight="1">
      <c r="A326" s="25" t="s">
        <v>12</v>
      </c>
      <c r="B326" s="25" t="s">
        <v>252</v>
      </c>
      <c r="C326" s="26" t="s">
        <v>338</v>
      </c>
      <c r="D326" s="26" t="s">
        <v>375</v>
      </c>
      <c r="E326" s="26" t="s">
        <v>16</v>
      </c>
      <c r="F326" s="26" t="s">
        <v>339</v>
      </c>
      <c r="G326" s="26" t="s">
        <v>184</v>
      </c>
      <c r="H326" s="44" t="s">
        <v>185</v>
      </c>
      <c r="I326" s="26" t="s">
        <v>27</v>
      </c>
      <c r="J326" s="28" t="s">
        <v>340</v>
      </c>
      <c r="K326" s="125">
        <v>125</v>
      </c>
      <c r="L326" s="29">
        <f t="shared" si="55"/>
        <v>21.122499999999995</v>
      </c>
      <c r="M326" s="110">
        <v>15.75</v>
      </c>
      <c r="N326" s="30">
        <v>0.16500000000000001</v>
      </c>
      <c r="O326" s="116">
        <v>2.5987500000000003</v>
      </c>
      <c r="P326" s="30">
        <v>7.4999999999999997E-2</v>
      </c>
      <c r="Q326" s="116">
        <v>1.1812499999999999</v>
      </c>
      <c r="R326" s="30">
        <v>7.0000000000000007E-2</v>
      </c>
      <c r="S326" s="116">
        <v>1.1025</v>
      </c>
      <c r="T326" s="117">
        <v>0.49</v>
      </c>
      <c r="U326" s="39">
        <v>300</v>
      </c>
      <c r="V326" s="32"/>
      <c r="W326" s="33"/>
      <c r="X326" s="32"/>
      <c r="Y326" s="32"/>
      <c r="Z326" s="32"/>
      <c r="AA326" s="34"/>
      <c r="AB326" s="35">
        <f t="shared" si="56"/>
        <v>300</v>
      </c>
      <c r="AC326" s="75">
        <f t="shared" si="57"/>
        <v>37500</v>
      </c>
      <c r="AD326" s="78">
        <f t="shared" si="65"/>
        <v>0</v>
      </c>
      <c r="AE326" s="72">
        <f t="shared" si="58"/>
        <v>37500</v>
      </c>
      <c r="AF326" s="75">
        <f t="shared" si="59"/>
        <v>6336.7499999999982</v>
      </c>
      <c r="AG326" s="78">
        <f t="shared" si="60"/>
        <v>0</v>
      </c>
      <c r="AH326" s="72">
        <f t="shared" si="61"/>
        <v>6336.7499999999982</v>
      </c>
      <c r="AI326" s="75">
        <f t="shared" si="62"/>
        <v>4725</v>
      </c>
      <c r="AJ326" s="78">
        <f t="shared" si="63"/>
        <v>0</v>
      </c>
      <c r="AK326" s="72">
        <f t="shared" si="64"/>
        <v>4725</v>
      </c>
    </row>
    <row r="327" spans="1:37" ht="15.95" customHeight="1">
      <c r="A327" s="25" t="s">
        <v>12</v>
      </c>
      <c r="B327" s="25" t="s">
        <v>252</v>
      </c>
      <c r="C327" s="26" t="s">
        <v>21</v>
      </c>
      <c r="D327" s="26" t="s">
        <v>375</v>
      </c>
      <c r="E327" s="26" t="s">
        <v>16</v>
      </c>
      <c r="F327" s="26" t="s">
        <v>336</v>
      </c>
      <c r="G327" s="26" t="s">
        <v>184</v>
      </c>
      <c r="H327" s="44" t="s">
        <v>185</v>
      </c>
      <c r="I327" s="26" t="s">
        <v>27</v>
      </c>
      <c r="J327" s="28" t="s">
        <v>265</v>
      </c>
      <c r="K327" s="125">
        <v>135</v>
      </c>
      <c r="L327" s="29">
        <f t="shared" si="55"/>
        <v>25.462499999999999</v>
      </c>
      <c r="M327" s="110">
        <v>17.5</v>
      </c>
      <c r="N327" s="30">
        <v>0.28199999999999997</v>
      </c>
      <c r="O327" s="116">
        <v>4.9349999999999996</v>
      </c>
      <c r="P327" s="30">
        <v>7.4999999999999997E-2</v>
      </c>
      <c r="Q327" s="116">
        <v>1.3125</v>
      </c>
      <c r="R327" s="30">
        <v>7.0000000000000007E-2</v>
      </c>
      <c r="S327" s="116">
        <v>1.2250000000000001</v>
      </c>
      <c r="T327" s="117">
        <v>0.49</v>
      </c>
      <c r="U327" s="39">
        <v>250</v>
      </c>
      <c r="V327" s="32"/>
      <c r="W327" s="33"/>
      <c r="X327" s="32"/>
      <c r="Y327" s="32"/>
      <c r="Z327" s="32"/>
      <c r="AA327" s="34"/>
      <c r="AB327" s="35">
        <f t="shared" si="56"/>
        <v>250</v>
      </c>
      <c r="AC327" s="75">
        <f t="shared" si="57"/>
        <v>33750</v>
      </c>
      <c r="AD327" s="78">
        <f t="shared" si="65"/>
        <v>0</v>
      </c>
      <c r="AE327" s="72">
        <f t="shared" si="58"/>
        <v>33750</v>
      </c>
      <c r="AF327" s="75">
        <f t="shared" si="59"/>
        <v>6365.625</v>
      </c>
      <c r="AG327" s="78">
        <f t="shared" si="60"/>
        <v>0</v>
      </c>
      <c r="AH327" s="72">
        <f t="shared" si="61"/>
        <v>6365.625</v>
      </c>
      <c r="AI327" s="75">
        <f t="shared" si="62"/>
        <v>4375</v>
      </c>
      <c r="AJ327" s="78">
        <f t="shared" si="63"/>
        <v>0</v>
      </c>
      <c r="AK327" s="72">
        <f t="shared" si="64"/>
        <v>4375</v>
      </c>
    </row>
    <row r="328" spans="1:37" ht="15.95" customHeight="1">
      <c r="A328" s="25" t="s">
        <v>12</v>
      </c>
      <c r="B328" s="25" t="s">
        <v>252</v>
      </c>
      <c r="C328" s="26" t="s">
        <v>14</v>
      </c>
      <c r="D328" s="26" t="s">
        <v>375</v>
      </c>
      <c r="E328" s="26" t="s">
        <v>16</v>
      </c>
      <c r="F328" s="26" t="s">
        <v>341</v>
      </c>
      <c r="G328" s="26" t="s">
        <v>184</v>
      </c>
      <c r="H328" s="27" t="s">
        <v>185</v>
      </c>
      <c r="I328" s="26" t="s">
        <v>27</v>
      </c>
      <c r="J328" s="28" t="s">
        <v>261</v>
      </c>
      <c r="K328" s="125">
        <v>135</v>
      </c>
      <c r="L328" s="29">
        <f t="shared" si="55"/>
        <v>27.602999999999998</v>
      </c>
      <c r="M328" s="110">
        <v>19</v>
      </c>
      <c r="N328" s="30">
        <v>0.28199999999999997</v>
      </c>
      <c r="O328" s="116">
        <v>5.3579999999999997</v>
      </c>
      <c r="P328" s="30">
        <v>7.4999999999999997E-2</v>
      </c>
      <c r="Q328" s="116">
        <v>1.425</v>
      </c>
      <c r="R328" s="30">
        <v>7.0000000000000007E-2</v>
      </c>
      <c r="S328" s="116">
        <v>1.33</v>
      </c>
      <c r="T328" s="117">
        <v>0.49</v>
      </c>
      <c r="U328" s="39">
        <v>250</v>
      </c>
      <c r="V328" s="32"/>
      <c r="W328" s="33"/>
      <c r="X328" s="32"/>
      <c r="Y328" s="32"/>
      <c r="Z328" s="32"/>
      <c r="AA328" s="34"/>
      <c r="AB328" s="35">
        <f t="shared" si="56"/>
        <v>250</v>
      </c>
      <c r="AC328" s="75">
        <f t="shared" si="57"/>
        <v>33750</v>
      </c>
      <c r="AD328" s="78">
        <f t="shared" si="65"/>
        <v>0</v>
      </c>
      <c r="AE328" s="72">
        <f t="shared" si="58"/>
        <v>33750</v>
      </c>
      <c r="AF328" s="75">
        <f t="shared" si="59"/>
        <v>6900.7499999999991</v>
      </c>
      <c r="AG328" s="78">
        <f t="shared" si="60"/>
        <v>0</v>
      </c>
      <c r="AH328" s="72">
        <f t="shared" si="61"/>
        <v>6900.7499999999991</v>
      </c>
      <c r="AI328" s="75">
        <f t="shared" si="62"/>
        <v>4750</v>
      </c>
      <c r="AJ328" s="78">
        <f t="shared" si="63"/>
        <v>0</v>
      </c>
      <c r="AK328" s="72">
        <f t="shared" si="64"/>
        <v>4750</v>
      </c>
    </row>
    <row r="329" spans="1:37" ht="15.95" customHeight="1">
      <c r="A329" s="25" t="s">
        <v>12</v>
      </c>
      <c r="B329" s="25" t="s">
        <v>252</v>
      </c>
      <c r="C329" s="26" t="s">
        <v>275</v>
      </c>
      <c r="D329" s="26" t="s">
        <v>375</v>
      </c>
      <c r="E329" s="26" t="s">
        <v>16</v>
      </c>
      <c r="F329" s="26" t="s">
        <v>342</v>
      </c>
      <c r="G329" s="26" t="s">
        <v>184</v>
      </c>
      <c r="H329" s="27" t="s">
        <v>185</v>
      </c>
      <c r="I329" s="26" t="s">
        <v>27</v>
      </c>
      <c r="J329" s="28" t="s">
        <v>259</v>
      </c>
      <c r="K329" s="123">
        <v>78</v>
      </c>
      <c r="L329" s="29">
        <f t="shared" si="55"/>
        <v>16.149999999999999</v>
      </c>
      <c r="M329" s="110">
        <v>12</v>
      </c>
      <c r="N329" s="30">
        <v>0.16</v>
      </c>
      <c r="O329" s="116">
        <v>1.92</v>
      </c>
      <c r="P329" s="30">
        <v>7.4999999999999997E-2</v>
      </c>
      <c r="Q329" s="116">
        <v>0.89999999999999991</v>
      </c>
      <c r="R329" s="30">
        <v>7.0000000000000007E-2</v>
      </c>
      <c r="S329" s="116">
        <v>0.84000000000000008</v>
      </c>
      <c r="T329" s="117">
        <v>0.49</v>
      </c>
      <c r="U329" s="39">
        <v>200</v>
      </c>
      <c r="V329" s="32"/>
      <c r="W329" s="33"/>
      <c r="X329" s="32"/>
      <c r="Y329" s="32"/>
      <c r="Z329" s="32"/>
      <c r="AA329" s="34"/>
      <c r="AB329" s="35">
        <f t="shared" si="56"/>
        <v>200</v>
      </c>
      <c r="AC329" s="75">
        <f t="shared" si="57"/>
        <v>15600</v>
      </c>
      <c r="AD329" s="78">
        <f t="shared" si="65"/>
        <v>0</v>
      </c>
      <c r="AE329" s="72">
        <f t="shared" si="58"/>
        <v>15600</v>
      </c>
      <c r="AF329" s="75">
        <f t="shared" si="59"/>
        <v>3229.9999999999995</v>
      </c>
      <c r="AG329" s="78">
        <f t="shared" si="60"/>
        <v>0</v>
      </c>
      <c r="AH329" s="72">
        <f t="shared" si="61"/>
        <v>3229.9999999999995</v>
      </c>
      <c r="AI329" s="75">
        <f t="shared" si="62"/>
        <v>2400</v>
      </c>
      <c r="AJ329" s="78">
        <f t="shared" si="63"/>
        <v>0</v>
      </c>
      <c r="AK329" s="72">
        <f t="shared" si="64"/>
        <v>2400</v>
      </c>
    </row>
    <row r="330" spans="1:37" ht="15.95" customHeight="1">
      <c r="A330" s="25" t="s">
        <v>12</v>
      </c>
      <c r="B330" s="25" t="s">
        <v>252</v>
      </c>
      <c r="C330" s="26" t="s">
        <v>309</v>
      </c>
      <c r="D330" s="26" t="s">
        <v>213</v>
      </c>
      <c r="E330" s="26" t="s">
        <v>214</v>
      </c>
      <c r="F330" s="26" t="s">
        <v>343</v>
      </c>
      <c r="G330" s="26" t="s">
        <v>344</v>
      </c>
      <c r="H330" s="27" t="s">
        <v>345</v>
      </c>
      <c r="I330" s="26" t="s">
        <v>27</v>
      </c>
      <c r="J330" s="28" t="s">
        <v>311</v>
      </c>
      <c r="K330" s="123">
        <v>48</v>
      </c>
      <c r="L330" s="29">
        <f t="shared" si="55"/>
        <v>6.9947499999999998</v>
      </c>
      <c r="M330" s="110">
        <v>5.25</v>
      </c>
      <c r="N330" s="30">
        <v>0.16900000000000001</v>
      </c>
      <c r="O330" s="116">
        <v>0.88725000000000009</v>
      </c>
      <c r="P330" s="30"/>
      <c r="Q330" s="116"/>
      <c r="R330" s="30">
        <v>7.0000000000000007E-2</v>
      </c>
      <c r="S330" s="116">
        <v>0.36750000000000005</v>
      </c>
      <c r="T330" s="117">
        <v>0.49</v>
      </c>
      <c r="U330" s="39">
        <v>300</v>
      </c>
      <c r="V330" s="32"/>
      <c r="W330" s="33"/>
      <c r="X330" s="32"/>
      <c r="Y330" s="32"/>
      <c r="Z330" s="32"/>
      <c r="AA330" s="34"/>
      <c r="AB330" s="35">
        <f t="shared" si="56"/>
        <v>300</v>
      </c>
      <c r="AC330" s="75">
        <f t="shared" si="57"/>
        <v>14400</v>
      </c>
      <c r="AD330" s="78">
        <f t="shared" si="65"/>
        <v>0</v>
      </c>
      <c r="AE330" s="72">
        <f t="shared" si="58"/>
        <v>14400</v>
      </c>
      <c r="AF330" s="75">
        <f t="shared" si="59"/>
        <v>2098.4249999999997</v>
      </c>
      <c r="AG330" s="78">
        <f t="shared" si="60"/>
        <v>0</v>
      </c>
      <c r="AH330" s="72">
        <f t="shared" si="61"/>
        <v>2098.4249999999997</v>
      </c>
      <c r="AI330" s="75">
        <f t="shared" si="62"/>
        <v>1575</v>
      </c>
      <c r="AJ330" s="78">
        <f t="shared" si="63"/>
        <v>0</v>
      </c>
      <c r="AK330" s="72">
        <f t="shared" si="64"/>
        <v>1575</v>
      </c>
    </row>
    <row r="331" spans="1:37" ht="15.95" customHeight="1">
      <c r="A331" s="25" t="s">
        <v>12</v>
      </c>
      <c r="B331" s="25" t="s">
        <v>252</v>
      </c>
      <c r="C331" s="26" t="s">
        <v>309</v>
      </c>
      <c r="D331" s="26" t="s">
        <v>213</v>
      </c>
      <c r="E331" s="26" t="s">
        <v>214</v>
      </c>
      <c r="F331" s="26" t="s">
        <v>343</v>
      </c>
      <c r="G331" s="26" t="s">
        <v>344</v>
      </c>
      <c r="H331" s="27" t="s">
        <v>345</v>
      </c>
      <c r="I331" s="26" t="s">
        <v>27</v>
      </c>
      <c r="J331" s="28" t="s">
        <v>311</v>
      </c>
      <c r="K331" s="123">
        <v>48</v>
      </c>
      <c r="L331" s="29">
        <f t="shared" si="55"/>
        <v>6.9947499999999998</v>
      </c>
      <c r="M331" s="110">
        <v>5.25</v>
      </c>
      <c r="N331" s="30">
        <v>0.16900000000000001</v>
      </c>
      <c r="O331" s="116">
        <v>0.88725000000000009</v>
      </c>
      <c r="P331" s="30"/>
      <c r="Q331" s="116"/>
      <c r="R331" s="30">
        <v>7.0000000000000007E-2</v>
      </c>
      <c r="S331" s="116">
        <v>0.36750000000000005</v>
      </c>
      <c r="T331" s="117">
        <v>0.49</v>
      </c>
      <c r="U331" s="39">
        <v>300</v>
      </c>
      <c r="V331" s="32"/>
      <c r="W331" s="33"/>
      <c r="X331" s="32"/>
      <c r="Y331" s="32"/>
      <c r="Z331" s="32"/>
      <c r="AA331" s="34"/>
      <c r="AB331" s="35">
        <f t="shared" si="56"/>
        <v>300</v>
      </c>
      <c r="AC331" s="75">
        <f t="shared" si="57"/>
        <v>14400</v>
      </c>
      <c r="AD331" s="78">
        <f t="shared" si="65"/>
        <v>0</v>
      </c>
      <c r="AE331" s="72">
        <f t="shared" si="58"/>
        <v>14400</v>
      </c>
      <c r="AF331" s="75">
        <f t="shared" si="59"/>
        <v>2098.4249999999997</v>
      </c>
      <c r="AG331" s="78">
        <f t="shared" si="60"/>
        <v>0</v>
      </c>
      <c r="AH331" s="72">
        <f t="shared" si="61"/>
        <v>2098.4249999999997</v>
      </c>
      <c r="AI331" s="75">
        <f t="shared" si="62"/>
        <v>1575</v>
      </c>
      <c r="AJ331" s="78">
        <f t="shared" si="63"/>
        <v>0</v>
      </c>
      <c r="AK331" s="72">
        <f t="shared" si="64"/>
        <v>1575</v>
      </c>
    </row>
    <row r="332" spans="1:37" ht="15.95" customHeight="1">
      <c r="A332" s="25" t="s">
        <v>12</v>
      </c>
      <c r="B332" s="25" t="s">
        <v>252</v>
      </c>
      <c r="C332" s="26" t="s">
        <v>14</v>
      </c>
      <c r="D332" s="26" t="s">
        <v>213</v>
      </c>
      <c r="E332" s="26" t="s">
        <v>214</v>
      </c>
      <c r="F332" s="41" t="s">
        <v>346</v>
      </c>
      <c r="G332" s="26" t="s">
        <v>240</v>
      </c>
      <c r="H332" s="44" t="s">
        <v>95</v>
      </c>
      <c r="I332" s="26" t="s">
        <v>27</v>
      </c>
      <c r="J332" s="28" t="s">
        <v>340</v>
      </c>
      <c r="K332" s="123">
        <v>98</v>
      </c>
      <c r="L332" s="29">
        <f t="shared" si="55"/>
        <v>17.779999999999998</v>
      </c>
      <c r="M332" s="110">
        <v>14</v>
      </c>
      <c r="N332" s="30">
        <v>0.16500000000000001</v>
      </c>
      <c r="O332" s="116">
        <v>2.31</v>
      </c>
      <c r="P332" s="30"/>
      <c r="Q332" s="116"/>
      <c r="R332" s="30">
        <v>7.0000000000000007E-2</v>
      </c>
      <c r="S332" s="116">
        <v>0.98000000000000009</v>
      </c>
      <c r="T332" s="117">
        <v>0.49</v>
      </c>
      <c r="U332" s="39">
        <v>250</v>
      </c>
      <c r="V332" s="32">
        <v>64</v>
      </c>
      <c r="W332" s="33"/>
      <c r="X332" s="32"/>
      <c r="Y332" s="32"/>
      <c r="Z332" s="32"/>
      <c r="AA332" s="34"/>
      <c r="AB332" s="35">
        <f t="shared" si="56"/>
        <v>314</v>
      </c>
      <c r="AC332" s="75">
        <f t="shared" si="57"/>
        <v>24500</v>
      </c>
      <c r="AD332" s="78">
        <f t="shared" si="65"/>
        <v>6272</v>
      </c>
      <c r="AE332" s="72">
        <f t="shared" si="58"/>
        <v>30772</v>
      </c>
      <c r="AF332" s="75">
        <f t="shared" si="59"/>
        <v>4444.9999999999991</v>
      </c>
      <c r="AG332" s="78">
        <f t="shared" si="60"/>
        <v>1137.9199999999998</v>
      </c>
      <c r="AH332" s="72">
        <f t="shared" si="61"/>
        <v>5582.9199999999992</v>
      </c>
      <c r="AI332" s="75">
        <f t="shared" si="62"/>
        <v>3500</v>
      </c>
      <c r="AJ332" s="78">
        <f t="shared" si="63"/>
        <v>896</v>
      </c>
      <c r="AK332" s="72">
        <f t="shared" si="64"/>
        <v>4396</v>
      </c>
    </row>
    <row r="333" spans="1:37" ht="15.95" customHeight="1">
      <c r="A333" s="25" t="s">
        <v>12</v>
      </c>
      <c r="B333" s="25" t="s">
        <v>252</v>
      </c>
      <c r="C333" s="26" t="s">
        <v>347</v>
      </c>
      <c r="D333" s="26" t="s">
        <v>213</v>
      </c>
      <c r="E333" s="26" t="s">
        <v>214</v>
      </c>
      <c r="F333" s="41" t="s">
        <v>348</v>
      </c>
      <c r="G333" s="26" t="s">
        <v>240</v>
      </c>
      <c r="H333" s="44" t="s">
        <v>95</v>
      </c>
      <c r="I333" s="26" t="s">
        <v>27</v>
      </c>
      <c r="J333" s="28" t="s">
        <v>349</v>
      </c>
      <c r="K333" s="123">
        <v>88</v>
      </c>
      <c r="L333" s="29">
        <f t="shared" si="55"/>
        <v>17.555999999999997</v>
      </c>
      <c r="M333" s="110">
        <v>14</v>
      </c>
      <c r="N333" s="30">
        <v>0.14899999999999999</v>
      </c>
      <c r="O333" s="116">
        <v>2.0859999999999999</v>
      </c>
      <c r="P333" s="30"/>
      <c r="Q333" s="116"/>
      <c r="R333" s="30">
        <v>7.0000000000000007E-2</v>
      </c>
      <c r="S333" s="116">
        <v>0.98000000000000009</v>
      </c>
      <c r="T333" s="117">
        <v>0.49</v>
      </c>
      <c r="U333" s="39">
        <v>250</v>
      </c>
      <c r="V333" s="32">
        <v>64</v>
      </c>
      <c r="W333" s="33"/>
      <c r="X333" s="32"/>
      <c r="Y333" s="32"/>
      <c r="Z333" s="32"/>
      <c r="AA333" s="34"/>
      <c r="AB333" s="35">
        <f t="shared" si="56"/>
        <v>314</v>
      </c>
      <c r="AC333" s="75">
        <f t="shared" si="57"/>
        <v>22000</v>
      </c>
      <c r="AD333" s="78">
        <f t="shared" si="65"/>
        <v>5632</v>
      </c>
      <c r="AE333" s="72">
        <f t="shared" si="58"/>
        <v>27632</v>
      </c>
      <c r="AF333" s="75">
        <f t="shared" si="59"/>
        <v>4388.9999999999991</v>
      </c>
      <c r="AG333" s="78">
        <f t="shared" si="60"/>
        <v>1123.5839999999998</v>
      </c>
      <c r="AH333" s="72">
        <f t="shared" si="61"/>
        <v>5512.5839999999989</v>
      </c>
      <c r="AI333" s="75">
        <f t="shared" si="62"/>
        <v>3500</v>
      </c>
      <c r="AJ333" s="78">
        <f t="shared" si="63"/>
        <v>896</v>
      </c>
      <c r="AK333" s="72">
        <f t="shared" si="64"/>
        <v>4396</v>
      </c>
    </row>
    <row r="334" spans="1:37" ht="15.95" customHeight="1">
      <c r="A334" s="25" t="s">
        <v>12</v>
      </c>
      <c r="B334" s="25" t="s">
        <v>252</v>
      </c>
      <c r="C334" s="26" t="s">
        <v>14</v>
      </c>
      <c r="D334" s="26" t="s">
        <v>213</v>
      </c>
      <c r="E334" s="26" t="s">
        <v>214</v>
      </c>
      <c r="F334" s="41" t="s">
        <v>346</v>
      </c>
      <c r="G334" s="26" t="s">
        <v>240</v>
      </c>
      <c r="H334" s="44" t="s">
        <v>95</v>
      </c>
      <c r="I334" s="26" t="s">
        <v>27</v>
      </c>
      <c r="J334" s="28" t="s">
        <v>340</v>
      </c>
      <c r="K334" s="123">
        <v>98</v>
      </c>
      <c r="L334" s="29">
        <f t="shared" si="55"/>
        <v>17.779999999999998</v>
      </c>
      <c r="M334" s="110">
        <v>14</v>
      </c>
      <c r="N334" s="30">
        <v>0.16500000000000001</v>
      </c>
      <c r="O334" s="116">
        <v>2.31</v>
      </c>
      <c r="P334" s="30"/>
      <c r="Q334" s="116"/>
      <c r="R334" s="30">
        <v>7.0000000000000007E-2</v>
      </c>
      <c r="S334" s="116">
        <v>0.98000000000000009</v>
      </c>
      <c r="T334" s="117">
        <v>0.49</v>
      </c>
      <c r="U334" s="39">
        <v>250</v>
      </c>
      <c r="V334" s="32">
        <v>64</v>
      </c>
      <c r="W334" s="33"/>
      <c r="X334" s="32"/>
      <c r="Y334" s="32"/>
      <c r="Z334" s="32"/>
      <c r="AA334" s="34"/>
      <c r="AB334" s="35">
        <f t="shared" si="56"/>
        <v>314</v>
      </c>
      <c r="AC334" s="75">
        <f t="shared" si="57"/>
        <v>24500</v>
      </c>
      <c r="AD334" s="78">
        <f t="shared" si="65"/>
        <v>6272</v>
      </c>
      <c r="AE334" s="72">
        <f t="shared" si="58"/>
        <v>30772</v>
      </c>
      <c r="AF334" s="75">
        <f t="shared" si="59"/>
        <v>4444.9999999999991</v>
      </c>
      <c r="AG334" s="78">
        <f t="shared" si="60"/>
        <v>1137.9199999999998</v>
      </c>
      <c r="AH334" s="72">
        <f t="shared" si="61"/>
        <v>5582.9199999999992</v>
      </c>
      <c r="AI334" s="75">
        <f t="shared" si="62"/>
        <v>3500</v>
      </c>
      <c r="AJ334" s="78">
        <f t="shared" si="63"/>
        <v>896</v>
      </c>
      <c r="AK334" s="72">
        <f t="shared" si="64"/>
        <v>4396</v>
      </c>
    </row>
    <row r="335" spans="1:37" ht="15.95" customHeight="1">
      <c r="A335" s="25" t="s">
        <v>12</v>
      </c>
      <c r="B335" s="25" t="s">
        <v>252</v>
      </c>
      <c r="C335" s="26" t="s">
        <v>347</v>
      </c>
      <c r="D335" s="26" t="s">
        <v>213</v>
      </c>
      <c r="E335" s="26" t="s">
        <v>214</v>
      </c>
      <c r="F335" s="41" t="s">
        <v>348</v>
      </c>
      <c r="G335" s="26" t="s">
        <v>240</v>
      </c>
      <c r="H335" s="44" t="s">
        <v>95</v>
      </c>
      <c r="I335" s="26" t="s">
        <v>27</v>
      </c>
      <c r="J335" s="28" t="s">
        <v>349</v>
      </c>
      <c r="K335" s="123">
        <v>88</v>
      </c>
      <c r="L335" s="29">
        <f t="shared" si="55"/>
        <v>17.555999999999997</v>
      </c>
      <c r="M335" s="110">
        <v>14</v>
      </c>
      <c r="N335" s="30">
        <v>0.14899999999999999</v>
      </c>
      <c r="O335" s="116">
        <v>2.0859999999999999</v>
      </c>
      <c r="P335" s="30"/>
      <c r="Q335" s="116"/>
      <c r="R335" s="30">
        <v>7.0000000000000007E-2</v>
      </c>
      <c r="S335" s="116">
        <v>0.98000000000000009</v>
      </c>
      <c r="T335" s="117">
        <v>0.49</v>
      </c>
      <c r="U335" s="39">
        <v>250</v>
      </c>
      <c r="V335" s="32">
        <v>64</v>
      </c>
      <c r="W335" s="33"/>
      <c r="X335" s="32"/>
      <c r="Y335" s="32"/>
      <c r="Z335" s="32"/>
      <c r="AA335" s="34"/>
      <c r="AB335" s="35">
        <f t="shared" si="56"/>
        <v>314</v>
      </c>
      <c r="AC335" s="75">
        <f t="shared" si="57"/>
        <v>22000</v>
      </c>
      <c r="AD335" s="78">
        <f t="shared" si="65"/>
        <v>5632</v>
      </c>
      <c r="AE335" s="72">
        <f t="shared" si="58"/>
        <v>27632</v>
      </c>
      <c r="AF335" s="75">
        <f t="shared" si="59"/>
        <v>4388.9999999999991</v>
      </c>
      <c r="AG335" s="78">
        <f t="shared" si="60"/>
        <v>1123.5839999999998</v>
      </c>
      <c r="AH335" s="72">
        <f t="shared" si="61"/>
        <v>5512.5839999999989</v>
      </c>
      <c r="AI335" s="75">
        <f t="shared" si="62"/>
        <v>3500</v>
      </c>
      <c r="AJ335" s="78">
        <f t="shared" si="63"/>
        <v>896</v>
      </c>
      <c r="AK335" s="72">
        <f t="shared" si="64"/>
        <v>4396</v>
      </c>
    </row>
    <row r="336" spans="1:37" ht="15.95" customHeight="1">
      <c r="A336" s="25" t="s">
        <v>12</v>
      </c>
      <c r="B336" s="25" t="s">
        <v>252</v>
      </c>
      <c r="C336" s="26" t="s">
        <v>24</v>
      </c>
      <c r="D336" s="26" t="s">
        <v>213</v>
      </c>
      <c r="E336" s="26" t="s">
        <v>214</v>
      </c>
      <c r="F336" s="26" t="s">
        <v>350</v>
      </c>
      <c r="G336" s="26" t="s">
        <v>351</v>
      </c>
      <c r="H336" s="44" t="s">
        <v>352</v>
      </c>
      <c r="I336" s="26" t="s">
        <v>27</v>
      </c>
      <c r="J336" s="45" t="s">
        <v>417</v>
      </c>
      <c r="K336" s="123">
        <v>42</v>
      </c>
      <c r="L336" s="29">
        <f t="shared" si="55"/>
        <v>6.1092500000000003</v>
      </c>
      <c r="M336" s="110">
        <v>4.55</v>
      </c>
      <c r="N336" s="30">
        <v>0.16500000000000001</v>
      </c>
      <c r="O336" s="116">
        <v>0.75075000000000003</v>
      </c>
      <c r="P336" s="30"/>
      <c r="Q336" s="116"/>
      <c r="R336" s="30">
        <v>7.0000000000000007E-2</v>
      </c>
      <c r="S336" s="116">
        <v>0.31850000000000001</v>
      </c>
      <c r="T336" s="117">
        <v>0.49</v>
      </c>
      <c r="U336" s="39">
        <v>250</v>
      </c>
      <c r="V336" s="32">
        <v>64</v>
      </c>
      <c r="W336" s="33"/>
      <c r="X336" s="32"/>
      <c r="Y336" s="32"/>
      <c r="Z336" s="32"/>
      <c r="AA336" s="34"/>
      <c r="AB336" s="35">
        <f t="shared" si="56"/>
        <v>314</v>
      </c>
      <c r="AC336" s="75">
        <f t="shared" si="57"/>
        <v>10500</v>
      </c>
      <c r="AD336" s="78">
        <f t="shared" si="65"/>
        <v>2688</v>
      </c>
      <c r="AE336" s="72">
        <f t="shared" si="58"/>
        <v>13188</v>
      </c>
      <c r="AF336" s="75">
        <f t="shared" si="59"/>
        <v>1527.3125</v>
      </c>
      <c r="AG336" s="78">
        <f t="shared" si="60"/>
        <v>390.99200000000002</v>
      </c>
      <c r="AH336" s="72">
        <f t="shared" si="61"/>
        <v>1918.3045</v>
      </c>
      <c r="AI336" s="75">
        <f t="shared" si="62"/>
        <v>1137.5</v>
      </c>
      <c r="AJ336" s="78">
        <f t="shared" si="63"/>
        <v>291.2</v>
      </c>
      <c r="AK336" s="72">
        <f t="shared" si="64"/>
        <v>1428.7</v>
      </c>
    </row>
    <row r="337" spans="1:37" ht="15.95" customHeight="1">
      <c r="A337" s="25" t="s">
        <v>12</v>
      </c>
      <c r="B337" s="25" t="s">
        <v>252</v>
      </c>
      <c r="C337" s="26" t="s">
        <v>24</v>
      </c>
      <c r="D337" s="26" t="s">
        <v>213</v>
      </c>
      <c r="E337" s="26" t="s">
        <v>214</v>
      </c>
      <c r="F337" s="26" t="s">
        <v>350</v>
      </c>
      <c r="G337" s="26" t="s">
        <v>351</v>
      </c>
      <c r="H337" s="27" t="s">
        <v>420</v>
      </c>
      <c r="I337" s="26" t="s">
        <v>27</v>
      </c>
      <c r="J337" s="28" t="s">
        <v>417</v>
      </c>
      <c r="K337" s="123">
        <v>42</v>
      </c>
      <c r="L337" s="29">
        <f t="shared" si="55"/>
        <v>6.1092500000000003</v>
      </c>
      <c r="M337" s="110">
        <v>4.55</v>
      </c>
      <c r="N337" s="30">
        <v>0.16500000000000001</v>
      </c>
      <c r="O337" s="116">
        <v>0.75075000000000003</v>
      </c>
      <c r="P337" s="30"/>
      <c r="Q337" s="116"/>
      <c r="R337" s="30">
        <v>7.0000000000000007E-2</v>
      </c>
      <c r="S337" s="116">
        <v>0.31850000000000001</v>
      </c>
      <c r="T337" s="117">
        <v>0.49</v>
      </c>
      <c r="U337" s="39">
        <v>250</v>
      </c>
      <c r="V337" s="32">
        <v>64</v>
      </c>
      <c r="W337" s="33"/>
      <c r="X337" s="32"/>
      <c r="Y337" s="32"/>
      <c r="Z337" s="32"/>
      <c r="AA337" s="34"/>
      <c r="AB337" s="35">
        <f t="shared" si="56"/>
        <v>314</v>
      </c>
      <c r="AC337" s="75">
        <f t="shared" si="57"/>
        <v>10500</v>
      </c>
      <c r="AD337" s="78">
        <f t="shared" si="65"/>
        <v>2688</v>
      </c>
      <c r="AE337" s="72">
        <f t="shared" si="58"/>
        <v>13188</v>
      </c>
      <c r="AF337" s="75">
        <f t="shared" si="59"/>
        <v>1527.3125</v>
      </c>
      <c r="AG337" s="78">
        <f t="shared" si="60"/>
        <v>390.99200000000002</v>
      </c>
      <c r="AH337" s="72">
        <f t="shared" si="61"/>
        <v>1918.3045</v>
      </c>
      <c r="AI337" s="75">
        <f t="shared" si="62"/>
        <v>1137.5</v>
      </c>
      <c r="AJ337" s="78">
        <f t="shared" si="63"/>
        <v>291.2</v>
      </c>
      <c r="AK337" s="72">
        <f t="shared" si="64"/>
        <v>1428.7</v>
      </c>
    </row>
    <row r="338" spans="1:37" ht="15.95" customHeight="1">
      <c r="A338" s="25" t="s">
        <v>12</v>
      </c>
      <c r="B338" s="25" t="s">
        <v>252</v>
      </c>
      <c r="C338" s="26" t="s">
        <v>48</v>
      </c>
      <c r="D338" s="26" t="s">
        <v>213</v>
      </c>
      <c r="E338" s="26" t="s">
        <v>214</v>
      </c>
      <c r="F338" s="26" t="s">
        <v>353</v>
      </c>
      <c r="G338" s="26" t="s">
        <v>240</v>
      </c>
      <c r="H338" s="27" t="s">
        <v>418</v>
      </c>
      <c r="I338" s="26" t="s">
        <v>27</v>
      </c>
      <c r="J338" s="28" t="s">
        <v>340</v>
      </c>
      <c r="K338" s="123">
        <v>68</v>
      </c>
      <c r="L338" s="29">
        <f t="shared" si="55"/>
        <v>12.28425</v>
      </c>
      <c r="M338" s="110">
        <v>9.5500000000000007</v>
      </c>
      <c r="N338" s="30">
        <v>0.16500000000000001</v>
      </c>
      <c r="O338" s="116">
        <v>1.5757500000000002</v>
      </c>
      <c r="P338" s="30"/>
      <c r="Q338" s="116"/>
      <c r="R338" s="30">
        <v>7.0000000000000007E-2</v>
      </c>
      <c r="S338" s="116">
        <v>0.66850000000000009</v>
      </c>
      <c r="T338" s="117">
        <v>0.49</v>
      </c>
      <c r="U338" s="39">
        <v>300</v>
      </c>
      <c r="V338" s="32">
        <v>64</v>
      </c>
      <c r="W338" s="33"/>
      <c r="X338" s="32">
        <v>80</v>
      </c>
      <c r="Y338" s="32"/>
      <c r="Z338" s="32"/>
      <c r="AA338" s="34"/>
      <c r="AB338" s="35">
        <f t="shared" si="56"/>
        <v>444</v>
      </c>
      <c r="AC338" s="75">
        <f t="shared" si="57"/>
        <v>20400</v>
      </c>
      <c r="AD338" s="78">
        <f t="shared" si="65"/>
        <v>9792</v>
      </c>
      <c r="AE338" s="72">
        <f t="shared" si="58"/>
        <v>30192</v>
      </c>
      <c r="AF338" s="75">
        <f t="shared" si="59"/>
        <v>3685.2750000000001</v>
      </c>
      <c r="AG338" s="78">
        <f t="shared" si="60"/>
        <v>1550.192</v>
      </c>
      <c r="AH338" s="72">
        <f t="shared" si="61"/>
        <v>5235.4670000000006</v>
      </c>
      <c r="AI338" s="75">
        <f t="shared" si="62"/>
        <v>2865</v>
      </c>
      <c r="AJ338" s="78">
        <f t="shared" si="63"/>
        <v>1375.2</v>
      </c>
      <c r="AK338" s="72">
        <f t="shared" si="64"/>
        <v>4240.2</v>
      </c>
    </row>
    <row r="339" spans="1:37" ht="15.95" customHeight="1">
      <c r="A339" s="25" t="s">
        <v>12</v>
      </c>
      <c r="B339" s="25" t="s">
        <v>252</v>
      </c>
      <c r="C339" s="26" t="s">
        <v>48</v>
      </c>
      <c r="D339" s="26" t="s">
        <v>419</v>
      </c>
      <c r="E339" s="26" t="s">
        <v>214</v>
      </c>
      <c r="F339" s="26" t="s">
        <v>353</v>
      </c>
      <c r="G339" s="26" t="s">
        <v>240</v>
      </c>
      <c r="H339" s="27" t="s">
        <v>95</v>
      </c>
      <c r="I339" s="26" t="s">
        <v>27</v>
      </c>
      <c r="J339" s="37" t="s">
        <v>340</v>
      </c>
      <c r="K339" s="123">
        <v>68</v>
      </c>
      <c r="L339" s="29">
        <f t="shared" si="55"/>
        <v>12.28425</v>
      </c>
      <c r="M339" s="110">
        <v>9.5500000000000007</v>
      </c>
      <c r="N339" s="30">
        <v>0.16500000000000001</v>
      </c>
      <c r="O339" s="116">
        <v>1.5757500000000002</v>
      </c>
      <c r="P339" s="30"/>
      <c r="Q339" s="116"/>
      <c r="R339" s="30">
        <v>7.0000000000000007E-2</v>
      </c>
      <c r="S339" s="116">
        <v>0.66850000000000009</v>
      </c>
      <c r="T339" s="117">
        <v>0.49</v>
      </c>
      <c r="U339" s="39">
        <v>300</v>
      </c>
      <c r="V339" s="32">
        <v>55</v>
      </c>
      <c r="W339" s="33"/>
      <c r="X339" s="32">
        <v>80</v>
      </c>
      <c r="Y339" s="32"/>
      <c r="Z339" s="32"/>
      <c r="AA339" s="34"/>
      <c r="AB339" s="35">
        <f t="shared" si="56"/>
        <v>435</v>
      </c>
      <c r="AC339" s="75">
        <f t="shared" si="57"/>
        <v>20400</v>
      </c>
      <c r="AD339" s="78">
        <f t="shared" si="65"/>
        <v>9180</v>
      </c>
      <c r="AE339" s="72">
        <f t="shared" si="58"/>
        <v>29580</v>
      </c>
      <c r="AF339" s="75">
        <f t="shared" si="59"/>
        <v>3685.2750000000001</v>
      </c>
      <c r="AG339" s="78">
        <f t="shared" si="60"/>
        <v>1439.63375</v>
      </c>
      <c r="AH339" s="72">
        <f t="shared" si="61"/>
        <v>5124.9087500000005</v>
      </c>
      <c r="AI339" s="75">
        <f t="shared" si="62"/>
        <v>2865</v>
      </c>
      <c r="AJ339" s="78">
        <f t="shared" si="63"/>
        <v>1289.25</v>
      </c>
      <c r="AK339" s="72">
        <f t="shared" si="64"/>
        <v>4154.25</v>
      </c>
    </row>
    <row r="340" spans="1:37" ht="15.95" customHeight="1">
      <c r="A340" s="25" t="s">
        <v>12</v>
      </c>
      <c r="B340" s="25" t="s">
        <v>252</v>
      </c>
      <c r="C340" s="26" t="s">
        <v>347</v>
      </c>
      <c r="D340" s="26" t="s">
        <v>419</v>
      </c>
      <c r="E340" s="26" t="s">
        <v>214</v>
      </c>
      <c r="F340" s="26" t="s">
        <v>354</v>
      </c>
      <c r="G340" s="26" t="s">
        <v>240</v>
      </c>
      <c r="H340" s="27" t="s">
        <v>95</v>
      </c>
      <c r="I340" s="26" t="s">
        <v>27</v>
      </c>
      <c r="J340" s="37" t="s">
        <v>349</v>
      </c>
      <c r="K340" s="123">
        <v>88</v>
      </c>
      <c r="L340" s="29">
        <f t="shared" si="55"/>
        <v>16.337</v>
      </c>
      <c r="M340" s="110">
        <v>13</v>
      </c>
      <c r="N340" s="30">
        <v>0.14899999999999999</v>
      </c>
      <c r="O340" s="116">
        <v>1.9369999999999998</v>
      </c>
      <c r="P340" s="30"/>
      <c r="Q340" s="116"/>
      <c r="R340" s="30">
        <v>7.0000000000000007E-2</v>
      </c>
      <c r="S340" s="116">
        <v>0.91000000000000014</v>
      </c>
      <c r="T340" s="117">
        <v>0.49</v>
      </c>
      <c r="U340" s="39">
        <v>300</v>
      </c>
      <c r="V340" s="32">
        <v>64</v>
      </c>
      <c r="W340" s="33"/>
      <c r="X340" s="32">
        <v>70</v>
      </c>
      <c r="Y340" s="32"/>
      <c r="Z340" s="32"/>
      <c r="AA340" s="34"/>
      <c r="AB340" s="35">
        <f t="shared" si="56"/>
        <v>434</v>
      </c>
      <c r="AC340" s="75">
        <f t="shared" si="57"/>
        <v>26400</v>
      </c>
      <c r="AD340" s="78">
        <f t="shared" si="65"/>
        <v>11792</v>
      </c>
      <c r="AE340" s="72">
        <f t="shared" si="58"/>
        <v>38192</v>
      </c>
      <c r="AF340" s="75">
        <f t="shared" si="59"/>
        <v>4901.1000000000004</v>
      </c>
      <c r="AG340" s="78">
        <f t="shared" si="60"/>
        <v>1955.568</v>
      </c>
      <c r="AH340" s="72">
        <f t="shared" si="61"/>
        <v>6856.6680000000006</v>
      </c>
      <c r="AI340" s="75">
        <f t="shared" si="62"/>
        <v>3900</v>
      </c>
      <c r="AJ340" s="78">
        <f t="shared" si="63"/>
        <v>1742</v>
      </c>
      <c r="AK340" s="72">
        <f t="shared" si="64"/>
        <v>5642</v>
      </c>
    </row>
    <row r="341" spans="1:37" ht="15.95" customHeight="1">
      <c r="A341" s="25" t="s">
        <v>12</v>
      </c>
      <c r="B341" s="25" t="s">
        <v>252</v>
      </c>
      <c r="C341" s="26" t="s">
        <v>347</v>
      </c>
      <c r="D341" s="26" t="s">
        <v>213</v>
      </c>
      <c r="E341" s="26" t="s">
        <v>214</v>
      </c>
      <c r="F341" s="26" t="s">
        <v>354</v>
      </c>
      <c r="G341" s="26" t="s">
        <v>240</v>
      </c>
      <c r="H341" s="27" t="s">
        <v>95</v>
      </c>
      <c r="I341" s="26" t="s">
        <v>27</v>
      </c>
      <c r="J341" s="37" t="s">
        <v>349</v>
      </c>
      <c r="K341" s="123">
        <v>88</v>
      </c>
      <c r="L341" s="29">
        <f t="shared" si="55"/>
        <v>16.337</v>
      </c>
      <c r="M341" s="110">
        <v>13</v>
      </c>
      <c r="N341" s="30">
        <v>0.14899999999999999</v>
      </c>
      <c r="O341" s="116">
        <v>1.9369999999999998</v>
      </c>
      <c r="P341" s="30"/>
      <c r="Q341" s="116"/>
      <c r="R341" s="30">
        <v>7.0000000000000007E-2</v>
      </c>
      <c r="S341" s="116">
        <v>0.91000000000000014</v>
      </c>
      <c r="T341" s="117">
        <v>0.49</v>
      </c>
      <c r="U341" s="39">
        <v>300</v>
      </c>
      <c r="V341" s="32">
        <v>55</v>
      </c>
      <c r="W341" s="33"/>
      <c r="X341" s="32">
        <v>70</v>
      </c>
      <c r="Y341" s="32"/>
      <c r="Z341" s="32"/>
      <c r="AA341" s="34"/>
      <c r="AB341" s="35">
        <f t="shared" si="56"/>
        <v>425</v>
      </c>
      <c r="AC341" s="75">
        <f t="shared" si="57"/>
        <v>26400</v>
      </c>
      <c r="AD341" s="78">
        <f t="shared" si="65"/>
        <v>11000</v>
      </c>
      <c r="AE341" s="72">
        <f t="shared" si="58"/>
        <v>37400</v>
      </c>
      <c r="AF341" s="75">
        <f t="shared" si="59"/>
        <v>4901.1000000000004</v>
      </c>
      <c r="AG341" s="78">
        <f t="shared" si="60"/>
        <v>1808.5349999999999</v>
      </c>
      <c r="AH341" s="72">
        <f t="shared" si="61"/>
        <v>6709.6350000000002</v>
      </c>
      <c r="AI341" s="75">
        <f t="shared" si="62"/>
        <v>3900</v>
      </c>
      <c r="AJ341" s="78">
        <f t="shared" si="63"/>
        <v>1625</v>
      </c>
      <c r="AK341" s="72">
        <f t="shared" si="64"/>
        <v>5525</v>
      </c>
    </row>
    <row r="342" spans="1:37" ht="15.95" customHeight="1">
      <c r="A342" s="25" t="s">
        <v>12</v>
      </c>
      <c r="B342" s="25" t="s">
        <v>252</v>
      </c>
      <c r="C342" s="26" t="s">
        <v>24</v>
      </c>
      <c r="D342" s="26" t="s">
        <v>213</v>
      </c>
      <c r="E342" s="26" t="s">
        <v>214</v>
      </c>
      <c r="F342" s="26" t="s">
        <v>355</v>
      </c>
      <c r="G342" s="26" t="s">
        <v>356</v>
      </c>
      <c r="H342" s="27" t="s">
        <v>95</v>
      </c>
      <c r="I342" s="26" t="s">
        <v>27</v>
      </c>
      <c r="J342" s="37" t="s">
        <v>227</v>
      </c>
      <c r="K342" s="123">
        <v>48</v>
      </c>
      <c r="L342" s="29">
        <f t="shared" si="55"/>
        <v>7.9</v>
      </c>
      <c r="M342" s="110">
        <v>6</v>
      </c>
      <c r="N342" s="30">
        <v>0.16500000000000001</v>
      </c>
      <c r="O342" s="116">
        <v>0.99</v>
      </c>
      <c r="P342" s="30"/>
      <c r="Q342" s="116"/>
      <c r="R342" s="30">
        <v>7.0000000000000007E-2</v>
      </c>
      <c r="S342" s="116">
        <v>0.42000000000000004</v>
      </c>
      <c r="T342" s="117">
        <v>0.49</v>
      </c>
      <c r="U342" s="39">
        <v>300</v>
      </c>
      <c r="V342" s="32">
        <v>55</v>
      </c>
      <c r="W342" s="33"/>
      <c r="X342" s="32"/>
      <c r="Y342" s="32"/>
      <c r="Z342" s="32"/>
      <c r="AA342" s="34"/>
      <c r="AB342" s="35">
        <f t="shared" si="56"/>
        <v>355</v>
      </c>
      <c r="AC342" s="75">
        <f t="shared" si="57"/>
        <v>14400</v>
      </c>
      <c r="AD342" s="78">
        <f t="shared" si="65"/>
        <v>2640</v>
      </c>
      <c r="AE342" s="72">
        <f t="shared" si="58"/>
        <v>17040</v>
      </c>
      <c r="AF342" s="75">
        <f t="shared" si="59"/>
        <v>2370</v>
      </c>
      <c r="AG342" s="78">
        <f t="shared" si="60"/>
        <v>434.5</v>
      </c>
      <c r="AH342" s="72">
        <f t="shared" si="61"/>
        <v>2804.5</v>
      </c>
      <c r="AI342" s="75">
        <f t="shared" si="62"/>
        <v>1800</v>
      </c>
      <c r="AJ342" s="78">
        <f t="shared" si="63"/>
        <v>330</v>
      </c>
      <c r="AK342" s="72">
        <f t="shared" si="64"/>
        <v>2130</v>
      </c>
    </row>
    <row r="343" spans="1:37" ht="15.95" customHeight="1">
      <c r="A343" s="25" t="s">
        <v>12</v>
      </c>
      <c r="B343" s="25" t="s">
        <v>252</v>
      </c>
      <c r="C343" s="26" t="s">
        <v>257</v>
      </c>
      <c r="D343" s="26" t="s">
        <v>213</v>
      </c>
      <c r="E343" s="26" t="s">
        <v>214</v>
      </c>
      <c r="F343" s="26" t="s">
        <v>357</v>
      </c>
      <c r="G343" s="26" t="s">
        <v>240</v>
      </c>
      <c r="H343" s="27" t="s">
        <v>95</v>
      </c>
      <c r="I343" s="26" t="s">
        <v>27</v>
      </c>
      <c r="J343" s="28" t="s">
        <v>358</v>
      </c>
      <c r="K343" s="123">
        <v>58</v>
      </c>
      <c r="L343" s="29">
        <f t="shared" si="55"/>
        <v>9.7140000000000004</v>
      </c>
      <c r="M343" s="110">
        <v>8</v>
      </c>
      <c r="N343" s="30">
        <v>8.3000000000000004E-2</v>
      </c>
      <c r="O343" s="116">
        <v>0.66400000000000003</v>
      </c>
      <c r="P343" s="30"/>
      <c r="Q343" s="116"/>
      <c r="R343" s="30">
        <v>7.0000000000000007E-2</v>
      </c>
      <c r="S343" s="116">
        <v>0.56000000000000005</v>
      </c>
      <c r="T343" s="117">
        <v>0.49</v>
      </c>
      <c r="U343" s="39">
        <v>300</v>
      </c>
      <c r="V343" s="32">
        <v>48</v>
      </c>
      <c r="W343" s="33"/>
      <c r="X343" s="32"/>
      <c r="Y343" s="32"/>
      <c r="Z343" s="32"/>
      <c r="AA343" s="34"/>
      <c r="AB343" s="35">
        <f t="shared" si="56"/>
        <v>348</v>
      </c>
      <c r="AC343" s="75">
        <f t="shared" si="57"/>
        <v>17400</v>
      </c>
      <c r="AD343" s="78">
        <f t="shared" si="65"/>
        <v>2784</v>
      </c>
      <c r="AE343" s="72">
        <f t="shared" si="58"/>
        <v>20184</v>
      </c>
      <c r="AF343" s="75">
        <f t="shared" si="59"/>
        <v>2914.2000000000003</v>
      </c>
      <c r="AG343" s="78">
        <f t="shared" si="60"/>
        <v>466.27200000000005</v>
      </c>
      <c r="AH343" s="72">
        <f t="shared" si="61"/>
        <v>3380.4720000000002</v>
      </c>
      <c r="AI343" s="75">
        <f t="shared" si="62"/>
        <v>2400</v>
      </c>
      <c r="AJ343" s="78">
        <f t="shared" si="63"/>
        <v>384</v>
      </c>
      <c r="AK343" s="72">
        <f t="shared" si="64"/>
        <v>2784</v>
      </c>
    </row>
    <row r="344" spans="1:37" ht="15.95" customHeight="1">
      <c r="A344" s="25" t="s">
        <v>12</v>
      </c>
      <c r="B344" s="25" t="s">
        <v>252</v>
      </c>
      <c r="C344" s="26" t="s">
        <v>24</v>
      </c>
      <c r="D344" s="26" t="s">
        <v>213</v>
      </c>
      <c r="E344" s="26" t="s">
        <v>214</v>
      </c>
      <c r="F344" s="26" t="s">
        <v>355</v>
      </c>
      <c r="G344" s="26" t="s">
        <v>356</v>
      </c>
      <c r="H344" s="27" t="s">
        <v>95</v>
      </c>
      <c r="I344" s="26" t="s">
        <v>27</v>
      </c>
      <c r="J344" s="28" t="s">
        <v>227</v>
      </c>
      <c r="K344" s="123">
        <v>48</v>
      </c>
      <c r="L344" s="29">
        <f t="shared" si="55"/>
        <v>7.9</v>
      </c>
      <c r="M344" s="110">
        <v>6</v>
      </c>
      <c r="N344" s="30">
        <v>0.16500000000000001</v>
      </c>
      <c r="O344" s="116">
        <v>0.99</v>
      </c>
      <c r="P344" s="30"/>
      <c r="Q344" s="116"/>
      <c r="R344" s="30">
        <v>7.0000000000000007E-2</v>
      </c>
      <c r="S344" s="116">
        <v>0.42000000000000004</v>
      </c>
      <c r="T344" s="117">
        <v>0.49</v>
      </c>
      <c r="U344" s="39">
        <v>250</v>
      </c>
      <c r="V344" s="32">
        <v>48</v>
      </c>
      <c r="W344" s="33"/>
      <c r="X344" s="32"/>
      <c r="Y344" s="32"/>
      <c r="Z344" s="32"/>
      <c r="AA344" s="34"/>
      <c r="AB344" s="35">
        <f t="shared" si="56"/>
        <v>298</v>
      </c>
      <c r="AC344" s="75">
        <f t="shared" si="57"/>
        <v>12000</v>
      </c>
      <c r="AD344" s="78">
        <f t="shared" si="65"/>
        <v>2304</v>
      </c>
      <c r="AE344" s="72">
        <f t="shared" si="58"/>
        <v>14304</v>
      </c>
      <c r="AF344" s="75">
        <f t="shared" si="59"/>
        <v>1975</v>
      </c>
      <c r="AG344" s="78">
        <f t="shared" si="60"/>
        <v>379.20000000000005</v>
      </c>
      <c r="AH344" s="72">
        <f t="shared" si="61"/>
        <v>2354.1999999999998</v>
      </c>
      <c r="AI344" s="75">
        <f t="shared" si="62"/>
        <v>1500</v>
      </c>
      <c r="AJ344" s="78">
        <f t="shared" si="63"/>
        <v>288</v>
      </c>
      <c r="AK344" s="72">
        <f t="shared" si="64"/>
        <v>1788</v>
      </c>
    </row>
    <row r="345" spans="1:37" ht="15.95" customHeight="1">
      <c r="A345" s="25" t="s">
        <v>12</v>
      </c>
      <c r="B345" s="25" t="s">
        <v>252</v>
      </c>
      <c r="C345" s="26" t="s">
        <v>257</v>
      </c>
      <c r="D345" s="26" t="s">
        <v>213</v>
      </c>
      <c r="E345" s="26" t="s">
        <v>214</v>
      </c>
      <c r="F345" s="26" t="s">
        <v>357</v>
      </c>
      <c r="G345" s="26" t="s">
        <v>240</v>
      </c>
      <c r="H345" s="27" t="s">
        <v>95</v>
      </c>
      <c r="I345" s="26" t="s">
        <v>27</v>
      </c>
      <c r="J345" s="28" t="s">
        <v>358</v>
      </c>
      <c r="K345" s="123">
        <v>58</v>
      </c>
      <c r="L345" s="29">
        <f t="shared" si="55"/>
        <v>9.6900000000000013</v>
      </c>
      <c r="M345" s="110">
        <v>8</v>
      </c>
      <c r="N345" s="30">
        <v>0.08</v>
      </c>
      <c r="O345" s="116">
        <v>0.64</v>
      </c>
      <c r="P345" s="30"/>
      <c r="Q345" s="116"/>
      <c r="R345" s="30">
        <v>7.0000000000000007E-2</v>
      </c>
      <c r="S345" s="116">
        <v>0.56000000000000005</v>
      </c>
      <c r="T345" s="117">
        <v>0.49</v>
      </c>
      <c r="U345" s="39">
        <v>250</v>
      </c>
      <c r="V345" s="32">
        <v>48</v>
      </c>
      <c r="W345" s="33"/>
      <c r="X345" s="32"/>
      <c r="Y345" s="32"/>
      <c r="Z345" s="32"/>
      <c r="AA345" s="34"/>
      <c r="AB345" s="35">
        <f t="shared" si="56"/>
        <v>298</v>
      </c>
      <c r="AC345" s="75">
        <f t="shared" si="57"/>
        <v>14500</v>
      </c>
      <c r="AD345" s="78">
        <f t="shared" si="65"/>
        <v>2784</v>
      </c>
      <c r="AE345" s="72">
        <f t="shared" si="58"/>
        <v>17284</v>
      </c>
      <c r="AF345" s="75">
        <f t="shared" si="59"/>
        <v>2422.5000000000005</v>
      </c>
      <c r="AG345" s="78">
        <f t="shared" si="60"/>
        <v>465.12000000000006</v>
      </c>
      <c r="AH345" s="72">
        <f t="shared" si="61"/>
        <v>2887.6200000000003</v>
      </c>
      <c r="AI345" s="75">
        <f t="shared" si="62"/>
        <v>2000</v>
      </c>
      <c r="AJ345" s="78">
        <f t="shared" si="63"/>
        <v>384</v>
      </c>
      <c r="AK345" s="72">
        <f t="shared" si="64"/>
        <v>2384</v>
      </c>
    </row>
    <row r="346" spans="1:37" ht="15.95" customHeight="1">
      <c r="A346" s="25" t="s">
        <v>12</v>
      </c>
      <c r="B346" s="25" t="s">
        <v>252</v>
      </c>
      <c r="C346" s="26" t="s">
        <v>24</v>
      </c>
      <c r="D346" s="26" t="s">
        <v>213</v>
      </c>
      <c r="E346" s="26" t="s">
        <v>214</v>
      </c>
      <c r="F346" s="26" t="s">
        <v>359</v>
      </c>
      <c r="G346" s="26" t="s">
        <v>225</v>
      </c>
      <c r="H346" s="27" t="s">
        <v>234</v>
      </c>
      <c r="I346" s="26" t="s">
        <v>27</v>
      </c>
      <c r="J346" s="28" t="s">
        <v>227</v>
      </c>
      <c r="K346" s="123">
        <v>42</v>
      </c>
      <c r="L346" s="29">
        <f t="shared" si="55"/>
        <v>6.1092500000000003</v>
      </c>
      <c r="M346" s="110">
        <v>4.55</v>
      </c>
      <c r="N346" s="30">
        <v>0.16500000000000001</v>
      </c>
      <c r="O346" s="116">
        <v>0.75075000000000003</v>
      </c>
      <c r="P346" s="30"/>
      <c r="Q346" s="116"/>
      <c r="R346" s="30">
        <v>7.0000000000000007E-2</v>
      </c>
      <c r="S346" s="116">
        <v>0.31850000000000001</v>
      </c>
      <c r="T346" s="117">
        <v>0.49</v>
      </c>
      <c r="U346" s="39">
        <v>250</v>
      </c>
      <c r="V346" s="32">
        <v>56</v>
      </c>
      <c r="W346" s="33"/>
      <c r="X346" s="32"/>
      <c r="Y346" s="32"/>
      <c r="Z346" s="32"/>
      <c r="AA346" s="34"/>
      <c r="AB346" s="35">
        <f t="shared" si="56"/>
        <v>306</v>
      </c>
      <c r="AC346" s="75">
        <f t="shared" si="57"/>
        <v>10500</v>
      </c>
      <c r="AD346" s="78">
        <f t="shared" si="65"/>
        <v>2352</v>
      </c>
      <c r="AE346" s="72">
        <f t="shared" si="58"/>
        <v>12852</v>
      </c>
      <c r="AF346" s="75">
        <f t="shared" si="59"/>
        <v>1527.3125</v>
      </c>
      <c r="AG346" s="78">
        <f t="shared" si="60"/>
        <v>342.11799999999999</v>
      </c>
      <c r="AH346" s="72">
        <f t="shared" si="61"/>
        <v>1869.4304999999999</v>
      </c>
      <c r="AI346" s="75">
        <f t="shared" si="62"/>
        <v>1137.5</v>
      </c>
      <c r="AJ346" s="78">
        <f t="shared" si="63"/>
        <v>254.79999999999998</v>
      </c>
      <c r="AK346" s="72">
        <f t="shared" si="64"/>
        <v>1392.3</v>
      </c>
    </row>
    <row r="347" spans="1:37" ht="15.95" customHeight="1">
      <c r="A347" s="25" t="s">
        <v>12</v>
      </c>
      <c r="B347" s="25" t="s">
        <v>252</v>
      </c>
      <c r="C347" s="26" t="s">
        <v>24</v>
      </c>
      <c r="D347" s="26" t="s">
        <v>213</v>
      </c>
      <c r="E347" s="26" t="s">
        <v>214</v>
      </c>
      <c r="F347" s="26" t="s">
        <v>359</v>
      </c>
      <c r="G347" s="26" t="s">
        <v>225</v>
      </c>
      <c r="H347" s="44" t="s">
        <v>234</v>
      </c>
      <c r="I347" s="26" t="s">
        <v>27</v>
      </c>
      <c r="J347" s="28" t="s">
        <v>227</v>
      </c>
      <c r="K347" s="123">
        <v>42</v>
      </c>
      <c r="L347" s="29">
        <f t="shared" si="55"/>
        <v>6.1092500000000003</v>
      </c>
      <c r="M347" s="110">
        <v>4.55</v>
      </c>
      <c r="N347" s="30">
        <v>0.16500000000000001</v>
      </c>
      <c r="O347" s="116">
        <v>0.75075000000000003</v>
      </c>
      <c r="P347" s="30"/>
      <c r="Q347" s="116"/>
      <c r="R347" s="30">
        <v>7.0000000000000007E-2</v>
      </c>
      <c r="S347" s="116">
        <v>0.31850000000000001</v>
      </c>
      <c r="T347" s="117">
        <v>0.49</v>
      </c>
      <c r="U347" s="39">
        <v>250</v>
      </c>
      <c r="V347" s="32">
        <v>63</v>
      </c>
      <c r="W347" s="33"/>
      <c r="X347" s="32"/>
      <c r="Y347" s="32"/>
      <c r="Z347" s="32"/>
      <c r="AA347" s="34"/>
      <c r="AB347" s="35">
        <f t="shared" si="56"/>
        <v>313</v>
      </c>
      <c r="AC347" s="75">
        <f t="shared" si="57"/>
        <v>10500</v>
      </c>
      <c r="AD347" s="78">
        <f t="shared" si="65"/>
        <v>2646</v>
      </c>
      <c r="AE347" s="72">
        <f t="shared" si="58"/>
        <v>13146</v>
      </c>
      <c r="AF347" s="75">
        <f t="shared" si="59"/>
        <v>1527.3125</v>
      </c>
      <c r="AG347" s="78">
        <f t="shared" si="60"/>
        <v>384.88275000000004</v>
      </c>
      <c r="AH347" s="72">
        <f t="shared" si="61"/>
        <v>1912.19525</v>
      </c>
      <c r="AI347" s="75">
        <f t="shared" si="62"/>
        <v>1137.5</v>
      </c>
      <c r="AJ347" s="78">
        <f t="shared" si="63"/>
        <v>286.64999999999998</v>
      </c>
      <c r="AK347" s="72">
        <f t="shared" si="64"/>
        <v>1424.15</v>
      </c>
    </row>
    <row r="348" spans="1:37" ht="15.95" customHeight="1">
      <c r="A348" s="25" t="s">
        <v>12</v>
      </c>
      <c r="B348" s="25" t="s">
        <v>252</v>
      </c>
      <c r="C348" s="26" t="s">
        <v>24</v>
      </c>
      <c r="D348" s="26" t="s">
        <v>213</v>
      </c>
      <c r="E348" s="26" t="s">
        <v>214</v>
      </c>
      <c r="F348" s="26" t="s">
        <v>360</v>
      </c>
      <c r="G348" s="26" t="s">
        <v>225</v>
      </c>
      <c r="H348" s="44" t="s">
        <v>234</v>
      </c>
      <c r="I348" s="26" t="s">
        <v>27</v>
      </c>
      <c r="J348" s="28" t="s">
        <v>227</v>
      </c>
      <c r="K348" s="123">
        <v>42</v>
      </c>
      <c r="L348" s="29">
        <f t="shared" si="55"/>
        <v>5.7387500000000005</v>
      </c>
      <c r="M348" s="110">
        <v>4.25</v>
      </c>
      <c r="N348" s="30">
        <v>0.16500000000000001</v>
      </c>
      <c r="O348" s="116">
        <v>0.70125000000000004</v>
      </c>
      <c r="P348" s="30"/>
      <c r="Q348" s="116"/>
      <c r="R348" s="30">
        <v>7.0000000000000007E-2</v>
      </c>
      <c r="S348" s="116">
        <v>0.29750000000000004</v>
      </c>
      <c r="T348" s="117">
        <v>0.49</v>
      </c>
      <c r="U348" s="39">
        <v>200</v>
      </c>
      <c r="V348" s="32"/>
      <c r="W348" s="33">
        <v>50</v>
      </c>
      <c r="X348" s="32"/>
      <c r="Y348" s="32"/>
      <c r="Z348" s="32"/>
      <c r="AA348" s="34"/>
      <c r="AB348" s="35">
        <f t="shared" si="56"/>
        <v>250</v>
      </c>
      <c r="AC348" s="75">
        <f t="shared" si="57"/>
        <v>8400</v>
      </c>
      <c r="AD348" s="78">
        <f t="shared" si="65"/>
        <v>2100</v>
      </c>
      <c r="AE348" s="72">
        <f t="shared" si="58"/>
        <v>10500</v>
      </c>
      <c r="AF348" s="75">
        <f t="shared" si="59"/>
        <v>1147.75</v>
      </c>
      <c r="AG348" s="78">
        <f t="shared" si="60"/>
        <v>286.9375</v>
      </c>
      <c r="AH348" s="72">
        <f t="shared" si="61"/>
        <v>1434.6875</v>
      </c>
      <c r="AI348" s="75">
        <f t="shared" si="62"/>
        <v>850</v>
      </c>
      <c r="AJ348" s="78">
        <f t="shared" si="63"/>
        <v>212.5</v>
      </c>
      <c r="AK348" s="72">
        <f t="shared" si="64"/>
        <v>1062.5</v>
      </c>
    </row>
    <row r="349" spans="1:37" ht="15.95" customHeight="1">
      <c r="A349" s="82" t="s">
        <v>12</v>
      </c>
      <c r="B349" s="82" t="s">
        <v>252</v>
      </c>
      <c r="C349" s="83" t="s">
        <v>24</v>
      </c>
      <c r="D349" s="83" t="s">
        <v>213</v>
      </c>
      <c r="E349" s="83" t="s">
        <v>214</v>
      </c>
      <c r="F349" s="83" t="s">
        <v>360</v>
      </c>
      <c r="G349" s="83" t="s">
        <v>225</v>
      </c>
      <c r="H349" s="84" t="s">
        <v>234</v>
      </c>
      <c r="I349" s="83" t="s">
        <v>27</v>
      </c>
      <c r="J349" s="85" t="s">
        <v>227</v>
      </c>
      <c r="K349" s="126">
        <v>42</v>
      </c>
      <c r="L349" s="86">
        <f t="shared" si="55"/>
        <v>5.7387500000000005</v>
      </c>
      <c r="M349" s="112">
        <v>4.25</v>
      </c>
      <c r="N349" s="87">
        <v>0.16500000000000001</v>
      </c>
      <c r="O349" s="118">
        <v>0.70125000000000004</v>
      </c>
      <c r="P349" s="87"/>
      <c r="Q349" s="118"/>
      <c r="R349" s="87">
        <v>7.0000000000000007E-2</v>
      </c>
      <c r="S349" s="118">
        <v>0.29750000000000004</v>
      </c>
      <c r="T349" s="119">
        <v>0.49</v>
      </c>
      <c r="U349" s="88">
        <v>200</v>
      </c>
      <c r="V349" s="89">
        <v>40</v>
      </c>
      <c r="W349" s="90">
        <v>10</v>
      </c>
      <c r="X349" s="89"/>
      <c r="Y349" s="89"/>
      <c r="Z349" s="89"/>
      <c r="AA349" s="91"/>
      <c r="AB349" s="92">
        <f t="shared" si="56"/>
        <v>250</v>
      </c>
      <c r="AC349" s="93">
        <f t="shared" si="57"/>
        <v>8400</v>
      </c>
      <c r="AD349" s="94">
        <f t="shared" si="65"/>
        <v>2100</v>
      </c>
      <c r="AE349" s="104">
        <f t="shared" si="58"/>
        <v>10500</v>
      </c>
      <c r="AF349" s="93">
        <f t="shared" si="59"/>
        <v>1147.75</v>
      </c>
      <c r="AG349" s="94">
        <f t="shared" si="60"/>
        <v>286.9375</v>
      </c>
      <c r="AH349" s="104">
        <f t="shared" si="61"/>
        <v>1434.6875</v>
      </c>
      <c r="AI349" s="93">
        <f t="shared" si="62"/>
        <v>850</v>
      </c>
      <c r="AJ349" s="94">
        <f t="shared" si="63"/>
        <v>212.5</v>
      </c>
      <c r="AK349" s="104">
        <f t="shared" si="64"/>
        <v>1062.5</v>
      </c>
    </row>
    <row r="350" spans="1:37" ht="15.95" customHeight="1">
      <c r="A350" s="25" t="s">
        <v>12</v>
      </c>
      <c r="B350" s="25" t="s">
        <v>361</v>
      </c>
      <c r="C350" s="26" t="s">
        <v>362</v>
      </c>
      <c r="D350" s="26" t="s">
        <v>363</v>
      </c>
      <c r="E350" s="26" t="s">
        <v>364</v>
      </c>
      <c r="F350" s="26" t="s">
        <v>365</v>
      </c>
      <c r="G350" s="26" t="s">
        <v>366</v>
      </c>
      <c r="H350" s="27" t="s">
        <v>421</v>
      </c>
      <c r="I350" s="26" t="s">
        <v>27</v>
      </c>
      <c r="J350" s="28" t="s">
        <v>367</v>
      </c>
      <c r="K350" s="123">
        <v>18</v>
      </c>
      <c r="L350" s="29">
        <f>M350+O350+Q350+S350+T350</f>
        <v>4.2014000000000005</v>
      </c>
      <c r="M350" s="110">
        <v>3.08</v>
      </c>
      <c r="N350" s="30">
        <v>0.13500000000000001</v>
      </c>
      <c r="O350" s="116">
        <v>0.41580000000000006</v>
      </c>
      <c r="P350" s="30"/>
      <c r="Q350" s="116"/>
      <c r="R350" s="30"/>
      <c r="S350" s="116">
        <v>0.21560000000000001</v>
      </c>
      <c r="T350" s="117">
        <v>0.49</v>
      </c>
      <c r="U350" s="31">
        <v>700</v>
      </c>
      <c r="V350" s="32">
        <v>100</v>
      </c>
      <c r="W350" s="33"/>
      <c r="X350" s="32"/>
      <c r="Y350" s="32"/>
      <c r="Z350" s="32"/>
      <c r="AA350" s="34"/>
      <c r="AB350" s="35">
        <f>SUM(U350:AA350)</f>
        <v>800</v>
      </c>
      <c r="AC350" s="72">
        <f>$K350*U350</f>
        <v>12600</v>
      </c>
      <c r="AD350" s="80">
        <f>$K350*SUM(V350:AA350)</f>
        <v>1800</v>
      </c>
      <c r="AE350" s="72">
        <f>SUM(AC350:AD350)</f>
        <v>14400</v>
      </c>
      <c r="AF350" s="72">
        <f>$L350*U350</f>
        <v>2940.9800000000005</v>
      </c>
      <c r="AG350" s="80">
        <f>$L350*SUM(V350:W350)+M350*SUM(X350:AA350)</f>
        <v>420.14000000000004</v>
      </c>
      <c r="AH350" s="72">
        <f>SUM(AF350:AG350)</f>
        <v>3361.1200000000003</v>
      </c>
      <c r="AI350" s="72">
        <f>$M350*U350</f>
        <v>2156</v>
      </c>
      <c r="AJ350" s="80">
        <f>$M350*SUM(V350:AA350)</f>
        <v>308</v>
      </c>
      <c r="AK350" s="72">
        <f>SUM(AI350:AJ350)</f>
        <v>2464</v>
      </c>
    </row>
    <row r="351" spans="1:37" ht="15.95" customHeight="1">
      <c r="A351" s="25" t="s">
        <v>12</v>
      </c>
      <c r="B351" s="25" t="s">
        <v>361</v>
      </c>
      <c r="C351" s="26" t="s">
        <v>362</v>
      </c>
      <c r="D351" s="26" t="s">
        <v>363</v>
      </c>
      <c r="E351" s="26" t="s">
        <v>364</v>
      </c>
      <c r="F351" s="26" t="s">
        <v>365</v>
      </c>
      <c r="G351" s="26" t="s">
        <v>366</v>
      </c>
      <c r="H351" s="27" t="s">
        <v>421</v>
      </c>
      <c r="I351" s="26" t="s">
        <v>27</v>
      </c>
      <c r="J351" s="28" t="s">
        <v>367</v>
      </c>
      <c r="K351" s="123">
        <v>18</v>
      </c>
      <c r="L351" s="29">
        <f t="shared" ref="L351:L352" si="66">M351+O351+Q351+S351+T351</f>
        <v>4.2014000000000005</v>
      </c>
      <c r="M351" s="110">
        <v>3.08</v>
      </c>
      <c r="N351" s="30">
        <v>0.13500000000000001</v>
      </c>
      <c r="O351" s="116">
        <v>0.41580000000000006</v>
      </c>
      <c r="P351" s="30"/>
      <c r="Q351" s="116"/>
      <c r="R351" s="30"/>
      <c r="S351" s="116">
        <v>0.21560000000000001</v>
      </c>
      <c r="T351" s="117">
        <v>0.49</v>
      </c>
      <c r="U351" s="31">
        <v>500</v>
      </c>
      <c r="V351" s="32">
        <v>100</v>
      </c>
      <c r="W351" s="33"/>
      <c r="X351" s="32"/>
      <c r="Y351" s="32"/>
      <c r="Z351" s="32"/>
      <c r="AA351" s="34"/>
      <c r="AB351" s="35">
        <f>SUM(U351:AA351)</f>
        <v>600</v>
      </c>
      <c r="AC351" s="72">
        <f t="shared" ref="AC351:AC352" si="67">$K351*U351</f>
        <v>9000</v>
      </c>
      <c r="AD351" s="80">
        <f>$K351*SUM(V351:AA351)</f>
        <v>1800</v>
      </c>
      <c r="AE351" s="72">
        <f t="shared" ref="AE351:AE352" si="68">SUM(AC351:AD351)</f>
        <v>10800</v>
      </c>
      <c r="AF351" s="72">
        <f t="shared" ref="AF351:AF352" si="69">$L351*U351</f>
        <v>2100.7000000000003</v>
      </c>
      <c r="AG351" s="80">
        <f t="shared" ref="AG351:AG352" si="70">$L351*SUM(V351:W351)+M351*SUM(X351:AA351)</f>
        <v>420.14000000000004</v>
      </c>
      <c r="AH351" s="72">
        <f t="shared" ref="AH351:AH352" si="71">SUM(AF351:AG351)</f>
        <v>2520.84</v>
      </c>
      <c r="AI351" s="72">
        <f t="shared" ref="AI351:AI352" si="72">$M351*U351</f>
        <v>1540</v>
      </c>
      <c r="AJ351" s="80">
        <f t="shared" ref="AJ351:AJ352" si="73">$M351*SUM(V351:AA351)</f>
        <v>308</v>
      </c>
      <c r="AK351" s="72">
        <f t="shared" ref="AK351:AK352" si="74">SUM(AI351:AJ351)</f>
        <v>1848</v>
      </c>
    </row>
    <row r="352" spans="1:37" ht="15.95" customHeight="1">
      <c r="A352" s="46" t="s">
        <v>12</v>
      </c>
      <c r="B352" s="46" t="s">
        <v>361</v>
      </c>
      <c r="C352" s="47" t="s">
        <v>368</v>
      </c>
      <c r="D352" s="47" t="s">
        <v>1304</v>
      </c>
      <c r="E352" s="47" t="s">
        <v>16</v>
      </c>
      <c r="F352" s="47" t="s">
        <v>369</v>
      </c>
      <c r="G352" s="47" t="s">
        <v>370</v>
      </c>
      <c r="H352" s="48" t="s">
        <v>371</v>
      </c>
      <c r="I352" s="47" t="s">
        <v>19</v>
      </c>
      <c r="J352" s="49" t="s">
        <v>372</v>
      </c>
      <c r="K352" s="127">
        <v>42</v>
      </c>
      <c r="L352" s="50">
        <f t="shared" si="66"/>
        <v>8.218399999999999</v>
      </c>
      <c r="M352" s="113">
        <v>5.56</v>
      </c>
      <c r="N352" s="51">
        <v>7.0000000000000007E-2</v>
      </c>
      <c r="O352" s="120">
        <v>0.38919999999999999</v>
      </c>
      <c r="P352" s="51">
        <v>0.25</v>
      </c>
      <c r="Q352" s="120">
        <v>1.39</v>
      </c>
      <c r="R352" s="51"/>
      <c r="S352" s="120">
        <v>0.38919999999999999</v>
      </c>
      <c r="T352" s="121">
        <v>0.49</v>
      </c>
      <c r="U352" s="95">
        <v>250</v>
      </c>
      <c r="V352" s="52">
        <v>76</v>
      </c>
      <c r="W352" s="53">
        <v>174</v>
      </c>
      <c r="X352" s="52"/>
      <c r="Y352" s="52"/>
      <c r="Z352" s="52"/>
      <c r="AA352" s="54"/>
      <c r="AB352" s="55">
        <f>SUM(U352:AA352)</f>
        <v>500</v>
      </c>
      <c r="AC352" s="73">
        <f t="shared" si="67"/>
        <v>10500</v>
      </c>
      <c r="AD352" s="81">
        <f>$K352*SUM(V352:AA352)</f>
        <v>10500</v>
      </c>
      <c r="AE352" s="73">
        <f t="shared" si="68"/>
        <v>21000</v>
      </c>
      <c r="AF352" s="73">
        <f t="shared" si="69"/>
        <v>2054.6</v>
      </c>
      <c r="AG352" s="81">
        <f t="shared" si="70"/>
        <v>2054.6</v>
      </c>
      <c r="AH352" s="73">
        <f t="shared" si="71"/>
        <v>4109.2</v>
      </c>
      <c r="AI352" s="73">
        <f t="shared" si="72"/>
        <v>1390</v>
      </c>
      <c r="AJ352" s="81">
        <f t="shared" si="73"/>
        <v>1390</v>
      </c>
      <c r="AK352" s="73">
        <f t="shared" si="74"/>
        <v>2780</v>
      </c>
    </row>
    <row r="353" spans="1:37" ht="15.95" customHeight="1">
      <c r="A353" s="141" t="s">
        <v>399</v>
      </c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3"/>
      <c r="U353" s="105">
        <f>SUM(U4:U352)</f>
        <v>174300</v>
      </c>
      <c r="V353" s="106">
        <f t="shared" ref="V353:AB353" si="75">SUM(V4:V352)</f>
        <v>35240</v>
      </c>
      <c r="W353" s="107">
        <f t="shared" si="75"/>
        <v>881</v>
      </c>
      <c r="X353" s="106">
        <f t="shared" si="75"/>
        <v>1120</v>
      </c>
      <c r="Y353" s="106">
        <f t="shared" si="75"/>
        <v>0</v>
      </c>
      <c r="Z353" s="106">
        <f t="shared" si="75"/>
        <v>185</v>
      </c>
      <c r="AA353" s="108">
        <f t="shared" si="75"/>
        <v>426</v>
      </c>
      <c r="AB353" s="69">
        <f t="shared" si="75"/>
        <v>212152</v>
      </c>
      <c r="AC353" s="76">
        <f t="shared" ref="AC353" si="76">SUM(AC4:AC352)</f>
        <v>22136150</v>
      </c>
      <c r="AD353" s="79">
        <f t="shared" ref="AD353" si="77">SUM(AD4:AD352)</f>
        <v>4818026</v>
      </c>
      <c r="AE353" s="70">
        <f t="shared" ref="AE353" si="78">SUM(AE4:AE352)</f>
        <v>26954176</v>
      </c>
      <c r="AF353" s="76">
        <f t="shared" ref="AF353" si="79">SUM(AF4:AF352)</f>
        <v>4238315.9414999988</v>
      </c>
      <c r="AG353" s="79">
        <f t="shared" ref="AG353" si="80">SUM(AG4:AG352)</f>
        <v>904995.12303000037</v>
      </c>
      <c r="AH353" s="70">
        <f t="shared" ref="AH353" si="81">SUM(AH4:AH352)</f>
        <v>5143311.0645299992</v>
      </c>
      <c r="AI353" s="76">
        <f t="shared" ref="AI353" si="82">SUM(AI4:AI352)</f>
        <v>2973897</v>
      </c>
      <c r="AJ353" s="79">
        <f t="shared" ref="AJ353" si="83">SUM(AJ4:AJ352)</f>
        <v>643661.39</v>
      </c>
      <c r="AK353" s="70">
        <f t="shared" ref="AK353" si="84">SUM(AK4:AK352)</f>
        <v>3617558.3899999997</v>
      </c>
    </row>
    <row r="354" spans="1:37" s="10" customFormat="1" ht="12" customHeight="1">
      <c r="A354" s="2"/>
      <c r="B354" s="6"/>
      <c r="C354" s="6"/>
      <c r="D354" s="7"/>
      <c r="E354" s="6"/>
      <c r="F354" s="3"/>
      <c r="G354" s="4"/>
      <c r="H354" s="7"/>
      <c r="I354" s="6"/>
      <c r="J354" s="5"/>
      <c r="K354" s="11"/>
      <c r="L354" s="11"/>
      <c r="M354" s="11"/>
      <c r="N354" s="12"/>
      <c r="O354" s="13"/>
      <c r="P354" s="12"/>
      <c r="Q354" s="13"/>
      <c r="R354" s="12"/>
      <c r="S354" s="13"/>
      <c r="T354" s="13"/>
      <c r="U354" s="1"/>
      <c r="V354" s="1"/>
      <c r="W354" s="8"/>
      <c r="X354" s="1"/>
      <c r="Y354" s="9"/>
      <c r="Z354" s="9"/>
      <c r="AA354" s="9"/>
      <c r="AB354" s="2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s="10" customFormat="1" ht="12" customHeight="1">
      <c r="A355" s="2"/>
      <c r="B355" s="6"/>
      <c r="C355" s="6"/>
      <c r="D355" s="7"/>
      <c r="E355" s="6"/>
      <c r="F355" s="3"/>
      <c r="G355" s="4"/>
      <c r="H355" s="7"/>
      <c r="I355" s="6"/>
      <c r="J355" s="5"/>
      <c r="K355" s="11"/>
      <c r="L355" s="11"/>
      <c r="M355" s="11"/>
      <c r="N355" s="12"/>
      <c r="O355" s="13"/>
      <c r="P355" s="12"/>
      <c r="Q355" s="13"/>
      <c r="R355" s="12"/>
      <c r="S355" s="13"/>
      <c r="T355" s="13"/>
      <c r="U355" s="1"/>
      <c r="V355" s="1"/>
      <c r="W355" s="8"/>
      <c r="X355" s="1"/>
      <c r="Y355" s="9"/>
      <c r="Z355" s="9"/>
      <c r="AA355" s="9"/>
      <c r="AB355" s="2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s="10" customFormat="1" ht="12" customHeight="1">
      <c r="A356" s="2"/>
      <c r="B356" s="6"/>
      <c r="C356" s="6"/>
      <c r="D356" s="7"/>
      <c r="E356" s="6"/>
      <c r="F356" s="3"/>
      <c r="G356" s="4"/>
      <c r="H356" s="7"/>
      <c r="I356" s="6"/>
      <c r="J356" s="5"/>
      <c r="K356" s="11"/>
      <c r="L356" s="11"/>
      <c r="M356" s="11"/>
      <c r="N356" s="12"/>
      <c r="O356" s="13"/>
      <c r="P356" s="12"/>
      <c r="Q356" s="13"/>
      <c r="R356" s="12"/>
      <c r="S356" s="13"/>
      <c r="T356" s="13"/>
      <c r="U356" s="1"/>
      <c r="V356" s="1"/>
      <c r="W356" s="8"/>
      <c r="X356" s="1"/>
      <c r="Y356" s="9"/>
      <c r="Z356" s="9"/>
      <c r="AA356" s="9"/>
      <c r="AB356" s="2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s="10" customFormat="1" ht="12" customHeight="1">
      <c r="A357" s="2"/>
      <c r="B357" s="6"/>
      <c r="C357" s="6"/>
      <c r="D357" s="7"/>
      <c r="E357" s="6"/>
      <c r="F357" s="3"/>
      <c r="G357" s="4"/>
      <c r="H357" s="7"/>
      <c r="I357" s="6"/>
      <c r="J357" s="5"/>
      <c r="K357" s="11"/>
      <c r="L357" s="11"/>
      <c r="M357" s="11"/>
      <c r="N357" s="12"/>
      <c r="O357" s="13"/>
      <c r="P357" s="12"/>
      <c r="Q357" s="13"/>
      <c r="R357" s="12"/>
      <c r="S357" s="13"/>
      <c r="T357" s="13"/>
      <c r="U357" s="1"/>
      <c r="V357" s="1"/>
      <c r="W357" s="8"/>
      <c r="X357" s="1"/>
      <c r="Y357" s="9"/>
      <c r="Z357" s="9"/>
      <c r="AA357" s="9"/>
      <c r="AB357" s="2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s="10" customFormat="1" ht="12" customHeight="1">
      <c r="A358" s="2"/>
      <c r="B358" s="6"/>
      <c r="C358" s="6"/>
      <c r="D358" s="7"/>
      <c r="E358" s="6"/>
      <c r="F358" s="3"/>
      <c r="G358" s="4"/>
      <c r="H358" s="7"/>
      <c r="I358" s="6"/>
      <c r="J358" s="5"/>
      <c r="K358" s="11"/>
      <c r="L358" s="11"/>
      <c r="M358" s="11"/>
      <c r="N358" s="12"/>
      <c r="O358" s="13"/>
      <c r="P358" s="12"/>
      <c r="Q358" s="13"/>
      <c r="R358" s="12"/>
      <c r="S358" s="13"/>
      <c r="T358" s="13"/>
      <c r="U358" s="1"/>
      <c r="V358" s="1"/>
      <c r="W358" s="8"/>
      <c r="X358" s="1"/>
      <c r="Y358" s="9"/>
      <c r="Z358" s="9"/>
      <c r="AA358" s="9"/>
      <c r="AB358" s="2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s="10" customFormat="1" ht="12" customHeight="1">
      <c r="A359" s="2"/>
      <c r="B359" s="6"/>
      <c r="C359" s="6"/>
      <c r="D359" s="7"/>
      <c r="E359" s="6"/>
      <c r="F359" s="3"/>
      <c r="G359" s="4"/>
      <c r="H359" s="7"/>
      <c r="I359" s="6"/>
      <c r="J359" s="5"/>
      <c r="K359" s="11"/>
      <c r="L359" s="11"/>
      <c r="M359" s="11"/>
      <c r="N359" s="12"/>
      <c r="O359" s="13"/>
      <c r="P359" s="12"/>
      <c r="Q359" s="13"/>
      <c r="R359" s="12"/>
      <c r="S359" s="13"/>
      <c r="T359" s="13"/>
      <c r="U359" s="1"/>
      <c r="V359" s="1"/>
      <c r="W359" s="8"/>
      <c r="X359" s="1"/>
      <c r="Y359" s="9"/>
      <c r="Z359" s="9"/>
      <c r="AA359" s="9"/>
      <c r="AB359" s="2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s="10" customFormat="1" ht="12" customHeight="1">
      <c r="A360" s="2"/>
      <c r="B360" s="6"/>
      <c r="C360" s="6"/>
      <c r="D360" s="7"/>
      <c r="E360" s="6"/>
      <c r="F360" s="3"/>
      <c r="G360" s="4"/>
      <c r="H360" s="7"/>
      <c r="I360" s="6"/>
      <c r="J360" s="5"/>
      <c r="K360" s="11"/>
      <c r="L360" s="11"/>
      <c r="M360" s="11"/>
      <c r="N360" s="12"/>
      <c r="O360" s="13"/>
      <c r="P360" s="12"/>
      <c r="Q360" s="13"/>
      <c r="R360" s="12"/>
      <c r="S360" s="13"/>
      <c r="T360" s="13"/>
      <c r="U360" s="1"/>
      <c r="V360" s="1"/>
      <c r="W360" s="8"/>
      <c r="X360" s="1"/>
      <c r="Y360" s="9"/>
      <c r="Z360" s="9"/>
      <c r="AA360" s="9"/>
      <c r="AB360" s="2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s="10" customFormat="1" ht="12" customHeight="1">
      <c r="A361" s="2"/>
      <c r="B361" s="6"/>
      <c r="C361" s="6"/>
      <c r="D361" s="7"/>
      <c r="E361" s="6"/>
      <c r="F361" s="3"/>
      <c r="G361" s="4"/>
      <c r="H361" s="7"/>
      <c r="I361" s="6"/>
      <c r="J361" s="5"/>
      <c r="K361" s="11"/>
      <c r="L361" s="11"/>
      <c r="M361" s="11"/>
      <c r="N361" s="12"/>
      <c r="O361" s="13"/>
      <c r="P361" s="12"/>
      <c r="Q361" s="13"/>
      <c r="R361" s="12"/>
      <c r="S361" s="13"/>
      <c r="T361" s="13"/>
      <c r="U361" s="1"/>
      <c r="V361" s="1"/>
      <c r="W361" s="8"/>
      <c r="X361" s="1"/>
      <c r="Y361" s="9"/>
      <c r="Z361" s="9"/>
      <c r="AA361" s="9"/>
      <c r="AB361" s="2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s="10" customFormat="1" ht="12" customHeight="1">
      <c r="A362" s="2"/>
      <c r="B362" s="6"/>
      <c r="C362" s="6"/>
      <c r="D362" s="7"/>
      <c r="E362" s="6"/>
      <c r="F362" s="3"/>
      <c r="G362" s="4"/>
      <c r="H362" s="7"/>
      <c r="I362" s="6"/>
      <c r="J362" s="5"/>
      <c r="K362" s="11"/>
      <c r="L362" s="11"/>
      <c r="M362" s="11"/>
      <c r="N362" s="12"/>
      <c r="O362" s="13"/>
      <c r="P362" s="12"/>
      <c r="Q362" s="13"/>
      <c r="R362" s="12"/>
      <c r="S362" s="13"/>
      <c r="T362" s="13"/>
      <c r="U362" s="1"/>
      <c r="V362" s="1"/>
      <c r="W362" s="8"/>
      <c r="X362" s="1"/>
      <c r="Y362" s="9"/>
      <c r="Z362" s="9"/>
      <c r="AA362" s="9"/>
      <c r="AB362" s="2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s="10" customFormat="1" ht="12" customHeight="1">
      <c r="A363" s="2"/>
      <c r="B363" s="6"/>
      <c r="C363" s="6"/>
      <c r="D363" s="7"/>
      <c r="E363" s="6"/>
      <c r="F363" s="3"/>
      <c r="G363" s="4"/>
      <c r="H363" s="7"/>
      <c r="I363" s="6"/>
      <c r="J363" s="5"/>
      <c r="K363" s="11"/>
      <c r="L363" s="11"/>
      <c r="M363" s="11"/>
      <c r="N363" s="12"/>
      <c r="O363" s="13"/>
      <c r="P363" s="12"/>
      <c r="Q363" s="13"/>
      <c r="R363" s="12"/>
      <c r="S363" s="13"/>
      <c r="T363" s="13"/>
      <c r="U363" s="1"/>
      <c r="V363" s="1"/>
      <c r="W363" s="8"/>
      <c r="X363" s="1"/>
      <c r="Y363" s="9"/>
      <c r="Z363" s="9"/>
      <c r="AA363" s="9"/>
      <c r="AB363" s="2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s="10" customFormat="1" ht="12" customHeight="1">
      <c r="A364" s="2"/>
      <c r="B364" s="6"/>
      <c r="C364" s="6"/>
      <c r="D364" s="7"/>
      <c r="E364" s="6"/>
      <c r="F364" s="3"/>
      <c r="G364" s="4"/>
      <c r="H364" s="7"/>
      <c r="I364" s="6"/>
      <c r="J364" s="5"/>
      <c r="K364" s="11"/>
      <c r="L364" s="11"/>
      <c r="M364" s="11"/>
      <c r="N364" s="12"/>
      <c r="O364" s="13"/>
      <c r="P364" s="12"/>
      <c r="Q364" s="13"/>
      <c r="R364" s="12"/>
      <c r="S364" s="13"/>
      <c r="T364" s="13"/>
      <c r="U364" s="1"/>
      <c r="V364" s="1"/>
      <c r="W364" s="8"/>
      <c r="X364" s="1"/>
      <c r="Y364" s="9"/>
      <c r="Z364" s="9"/>
      <c r="AA364" s="9"/>
      <c r="AB364" s="2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s="10" customFormat="1" ht="12" customHeight="1">
      <c r="A365" s="2"/>
      <c r="B365" s="6"/>
      <c r="C365" s="6"/>
      <c r="D365" s="7"/>
      <c r="E365" s="6"/>
      <c r="F365" s="3"/>
      <c r="G365" s="4"/>
      <c r="H365" s="7"/>
      <c r="I365" s="6"/>
      <c r="J365" s="5"/>
      <c r="K365" s="11"/>
      <c r="L365" s="11"/>
      <c r="M365" s="11"/>
      <c r="N365" s="12"/>
      <c r="O365" s="13"/>
      <c r="P365" s="12"/>
      <c r="Q365" s="13"/>
      <c r="R365" s="12"/>
      <c r="S365" s="13"/>
      <c r="T365" s="13"/>
      <c r="U365" s="1"/>
      <c r="V365" s="1"/>
      <c r="W365" s="8"/>
      <c r="X365" s="1"/>
      <c r="Y365" s="9"/>
      <c r="Z365" s="9"/>
      <c r="AA365" s="9"/>
      <c r="AB365" s="2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s="10" customFormat="1" ht="12" customHeight="1">
      <c r="A366" s="2"/>
      <c r="B366" s="6"/>
      <c r="C366" s="6"/>
      <c r="D366" s="7"/>
      <c r="E366" s="6"/>
      <c r="F366" s="3"/>
      <c r="G366" s="4"/>
      <c r="H366" s="7"/>
      <c r="I366" s="6"/>
      <c r="J366" s="5"/>
      <c r="K366" s="11"/>
      <c r="L366" s="11"/>
      <c r="M366" s="11"/>
      <c r="N366" s="12"/>
      <c r="O366" s="13"/>
      <c r="P366" s="12"/>
      <c r="Q366" s="13"/>
      <c r="R366" s="12"/>
      <c r="S366" s="13"/>
      <c r="T366" s="13"/>
      <c r="U366" s="1"/>
      <c r="V366" s="1"/>
      <c r="W366" s="8"/>
      <c r="X366" s="1"/>
      <c r="Y366" s="9"/>
      <c r="Z366" s="9"/>
      <c r="AA366" s="9"/>
      <c r="AB366" s="2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s="10" customFormat="1" ht="12" customHeight="1">
      <c r="A367" s="2"/>
      <c r="B367" s="6"/>
      <c r="C367" s="6"/>
      <c r="D367" s="7"/>
      <c r="E367" s="6"/>
      <c r="F367" s="3"/>
      <c r="G367" s="4"/>
      <c r="H367" s="7"/>
      <c r="I367" s="6"/>
      <c r="J367" s="5"/>
      <c r="K367" s="11"/>
      <c r="L367" s="11"/>
      <c r="M367" s="11"/>
      <c r="N367" s="12"/>
      <c r="O367" s="13"/>
      <c r="P367" s="12"/>
      <c r="Q367" s="13"/>
      <c r="R367" s="12"/>
      <c r="S367" s="13"/>
      <c r="T367" s="13"/>
      <c r="U367" s="1"/>
      <c r="V367" s="1"/>
      <c r="W367" s="8"/>
      <c r="X367" s="1"/>
      <c r="Y367" s="9"/>
      <c r="Z367" s="9"/>
      <c r="AA367" s="9"/>
      <c r="AB367" s="2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s="10" customFormat="1" ht="12" customHeight="1">
      <c r="A368" s="2"/>
      <c r="B368" s="6"/>
      <c r="C368" s="6"/>
      <c r="D368" s="7"/>
      <c r="E368" s="6"/>
      <c r="F368" s="3"/>
      <c r="G368" s="4"/>
      <c r="H368" s="7"/>
      <c r="I368" s="6"/>
      <c r="J368" s="5"/>
      <c r="K368" s="11"/>
      <c r="L368" s="11"/>
      <c r="M368" s="11"/>
      <c r="N368" s="12"/>
      <c r="O368" s="13"/>
      <c r="P368" s="12"/>
      <c r="Q368" s="13"/>
      <c r="R368" s="12"/>
      <c r="S368" s="13"/>
      <c r="T368" s="13"/>
      <c r="U368" s="1"/>
      <c r="V368" s="1"/>
      <c r="W368" s="8"/>
      <c r="X368" s="1"/>
      <c r="Y368" s="9"/>
      <c r="Z368" s="9"/>
      <c r="AA368" s="9"/>
      <c r="AB368" s="2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s="10" customFormat="1" ht="12" customHeight="1">
      <c r="A369" s="2"/>
      <c r="B369" s="6"/>
      <c r="C369" s="6"/>
      <c r="D369" s="7"/>
      <c r="E369" s="6"/>
      <c r="F369" s="3"/>
      <c r="G369" s="4"/>
      <c r="H369" s="7"/>
      <c r="I369" s="6"/>
      <c r="J369" s="5"/>
      <c r="K369" s="11"/>
      <c r="L369" s="11"/>
      <c r="M369" s="11"/>
      <c r="N369" s="12"/>
      <c r="O369" s="13"/>
      <c r="P369" s="12"/>
      <c r="Q369" s="13"/>
      <c r="R369" s="12"/>
      <c r="S369" s="13"/>
      <c r="T369" s="13"/>
      <c r="U369" s="1"/>
      <c r="V369" s="1"/>
      <c r="W369" s="8"/>
      <c r="X369" s="1"/>
      <c r="Y369" s="9"/>
      <c r="Z369" s="9"/>
      <c r="AA369" s="9"/>
      <c r="AB369" s="2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s="10" customFormat="1" ht="12" customHeight="1">
      <c r="A370" s="2"/>
      <c r="B370" s="6"/>
      <c r="C370" s="6"/>
      <c r="D370" s="7"/>
      <c r="E370" s="6"/>
      <c r="F370" s="3"/>
      <c r="G370" s="4"/>
      <c r="H370" s="7"/>
      <c r="I370" s="6"/>
      <c r="J370" s="5"/>
      <c r="K370" s="11"/>
      <c r="L370" s="11"/>
      <c r="M370" s="11"/>
      <c r="N370" s="12"/>
      <c r="O370" s="13"/>
      <c r="P370" s="12"/>
      <c r="Q370" s="13"/>
      <c r="R370" s="12"/>
      <c r="S370" s="13"/>
      <c r="T370" s="13"/>
      <c r="U370" s="1"/>
      <c r="V370" s="1"/>
      <c r="W370" s="8"/>
      <c r="X370" s="1"/>
      <c r="Y370" s="9"/>
      <c r="Z370" s="9"/>
      <c r="AA370" s="9"/>
      <c r="AB370" s="2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s="10" customFormat="1" ht="12" customHeight="1">
      <c r="A371" s="2"/>
      <c r="B371" s="6"/>
      <c r="C371" s="6"/>
      <c r="D371" s="7"/>
      <c r="E371" s="6"/>
      <c r="F371" s="3"/>
      <c r="G371" s="4"/>
      <c r="H371" s="7"/>
      <c r="I371" s="6"/>
      <c r="J371" s="5"/>
      <c r="K371" s="11"/>
      <c r="L371" s="11"/>
      <c r="M371" s="11"/>
      <c r="N371" s="12"/>
      <c r="O371" s="13"/>
      <c r="P371" s="12"/>
      <c r="Q371" s="13"/>
      <c r="R371" s="12"/>
      <c r="S371" s="13"/>
      <c r="T371" s="13"/>
      <c r="U371" s="1"/>
      <c r="V371" s="1"/>
      <c r="W371" s="8"/>
      <c r="X371" s="1"/>
      <c r="Y371" s="9"/>
      <c r="Z371" s="9"/>
      <c r="AA371" s="9"/>
      <c r="AB371" s="2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s="10" customFormat="1" ht="12" customHeight="1">
      <c r="A372" s="2"/>
      <c r="B372" s="6"/>
      <c r="C372" s="6"/>
      <c r="D372" s="7"/>
      <c r="E372" s="6"/>
      <c r="F372" s="3"/>
      <c r="G372" s="4"/>
      <c r="H372" s="7"/>
      <c r="I372" s="6"/>
      <c r="J372" s="5"/>
      <c r="K372" s="11"/>
      <c r="L372" s="11"/>
      <c r="M372" s="11"/>
      <c r="N372" s="12"/>
      <c r="O372" s="13"/>
      <c r="P372" s="12"/>
      <c r="Q372" s="13"/>
      <c r="R372" s="12"/>
      <c r="S372" s="13"/>
      <c r="T372" s="13"/>
      <c r="U372" s="1"/>
      <c r="V372" s="1"/>
      <c r="W372" s="8"/>
      <c r="X372" s="1"/>
      <c r="Y372" s="9"/>
      <c r="Z372" s="9"/>
      <c r="AA372" s="9"/>
      <c r="AB372" s="2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s="10" customFormat="1" ht="12" customHeight="1">
      <c r="A373" s="2"/>
      <c r="B373" s="6"/>
      <c r="C373" s="6"/>
      <c r="D373" s="7"/>
      <c r="E373" s="6"/>
      <c r="F373" s="3"/>
      <c r="G373" s="4"/>
      <c r="H373" s="7"/>
      <c r="I373" s="6"/>
      <c r="J373" s="5"/>
      <c r="K373" s="11"/>
      <c r="L373" s="11"/>
      <c r="M373" s="11"/>
      <c r="N373" s="12"/>
      <c r="O373" s="13"/>
      <c r="P373" s="12"/>
      <c r="Q373" s="13"/>
      <c r="R373" s="12"/>
      <c r="S373" s="13"/>
      <c r="T373" s="13"/>
      <c r="U373" s="1"/>
      <c r="V373" s="1"/>
      <c r="W373" s="8"/>
      <c r="X373" s="1"/>
      <c r="Y373" s="9"/>
      <c r="Z373" s="9"/>
      <c r="AA373" s="9"/>
      <c r="AB373" s="2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s="10" customFormat="1" ht="12" customHeight="1">
      <c r="A374" s="2"/>
      <c r="B374" s="6"/>
      <c r="C374" s="6"/>
      <c r="D374" s="7"/>
      <c r="E374" s="6"/>
      <c r="F374" s="3"/>
      <c r="G374" s="4"/>
      <c r="H374" s="7"/>
      <c r="I374" s="6"/>
      <c r="J374" s="5"/>
      <c r="K374" s="11"/>
      <c r="L374" s="11"/>
      <c r="M374" s="11"/>
      <c r="N374" s="12"/>
      <c r="O374" s="13"/>
      <c r="P374" s="12"/>
      <c r="Q374" s="13"/>
      <c r="R374" s="12"/>
      <c r="S374" s="13"/>
      <c r="T374" s="13"/>
      <c r="U374" s="1"/>
      <c r="V374" s="1"/>
      <c r="W374" s="8"/>
      <c r="X374" s="1"/>
      <c r="Y374" s="9"/>
      <c r="Z374" s="9"/>
      <c r="AA374" s="9"/>
      <c r="AB374" s="2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s="10" customFormat="1" ht="12" customHeight="1">
      <c r="A375" s="2"/>
      <c r="B375" s="6"/>
      <c r="C375" s="6"/>
      <c r="D375" s="7"/>
      <c r="E375" s="6"/>
      <c r="F375" s="3"/>
      <c r="G375" s="4"/>
      <c r="H375" s="7"/>
      <c r="I375" s="6"/>
      <c r="J375" s="5"/>
      <c r="K375" s="11"/>
      <c r="L375" s="11"/>
      <c r="M375" s="11"/>
      <c r="N375" s="12"/>
      <c r="O375" s="13"/>
      <c r="P375" s="12"/>
      <c r="Q375" s="13"/>
      <c r="R375" s="12"/>
      <c r="S375" s="13"/>
      <c r="T375" s="13"/>
      <c r="U375" s="1"/>
      <c r="V375" s="1"/>
      <c r="W375" s="8"/>
      <c r="X375" s="1"/>
      <c r="Y375" s="9"/>
      <c r="Z375" s="9"/>
      <c r="AA375" s="9"/>
      <c r="AB375" s="2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s="10" customFormat="1" ht="12" customHeight="1">
      <c r="A376" s="2"/>
      <c r="B376" s="6"/>
      <c r="C376" s="6"/>
      <c r="D376" s="7"/>
      <c r="E376" s="6"/>
      <c r="F376" s="3"/>
      <c r="G376" s="4"/>
      <c r="H376" s="7"/>
      <c r="I376" s="6"/>
      <c r="J376" s="5"/>
      <c r="K376" s="11"/>
      <c r="L376" s="11"/>
      <c r="M376" s="11"/>
      <c r="N376" s="12"/>
      <c r="O376" s="13"/>
      <c r="P376" s="12"/>
      <c r="Q376" s="13"/>
      <c r="R376" s="12"/>
      <c r="S376" s="13"/>
      <c r="T376" s="13"/>
      <c r="U376" s="1"/>
      <c r="V376" s="1"/>
      <c r="W376" s="8"/>
      <c r="X376" s="1"/>
      <c r="Y376" s="9"/>
      <c r="Z376" s="9"/>
      <c r="AA376" s="9"/>
      <c r="AB376" s="2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s="10" customFormat="1" ht="12" customHeight="1">
      <c r="A377" s="2"/>
      <c r="B377" s="6"/>
      <c r="C377" s="6"/>
      <c r="D377" s="7"/>
      <c r="E377" s="6"/>
      <c r="F377" s="3"/>
      <c r="G377" s="4"/>
      <c r="H377" s="7"/>
      <c r="I377" s="6"/>
      <c r="J377" s="5"/>
      <c r="K377" s="11"/>
      <c r="L377" s="11"/>
      <c r="M377" s="11"/>
      <c r="N377" s="12"/>
      <c r="O377" s="13"/>
      <c r="P377" s="12"/>
      <c r="Q377" s="13"/>
      <c r="R377" s="12"/>
      <c r="S377" s="13"/>
      <c r="T377" s="13"/>
      <c r="U377" s="1"/>
      <c r="V377" s="1"/>
      <c r="W377" s="8"/>
      <c r="X377" s="1"/>
      <c r="Y377" s="9"/>
      <c r="Z377" s="9"/>
      <c r="AA377" s="9"/>
      <c r="AB377" s="2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s="10" customFormat="1" ht="12" customHeight="1">
      <c r="A378" s="2"/>
      <c r="B378" s="6"/>
      <c r="C378" s="6"/>
      <c r="D378" s="7"/>
      <c r="E378" s="6"/>
      <c r="F378" s="3"/>
      <c r="G378" s="4"/>
      <c r="H378" s="7"/>
      <c r="I378" s="6"/>
      <c r="J378" s="5"/>
      <c r="K378" s="11"/>
      <c r="L378" s="11"/>
      <c r="M378" s="11"/>
      <c r="N378" s="12"/>
      <c r="O378" s="13"/>
      <c r="P378" s="12"/>
      <c r="Q378" s="13"/>
      <c r="R378" s="12"/>
      <c r="S378" s="13"/>
      <c r="T378" s="13"/>
      <c r="U378" s="1"/>
      <c r="V378" s="1"/>
      <c r="W378" s="8"/>
      <c r="X378" s="1"/>
      <c r="Y378" s="9"/>
      <c r="Z378" s="9"/>
      <c r="AA378" s="9"/>
      <c r="AB378" s="2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s="10" customFormat="1" ht="12" customHeight="1">
      <c r="A379" s="2"/>
      <c r="B379" s="6"/>
      <c r="C379" s="6"/>
      <c r="D379" s="7"/>
      <c r="E379" s="6"/>
      <c r="F379" s="3"/>
      <c r="G379" s="4"/>
      <c r="H379" s="7"/>
      <c r="I379" s="6"/>
      <c r="J379" s="5"/>
      <c r="K379" s="11"/>
      <c r="L379" s="11"/>
      <c r="M379" s="11"/>
      <c r="N379" s="12"/>
      <c r="O379" s="13"/>
      <c r="P379" s="12"/>
      <c r="Q379" s="13"/>
      <c r="R379" s="12"/>
      <c r="S379" s="13"/>
      <c r="T379" s="13"/>
      <c r="U379" s="1"/>
      <c r="V379" s="1"/>
      <c r="W379" s="8"/>
      <c r="X379" s="1"/>
      <c r="Y379" s="9"/>
      <c r="Z379" s="9"/>
      <c r="AA379" s="9"/>
      <c r="AB379" s="2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s="10" customFormat="1" ht="12" customHeight="1">
      <c r="A380" s="2"/>
      <c r="B380" s="6"/>
      <c r="C380" s="6"/>
      <c r="D380" s="7"/>
      <c r="E380" s="6"/>
      <c r="F380" s="3"/>
      <c r="G380" s="4"/>
      <c r="H380" s="7"/>
      <c r="I380" s="6"/>
      <c r="J380" s="5"/>
      <c r="K380" s="11"/>
      <c r="L380" s="11"/>
      <c r="M380" s="11"/>
      <c r="N380" s="12"/>
      <c r="O380" s="13"/>
      <c r="P380" s="12"/>
      <c r="Q380" s="13"/>
      <c r="R380" s="12"/>
      <c r="S380" s="13"/>
      <c r="T380" s="13"/>
      <c r="U380" s="1"/>
      <c r="V380" s="1"/>
      <c r="W380" s="8"/>
      <c r="X380" s="1"/>
      <c r="Y380" s="9"/>
      <c r="Z380" s="9"/>
      <c r="AA380" s="9"/>
      <c r="AB380" s="2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s="10" customFormat="1" ht="12" customHeight="1">
      <c r="A381" s="2"/>
      <c r="B381" s="6"/>
      <c r="C381" s="6"/>
      <c r="D381" s="7"/>
      <c r="E381" s="6"/>
      <c r="F381" s="3"/>
      <c r="G381" s="4"/>
      <c r="H381" s="7"/>
      <c r="I381" s="6"/>
      <c r="J381" s="5"/>
      <c r="K381" s="11"/>
      <c r="L381" s="11"/>
      <c r="M381" s="11"/>
      <c r="N381" s="12"/>
      <c r="O381" s="13"/>
      <c r="P381" s="12"/>
      <c r="Q381" s="13"/>
      <c r="R381" s="12"/>
      <c r="S381" s="13"/>
      <c r="T381" s="13"/>
      <c r="U381" s="1"/>
      <c r="V381" s="1"/>
      <c r="W381" s="8"/>
      <c r="X381" s="1"/>
      <c r="Y381" s="9"/>
      <c r="Z381" s="9"/>
      <c r="AA381" s="9"/>
      <c r="AB381" s="2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s="10" customFormat="1" ht="12" customHeight="1">
      <c r="A382" s="2"/>
      <c r="B382" s="6"/>
      <c r="C382" s="6"/>
      <c r="D382" s="7"/>
      <c r="E382" s="6"/>
      <c r="F382" s="3"/>
      <c r="G382" s="4"/>
      <c r="H382" s="7"/>
      <c r="I382" s="6"/>
      <c r="J382" s="5"/>
      <c r="K382" s="11"/>
      <c r="L382" s="11"/>
      <c r="M382" s="11"/>
      <c r="N382" s="12"/>
      <c r="O382" s="13"/>
      <c r="P382" s="12"/>
      <c r="Q382" s="13"/>
      <c r="R382" s="12"/>
      <c r="S382" s="13"/>
      <c r="T382" s="13"/>
      <c r="U382" s="1"/>
      <c r="V382" s="1"/>
      <c r="W382" s="8"/>
      <c r="X382" s="1"/>
      <c r="Y382" s="9"/>
      <c r="Z382" s="9"/>
      <c r="AA382" s="9"/>
      <c r="AB382" s="2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s="10" customFormat="1" ht="12" customHeight="1">
      <c r="A383" s="2"/>
      <c r="B383" s="6"/>
      <c r="C383" s="6"/>
      <c r="D383" s="7"/>
      <c r="E383" s="6"/>
      <c r="F383" s="3"/>
      <c r="G383" s="4"/>
      <c r="H383" s="7"/>
      <c r="I383" s="6"/>
      <c r="J383" s="5"/>
      <c r="K383" s="11"/>
      <c r="L383" s="11"/>
      <c r="M383" s="11"/>
      <c r="N383" s="12"/>
      <c r="O383" s="13"/>
      <c r="P383" s="12"/>
      <c r="Q383" s="13"/>
      <c r="R383" s="12"/>
      <c r="S383" s="13"/>
      <c r="T383" s="13"/>
      <c r="U383" s="1"/>
      <c r="V383" s="1"/>
      <c r="W383" s="8"/>
      <c r="X383" s="1"/>
      <c r="Y383" s="9"/>
      <c r="Z383" s="9"/>
      <c r="AA383" s="9"/>
      <c r="AB383" s="2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s="10" customFormat="1" ht="12" customHeight="1">
      <c r="A384" s="2"/>
      <c r="B384" s="6"/>
      <c r="C384" s="6"/>
      <c r="D384" s="7"/>
      <c r="E384" s="6"/>
      <c r="F384" s="3"/>
      <c r="G384" s="4"/>
      <c r="H384" s="7"/>
      <c r="I384" s="6"/>
      <c r="J384" s="5"/>
      <c r="K384" s="11"/>
      <c r="L384" s="11"/>
      <c r="M384" s="11"/>
      <c r="N384" s="12"/>
      <c r="O384" s="13"/>
      <c r="P384" s="12"/>
      <c r="Q384" s="13"/>
      <c r="R384" s="12"/>
      <c r="S384" s="13"/>
      <c r="T384" s="13"/>
      <c r="U384" s="1"/>
      <c r="V384" s="1"/>
      <c r="W384" s="8"/>
      <c r="X384" s="1"/>
      <c r="Y384" s="9"/>
      <c r="Z384" s="9"/>
      <c r="AA384" s="9"/>
      <c r="AB384" s="2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s="10" customFormat="1" ht="12" customHeight="1">
      <c r="A385" s="2"/>
      <c r="B385" s="6"/>
      <c r="C385" s="6"/>
      <c r="D385" s="7"/>
      <c r="E385" s="6"/>
      <c r="F385" s="3"/>
      <c r="G385" s="4"/>
      <c r="H385" s="7"/>
      <c r="I385" s="6"/>
      <c r="J385" s="5"/>
      <c r="K385" s="11"/>
      <c r="L385" s="11"/>
      <c r="M385" s="11"/>
      <c r="N385" s="12"/>
      <c r="O385" s="13"/>
      <c r="P385" s="12"/>
      <c r="Q385" s="13"/>
      <c r="R385" s="12"/>
      <c r="S385" s="13"/>
      <c r="T385" s="13"/>
      <c r="U385" s="1"/>
      <c r="V385" s="1"/>
      <c r="W385" s="8"/>
      <c r="X385" s="1"/>
      <c r="Y385" s="9"/>
      <c r="Z385" s="9"/>
      <c r="AA385" s="9"/>
      <c r="AB385" s="2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s="10" customFormat="1" ht="12" customHeight="1">
      <c r="A386" s="2"/>
      <c r="B386" s="6"/>
      <c r="C386" s="6"/>
      <c r="D386" s="7"/>
      <c r="E386" s="6"/>
      <c r="F386" s="3"/>
      <c r="G386" s="4"/>
      <c r="H386" s="7"/>
      <c r="I386" s="6"/>
      <c r="J386" s="5"/>
      <c r="K386" s="11"/>
      <c r="L386" s="11"/>
      <c r="M386" s="11"/>
      <c r="N386" s="12"/>
      <c r="O386" s="13"/>
      <c r="P386" s="12"/>
      <c r="Q386" s="13"/>
      <c r="R386" s="12"/>
      <c r="S386" s="13"/>
      <c r="T386" s="13"/>
      <c r="U386" s="1"/>
      <c r="V386" s="1"/>
      <c r="W386" s="8"/>
      <c r="X386" s="1"/>
      <c r="Y386" s="9"/>
      <c r="Z386" s="9"/>
      <c r="AA386" s="9"/>
      <c r="AB386" s="2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s="10" customFormat="1" ht="12" customHeight="1">
      <c r="A387" s="2"/>
      <c r="B387" s="6"/>
      <c r="C387" s="6"/>
      <c r="D387" s="7"/>
      <c r="E387" s="6"/>
      <c r="F387" s="3"/>
      <c r="G387" s="4"/>
      <c r="H387" s="7"/>
      <c r="I387" s="6"/>
      <c r="J387" s="5"/>
      <c r="K387" s="11"/>
      <c r="L387" s="11"/>
      <c r="M387" s="11"/>
      <c r="N387" s="12"/>
      <c r="O387" s="13"/>
      <c r="P387" s="12"/>
      <c r="Q387" s="13"/>
      <c r="R387" s="12"/>
      <c r="S387" s="13"/>
      <c r="T387" s="13"/>
      <c r="U387" s="1"/>
      <c r="V387" s="1"/>
      <c r="W387" s="8"/>
      <c r="X387" s="1"/>
      <c r="Y387" s="9"/>
      <c r="Z387" s="9"/>
      <c r="AA387" s="9"/>
      <c r="AB387" s="2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s="10" customFormat="1" ht="12" customHeight="1">
      <c r="A388" s="2"/>
      <c r="B388" s="6"/>
      <c r="C388" s="6"/>
      <c r="D388" s="7"/>
      <c r="E388" s="6"/>
      <c r="F388" s="3"/>
      <c r="G388" s="4"/>
      <c r="H388" s="7"/>
      <c r="I388" s="6"/>
      <c r="J388" s="5"/>
      <c r="K388" s="11"/>
      <c r="L388" s="11"/>
      <c r="M388" s="11"/>
      <c r="N388" s="12"/>
      <c r="O388" s="13"/>
      <c r="P388" s="12"/>
      <c r="Q388" s="13"/>
      <c r="R388" s="12"/>
      <c r="S388" s="13"/>
      <c r="T388" s="13"/>
      <c r="U388" s="1"/>
      <c r="V388" s="1"/>
      <c r="W388" s="8"/>
      <c r="X388" s="1"/>
      <c r="Y388" s="9"/>
      <c r="Z388" s="9"/>
      <c r="AA388" s="9"/>
      <c r="AB388" s="2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s="10" customFormat="1" ht="12" customHeight="1">
      <c r="A389" s="2"/>
      <c r="B389" s="6"/>
      <c r="C389" s="6"/>
      <c r="D389" s="7"/>
      <c r="E389" s="6"/>
      <c r="F389" s="3"/>
      <c r="G389" s="4"/>
      <c r="H389" s="7"/>
      <c r="I389" s="6"/>
      <c r="J389" s="5"/>
      <c r="K389" s="11"/>
      <c r="L389" s="11"/>
      <c r="M389" s="11"/>
      <c r="N389" s="12"/>
      <c r="O389" s="13"/>
      <c r="P389" s="12"/>
      <c r="Q389" s="13"/>
      <c r="R389" s="12"/>
      <c r="S389" s="13"/>
      <c r="T389" s="13"/>
      <c r="U389" s="1"/>
      <c r="V389" s="1"/>
      <c r="W389" s="8"/>
      <c r="X389" s="1"/>
      <c r="Y389" s="9"/>
      <c r="Z389" s="9"/>
      <c r="AA389" s="9"/>
      <c r="AB389" s="2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s="10" customFormat="1" ht="12" customHeight="1">
      <c r="A390" s="2"/>
      <c r="B390" s="6"/>
      <c r="C390" s="6"/>
      <c r="D390" s="7"/>
      <c r="E390" s="6"/>
      <c r="F390" s="3"/>
      <c r="G390" s="4"/>
      <c r="H390" s="7"/>
      <c r="I390" s="6"/>
      <c r="J390" s="5"/>
      <c r="K390" s="11"/>
      <c r="L390" s="11"/>
      <c r="M390" s="11"/>
      <c r="N390" s="12"/>
      <c r="O390" s="13"/>
      <c r="P390" s="12"/>
      <c r="Q390" s="13"/>
      <c r="R390" s="12"/>
      <c r="S390" s="13"/>
      <c r="T390" s="13"/>
      <c r="U390" s="1"/>
      <c r="V390" s="1"/>
      <c r="W390" s="8"/>
      <c r="X390" s="1"/>
      <c r="Y390" s="9"/>
      <c r="Z390" s="9"/>
      <c r="AA390" s="9"/>
      <c r="AB390" s="2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s="10" customFormat="1" ht="12" customHeight="1">
      <c r="A391" s="2"/>
      <c r="B391" s="6"/>
      <c r="C391" s="6"/>
      <c r="D391" s="7"/>
      <c r="E391" s="6"/>
      <c r="F391" s="3"/>
      <c r="G391" s="4"/>
      <c r="H391" s="7"/>
      <c r="I391" s="6"/>
      <c r="J391" s="5"/>
      <c r="K391" s="11"/>
      <c r="L391" s="11"/>
      <c r="M391" s="11"/>
      <c r="N391" s="12"/>
      <c r="O391" s="13"/>
      <c r="P391" s="12"/>
      <c r="Q391" s="13"/>
      <c r="R391" s="12"/>
      <c r="S391" s="13"/>
      <c r="T391" s="13"/>
      <c r="U391" s="1"/>
      <c r="V391" s="1"/>
      <c r="W391" s="8"/>
      <c r="X391" s="1"/>
      <c r="Y391" s="9"/>
      <c r="Z391" s="9"/>
      <c r="AA391" s="9"/>
      <c r="AB391" s="2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s="10" customFormat="1" ht="12" customHeight="1">
      <c r="A392" s="2"/>
      <c r="B392" s="6"/>
      <c r="C392" s="6"/>
      <c r="D392" s="7"/>
      <c r="E392" s="6"/>
      <c r="F392" s="3"/>
      <c r="G392" s="4"/>
      <c r="H392" s="7"/>
      <c r="I392" s="6"/>
      <c r="J392" s="5"/>
      <c r="K392" s="11"/>
      <c r="L392" s="11"/>
      <c r="M392" s="11"/>
      <c r="N392" s="12"/>
      <c r="O392" s="13"/>
      <c r="P392" s="12"/>
      <c r="Q392" s="13"/>
      <c r="R392" s="12"/>
      <c r="S392" s="13"/>
      <c r="T392" s="13"/>
      <c r="U392" s="1"/>
      <c r="V392" s="1"/>
      <c r="W392" s="8"/>
      <c r="X392" s="1"/>
      <c r="Y392" s="9"/>
      <c r="Z392" s="9"/>
      <c r="AA392" s="9"/>
      <c r="AB392" s="2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s="10" customFormat="1" ht="12" customHeight="1">
      <c r="A393" s="2"/>
      <c r="B393" s="6"/>
      <c r="C393" s="6"/>
      <c r="D393" s="7"/>
      <c r="E393" s="6"/>
      <c r="F393" s="3"/>
      <c r="G393" s="4"/>
      <c r="H393" s="7"/>
      <c r="I393" s="6"/>
      <c r="J393" s="5"/>
      <c r="K393" s="11"/>
      <c r="L393" s="11"/>
      <c r="M393" s="11"/>
      <c r="N393" s="12"/>
      <c r="O393" s="13"/>
      <c r="P393" s="12"/>
      <c r="Q393" s="13"/>
      <c r="R393" s="12"/>
      <c r="S393" s="13"/>
      <c r="T393" s="13"/>
      <c r="U393" s="1"/>
      <c r="V393" s="1"/>
      <c r="W393" s="8"/>
      <c r="X393" s="1"/>
      <c r="Y393" s="9"/>
      <c r="Z393" s="9"/>
      <c r="AA393" s="9"/>
      <c r="AB393" s="2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s="10" customFormat="1" ht="12" customHeight="1">
      <c r="A394" s="2"/>
      <c r="B394" s="6"/>
      <c r="C394" s="6"/>
      <c r="D394" s="7"/>
      <c r="E394" s="6"/>
      <c r="F394" s="3"/>
      <c r="G394" s="4"/>
      <c r="H394" s="7"/>
      <c r="I394" s="6"/>
      <c r="J394" s="5"/>
      <c r="K394" s="11"/>
      <c r="L394" s="11"/>
      <c r="M394" s="11"/>
      <c r="N394" s="12"/>
      <c r="O394" s="13"/>
      <c r="P394" s="12"/>
      <c r="Q394" s="13"/>
      <c r="R394" s="12"/>
      <c r="S394" s="13"/>
      <c r="T394" s="13"/>
      <c r="U394" s="1"/>
      <c r="V394" s="1"/>
      <c r="W394" s="8"/>
      <c r="X394" s="1"/>
      <c r="Y394" s="9"/>
      <c r="Z394" s="9"/>
      <c r="AA394" s="9"/>
      <c r="AB394" s="2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s="10" customFormat="1" ht="12" customHeight="1">
      <c r="A395" s="2"/>
      <c r="B395" s="6"/>
      <c r="C395" s="6"/>
      <c r="D395" s="7"/>
      <c r="E395" s="6"/>
      <c r="F395" s="3"/>
      <c r="G395" s="4"/>
      <c r="H395" s="7"/>
      <c r="I395" s="6"/>
      <c r="J395" s="5"/>
      <c r="K395" s="11"/>
      <c r="L395" s="11"/>
      <c r="M395" s="11"/>
      <c r="N395" s="12"/>
      <c r="O395" s="13"/>
      <c r="P395" s="12"/>
      <c r="Q395" s="13"/>
      <c r="R395" s="12"/>
      <c r="S395" s="13"/>
      <c r="T395" s="13"/>
      <c r="U395" s="1"/>
      <c r="V395" s="1"/>
      <c r="W395" s="8"/>
      <c r="X395" s="1"/>
      <c r="Y395" s="9"/>
      <c r="Z395" s="9"/>
      <c r="AA395" s="9"/>
      <c r="AB395" s="2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s="10" customFormat="1" ht="12" customHeight="1">
      <c r="A396" s="2"/>
      <c r="B396" s="6"/>
      <c r="C396" s="6"/>
      <c r="D396" s="7"/>
      <c r="E396" s="6"/>
      <c r="F396" s="3"/>
      <c r="G396" s="4"/>
      <c r="H396" s="7"/>
      <c r="I396" s="6"/>
      <c r="J396" s="5"/>
      <c r="K396" s="11"/>
      <c r="L396" s="11"/>
      <c r="M396" s="11"/>
      <c r="N396" s="12"/>
      <c r="O396" s="13"/>
      <c r="P396" s="12"/>
      <c r="Q396" s="13"/>
      <c r="R396" s="12"/>
      <c r="S396" s="13"/>
      <c r="T396" s="13"/>
      <c r="U396" s="1"/>
      <c r="V396" s="1"/>
      <c r="W396" s="8"/>
      <c r="X396" s="1"/>
      <c r="Y396" s="9"/>
      <c r="Z396" s="9"/>
      <c r="AA396" s="9"/>
      <c r="AB396" s="2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ht="12" customHeight="1"/>
  </sheetData>
  <mergeCells count="5">
    <mergeCell ref="AC2:AE2"/>
    <mergeCell ref="AF2:AH2"/>
    <mergeCell ref="AI2:AK2"/>
    <mergeCell ref="A353:T353"/>
    <mergeCell ref="U2:AB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29DB-7739-4BFE-96D7-C4DF5B541E44}">
  <dimension ref="A2:AK540"/>
  <sheetViews>
    <sheetView showGridLines="0" topLeftCell="C1" zoomScale="90" zoomScaleNormal="90" workbookViewId="0">
      <pane ySplit="3" topLeftCell="A4" activePane="bottomLeft" state="frozen"/>
      <selection pane="bottomLeft" activeCell="C3" sqref="C3:AH504"/>
    </sheetView>
  </sheetViews>
  <sheetFormatPr defaultColWidth="12.125" defaultRowHeight="13.5"/>
  <cols>
    <col min="1" max="1" width="22.125" style="2" customWidth="1"/>
    <col min="2" max="2" width="13.75" style="6" bestFit="1" customWidth="1"/>
    <col min="3" max="3" width="15.875" style="6" bestFit="1" customWidth="1"/>
    <col min="4" max="4" width="26.875" style="7" bestFit="1" customWidth="1"/>
    <col min="5" max="5" width="13.75" style="6" bestFit="1" customWidth="1"/>
    <col min="6" max="6" width="13.75" style="3" customWidth="1"/>
    <col min="7" max="7" width="14.5" style="4" customWidth="1"/>
    <col min="8" max="8" width="88.75" style="7" customWidth="1"/>
    <col min="9" max="9" width="12.75" style="6" customWidth="1"/>
    <col min="10" max="10" width="13" style="5" customWidth="1"/>
    <col min="11" max="13" width="10.625" style="11" customWidth="1"/>
    <col min="14" max="14" width="8.625" style="12" customWidth="1"/>
    <col min="15" max="15" width="8.625" style="13" customWidth="1"/>
    <col min="16" max="16" width="8.625" style="12" customWidth="1"/>
    <col min="17" max="17" width="8.625" style="13" customWidth="1"/>
    <col min="18" max="18" width="8.625" style="12" customWidth="1"/>
    <col min="19" max="20" width="8.625" style="13" customWidth="1"/>
    <col min="21" max="21" width="9.125" style="1" bestFit="1" customWidth="1"/>
    <col min="22" max="22" width="7.625" style="1" customWidth="1"/>
    <col min="23" max="23" width="7.625" style="8" customWidth="1"/>
    <col min="24" max="24" width="7.625" style="1" customWidth="1"/>
    <col min="25" max="27" width="7.625" style="9" customWidth="1"/>
    <col min="28" max="28" width="11.375" style="2" bestFit="1" customWidth="1"/>
    <col min="29" max="29" width="12.125" style="11"/>
    <col min="30" max="30" width="10.625" style="11" customWidth="1"/>
    <col min="31" max="31" width="14" style="11" bestFit="1" customWidth="1"/>
    <col min="32" max="32" width="12.125" style="11"/>
    <col min="33" max="33" width="10.625" style="11" customWidth="1"/>
    <col min="34" max="35" width="12.125" style="11"/>
    <col min="36" max="36" width="10.625" style="11" customWidth="1"/>
    <col min="37" max="37" width="12.125" style="11"/>
    <col min="38" max="16384" width="12.125" style="1"/>
  </cols>
  <sheetData>
    <row r="2" spans="1:37" ht="30" customHeight="1">
      <c r="L2" s="128" t="s">
        <v>461</v>
      </c>
      <c r="M2" s="11" t="s">
        <v>456</v>
      </c>
      <c r="O2" s="13" t="s">
        <v>457</v>
      </c>
      <c r="Q2" s="13" t="s">
        <v>460</v>
      </c>
      <c r="S2" s="13" t="s">
        <v>458</v>
      </c>
      <c r="T2" s="13" t="s">
        <v>459</v>
      </c>
      <c r="U2" s="144" t="s">
        <v>1305</v>
      </c>
      <c r="V2" s="144"/>
      <c r="W2" s="144"/>
      <c r="X2" s="144"/>
      <c r="Y2" s="144"/>
      <c r="Z2" s="144"/>
      <c r="AA2" s="144"/>
      <c r="AB2" s="145"/>
      <c r="AC2" s="139" t="s">
        <v>1306</v>
      </c>
      <c r="AD2" s="139"/>
      <c r="AE2" s="140"/>
      <c r="AF2" s="139" t="s">
        <v>1307</v>
      </c>
      <c r="AG2" s="139"/>
      <c r="AH2" s="140"/>
      <c r="AI2" s="139" t="s">
        <v>1308</v>
      </c>
      <c r="AJ2" s="139"/>
      <c r="AK2" s="140"/>
    </row>
    <row r="3" spans="1:37" ht="30" customHeight="1">
      <c r="A3" s="56" t="s">
        <v>0</v>
      </c>
      <c r="B3" s="57" t="s">
        <v>1</v>
      </c>
      <c r="C3" s="57" t="s">
        <v>2</v>
      </c>
      <c r="D3" s="57" t="s">
        <v>3</v>
      </c>
      <c r="E3" s="57" t="s">
        <v>4</v>
      </c>
      <c r="F3" s="58" t="s">
        <v>5</v>
      </c>
      <c r="G3" s="59" t="s">
        <v>6</v>
      </c>
      <c r="H3" s="57" t="s">
        <v>7</v>
      </c>
      <c r="I3" s="57" t="s">
        <v>8</v>
      </c>
      <c r="J3" s="60" t="s">
        <v>9</v>
      </c>
      <c r="K3" s="61" t="s">
        <v>11</v>
      </c>
      <c r="L3" s="61" t="s">
        <v>397</v>
      </c>
      <c r="M3" s="61" t="s">
        <v>396</v>
      </c>
      <c r="N3" s="62" t="s">
        <v>430</v>
      </c>
      <c r="O3" s="63" t="s">
        <v>431</v>
      </c>
      <c r="P3" s="62" t="s">
        <v>432</v>
      </c>
      <c r="Q3" s="63" t="s">
        <v>433</v>
      </c>
      <c r="R3" s="62" t="s">
        <v>434</v>
      </c>
      <c r="S3" s="63" t="s">
        <v>435</v>
      </c>
      <c r="T3" s="97" t="s">
        <v>398</v>
      </c>
      <c r="U3" s="64" t="s">
        <v>423</v>
      </c>
      <c r="V3" s="65" t="s">
        <v>422</v>
      </c>
      <c r="W3" s="66" t="s">
        <v>426</v>
      </c>
      <c r="X3" s="66" t="s">
        <v>427</v>
      </c>
      <c r="Y3" s="67" t="s">
        <v>424</v>
      </c>
      <c r="Z3" s="67" t="s">
        <v>425</v>
      </c>
      <c r="AA3" s="68" t="s">
        <v>428</v>
      </c>
      <c r="AB3" s="101" t="s">
        <v>429</v>
      </c>
      <c r="AC3" s="102" t="s">
        <v>436</v>
      </c>
      <c r="AD3" s="103" t="s">
        <v>437</v>
      </c>
      <c r="AE3" s="96" t="s">
        <v>446</v>
      </c>
      <c r="AF3" s="102" t="s">
        <v>438</v>
      </c>
      <c r="AG3" s="103" t="s">
        <v>439</v>
      </c>
      <c r="AH3" s="96" t="s">
        <v>447</v>
      </c>
      <c r="AI3" s="102" t="s">
        <v>440</v>
      </c>
      <c r="AJ3" s="103" t="s">
        <v>441</v>
      </c>
      <c r="AK3" s="96" t="s">
        <v>448</v>
      </c>
    </row>
    <row r="4" spans="1:37" ht="15.95" customHeight="1">
      <c r="A4" s="14" t="s">
        <v>948</v>
      </c>
      <c r="B4" s="14" t="s">
        <v>949</v>
      </c>
      <c r="C4" s="15" t="s">
        <v>44</v>
      </c>
      <c r="D4" s="15" t="s">
        <v>374</v>
      </c>
      <c r="E4" s="15" t="s">
        <v>16</v>
      </c>
      <c r="F4" s="15" t="s">
        <v>950</v>
      </c>
      <c r="G4" s="15" t="s">
        <v>951</v>
      </c>
      <c r="H4" s="16" t="s">
        <v>952</v>
      </c>
      <c r="I4" s="15" t="s">
        <v>27</v>
      </c>
      <c r="J4" s="17" t="s">
        <v>46</v>
      </c>
      <c r="K4" s="122">
        <v>88</v>
      </c>
      <c r="L4" s="18">
        <v>12.576250000000002</v>
      </c>
      <c r="M4" s="109">
        <v>8.25</v>
      </c>
      <c r="N4" s="19">
        <v>0.32</v>
      </c>
      <c r="O4" s="114">
        <v>2.64</v>
      </c>
      <c r="P4" s="19">
        <v>7.4999999999999997E-2</v>
      </c>
      <c r="Q4" s="114">
        <v>0.61875000000000002</v>
      </c>
      <c r="R4" s="19">
        <v>7.0000000000000007E-2</v>
      </c>
      <c r="S4" s="114">
        <v>0.57750000000000001</v>
      </c>
      <c r="T4" s="115">
        <v>0.49</v>
      </c>
      <c r="U4" s="20">
        <v>400</v>
      </c>
      <c r="V4" s="21">
        <v>144</v>
      </c>
      <c r="W4" s="22">
        <v>0</v>
      </c>
      <c r="X4" s="21"/>
      <c r="Y4" s="21"/>
      <c r="Z4" s="21"/>
      <c r="AA4" s="23">
        <v>10</v>
      </c>
      <c r="AB4" s="24">
        <f>SUM(U4:AA4)</f>
        <v>554</v>
      </c>
      <c r="AC4" s="74">
        <f>$K4*U4</f>
        <v>35200</v>
      </c>
      <c r="AD4" s="77">
        <f>$K4*SUM(V4:AA4)</f>
        <v>13552</v>
      </c>
      <c r="AE4" s="71">
        <f>SUM(AC4:AD4)</f>
        <v>48752</v>
      </c>
      <c r="AF4" s="74">
        <f>$L4*U4</f>
        <v>5030.5000000000009</v>
      </c>
      <c r="AG4" s="77">
        <f>$L4*SUM(V4:W4)+M4*SUM(X4:AA4)</f>
        <v>1893.4800000000002</v>
      </c>
      <c r="AH4" s="71">
        <f>SUM(AF4:AG4)</f>
        <v>6923.9800000000014</v>
      </c>
      <c r="AI4" s="74">
        <f>$M4*U4</f>
        <v>3300</v>
      </c>
      <c r="AJ4" s="77">
        <f>$M4*SUM(V4:AA4)</f>
        <v>1270.5</v>
      </c>
      <c r="AK4" s="71">
        <f>SUM(AI4:AJ4)</f>
        <v>4570.5</v>
      </c>
    </row>
    <row r="5" spans="1:37" ht="15.95" customHeight="1">
      <c r="A5" s="25" t="s">
        <v>948</v>
      </c>
      <c r="B5" s="25" t="s">
        <v>949</v>
      </c>
      <c r="C5" s="26" t="s">
        <v>29</v>
      </c>
      <c r="D5" s="26" t="s">
        <v>373</v>
      </c>
      <c r="E5" s="26" t="s">
        <v>16</v>
      </c>
      <c r="F5" s="26" t="s">
        <v>953</v>
      </c>
      <c r="G5" s="26" t="s">
        <v>954</v>
      </c>
      <c r="H5" s="27" t="s">
        <v>955</v>
      </c>
      <c r="I5" s="26" t="s">
        <v>27</v>
      </c>
      <c r="J5" s="28" t="s">
        <v>35</v>
      </c>
      <c r="K5" s="123">
        <v>68</v>
      </c>
      <c r="L5" s="29">
        <v>10.978449999999999</v>
      </c>
      <c r="M5" s="110">
        <v>7.35</v>
      </c>
      <c r="N5" s="30">
        <v>0.28199999999999997</v>
      </c>
      <c r="O5" s="116">
        <v>2.0726999999999998</v>
      </c>
      <c r="P5" s="30">
        <v>7.4999999999999997E-2</v>
      </c>
      <c r="Q5" s="116">
        <v>0.55124999999999991</v>
      </c>
      <c r="R5" s="30">
        <v>7.0000000000000007E-2</v>
      </c>
      <c r="S5" s="116">
        <v>0.51450000000000007</v>
      </c>
      <c r="T5" s="117">
        <v>0.49</v>
      </c>
      <c r="U5" s="31">
        <v>400</v>
      </c>
      <c r="V5" s="32">
        <v>149</v>
      </c>
      <c r="W5" s="33">
        <v>0</v>
      </c>
      <c r="X5" s="32"/>
      <c r="Y5" s="32"/>
      <c r="Z5" s="32"/>
      <c r="AA5" s="34">
        <v>30</v>
      </c>
      <c r="AB5" s="35">
        <f t="shared" ref="AB5:AB68" si="0">SUM(U5:AA5)</f>
        <v>579</v>
      </c>
      <c r="AC5" s="75">
        <f t="shared" ref="AC5:AC68" si="1">$K5*U5</f>
        <v>27200</v>
      </c>
      <c r="AD5" s="78">
        <f t="shared" ref="AD5:AD68" si="2">$K5*SUM(V5:AA5)</f>
        <v>12172</v>
      </c>
      <c r="AE5" s="72">
        <f t="shared" ref="AE5:AE68" si="3">SUM(AC5:AD5)</f>
        <v>39372</v>
      </c>
      <c r="AF5" s="75">
        <f t="shared" ref="AF5:AF68" si="4">$L5*U5</f>
        <v>4391.3799999999992</v>
      </c>
      <c r="AG5" s="78">
        <f t="shared" ref="AG5:AG68" si="5">$L5*SUM(V5:W5)+M5*SUM(X5:AA5)</f>
        <v>1856.2890499999999</v>
      </c>
      <c r="AH5" s="72">
        <f t="shared" ref="AH5:AH68" si="6">SUM(AF5:AG5)</f>
        <v>6247.6690499999986</v>
      </c>
      <c r="AI5" s="75">
        <f t="shared" ref="AI5:AI68" si="7">$M5*U5</f>
        <v>2940</v>
      </c>
      <c r="AJ5" s="78">
        <f t="shared" ref="AJ5:AJ68" si="8">$M5*SUM(V5:AA5)</f>
        <v>1315.6499999999999</v>
      </c>
      <c r="AK5" s="72">
        <f t="shared" ref="AK5:AK68" si="9">SUM(AI5:AJ5)</f>
        <v>4255.6499999999996</v>
      </c>
    </row>
    <row r="6" spans="1:37" ht="15.95" customHeight="1">
      <c r="A6" s="25" t="s">
        <v>948</v>
      </c>
      <c r="B6" s="25" t="s">
        <v>949</v>
      </c>
      <c r="C6" s="26" t="s">
        <v>44</v>
      </c>
      <c r="D6" s="26" t="s">
        <v>373</v>
      </c>
      <c r="E6" s="26" t="s">
        <v>16</v>
      </c>
      <c r="F6" s="26" t="s">
        <v>950</v>
      </c>
      <c r="G6" s="26" t="s">
        <v>951</v>
      </c>
      <c r="H6" s="27" t="s">
        <v>956</v>
      </c>
      <c r="I6" s="26" t="s">
        <v>27</v>
      </c>
      <c r="J6" s="28" t="s">
        <v>46</v>
      </c>
      <c r="K6" s="123">
        <v>88</v>
      </c>
      <c r="L6" s="29">
        <v>12.576250000000002</v>
      </c>
      <c r="M6" s="110">
        <v>8.25</v>
      </c>
      <c r="N6" s="30">
        <v>0.32</v>
      </c>
      <c r="O6" s="116">
        <v>2.64</v>
      </c>
      <c r="P6" s="30">
        <v>7.4999999999999997E-2</v>
      </c>
      <c r="Q6" s="116">
        <v>0.61875000000000002</v>
      </c>
      <c r="R6" s="30">
        <v>7.0000000000000007E-2</v>
      </c>
      <c r="S6" s="116">
        <v>0.57750000000000001</v>
      </c>
      <c r="T6" s="117">
        <v>0.49</v>
      </c>
      <c r="U6" s="31">
        <v>300</v>
      </c>
      <c r="V6" s="32">
        <v>141</v>
      </c>
      <c r="W6" s="33">
        <v>52</v>
      </c>
      <c r="X6" s="32"/>
      <c r="Y6" s="32"/>
      <c r="Z6" s="32"/>
      <c r="AA6" s="34">
        <v>10</v>
      </c>
      <c r="AB6" s="35">
        <f t="shared" si="0"/>
        <v>503</v>
      </c>
      <c r="AC6" s="75">
        <f t="shared" si="1"/>
        <v>26400</v>
      </c>
      <c r="AD6" s="78">
        <f t="shared" si="2"/>
        <v>17864</v>
      </c>
      <c r="AE6" s="72">
        <f t="shared" si="3"/>
        <v>44264</v>
      </c>
      <c r="AF6" s="75">
        <f t="shared" si="4"/>
        <v>3772.8750000000005</v>
      </c>
      <c r="AG6" s="78">
        <f t="shared" si="5"/>
        <v>2509.7162500000004</v>
      </c>
      <c r="AH6" s="72">
        <f t="shared" si="6"/>
        <v>6282.5912500000013</v>
      </c>
      <c r="AI6" s="75">
        <f t="shared" si="7"/>
        <v>2475</v>
      </c>
      <c r="AJ6" s="78">
        <f t="shared" si="8"/>
        <v>1674.75</v>
      </c>
      <c r="AK6" s="72">
        <f t="shared" si="9"/>
        <v>4149.75</v>
      </c>
    </row>
    <row r="7" spans="1:37" ht="15.95" customHeight="1">
      <c r="A7" s="25" t="s">
        <v>948</v>
      </c>
      <c r="B7" s="25" t="s">
        <v>949</v>
      </c>
      <c r="C7" s="26" t="s">
        <v>29</v>
      </c>
      <c r="D7" s="26" t="s">
        <v>373</v>
      </c>
      <c r="E7" s="26" t="s">
        <v>16</v>
      </c>
      <c r="F7" s="26" t="s">
        <v>953</v>
      </c>
      <c r="G7" s="26" t="s">
        <v>954</v>
      </c>
      <c r="H7" s="27" t="s">
        <v>955</v>
      </c>
      <c r="I7" s="26" t="s">
        <v>27</v>
      </c>
      <c r="J7" s="28" t="s">
        <v>35</v>
      </c>
      <c r="K7" s="123">
        <v>68</v>
      </c>
      <c r="L7" s="29">
        <v>10.978449999999999</v>
      </c>
      <c r="M7" s="110">
        <v>7.35</v>
      </c>
      <c r="N7" s="30">
        <v>0.28199999999999997</v>
      </c>
      <c r="O7" s="116">
        <v>2.0726999999999998</v>
      </c>
      <c r="P7" s="30">
        <v>7.4999999999999997E-2</v>
      </c>
      <c r="Q7" s="116">
        <v>0.55124999999999991</v>
      </c>
      <c r="R7" s="30">
        <v>7.0000000000000007E-2</v>
      </c>
      <c r="S7" s="116">
        <v>0.51450000000000007</v>
      </c>
      <c r="T7" s="117">
        <v>0.49</v>
      </c>
      <c r="U7" s="31">
        <v>300</v>
      </c>
      <c r="V7" s="32">
        <v>221</v>
      </c>
      <c r="W7" s="33">
        <v>0</v>
      </c>
      <c r="X7" s="32"/>
      <c r="Y7" s="32"/>
      <c r="Z7" s="32"/>
      <c r="AA7" s="34">
        <v>30</v>
      </c>
      <c r="AB7" s="35">
        <f t="shared" si="0"/>
        <v>551</v>
      </c>
      <c r="AC7" s="75">
        <f t="shared" si="1"/>
        <v>20400</v>
      </c>
      <c r="AD7" s="78">
        <f t="shared" si="2"/>
        <v>17068</v>
      </c>
      <c r="AE7" s="72">
        <f t="shared" si="3"/>
        <v>37468</v>
      </c>
      <c r="AF7" s="75">
        <f t="shared" si="4"/>
        <v>3293.5349999999994</v>
      </c>
      <c r="AG7" s="78">
        <f t="shared" si="5"/>
        <v>2646.7374499999996</v>
      </c>
      <c r="AH7" s="72">
        <f t="shared" si="6"/>
        <v>5940.2724499999986</v>
      </c>
      <c r="AI7" s="75">
        <f t="shared" si="7"/>
        <v>2205</v>
      </c>
      <c r="AJ7" s="78">
        <f t="shared" si="8"/>
        <v>1844.85</v>
      </c>
      <c r="AK7" s="72">
        <f t="shared" si="9"/>
        <v>4049.85</v>
      </c>
    </row>
    <row r="8" spans="1:37" ht="15.95" customHeight="1">
      <c r="A8" s="25" t="s">
        <v>948</v>
      </c>
      <c r="B8" s="25" t="s">
        <v>949</v>
      </c>
      <c r="C8" s="26" t="s">
        <v>44</v>
      </c>
      <c r="D8" s="26" t="s">
        <v>373</v>
      </c>
      <c r="E8" s="26" t="s">
        <v>16</v>
      </c>
      <c r="F8" s="26" t="s">
        <v>950</v>
      </c>
      <c r="G8" s="36" t="s">
        <v>951</v>
      </c>
      <c r="H8" s="27" t="s">
        <v>952</v>
      </c>
      <c r="I8" s="26" t="s">
        <v>27</v>
      </c>
      <c r="J8" s="28" t="s">
        <v>46</v>
      </c>
      <c r="K8" s="123">
        <v>88</v>
      </c>
      <c r="L8" s="29">
        <v>12.576250000000002</v>
      </c>
      <c r="M8" s="110">
        <v>8.25</v>
      </c>
      <c r="N8" s="30">
        <v>0.32</v>
      </c>
      <c r="O8" s="116">
        <v>2.64</v>
      </c>
      <c r="P8" s="30">
        <v>7.4999999999999997E-2</v>
      </c>
      <c r="Q8" s="116">
        <v>0.61875000000000002</v>
      </c>
      <c r="R8" s="30">
        <v>7.0000000000000007E-2</v>
      </c>
      <c r="S8" s="116">
        <v>0.57750000000000001</v>
      </c>
      <c r="T8" s="117">
        <v>0.49</v>
      </c>
      <c r="U8" s="31">
        <v>350</v>
      </c>
      <c r="V8" s="32">
        <v>53</v>
      </c>
      <c r="W8" s="33">
        <v>87</v>
      </c>
      <c r="X8" s="32"/>
      <c r="Y8" s="32"/>
      <c r="Z8" s="32"/>
      <c r="AA8" s="34">
        <v>10</v>
      </c>
      <c r="AB8" s="35">
        <f t="shared" si="0"/>
        <v>500</v>
      </c>
      <c r="AC8" s="75">
        <f t="shared" si="1"/>
        <v>30800</v>
      </c>
      <c r="AD8" s="78">
        <f t="shared" si="2"/>
        <v>13200</v>
      </c>
      <c r="AE8" s="72">
        <f t="shared" si="3"/>
        <v>44000</v>
      </c>
      <c r="AF8" s="75">
        <f t="shared" si="4"/>
        <v>4401.6875000000009</v>
      </c>
      <c r="AG8" s="78">
        <f t="shared" si="5"/>
        <v>1843.1750000000002</v>
      </c>
      <c r="AH8" s="72">
        <f t="shared" si="6"/>
        <v>6244.8625000000011</v>
      </c>
      <c r="AI8" s="75">
        <f t="shared" si="7"/>
        <v>2887.5</v>
      </c>
      <c r="AJ8" s="78">
        <f t="shared" si="8"/>
        <v>1237.5</v>
      </c>
      <c r="AK8" s="72">
        <f t="shared" si="9"/>
        <v>4125</v>
      </c>
    </row>
    <row r="9" spans="1:37" ht="15.95" customHeight="1">
      <c r="A9" s="25" t="s">
        <v>948</v>
      </c>
      <c r="B9" s="25" t="s">
        <v>949</v>
      </c>
      <c r="C9" s="26" t="s">
        <v>29</v>
      </c>
      <c r="D9" s="26" t="s">
        <v>373</v>
      </c>
      <c r="E9" s="26" t="s">
        <v>16</v>
      </c>
      <c r="F9" s="26" t="s">
        <v>953</v>
      </c>
      <c r="G9" s="36" t="s">
        <v>954</v>
      </c>
      <c r="H9" s="27" t="s">
        <v>955</v>
      </c>
      <c r="I9" s="26" t="s">
        <v>27</v>
      </c>
      <c r="J9" s="28" t="s">
        <v>35</v>
      </c>
      <c r="K9" s="123">
        <v>68</v>
      </c>
      <c r="L9" s="29">
        <v>10.978449999999999</v>
      </c>
      <c r="M9" s="110">
        <v>7.35</v>
      </c>
      <c r="N9" s="30">
        <v>0.28199999999999997</v>
      </c>
      <c r="O9" s="116">
        <v>2.0726999999999998</v>
      </c>
      <c r="P9" s="30">
        <v>7.4999999999999997E-2</v>
      </c>
      <c r="Q9" s="116">
        <v>0.55124999999999991</v>
      </c>
      <c r="R9" s="30">
        <v>7.0000000000000007E-2</v>
      </c>
      <c r="S9" s="116">
        <v>0.51450000000000007</v>
      </c>
      <c r="T9" s="117">
        <v>0.49</v>
      </c>
      <c r="U9" s="31">
        <v>350</v>
      </c>
      <c r="V9" s="32">
        <v>167</v>
      </c>
      <c r="W9" s="33">
        <v>0</v>
      </c>
      <c r="X9" s="32"/>
      <c r="Y9" s="32"/>
      <c r="Z9" s="32"/>
      <c r="AA9" s="34">
        <v>30</v>
      </c>
      <c r="AB9" s="35">
        <f t="shared" si="0"/>
        <v>547</v>
      </c>
      <c r="AC9" s="75">
        <f t="shared" si="1"/>
        <v>23800</v>
      </c>
      <c r="AD9" s="78">
        <f t="shared" si="2"/>
        <v>13396</v>
      </c>
      <c r="AE9" s="72">
        <f t="shared" si="3"/>
        <v>37196</v>
      </c>
      <c r="AF9" s="75">
        <f t="shared" si="4"/>
        <v>3842.4574999999995</v>
      </c>
      <c r="AG9" s="78">
        <f t="shared" si="5"/>
        <v>2053.9011499999997</v>
      </c>
      <c r="AH9" s="72">
        <f t="shared" si="6"/>
        <v>5896.3586499999992</v>
      </c>
      <c r="AI9" s="75">
        <f t="shared" si="7"/>
        <v>2572.5</v>
      </c>
      <c r="AJ9" s="78">
        <f t="shared" si="8"/>
        <v>1447.9499999999998</v>
      </c>
      <c r="AK9" s="72">
        <f t="shared" si="9"/>
        <v>4020.45</v>
      </c>
    </row>
    <row r="10" spans="1:37" ht="15.95" customHeight="1">
      <c r="A10" s="25" t="s">
        <v>957</v>
      </c>
      <c r="B10" s="25" t="s">
        <v>949</v>
      </c>
      <c r="C10" s="26" t="s">
        <v>14</v>
      </c>
      <c r="D10" s="26" t="s">
        <v>373</v>
      </c>
      <c r="E10" s="26" t="s">
        <v>16</v>
      </c>
      <c r="F10" s="26" t="s">
        <v>958</v>
      </c>
      <c r="G10" s="26" t="s">
        <v>119</v>
      </c>
      <c r="H10" s="27" t="s">
        <v>415</v>
      </c>
      <c r="I10" s="26" t="s">
        <v>27</v>
      </c>
      <c r="J10" s="37" t="s">
        <v>41</v>
      </c>
      <c r="K10" s="123">
        <v>140</v>
      </c>
      <c r="L10" s="29">
        <v>20.268219999999996</v>
      </c>
      <c r="M10" s="110">
        <v>13.86</v>
      </c>
      <c r="N10" s="30">
        <v>0.28199999999999997</v>
      </c>
      <c r="O10" s="116">
        <v>3.9085199999999993</v>
      </c>
      <c r="P10" s="30">
        <v>7.4999999999999997E-2</v>
      </c>
      <c r="Q10" s="116">
        <v>1.0394999999999999</v>
      </c>
      <c r="R10" s="30">
        <v>7.0000000000000007E-2</v>
      </c>
      <c r="S10" s="116">
        <v>0.97020000000000006</v>
      </c>
      <c r="T10" s="117">
        <v>0.49</v>
      </c>
      <c r="U10" s="31">
        <v>700</v>
      </c>
      <c r="V10" s="32">
        <v>213</v>
      </c>
      <c r="W10" s="33">
        <v>0</v>
      </c>
      <c r="X10" s="32"/>
      <c r="Y10" s="32"/>
      <c r="Z10" s="32"/>
      <c r="AA10" s="34"/>
      <c r="AB10" s="35">
        <f t="shared" si="0"/>
        <v>913</v>
      </c>
      <c r="AC10" s="75">
        <f t="shared" si="1"/>
        <v>98000</v>
      </c>
      <c r="AD10" s="78">
        <f t="shared" si="2"/>
        <v>29820</v>
      </c>
      <c r="AE10" s="72">
        <f t="shared" si="3"/>
        <v>127820</v>
      </c>
      <c r="AF10" s="75">
        <f t="shared" si="4"/>
        <v>14187.753999999997</v>
      </c>
      <c r="AG10" s="78">
        <f t="shared" si="5"/>
        <v>4317.1308599999993</v>
      </c>
      <c r="AH10" s="72">
        <f t="shared" si="6"/>
        <v>18504.884859999998</v>
      </c>
      <c r="AI10" s="75">
        <f t="shared" si="7"/>
        <v>9702</v>
      </c>
      <c r="AJ10" s="78">
        <f t="shared" si="8"/>
        <v>2952.18</v>
      </c>
      <c r="AK10" s="72">
        <f t="shared" si="9"/>
        <v>12654.18</v>
      </c>
    </row>
    <row r="11" spans="1:37" ht="15.95" customHeight="1">
      <c r="A11" s="25" t="s">
        <v>957</v>
      </c>
      <c r="B11" s="25" t="s">
        <v>949</v>
      </c>
      <c r="C11" s="26" t="s">
        <v>21</v>
      </c>
      <c r="D11" s="26" t="s">
        <v>373</v>
      </c>
      <c r="E11" s="26" t="s">
        <v>16</v>
      </c>
      <c r="F11" s="26" t="s">
        <v>959</v>
      </c>
      <c r="G11" s="26" t="s">
        <v>119</v>
      </c>
      <c r="H11" s="27" t="s">
        <v>120</v>
      </c>
      <c r="I11" s="26" t="s">
        <v>27</v>
      </c>
      <c r="J11" s="37" t="s">
        <v>43</v>
      </c>
      <c r="K11" s="123">
        <v>110</v>
      </c>
      <c r="L11" s="29">
        <v>15.088210000000002</v>
      </c>
      <c r="M11" s="110">
        <v>10.23</v>
      </c>
      <c r="N11" s="30">
        <v>0.28199999999999997</v>
      </c>
      <c r="O11" s="116">
        <v>2.8848599999999998</v>
      </c>
      <c r="P11" s="30">
        <v>7.4999999999999997E-2</v>
      </c>
      <c r="Q11" s="116">
        <v>0.76724999999999999</v>
      </c>
      <c r="R11" s="30">
        <v>7.0000000000000007E-2</v>
      </c>
      <c r="S11" s="116">
        <v>0.71610000000000007</v>
      </c>
      <c r="T11" s="117">
        <v>0.49</v>
      </c>
      <c r="U11" s="31">
        <v>600</v>
      </c>
      <c r="V11" s="32">
        <v>212</v>
      </c>
      <c r="W11" s="33">
        <v>0</v>
      </c>
      <c r="X11" s="32"/>
      <c r="Y11" s="32"/>
      <c r="Z11" s="32"/>
      <c r="AA11" s="34"/>
      <c r="AB11" s="35">
        <f t="shared" si="0"/>
        <v>812</v>
      </c>
      <c r="AC11" s="75">
        <f t="shared" si="1"/>
        <v>66000</v>
      </c>
      <c r="AD11" s="78">
        <f t="shared" si="2"/>
        <v>23320</v>
      </c>
      <c r="AE11" s="72">
        <f t="shared" si="3"/>
        <v>89320</v>
      </c>
      <c r="AF11" s="75">
        <f t="shared" si="4"/>
        <v>9052.9260000000013</v>
      </c>
      <c r="AG11" s="78">
        <f t="shared" si="5"/>
        <v>3198.7005200000003</v>
      </c>
      <c r="AH11" s="72">
        <f t="shared" si="6"/>
        <v>12251.626520000002</v>
      </c>
      <c r="AI11" s="75">
        <f t="shared" si="7"/>
        <v>6138</v>
      </c>
      <c r="AJ11" s="78">
        <f t="shared" si="8"/>
        <v>2168.7600000000002</v>
      </c>
      <c r="AK11" s="72">
        <f t="shared" si="9"/>
        <v>8306.76</v>
      </c>
    </row>
    <row r="12" spans="1:37" ht="15.95" customHeight="1">
      <c r="A12" s="25" t="s">
        <v>960</v>
      </c>
      <c r="B12" s="25" t="s">
        <v>949</v>
      </c>
      <c r="C12" s="26" t="s">
        <v>14</v>
      </c>
      <c r="D12" s="26" t="s">
        <v>373</v>
      </c>
      <c r="E12" s="26" t="s">
        <v>16</v>
      </c>
      <c r="F12" s="26" t="s">
        <v>958</v>
      </c>
      <c r="G12" s="26" t="s">
        <v>119</v>
      </c>
      <c r="H12" s="27" t="s">
        <v>415</v>
      </c>
      <c r="I12" s="26" t="s">
        <v>27</v>
      </c>
      <c r="J12" s="28" t="s">
        <v>41</v>
      </c>
      <c r="K12" s="123">
        <v>140</v>
      </c>
      <c r="L12" s="29">
        <v>20.268219999999996</v>
      </c>
      <c r="M12" s="110">
        <v>13.86</v>
      </c>
      <c r="N12" s="30">
        <v>0.28199999999999997</v>
      </c>
      <c r="O12" s="116">
        <v>3.9085199999999993</v>
      </c>
      <c r="P12" s="30">
        <v>7.4999999999999997E-2</v>
      </c>
      <c r="Q12" s="116">
        <v>1.0394999999999999</v>
      </c>
      <c r="R12" s="30">
        <v>7.0000000000000007E-2</v>
      </c>
      <c r="S12" s="116">
        <v>0.97020000000000006</v>
      </c>
      <c r="T12" s="117">
        <v>0.49</v>
      </c>
      <c r="U12" s="31">
        <v>300</v>
      </c>
      <c r="V12" s="32"/>
      <c r="W12" s="33">
        <v>0</v>
      </c>
      <c r="X12" s="32"/>
      <c r="Y12" s="32"/>
      <c r="Z12" s="32"/>
      <c r="AA12" s="34"/>
      <c r="AB12" s="35">
        <f t="shared" si="0"/>
        <v>300</v>
      </c>
      <c r="AC12" s="75">
        <f t="shared" si="1"/>
        <v>42000</v>
      </c>
      <c r="AD12" s="78">
        <f t="shared" si="2"/>
        <v>0</v>
      </c>
      <c r="AE12" s="72">
        <f t="shared" si="3"/>
        <v>42000</v>
      </c>
      <c r="AF12" s="75">
        <f t="shared" si="4"/>
        <v>6080.4659999999985</v>
      </c>
      <c r="AG12" s="78">
        <f t="shared" si="5"/>
        <v>0</v>
      </c>
      <c r="AH12" s="72">
        <f t="shared" si="6"/>
        <v>6080.4659999999985</v>
      </c>
      <c r="AI12" s="75">
        <f t="shared" si="7"/>
        <v>4158</v>
      </c>
      <c r="AJ12" s="78">
        <f t="shared" si="8"/>
        <v>0</v>
      </c>
      <c r="AK12" s="72">
        <f t="shared" si="9"/>
        <v>4158</v>
      </c>
    </row>
    <row r="13" spans="1:37" ht="15.95" customHeight="1">
      <c r="A13" s="25" t="s">
        <v>961</v>
      </c>
      <c r="B13" s="25" t="s">
        <v>949</v>
      </c>
      <c r="C13" s="26" t="s">
        <v>21</v>
      </c>
      <c r="D13" s="26" t="s">
        <v>373</v>
      </c>
      <c r="E13" s="26" t="s">
        <v>16</v>
      </c>
      <c r="F13" s="26" t="s">
        <v>959</v>
      </c>
      <c r="G13" s="36" t="s">
        <v>119</v>
      </c>
      <c r="H13" s="27" t="s">
        <v>120</v>
      </c>
      <c r="I13" s="26" t="s">
        <v>27</v>
      </c>
      <c r="J13" s="28" t="s">
        <v>43</v>
      </c>
      <c r="K13" s="123">
        <v>110</v>
      </c>
      <c r="L13" s="29">
        <v>15.088210000000002</v>
      </c>
      <c r="M13" s="110">
        <v>10.23</v>
      </c>
      <c r="N13" s="30">
        <v>0.28199999999999997</v>
      </c>
      <c r="O13" s="116">
        <v>2.8848599999999998</v>
      </c>
      <c r="P13" s="30">
        <v>7.4999999999999997E-2</v>
      </c>
      <c r="Q13" s="116">
        <v>0.76724999999999999</v>
      </c>
      <c r="R13" s="30">
        <v>7.0000000000000007E-2</v>
      </c>
      <c r="S13" s="116">
        <v>0.71610000000000007</v>
      </c>
      <c r="T13" s="117">
        <v>0.49</v>
      </c>
      <c r="U13" s="31">
        <v>300</v>
      </c>
      <c r="V13" s="32"/>
      <c r="W13" s="33">
        <v>0</v>
      </c>
      <c r="X13" s="32"/>
      <c r="Y13" s="32"/>
      <c r="Z13" s="32"/>
      <c r="AA13" s="34"/>
      <c r="AB13" s="35">
        <f t="shared" si="0"/>
        <v>300</v>
      </c>
      <c r="AC13" s="75">
        <f t="shared" si="1"/>
        <v>33000</v>
      </c>
      <c r="AD13" s="78">
        <f t="shared" si="2"/>
        <v>0</v>
      </c>
      <c r="AE13" s="72">
        <f t="shared" si="3"/>
        <v>33000</v>
      </c>
      <c r="AF13" s="75">
        <f t="shared" si="4"/>
        <v>4526.4630000000006</v>
      </c>
      <c r="AG13" s="78">
        <f t="shared" si="5"/>
        <v>0</v>
      </c>
      <c r="AH13" s="72">
        <f t="shared" si="6"/>
        <v>4526.4630000000006</v>
      </c>
      <c r="AI13" s="75">
        <f t="shared" si="7"/>
        <v>3069</v>
      </c>
      <c r="AJ13" s="78">
        <f t="shared" si="8"/>
        <v>0</v>
      </c>
      <c r="AK13" s="72">
        <f t="shared" si="9"/>
        <v>3069</v>
      </c>
    </row>
    <row r="14" spans="1:37" ht="15.95" customHeight="1">
      <c r="A14" s="25" t="s">
        <v>957</v>
      </c>
      <c r="B14" s="25" t="s">
        <v>949</v>
      </c>
      <c r="C14" s="26" t="s">
        <v>14</v>
      </c>
      <c r="D14" s="26" t="s">
        <v>373</v>
      </c>
      <c r="E14" s="26" t="s">
        <v>16</v>
      </c>
      <c r="F14" s="26" t="s">
        <v>958</v>
      </c>
      <c r="G14" s="36" t="s">
        <v>119</v>
      </c>
      <c r="H14" s="27" t="s">
        <v>120</v>
      </c>
      <c r="I14" s="26" t="s">
        <v>27</v>
      </c>
      <c r="J14" s="28" t="s">
        <v>41</v>
      </c>
      <c r="K14" s="123">
        <v>140</v>
      </c>
      <c r="L14" s="29">
        <v>20.268219999999996</v>
      </c>
      <c r="M14" s="110">
        <v>13.86</v>
      </c>
      <c r="N14" s="30">
        <v>0.28199999999999997</v>
      </c>
      <c r="O14" s="116">
        <v>3.9085199999999993</v>
      </c>
      <c r="P14" s="30">
        <v>7.4999999999999997E-2</v>
      </c>
      <c r="Q14" s="116">
        <v>1.0394999999999999</v>
      </c>
      <c r="R14" s="30">
        <v>7.0000000000000007E-2</v>
      </c>
      <c r="S14" s="116">
        <v>0.97020000000000006</v>
      </c>
      <c r="T14" s="117">
        <v>0.49</v>
      </c>
      <c r="U14" s="31">
        <v>700</v>
      </c>
      <c r="V14" s="32">
        <v>183</v>
      </c>
      <c r="W14" s="33">
        <v>0</v>
      </c>
      <c r="X14" s="32"/>
      <c r="Y14" s="32"/>
      <c r="Z14" s="32"/>
      <c r="AA14" s="34"/>
      <c r="AB14" s="35">
        <f t="shared" si="0"/>
        <v>883</v>
      </c>
      <c r="AC14" s="75">
        <f t="shared" si="1"/>
        <v>98000</v>
      </c>
      <c r="AD14" s="78">
        <f t="shared" si="2"/>
        <v>25620</v>
      </c>
      <c r="AE14" s="72">
        <f t="shared" si="3"/>
        <v>123620</v>
      </c>
      <c r="AF14" s="75">
        <f t="shared" si="4"/>
        <v>14187.753999999997</v>
      </c>
      <c r="AG14" s="78">
        <f t="shared" si="5"/>
        <v>3709.0842599999992</v>
      </c>
      <c r="AH14" s="72">
        <f t="shared" si="6"/>
        <v>17896.838259999997</v>
      </c>
      <c r="AI14" s="75">
        <f t="shared" si="7"/>
        <v>9702</v>
      </c>
      <c r="AJ14" s="78">
        <f t="shared" si="8"/>
        <v>2536.38</v>
      </c>
      <c r="AK14" s="72">
        <f t="shared" si="9"/>
        <v>12238.380000000001</v>
      </c>
    </row>
    <row r="15" spans="1:37" ht="15.95" customHeight="1">
      <c r="A15" s="25" t="s">
        <v>957</v>
      </c>
      <c r="B15" s="25" t="s">
        <v>949</v>
      </c>
      <c r="C15" s="26" t="s">
        <v>21</v>
      </c>
      <c r="D15" s="26" t="s">
        <v>373</v>
      </c>
      <c r="E15" s="26" t="s">
        <v>16</v>
      </c>
      <c r="F15" s="26" t="s">
        <v>959</v>
      </c>
      <c r="G15" s="36" t="s">
        <v>119</v>
      </c>
      <c r="H15" s="27" t="s">
        <v>120</v>
      </c>
      <c r="I15" s="26" t="s">
        <v>27</v>
      </c>
      <c r="J15" s="28" t="s">
        <v>43</v>
      </c>
      <c r="K15" s="123">
        <v>110</v>
      </c>
      <c r="L15" s="29">
        <v>15.088210000000002</v>
      </c>
      <c r="M15" s="110">
        <v>10.23</v>
      </c>
      <c r="N15" s="30">
        <v>0.28199999999999997</v>
      </c>
      <c r="O15" s="116">
        <v>2.8848599999999998</v>
      </c>
      <c r="P15" s="30">
        <v>7.4999999999999997E-2</v>
      </c>
      <c r="Q15" s="116">
        <v>0.76724999999999999</v>
      </c>
      <c r="R15" s="30">
        <v>7.0000000000000007E-2</v>
      </c>
      <c r="S15" s="116">
        <v>0.71610000000000007</v>
      </c>
      <c r="T15" s="117">
        <v>0.49</v>
      </c>
      <c r="U15" s="31">
        <v>600</v>
      </c>
      <c r="V15" s="32">
        <v>177</v>
      </c>
      <c r="W15" s="33">
        <v>0</v>
      </c>
      <c r="X15" s="32"/>
      <c r="Y15" s="32"/>
      <c r="Z15" s="32"/>
      <c r="AA15" s="34"/>
      <c r="AB15" s="35">
        <f t="shared" si="0"/>
        <v>777</v>
      </c>
      <c r="AC15" s="75">
        <f t="shared" si="1"/>
        <v>66000</v>
      </c>
      <c r="AD15" s="78">
        <f t="shared" si="2"/>
        <v>19470</v>
      </c>
      <c r="AE15" s="72">
        <f t="shared" si="3"/>
        <v>85470</v>
      </c>
      <c r="AF15" s="75">
        <f t="shared" si="4"/>
        <v>9052.9260000000013</v>
      </c>
      <c r="AG15" s="78">
        <f t="shared" si="5"/>
        <v>2670.6131700000005</v>
      </c>
      <c r="AH15" s="72">
        <f t="shared" si="6"/>
        <v>11723.539170000002</v>
      </c>
      <c r="AI15" s="75">
        <f t="shared" si="7"/>
        <v>6138</v>
      </c>
      <c r="AJ15" s="78">
        <f t="shared" si="8"/>
        <v>1810.71</v>
      </c>
      <c r="AK15" s="72">
        <f t="shared" si="9"/>
        <v>7948.71</v>
      </c>
    </row>
    <row r="16" spans="1:37" ht="15.95" customHeight="1">
      <c r="A16" s="25" t="s">
        <v>961</v>
      </c>
      <c r="B16" s="25" t="s">
        <v>949</v>
      </c>
      <c r="C16" s="26" t="s">
        <v>14</v>
      </c>
      <c r="D16" s="26" t="s">
        <v>373</v>
      </c>
      <c r="E16" s="26" t="s">
        <v>16</v>
      </c>
      <c r="F16" s="26" t="s">
        <v>958</v>
      </c>
      <c r="G16" s="36" t="s">
        <v>119</v>
      </c>
      <c r="H16" s="27" t="s">
        <v>120</v>
      </c>
      <c r="I16" s="26" t="s">
        <v>27</v>
      </c>
      <c r="J16" s="28" t="s">
        <v>41</v>
      </c>
      <c r="K16" s="123">
        <v>140</v>
      </c>
      <c r="L16" s="29">
        <v>20.268219999999996</v>
      </c>
      <c r="M16" s="110">
        <v>13.86</v>
      </c>
      <c r="N16" s="30">
        <v>0.28199999999999997</v>
      </c>
      <c r="O16" s="116">
        <v>3.9085199999999993</v>
      </c>
      <c r="P16" s="30">
        <v>7.4999999999999997E-2</v>
      </c>
      <c r="Q16" s="116">
        <v>1.0394999999999999</v>
      </c>
      <c r="R16" s="30">
        <v>7.0000000000000007E-2</v>
      </c>
      <c r="S16" s="116">
        <v>0.97020000000000006</v>
      </c>
      <c r="T16" s="117">
        <v>0.49</v>
      </c>
      <c r="U16" s="31">
        <v>300</v>
      </c>
      <c r="V16" s="32"/>
      <c r="W16" s="33">
        <v>0</v>
      </c>
      <c r="X16" s="32"/>
      <c r="Y16" s="32"/>
      <c r="Z16" s="32"/>
      <c r="AA16" s="34"/>
      <c r="AB16" s="35">
        <f t="shared" si="0"/>
        <v>300</v>
      </c>
      <c r="AC16" s="75">
        <f t="shared" si="1"/>
        <v>42000</v>
      </c>
      <c r="AD16" s="78">
        <f t="shared" si="2"/>
        <v>0</v>
      </c>
      <c r="AE16" s="72">
        <f t="shared" si="3"/>
        <v>42000</v>
      </c>
      <c r="AF16" s="75">
        <f t="shared" si="4"/>
        <v>6080.4659999999985</v>
      </c>
      <c r="AG16" s="78">
        <f t="shared" si="5"/>
        <v>0</v>
      </c>
      <c r="AH16" s="72">
        <f t="shared" si="6"/>
        <v>6080.4659999999985</v>
      </c>
      <c r="AI16" s="75">
        <f t="shared" si="7"/>
        <v>4158</v>
      </c>
      <c r="AJ16" s="78">
        <f t="shared" si="8"/>
        <v>0</v>
      </c>
      <c r="AK16" s="72">
        <f t="shared" si="9"/>
        <v>4158</v>
      </c>
    </row>
    <row r="17" spans="1:37" ht="15.95" customHeight="1">
      <c r="A17" s="25" t="s">
        <v>961</v>
      </c>
      <c r="B17" s="25" t="s">
        <v>949</v>
      </c>
      <c r="C17" s="26" t="s">
        <v>21</v>
      </c>
      <c r="D17" s="26" t="s">
        <v>373</v>
      </c>
      <c r="E17" s="26" t="s">
        <v>16</v>
      </c>
      <c r="F17" s="26" t="s">
        <v>959</v>
      </c>
      <c r="G17" s="36" t="s">
        <v>119</v>
      </c>
      <c r="H17" s="27" t="s">
        <v>120</v>
      </c>
      <c r="I17" s="26" t="s">
        <v>27</v>
      </c>
      <c r="J17" s="28" t="s">
        <v>43</v>
      </c>
      <c r="K17" s="123">
        <v>110</v>
      </c>
      <c r="L17" s="29">
        <v>15.088210000000002</v>
      </c>
      <c r="M17" s="110">
        <v>10.23</v>
      </c>
      <c r="N17" s="30">
        <v>0.28199999999999997</v>
      </c>
      <c r="O17" s="116">
        <v>2.8848599999999998</v>
      </c>
      <c r="P17" s="30">
        <v>7.4999999999999997E-2</v>
      </c>
      <c r="Q17" s="116">
        <v>0.76724999999999999</v>
      </c>
      <c r="R17" s="30">
        <v>7.0000000000000007E-2</v>
      </c>
      <c r="S17" s="116">
        <v>0.71610000000000007</v>
      </c>
      <c r="T17" s="117">
        <v>0.49</v>
      </c>
      <c r="U17" s="31">
        <v>300</v>
      </c>
      <c r="V17" s="32"/>
      <c r="W17" s="33">
        <v>0</v>
      </c>
      <c r="X17" s="32"/>
      <c r="Y17" s="32"/>
      <c r="Z17" s="32"/>
      <c r="AA17" s="34"/>
      <c r="AB17" s="35">
        <f t="shared" si="0"/>
        <v>300</v>
      </c>
      <c r="AC17" s="75">
        <f t="shared" si="1"/>
        <v>33000</v>
      </c>
      <c r="AD17" s="78">
        <f t="shared" si="2"/>
        <v>0</v>
      </c>
      <c r="AE17" s="72">
        <f t="shared" si="3"/>
        <v>33000</v>
      </c>
      <c r="AF17" s="75">
        <f t="shared" si="4"/>
        <v>4526.4630000000006</v>
      </c>
      <c r="AG17" s="78">
        <f t="shared" si="5"/>
        <v>0</v>
      </c>
      <c r="AH17" s="72">
        <f t="shared" si="6"/>
        <v>4526.4630000000006</v>
      </c>
      <c r="AI17" s="75">
        <f t="shared" si="7"/>
        <v>3069</v>
      </c>
      <c r="AJ17" s="78">
        <f t="shared" si="8"/>
        <v>0</v>
      </c>
      <c r="AK17" s="72">
        <f t="shared" si="9"/>
        <v>3069</v>
      </c>
    </row>
    <row r="18" spans="1:37" ht="15.95" customHeight="1">
      <c r="A18" s="25" t="s">
        <v>957</v>
      </c>
      <c r="B18" s="25" t="s">
        <v>949</v>
      </c>
      <c r="C18" s="26" t="s">
        <v>14</v>
      </c>
      <c r="D18" s="26" t="s">
        <v>373</v>
      </c>
      <c r="E18" s="26" t="s">
        <v>16</v>
      </c>
      <c r="F18" s="26" t="s">
        <v>962</v>
      </c>
      <c r="G18" s="26" t="s">
        <v>119</v>
      </c>
      <c r="H18" s="27" t="s">
        <v>415</v>
      </c>
      <c r="I18" s="26" t="s">
        <v>27</v>
      </c>
      <c r="J18" s="28" t="s">
        <v>41</v>
      </c>
      <c r="K18" s="123">
        <v>140</v>
      </c>
      <c r="L18" s="29">
        <v>20.268219999999996</v>
      </c>
      <c r="M18" s="110">
        <v>13.86</v>
      </c>
      <c r="N18" s="30">
        <v>0.28199999999999997</v>
      </c>
      <c r="O18" s="116">
        <v>3.9085199999999993</v>
      </c>
      <c r="P18" s="30">
        <v>7.4999999999999997E-2</v>
      </c>
      <c r="Q18" s="116">
        <v>1.0394999999999999</v>
      </c>
      <c r="R18" s="30">
        <v>7.0000000000000007E-2</v>
      </c>
      <c r="S18" s="116">
        <v>0.97020000000000006</v>
      </c>
      <c r="T18" s="117">
        <v>0.49</v>
      </c>
      <c r="U18" s="31">
        <v>700</v>
      </c>
      <c r="V18" s="32">
        <v>326</v>
      </c>
      <c r="W18" s="38">
        <v>0</v>
      </c>
      <c r="X18" s="32"/>
      <c r="Y18" s="32"/>
      <c r="Z18" s="32"/>
      <c r="AA18" s="34"/>
      <c r="AB18" s="35">
        <f t="shared" si="0"/>
        <v>1026</v>
      </c>
      <c r="AC18" s="75">
        <f t="shared" si="1"/>
        <v>98000</v>
      </c>
      <c r="AD18" s="78">
        <f t="shared" si="2"/>
        <v>45640</v>
      </c>
      <c r="AE18" s="72">
        <f t="shared" si="3"/>
        <v>143640</v>
      </c>
      <c r="AF18" s="75">
        <f t="shared" si="4"/>
        <v>14187.753999999997</v>
      </c>
      <c r="AG18" s="78">
        <f t="shared" si="5"/>
        <v>6607.4397199999985</v>
      </c>
      <c r="AH18" s="72">
        <f t="shared" si="6"/>
        <v>20795.193719999996</v>
      </c>
      <c r="AI18" s="75">
        <f t="shared" si="7"/>
        <v>9702</v>
      </c>
      <c r="AJ18" s="78">
        <f t="shared" si="8"/>
        <v>4518.3599999999997</v>
      </c>
      <c r="AK18" s="72">
        <f t="shared" si="9"/>
        <v>14220.36</v>
      </c>
    </row>
    <row r="19" spans="1:37" ht="15.95" customHeight="1">
      <c r="A19" s="25" t="s">
        <v>957</v>
      </c>
      <c r="B19" s="25" t="s">
        <v>949</v>
      </c>
      <c r="C19" s="26" t="s">
        <v>21</v>
      </c>
      <c r="D19" s="26" t="s">
        <v>373</v>
      </c>
      <c r="E19" s="26" t="s">
        <v>16</v>
      </c>
      <c r="F19" s="26" t="s">
        <v>963</v>
      </c>
      <c r="G19" s="26" t="s">
        <v>119</v>
      </c>
      <c r="H19" s="27" t="s">
        <v>120</v>
      </c>
      <c r="I19" s="26" t="s">
        <v>27</v>
      </c>
      <c r="J19" s="28" t="s">
        <v>43</v>
      </c>
      <c r="K19" s="123">
        <v>110</v>
      </c>
      <c r="L19" s="29">
        <v>15.088210000000002</v>
      </c>
      <c r="M19" s="110">
        <v>10.23</v>
      </c>
      <c r="N19" s="30">
        <v>0.28199999999999997</v>
      </c>
      <c r="O19" s="116">
        <v>2.8848599999999998</v>
      </c>
      <c r="P19" s="30">
        <v>7.4999999999999997E-2</v>
      </c>
      <c r="Q19" s="116">
        <v>0.76724999999999999</v>
      </c>
      <c r="R19" s="30">
        <v>7.0000000000000007E-2</v>
      </c>
      <c r="S19" s="116">
        <v>0.71610000000000007</v>
      </c>
      <c r="T19" s="117">
        <v>0.49</v>
      </c>
      <c r="U19" s="31">
        <v>600</v>
      </c>
      <c r="V19" s="32">
        <v>324</v>
      </c>
      <c r="W19" s="38">
        <v>0</v>
      </c>
      <c r="X19" s="32"/>
      <c r="Y19" s="32"/>
      <c r="Z19" s="32"/>
      <c r="AA19" s="34"/>
      <c r="AB19" s="35">
        <f t="shared" si="0"/>
        <v>924</v>
      </c>
      <c r="AC19" s="75">
        <f t="shared" si="1"/>
        <v>66000</v>
      </c>
      <c r="AD19" s="78">
        <f t="shared" si="2"/>
        <v>35640</v>
      </c>
      <c r="AE19" s="72">
        <f t="shared" si="3"/>
        <v>101640</v>
      </c>
      <c r="AF19" s="75">
        <f t="shared" si="4"/>
        <v>9052.9260000000013</v>
      </c>
      <c r="AG19" s="78">
        <f t="shared" si="5"/>
        <v>4888.5800400000007</v>
      </c>
      <c r="AH19" s="72">
        <f t="shared" si="6"/>
        <v>13941.506040000002</v>
      </c>
      <c r="AI19" s="75">
        <f t="shared" si="7"/>
        <v>6138</v>
      </c>
      <c r="AJ19" s="78">
        <f t="shared" si="8"/>
        <v>3314.52</v>
      </c>
      <c r="AK19" s="72">
        <f t="shared" si="9"/>
        <v>9452.52</v>
      </c>
    </row>
    <row r="20" spans="1:37" ht="15.95" customHeight="1">
      <c r="A20" s="25" t="s">
        <v>961</v>
      </c>
      <c r="B20" s="25" t="s">
        <v>949</v>
      </c>
      <c r="C20" s="26" t="s">
        <v>14</v>
      </c>
      <c r="D20" s="26" t="s">
        <v>373</v>
      </c>
      <c r="E20" s="26" t="s">
        <v>16</v>
      </c>
      <c r="F20" s="26" t="s">
        <v>962</v>
      </c>
      <c r="G20" s="26" t="s">
        <v>119</v>
      </c>
      <c r="H20" s="27" t="s">
        <v>120</v>
      </c>
      <c r="I20" s="26" t="s">
        <v>27</v>
      </c>
      <c r="J20" s="28" t="s">
        <v>41</v>
      </c>
      <c r="K20" s="123">
        <v>140</v>
      </c>
      <c r="L20" s="29">
        <v>20.268219999999996</v>
      </c>
      <c r="M20" s="110">
        <v>13.86</v>
      </c>
      <c r="N20" s="30">
        <v>0.28199999999999997</v>
      </c>
      <c r="O20" s="116">
        <v>3.9085199999999993</v>
      </c>
      <c r="P20" s="30">
        <v>7.4999999999999997E-2</v>
      </c>
      <c r="Q20" s="116">
        <v>1.0394999999999999</v>
      </c>
      <c r="R20" s="30">
        <v>7.0000000000000007E-2</v>
      </c>
      <c r="S20" s="116">
        <v>0.97020000000000006</v>
      </c>
      <c r="T20" s="117">
        <v>0.49</v>
      </c>
      <c r="U20" s="31">
        <v>300</v>
      </c>
      <c r="V20" s="32"/>
      <c r="W20" s="33">
        <v>0</v>
      </c>
      <c r="X20" s="32"/>
      <c r="Y20" s="32"/>
      <c r="Z20" s="32"/>
      <c r="AA20" s="34"/>
      <c r="AB20" s="35">
        <f t="shared" si="0"/>
        <v>300</v>
      </c>
      <c r="AC20" s="75">
        <f t="shared" si="1"/>
        <v>42000</v>
      </c>
      <c r="AD20" s="78">
        <f t="shared" si="2"/>
        <v>0</v>
      </c>
      <c r="AE20" s="72">
        <f t="shared" si="3"/>
        <v>42000</v>
      </c>
      <c r="AF20" s="75">
        <f t="shared" si="4"/>
        <v>6080.4659999999985</v>
      </c>
      <c r="AG20" s="78">
        <f t="shared" si="5"/>
        <v>0</v>
      </c>
      <c r="AH20" s="72">
        <f t="shared" si="6"/>
        <v>6080.4659999999985</v>
      </c>
      <c r="AI20" s="75">
        <f t="shared" si="7"/>
        <v>4158</v>
      </c>
      <c r="AJ20" s="78">
        <f t="shared" si="8"/>
        <v>0</v>
      </c>
      <c r="AK20" s="72">
        <f t="shared" si="9"/>
        <v>4158</v>
      </c>
    </row>
    <row r="21" spans="1:37" ht="15.95" customHeight="1">
      <c r="A21" s="25" t="s">
        <v>961</v>
      </c>
      <c r="B21" s="25" t="s">
        <v>949</v>
      </c>
      <c r="C21" s="26" t="s">
        <v>21</v>
      </c>
      <c r="D21" s="26" t="s">
        <v>373</v>
      </c>
      <c r="E21" s="26" t="s">
        <v>16</v>
      </c>
      <c r="F21" s="26" t="s">
        <v>963</v>
      </c>
      <c r="G21" s="26" t="s">
        <v>119</v>
      </c>
      <c r="H21" s="27" t="s">
        <v>120</v>
      </c>
      <c r="I21" s="26" t="s">
        <v>27</v>
      </c>
      <c r="J21" s="28" t="s">
        <v>43</v>
      </c>
      <c r="K21" s="123">
        <v>110</v>
      </c>
      <c r="L21" s="29">
        <v>15.088210000000002</v>
      </c>
      <c r="M21" s="110">
        <v>10.23</v>
      </c>
      <c r="N21" s="30">
        <v>0.28199999999999997</v>
      </c>
      <c r="O21" s="116">
        <v>2.8848599999999998</v>
      </c>
      <c r="P21" s="30">
        <v>7.4999999999999997E-2</v>
      </c>
      <c r="Q21" s="116">
        <v>0.76724999999999999</v>
      </c>
      <c r="R21" s="30">
        <v>7.0000000000000007E-2</v>
      </c>
      <c r="S21" s="116">
        <v>0.71610000000000007</v>
      </c>
      <c r="T21" s="117">
        <v>0.49</v>
      </c>
      <c r="U21" s="39">
        <v>300</v>
      </c>
      <c r="V21" s="32"/>
      <c r="W21" s="33">
        <v>0</v>
      </c>
      <c r="X21" s="32"/>
      <c r="Y21" s="32"/>
      <c r="Z21" s="32"/>
      <c r="AA21" s="34"/>
      <c r="AB21" s="35">
        <f t="shared" si="0"/>
        <v>300</v>
      </c>
      <c r="AC21" s="75">
        <f t="shared" si="1"/>
        <v>33000</v>
      </c>
      <c r="AD21" s="78">
        <f t="shared" si="2"/>
        <v>0</v>
      </c>
      <c r="AE21" s="72">
        <f t="shared" si="3"/>
        <v>33000</v>
      </c>
      <c r="AF21" s="75">
        <f t="shared" si="4"/>
        <v>4526.4630000000006</v>
      </c>
      <c r="AG21" s="78">
        <f t="shared" si="5"/>
        <v>0</v>
      </c>
      <c r="AH21" s="72">
        <f t="shared" si="6"/>
        <v>4526.4630000000006</v>
      </c>
      <c r="AI21" s="75">
        <f t="shared" si="7"/>
        <v>3069</v>
      </c>
      <c r="AJ21" s="78">
        <f t="shared" si="8"/>
        <v>0</v>
      </c>
      <c r="AK21" s="72">
        <f t="shared" si="9"/>
        <v>3069</v>
      </c>
    </row>
    <row r="22" spans="1:37" ht="15.95" customHeight="1">
      <c r="A22" s="25" t="s">
        <v>948</v>
      </c>
      <c r="B22" s="25" t="s">
        <v>949</v>
      </c>
      <c r="C22" s="26" t="s">
        <v>14</v>
      </c>
      <c r="D22" s="26" t="s">
        <v>373</v>
      </c>
      <c r="E22" s="26" t="s">
        <v>16</v>
      </c>
      <c r="F22" s="26" t="s">
        <v>964</v>
      </c>
      <c r="G22" s="26" t="s">
        <v>119</v>
      </c>
      <c r="H22" s="27" t="s">
        <v>120</v>
      </c>
      <c r="I22" s="26" t="s">
        <v>27</v>
      </c>
      <c r="J22" s="28" t="s">
        <v>41</v>
      </c>
      <c r="K22" s="123">
        <v>140</v>
      </c>
      <c r="L22" s="29">
        <v>20.268219999999996</v>
      </c>
      <c r="M22" s="110">
        <v>13.86</v>
      </c>
      <c r="N22" s="30">
        <v>0.28199999999999997</v>
      </c>
      <c r="O22" s="116">
        <v>3.9085199999999993</v>
      </c>
      <c r="P22" s="30">
        <v>7.4999999999999997E-2</v>
      </c>
      <c r="Q22" s="116">
        <v>1.0394999999999999</v>
      </c>
      <c r="R22" s="30">
        <v>7.0000000000000007E-2</v>
      </c>
      <c r="S22" s="116">
        <v>0.97020000000000006</v>
      </c>
      <c r="T22" s="117">
        <v>0.49</v>
      </c>
      <c r="U22" s="39">
        <v>413</v>
      </c>
      <c r="V22" s="32">
        <v>223</v>
      </c>
      <c r="W22" s="33">
        <v>0</v>
      </c>
      <c r="X22" s="32"/>
      <c r="Y22" s="32"/>
      <c r="Z22" s="32"/>
      <c r="AA22" s="34"/>
      <c r="AB22" s="35">
        <f t="shared" si="0"/>
        <v>636</v>
      </c>
      <c r="AC22" s="75">
        <f t="shared" si="1"/>
        <v>57820</v>
      </c>
      <c r="AD22" s="78">
        <f t="shared" si="2"/>
        <v>31220</v>
      </c>
      <c r="AE22" s="72">
        <f t="shared" si="3"/>
        <v>89040</v>
      </c>
      <c r="AF22" s="75">
        <f t="shared" si="4"/>
        <v>8370.7748599999977</v>
      </c>
      <c r="AG22" s="78">
        <f t="shared" si="5"/>
        <v>4519.8130599999995</v>
      </c>
      <c r="AH22" s="72">
        <f t="shared" si="6"/>
        <v>12890.587919999998</v>
      </c>
      <c r="AI22" s="75">
        <f t="shared" si="7"/>
        <v>5724.1799999999994</v>
      </c>
      <c r="AJ22" s="78">
        <f t="shared" si="8"/>
        <v>3090.7799999999997</v>
      </c>
      <c r="AK22" s="72">
        <f t="shared" si="9"/>
        <v>8814.9599999999991</v>
      </c>
    </row>
    <row r="23" spans="1:37" ht="15.95" customHeight="1">
      <c r="A23" s="25" t="s">
        <v>948</v>
      </c>
      <c r="B23" s="25" t="s">
        <v>949</v>
      </c>
      <c r="C23" s="26" t="s">
        <v>21</v>
      </c>
      <c r="D23" s="26" t="s">
        <v>373</v>
      </c>
      <c r="E23" s="26" t="s">
        <v>16</v>
      </c>
      <c r="F23" s="26" t="s">
        <v>965</v>
      </c>
      <c r="G23" s="26" t="s">
        <v>119</v>
      </c>
      <c r="H23" s="27" t="s">
        <v>120</v>
      </c>
      <c r="I23" s="26" t="s">
        <v>27</v>
      </c>
      <c r="J23" s="28" t="s">
        <v>43</v>
      </c>
      <c r="K23" s="123">
        <v>110</v>
      </c>
      <c r="L23" s="29">
        <v>15.088210000000002</v>
      </c>
      <c r="M23" s="110">
        <v>10.23</v>
      </c>
      <c r="N23" s="30">
        <v>0.28199999999999997</v>
      </c>
      <c r="O23" s="116">
        <v>2.8848599999999998</v>
      </c>
      <c r="P23" s="30">
        <v>7.4999999999999997E-2</v>
      </c>
      <c r="Q23" s="116">
        <v>0.76724999999999999</v>
      </c>
      <c r="R23" s="30">
        <v>7.0000000000000007E-2</v>
      </c>
      <c r="S23" s="116">
        <v>0.71610000000000007</v>
      </c>
      <c r="T23" s="117">
        <v>0.49</v>
      </c>
      <c r="U23" s="39">
        <v>300</v>
      </c>
      <c r="V23" s="32">
        <v>223</v>
      </c>
      <c r="W23" s="33">
        <v>0</v>
      </c>
      <c r="X23" s="32"/>
      <c r="Y23" s="32"/>
      <c r="Z23" s="32"/>
      <c r="AA23" s="34"/>
      <c r="AB23" s="35">
        <f t="shared" si="0"/>
        <v>523</v>
      </c>
      <c r="AC23" s="75">
        <f t="shared" si="1"/>
        <v>33000</v>
      </c>
      <c r="AD23" s="78">
        <f t="shared" si="2"/>
        <v>24530</v>
      </c>
      <c r="AE23" s="72">
        <f t="shared" si="3"/>
        <v>57530</v>
      </c>
      <c r="AF23" s="75">
        <f t="shared" si="4"/>
        <v>4526.4630000000006</v>
      </c>
      <c r="AG23" s="78">
        <f t="shared" si="5"/>
        <v>3364.6708300000005</v>
      </c>
      <c r="AH23" s="72">
        <f t="shared" si="6"/>
        <v>7891.1338300000007</v>
      </c>
      <c r="AI23" s="75">
        <f t="shared" si="7"/>
        <v>3069</v>
      </c>
      <c r="AJ23" s="78">
        <f t="shared" si="8"/>
        <v>2281.29</v>
      </c>
      <c r="AK23" s="72">
        <f t="shared" si="9"/>
        <v>5350.29</v>
      </c>
    </row>
    <row r="24" spans="1:37" ht="15.95" customHeight="1">
      <c r="A24" s="25" t="s">
        <v>948</v>
      </c>
      <c r="B24" s="25" t="s">
        <v>949</v>
      </c>
      <c r="C24" s="26" t="s">
        <v>14</v>
      </c>
      <c r="D24" s="26" t="s">
        <v>373</v>
      </c>
      <c r="E24" s="26" t="s">
        <v>16</v>
      </c>
      <c r="F24" s="26" t="s">
        <v>964</v>
      </c>
      <c r="G24" s="26" t="s">
        <v>119</v>
      </c>
      <c r="H24" s="27" t="s">
        <v>415</v>
      </c>
      <c r="I24" s="26" t="s">
        <v>27</v>
      </c>
      <c r="J24" s="28" t="s">
        <v>41</v>
      </c>
      <c r="K24" s="123">
        <v>140</v>
      </c>
      <c r="L24" s="29">
        <v>20.268219999999996</v>
      </c>
      <c r="M24" s="110">
        <v>13.86</v>
      </c>
      <c r="N24" s="30">
        <v>0.28199999999999997</v>
      </c>
      <c r="O24" s="116">
        <v>3.9085199999999993</v>
      </c>
      <c r="P24" s="30">
        <v>7.4999999999999997E-2</v>
      </c>
      <c r="Q24" s="116">
        <v>1.0394999999999999</v>
      </c>
      <c r="R24" s="30">
        <v>7.0000000000000007E-2</v>
      </c>
      <c r="S24" s="116">
        <v>0.97020000000000006</v>
      </c>
      <c r="T24" s="117">
        <v>0.49</v>
      </c>
      <c r="U24" s="39">
        <v>413</v>
      </c>
      <c r="V24" s="32">
        <v>233</v>
      </c>
      <c r="W24" s="33">
        <v>0</v>
      </c>
      <c r="X24" s="32"/>
      <c r="Y24" s="32"/>
      <c r="Z24" s="32"/>
      <c r="AA24" s="34"/>
      <c r="AB24" s="35">
        <f t="shared" si="0"/>
        <v>646</v>
      </c>
      <c r="AC24" s="75">
        <f t="shared" si="1"/>
        <v>57820</v>
      </c>
      <c r="AD24" s="78">
        <f t="shared" si="2"/>
        <v>32620</v>
      </c>
      <c r="AE24" s="72">
        <f t="shared" si="3"/>
        <v>90440</v>
      </c>
      <c r="AF24" s="75">
        <f t="shared" si="4"/>
        <v>8370.7748599999977</v>
      </c>
      <c r="AG24" s="78">
        <f t="shared" si="5"/>
        <v>4722.4952599999988</v>
      </c>
      <c r="AH24" s="72">
        <f t="shared" si="6"/>
        <v>13093.270119999997</v>
      </c>
      <c r="AI24" s="75">
        <f t="shared" si="7"/>
        <v>5724.1799999999994</v>
      </c>
      <c r="AJ24" s="78">
        <f t="shared" si="8"/>
        <v>3229.3799999999997</v>
      </c>
      <c r="AK24" s="72">
        <f t="shared" si="9"/>
        <v>8953.56</v>
      </c>
    </row>
    <row r="25" spans="1:37" ht="15.95" customHeight="1">
      <c r="A25" s="25" t="s">
        <v>948</v>
      </c>
      <c r="B25" s="25" t="s">
        <v>949</v>
      </c>
      <c r="C25" s="26" t="s">
        <v>21</v>
      </c>
      <c r="D25" s="26" t="s">
        <v>373</v>
      </c>
      <c r="E25" s="26" t="s">
        <v>16</v>
      </c>
      <c r="F25" s="26" t="s">
        <v>965</v>
      </c>
      <c r="G25" s="26" t="s">
        <v>119</v>
      </c>
      <c r="H25" s="27" t="s">
        <v>120</v>
      </c>
      <c r="I25" s="26" t="s">
        <v>27</v>
      </c>
      <c r="J25" s="28" t="s">
        <v>43</v>
      </c>
      <c r="K25" s="123">
        <v>110</v>
      </c>
      <c r="L25" s="29">
        <v>15.088210000000002</v>
      </c>
      <c r="M25" s="110">
        <v>10.23</v>
      </c>
      <c r="N25" s="30">
        <v>0.28199999999999997</v>
      </c>
      <c r="O25" s="116">
        <v>2.8848599999999998</v>
      </c>
      <c r="P25" s="30">
        <v>7.4999999999999997E-2</v>
      </c>
      <c r="Q25" s="116">
        <v>0.76724999999999999</v>
      </c>
      <c r="R25" s="30">
        <v>7.0000000000000007E-2</v>
      </c>
      <c r="S25" s="116">
        <v>0.71610000000000007</v>
      </c>
      <c r="T25" s="117">
        <v>0.49</v>
      </c>
      <c r="U25" s="39">
        <v>300</v>
      </c>
      <c r="V25" s="32">
        <v>233</v>
      </c>
      <c r="W25" s="33">
        <v>52</v>
      </c>
      <c r="X25" s="32"/>
      <c r="Y25" s="32"/>
      <c r="Z25" s="32"/>
      <c r="AA25" s="34"/>
      <c r="AB25" s="35">
        <f t="shared" si="0"/>
        <v>585</v>
      </c>
      <c r="AC25" s="75">
        <f t="shared" si="1"/>
        <v>33000</v>
      </c>
      <c r="AD25" s="78">
        <f t="shared" si="2"/>
        <v>31350</v>
      </c>
      <c r="AE25" s="72">
        <f t="shared" si="3"/>
        <v>64350</v>
      </c>
      <c r="AF25" s="75">
        <f t="shared" si="4"/>
        <v>4526.4630000000006</v>
      </c>
      <c r="AG25" s="78">
        <f t="shared" si="5"/>
        <v>4300.1398500000005</v>
      </c>
      <c r="AH25" s="72">
        <f t="shared" si="6"/>
        <v>8826.6028500000011</v>
      </c>
      <c r="AI25" s="75">
        <f t="shared" si="7"/>
        <v>3069</v>
      </c>
      <c r="AJ25" s="78">
        <f t="shared" si="8"/>
        <v>2915.55</v>
      </c>
      <c r="AK25" s="72">
        <f t="shared" si="9"/>
        <v>5984.55</v>
      </c>
    </row>
    <row r="26" spans="1:37" ht="15.95" customHeight="1">
      <c r="A26" s="25" t="s">
        <v>960</v>
      </c>
      <c r="B26" s="25" t="s">
        <v>949</v>
      </c>
      <c r="C26" s="26" t="s">
        <v>14</v>
      </c>
      <c r="D26" s="26" t="s">
        <v>373</v>
      </c>
      <c r="E26" s="26" t="s">
        <v>16</v>
      </c>
      <c r="F26" s="26" t="s">
        <v>964</v>
      </c>
      <c r="G26" s="26" t="s">
        <v>119</v>
      </c>
      <c r="H26" s="27" t="s">
        <v>120</v>
      </c>
      <c r="I26" s="26" t="s">
        <v>27</v>
      </c>
      <c r="J26" s="28" t="s">
        <v>41</v>
      </c>
      <c r="K26" s="123">
        <v>140</v>
      </c>
      <c r="L26" s="29">
        <v>20.268219999999996</v>
      </c>
      <c r="M26" s="110">
        <v>13.86</v>
      </c>
      <c r="N26" s="30">
        <v>0.28199999999999997</v>
      </c>
      <c r="O26" s="116">
        <v>3.9085199999999993</v>
      </c>
      <c r="P26" s="30">
        <v>7.4999999999999997E-2</v>
      </c>
      <c r="Q26" s="116">
        <v>1.0394999999999999</v>
      </c>
      <c r="R26" s="30">
        <v>7.0000000000000007E-2</v>
      </c>
      <c r="S26" s="116">
        <v>0.97020000000000006</v>
      </c>
      <c r="T26" s="117">
        <v>0.49</v>
      </c>
      <c r="U26" s="39">
        <v>500</v>
      </c>
      <c r="V26" s="32"/>
      <c r="W26" s="33">
        <v>0</v>
      </c>
      <c r="X26" s="32"/>
      <c r="Y26" s="32"/>
      <c r="Z26" s="32"/>
      <c r="AA26" s="34"/>
      <c r="AB26" s="35">
        <f t="shared" si="0"/>
        <v>500</v>
      </c>
      <c r="AC26" s="75">
        <f t="shared" si="1"/>
        <v>70000</v>
      </c>
      <c r="AD26" s="78">
        <f t="shared" si="2"/>
        <v>0</v>
      </c>
      <c r="AE26" s="72">
        <f t="shared" si="3"/>
        <v>70000</v>
      </c>
      <c r="AF26" s="75">
        <f t="shared" si="4"/>
        <v>10134.109999999999</v>
      </c>
      <c r="AG26" s="78">
        <f t="shared" si="5"/>
        <v>0</v>
      </c>
      <c r="AH26" s="72">
        <f t="shared" si="6"/>
        <v>10134.109999999999</v>
      </c>
      <c r="AI26" s="75">
        <f t="shared" si="7"/>
        <v>6930</v>
      </c>
      <c r="AJ26" s="78">
        <f t="shared" si="8"/>
        <v>0</v>
      </c>
      <c r="AK26" s="72">
        <f t="shared" si="9"/>
        <v>6930</v>
      </c>
    </row>
    <row r="27" spans="1:37" ht="15.95" customHeight="1">
      <c r="A27" s="25" t="s">
        <v>961</v>
      </c>
      <c r="B27" s="25" t="s">
        <v>949</v>
      </c>
      <c r="C27" s="26" t="s">
        <v>21</v>
      </c>
      <c r="D27" s="26" t="s">
        <v>373</v>
      </c>
      <c r="E27" s="26" t="s">
        <v>16</v>
      </c>
      <c r="F27" s="26" t="s">
        <v>965</v>
      </c>
      <c r="G27" s="26" t="s">
        <v>119</v>
      </c>
      <c r="H27" s="27" t="s">
        <v>120</v>
      </c>
      <c r="I27" s="26" t="s">
        <v>27</v>
      </c>
      <c r="J27" s="28" t="s">
        <v>43</v>
      </c>
      <c r="K27" s="123">
        <v>110</v>
      </c>
      <c r="L27" s="29">
        <v>15.088210000000002</v>
      </c>
      <c r="M27" s="110">
        <v>10.23</v>
      </c>
      <c r="N27" s="30">
        <v>0.28199999999999997</v>
      </c>
      <c r="O27" s="116">
        <v>2.8848599999999998</v>
      </c>
      <c r="P27" s="30">
        <v>7.4999999999999997E-2</v>
      </c>
      <c r="Q27" s="116">
        <v>0.76724999999999999</v>
      </c>
      <c r="R27" s="30">
        <v>7.0000000000000007E-2</v>
      </c>
      <c r="S27" s="116">
        <v>0.71610000000000007</v>
      </c>
      <c r="T27" s="117">
        <v>0.49</v>
      </c>
      <c r="U27" s="39">
        <v>500</v>
      </c>
      <c r="V27" s="32"/>
      <c r="W27" s="33">
        <v>0</v>
      </c>
      <c r="X27" s="32"/>
      <c r="Y27" s="32"/>
      <c r="Z27" s="32"/>
      <c r="AA27" s="34"/>
      <c r="AB27" s="35">
        <f t="shared" si="0"/>
        <v>500</v>
      </c>
      <c r="AC27" s="75">
        <f t="shared" si="1"/>
        <v>55000</v>
      </c>
      <c r="AD27" s="78">
        <f t="shared" si="2"/>
        <v>0</v>
      </c>
      <c r="AE27" s="72">
        <f t="shared" si="3"/>
        <v>55000</v>
      </c>
      <c r="AF27" s="75">
        <f t="shared" si="4"/>
        <v>7544.1050000000014</v>
      </c>
      <c r="AG27" s="78">
        <f t="shared" si="5"/>
        <v>0</v>
      </c>
      <c r="AH27" s="72">
        <f t="shared" si="6"/>
        <v>7544.1050000000014</v>
      </c>
      <c r="AI27" s="75">
        <f t="shared" si="7"/>
        <v>5115</v>
      </c>
      <c r="AJ27" s="78">
        <f t="shared" si="8"/>
        <v>0</v>
      </c>
      <c r="AK27" s="72">
        <f t="shared" si="9"/>
        <v>5115</v>
      </c>
    </row>
    <row r="28" spans="1:37" ht="15.95" customHeight="1">
      <c r="A28" s="25" t="s">
        <v>966</v>
      </c>
      <c r="B28" s="25" t="s">
        <v>949</v>
      </c>
      <c r="C28" s="26" t="s">
        <v>14</v>
      </c>
      <c r="D28" s="26" t="s">
        <v>373</v>
      </c>
      <c r="E28" s="26" t="s">
        <v>16</v>
      </c>
      <c r="F28" s="26" t="s">
        <v>964</v>
      </c>
      <c r="G28" s="36" t="s">
        <v>119</v>
      </c>
      <c r="H28" s="27" t="s">
        <v>415</v>
      </c>
      <c r="I28" s="26" t="s">
        <v>27</v>
      </c>
      <c r="J28" s="28" t="s">
        <v>41</v>
      </c>
      <c r="K28" s="123">
        <v>140</v>
      </c>
      <c r="L28" s="29">
        <v>20.268219999999996</v>
      </c>
      <c r="M28" s="110">
        <v>13.86</v>
      </c>
      <c r="N28" s="30">
        <v>0.28199999999999997</v>
      </c>
      <c r="O28" s="116">
        <v>3.9085199999999993</v>
      </c>
      <c r="P28" s="30">
        <v>7.4999999999999997E-2</v>
      </c>
      <c r="Q28" s="116">
        <v>1.0394999999999999</v>
      </c>
      <c r="R28" s="30">
        <v>7.0000000000000007E-2</v>
      </c>
      <c r="S28" s="116">
        <v>0.97020000000000006</v>
      </c>
      <c r="T28" s="117">
        <v>0.49</v>
      </c>
      <c r="U28" s="39">
        <v>800</v>
      </c>
      <c r="V28" s="32"/>
      <c r="W28" s="33">
        <v>0</v>
      </c>
      <c r="X28" s="32"/>
      <c r="Y28" s="32"/>
      <c r="Z28" s="32"/>
      <c r="AA28" s="34"/>
      <c r="AB28" s="35">
        <f t="shared" si="0"/>
        <v>800</v>
      </c>
      <c r="AC28" s="75">
        <f t="shared" si="1"/>
        <v>112000</v>
      </c>
      <c r="AD28" s="78">
        <f t="shared" si="2"/>
        <v>0</v>
      </c>
      <c r="AE28" s="72">
        <f t="shared" si="3"/>
        <v>112000</v>
      </c>
      <c r="AF28" s="75">
        <f t="shared" si="4"/>
        <v>16214.575999999997</v>
      </c>
      <c r="AG28" s="78">
        <f t="shared" si="5"/>
        <v>0</v>
      </c>
      <c r="AH28" s="72">
        <f t="shared" si="6"/>
        <v>16214.575999999997</v>
      </c>
      <c r="AI28" s="75">
        <f t="shared" si="7"/>
        <v>11088</v>
      </c>
      <c r="AJ28" s="78">
        <f t="shared" si="8"/>
        <v>0</v>
      </c>
      <c r="AK28" s="72">
        <f t="shared" si="9"/>
        <v>11088</v>
      </c>
    </row>
    <row r="29" spans="1:37" ht="15.95" customHeight="1">
      <c r="A29" s="25" t="s">
        <v>966</v>
      </c>
      <c r="B29" s="25" t="s">
        <v>949</v>
      </c>
      <c r="C29" s="26" t="s">
        <v>21</v>
      </c>
      <c r="D29" s="26" t="s">
        <v>373</v>
      </c>
      <c r="E29" s="26" t="s">
        <v>16</v>
      </c>
      <c r="F29" s="26" t="s">
        <v>965</v>
      </c>
      <c r="G29" s="36" t="s">
        <v>119</v>
      </c>
      <c r="H29" s="27" t="s">
        <v>120</v>
      </c>
      <c r="I29" s="26" t="s">
        <v>27</v>
      </c>
      <c r="J29" s="28" t="s">
        <v>43</v>
      </c>
      <c r="K29" s="123">
        <v>110</v>
      </c>
      <c r="L29" s="29">
        <v>15.088210000000002</v>
      </c>
      <c r="M29" s="110">
        <v>10.23</v>
      </c>
      <c r="N29" s="30">
        <v>0.28199999999999997</v>
      </c>
      <c r="O29" s="116">
        <v>2.8848599999999998</v>
      </c>
      <c r="P29" s="30">
        <v>7.4999999999999997E-2</v>
      </c>
      <c r="Q29" s="116">
        <v>0.76724999999999999</v>
      </c>
      <c r="R29" s="30">
        <v>7.0000000000000007E-2</v>
      </c>
      <c r="S29" s="116">
        <v>0.71610000000000007</v>
      </c>
      <c r="T29" s="117">
        <v>0.49</v>
      </c>
      <c r="U29" s="39">
        <v>800</v>
      </c>
      <c r="V29" s="32"/>
      <c r="W29" s="33">
        <v>0</v>
      </c>
      <c r="X29" s="32"/>
      <c r="Y29" s="32"/>
      <c r="Z29" s="32"/>
      <c r="AA29" s="34"/>
      <c r="AB29" s="35">
        <f t="shared" si="0"/>
        <v>800</v>
      </c>
      <c r="AC29" s="75">
        <f t="shared" si="1"/>
        <v>88000</v>
      </c>
      <c r="AD29" s="78">
        <f t="shared" si="2"/>
        <v>0</v>
      </c>
      <c r="AE29" s="72">
        <f t="shared" si="3"/>
        <v>88000</v>
      </c>
      <c r="AF29" s="75">
        <f t="shared" si="4"/>
        <v>12070.568000000001</v>
      </c>
      <c r="AG29" s="78">
        <f t="shared" si="5"/>
        <v>0</v>
      </c>
      <c r="AH29" s="72">
        <f t="shared" si="6"/>
        <v>12070.568000000001</v>
      </c>
      <c r="AI29" s="75">
        <f t="shared" si="7"/>
        <v>8184</v>
      </c>
      <c r="AJ29" s="78">
        <f t="shared" si="8"/>
        <v>0</v>
      </c>
      <c r="AK29" s="72">
        <f t="shared" si="9"/>
        <v>8184</v>
      </c>
    </row>
    <row r="30" spans="1:37" ht="15.95" customHeight="1">
      <c r="A30" s="25" t="s">
        <v>966</v>
      </c>
      <c r="B30" s="25" t="s">
        <v>949</v>
      </c>
      <c r="C30" s="26" t="s">
        <v>14</v>
      </c>
      <c r="D30" s="26" t="s">
        <v>373</v>
      </c>
      <c r="E30" s="26" t="s">
        <v>16</v>
      </c>
      <c r="F30" s="26" t="s">
        <v>964</v>
      </c>
      <c r="G30" s="26" t="s">
        <v>119</v>
      </c>
      <c r="H30" s="27" t="s">
        <v>415</v>
      </c>
      <c r="I30" s="26" t="s">
        <v>27</v>
      </c>
      <c r="J30" s="28" t="s">
        <v>41</v>
      </c>
      <c r="K30" s="123">
        <v>140</v>
      </c>
      <c r="L30" s="29">
        <v>20.268219999999996</v>
      </c>
      <c r="M30" s="110">
        <v>13.86</v>
      </c>
      <c r="N30" s="30">
        <v>0.28199999999999997</v>
      </c>
      <c r="O30" s="116">
        <v>3.9085199999999993</v>
      </c>
      <c r="P30" s="30">
        <v>7.4999999999999997E-2</v>
      </c>
      <c r="Q30" s="116">
        <v>1.0394999999999999</v>
      </c>
      <c r="R30" s="30">
        <v>7.0000000000000007E-2</v>
      </c>
      <c r="S30" s="116">
        <v>0.97020000000000006</v>
      </c>
      <c r="T30" s="117">
        <v>0.49</v>
      </c>
      <c r="U30" s="39">
        <v>900</v>
      </c>
      <c r="V30" s="32"/>
      <c r="W30" s="33">
        <v>0</v>
      </c>
      <c r="X30" s="32"/>
      <c r="Y30" s="32"/>
      <c r="Z30" s="32"/>
      <c r="AA30" s="34"/>
      <c r="AB30" s="35">
        <f t="shared" si="0"/>
        <v>900</v>
      </c>
      <c r="AC30" s="75">
        <f t="shared" si="1"/>
        <v>126000</v>
      </c>
      <c r="AD30" s="78">
        <f t="shared" si="2"/>
        <v>0</v>
      </c>
      <c r="AE30" s="72">
        <f t="shared" si="3"/>
        <v>126000</v>
      </c>
      <c r="AF30" s="75">
        <f t="shared" si="4"/>
        <v>18241.397999999997</v>
      </c>
      <c r="AG30" s="78">
        <f t="shared" si="5"/>
        <v>0</v>
      </c>
      <c r="AH30" s="72">
        <f t="shared" si="6"/>
        <v>18241.397999999997</v>
      </c>
      <c r="AI30" s="75">
        <f t="shared" si="7"/>
        <v>12474</v>
      </c>
      <c r="AJ30" s="78">
        <f t="shared" si="8"/>
        <v>0</v>
      </c>
      <c r="AK30" s="72">
        <f t="shared" si="9"/>
        <v>12474</v>
      </c>
    </row>
    <row r="31" spans="1:37" ht="15.95" customHeight="1">
      <c r="A31" s="25" t="s">
        <v>966</v>
      </c>
      <c r="B31" s="25" t="s">
        <v>949</v>
      </c>
      <c r="C31" s="26" t="s">
        <v>21</v>
      </c>
      <c r="D31" s="26" t="s">
        <v>373</v>
      </c>
      <c r="E31" s="26" t="s">
        <v>16</v>
      </c>
      <c r="F31" s="26" t="s">
        <v>965</v>
      </c>
      <c r="G31" s="26" t="s">
        <v>119</v>
      </c>
      <c r="H31" s="27" t="s">
        <v>120</v>
      </c>
      <c r="I31" s="26" t="s">
        <v>27</v>
      </c>
      <c r="J31" s="28" t="s">
        <v>43</v>
      </c>
      <c r="K31" s="123">
        <v>110</v>
      </c>
      <c r="L31" s="29">
        <v>15.088210000000002</v>
      </c>
      <c r="M31" s="110">
        <v>10.23</v>
      </c>
      <c r="N31" s="30">
        <v>0.28199999999999997</v>
      </c>
      <c r="O31" s="116">
        <v>2.8848599999999998</v>
      </c>
      <c r="P31" s="30">
        <v>7.4999999999999997E-2</v>
      </c>
      <c r="Q31" s="116">
        <v>0.76724999999999999</v>
      </c>
      <c r="R31" s="30">
        <v>7.0000000000000007E-2</v>
      </c>
      <c r="S31" s="116">
        <v>0.71610000000000007</v>
      </c>
      <c r="T31" s="117">
        <v>0.49</v>
      </c>
      <c r="U31" s="39">
        <v>900</v>
      </c>
      <c r="V31" s="32"/>
      <c r="W31" s="33">
        <v>0</v>
      </c>
      <c r="X31" s="32"/>
      <c r="Y31" s="32"/>
      <c r="Z31" s="32"/>
      <c r="AA31" s="34"/>
      <c r="AB31" s="35">
        <f t="shared" si="0"/>
        <v>900</v>
      </c>
      <c r="AC31" s="75">
        <f t="shared" si="1"/>
        <v>99000</v>
      </c>
      <c r="AD31" s="78">
        <f t="shared" si="2"/>
        <v>0</v>
      </c>
      <c r="AE31" s="72">
        <f t="shared" si="3"/>
        <v>99000</v>
      </c>
      <c r="AF31" s="75">
        <f t="shared" si="4"/>
        <v>13579.389000000001</v>
      </c>
      <c r="AG31" s="78">
        <f t="shared" si="5"/>
        <v>0</v>
      </c>
      <c r="AH31" s="72">
        <f t="shared" si="6"/>
        <v>13579.389000000001</v>
      </c>
      <c r="AI31" s="75">
        <f t="shared" si="7"/>
        <v>9207</v>
      </c>
      <c r="AJ31" s="78">
        <f t="shared" si="8"/>
        <v>0</v>
      </c>
      <c r="AK31" s="72">
        <f t="shared" si="9"/>
        <v>9207</v>
      </c>
    </row>
    <row r="32" spans="1:37" ht="15.95" customHeight="1">
      <c r="A32" s="25" t="s">
        <v>966</v>
      </c>
      <c r="B32" s="25" t="s">
        <v>949</v>
      </c>
      <c r="C32" s="26" t="s">
        <v>14</v>
      </c>
      <c r="D32" s="26" t="s">
        <v>373</v>
      </c>
      <c r="E32" s="26" t="s">
        <v>16</v>
      </c>
      <c r="F32" s="26" t="s">
        <v>964</v>
      </c>
      <c r="G32" s="26" t="s">
        <v>119</v>
      </c>
      <c r="H32" s="27" t="s">
        <v>120</v>
      </c>
      <c r="I32" s="26" t="s">
        <v>27</v>
      </c>
      <c r="J32" s="28" t="s">
        <v>41</v>
      </c>
      <c r="K32" s="123">
        <v>140</v>
      </c>
      <c r="L32" s="29">
        <v>20.268219999999996</v>
      </c>
      <c r="M32" s="110">
        <v>13.86</v>
      </c>
      <c r="N32" s="30">
        <v>0.28199999999999997</v>
      </c>
      <c r="O32" s="116">
        <v>3.9085199999999993</v>
      </c>
      <c r="P32" s="30">
        <v>7.4999999999999997E-2</v>
      </c>
      <c r="Q32" s="116">
        <v>1.0394999999999999</v>
      </c>
      <c r="R32" s="30">
        <v>7.0000000000000007E-2</v>
      </c>
      <c r="S32" s="116">
        <v>0.97020000000000006</v>
      </c>
      <c r="T32" s="117">
        <v>0.49</v>
      </c>
      <c r="U32" s="39">
        <v>1100</v>
      </c>
      <c r="V32" s="32"/>
      <c r="W32" s="33">
        <v>0</v>
      </c>
      <c r="X32" s="32"/>
      <c r="Y32" s="32"/>
      <c r="Z32" s="32"/>
      <c r="AA32" s="34"/>
      <c r="AB32" s="35">
        <f t="shared" si="0"/>
        <v>1100</v>
      </c>
      <c r="AC32" s="75">
        <f t="shared" si="1"/>
        <v>154000</v>
      </c>
      <c r="AD32" s="78">
        <f t="shared" si="2"/>
        <v>0</v>
      </c>
      <c r="AE32" s="72">
        <f t="shared" si="3"/>
        <v>154000</v>
      </c>
      <c r="AF32" s="75">
        <f t="shared" si="4"/>
        <v>22295.041999999994</v>
      </c>
      <c r="AG32" s="78">
        <f t="shared" si="5"/>
        <v>0</v>
      </c>
      <c r="AH32" s="72">
        <f t="shared" si="6"/>
        <v>22295.041999999994</v>
      </c>
      <c r="AI32" s="75">
        <f t="shared" si="7"/>
        <v>15246</v>
      </c>
      <c r="AJ32" s="78">
        <f t="shared" si="8"/>
        <v>0</v>
      </c>
      <c r="AK32" s="72">
        <f t="shared" si="9"/>
        <v>15246</v>
      </c>
    </row>
    <row r="33" spans="1:37" ht="15.95" customHeight="1">
      <c r="A33" s="25" t="s">
        <v>966</v>
      </c>
      <c r="B33" s="25" t="s">
        <v>949</v>
      </c>
      <c r="C33" s="26" t="s">
        <v>21</v>
      </c>
      <c r="D33" s="26" t="s">
        <v>373</v>
      </c>
      <c r="E33" s="26" t="s">
        <v>16</v>
      </c>
      <c r="F33" s="26" t="s">
        <v>965</v>
      </c>
      <c r="G33" s="26" t="s">
        <v>119</v>
      </c>
      <c r="H33" s="27" t="s">
        <v>415</v>
      </c>
      <c r="I33" s="26" t="s">
        <v>27</v>
      </c>
      <c r="J33" s="37" t="s">
        <v>43</v>
      </c>
      <c r="K33" s="123">
        <v>110</v>
      </c>
      <c r="L33" s="29">
        <v>15.088210000000002</v>
      </c>
      <c r="M33" s="110">
        <v>10.23</v>
      </c>
      <c r="N33" s="30">
        <v>0.28199999999999997</v>
      </c>
      <c r="O33" s="116">
        <v>2.8848599999999998</v>
      </c>
      <c r="P33" s="30">
        <v>7.4999999999999997E-2</v>
      </c>
      <c r="Q33" s="116">
        <v>0.76724999999999999</v>
      </c>
      <c r="R33" s="30">
        <v>7.0000000000000007E-2</v>
      </c>
      <c r="S33" s="116">
        <v>0.71610000000000007</v>
      </c>
      <c r="T33" s="117">
        <v>0.49</v>
      </c>
      <c r="U33" s="39">
        <v>1000</v>
      </c>
      <c r="V33" s="32"/>
      <c r="W33" s="33">
        <v>0</v>
      </c>
      <c r="X33" s="32"/>
      <c r="Y33" s="32"/>
      <c r="Z33" s="32"/>
      <c r="AA33" s="34"/>
      <c r="AB33" s="35">
        <f t="shared" si="0"/>
        <v>1000</v>
      </c>
      <c r="AC33" s="75">
        <f t="shared" si="1"/>
        <v>110000</v>
      </c>
      <c r="AD33" s="78">
        <f t="shared" si="2"/>
        <v>0</v>
      </c>
      <c r="AE33" s="72">
        <f t="shared" si="3"/>
        <v>110000</v>
      </c>
      <c r="AF33" s="75">
        <f t="shared" si="4"/>
        <v>15088.210000000003</v>
      </c>
      <c r="AG33" s="78">
        <f t="shared" si="5"/>
        <v>0</v>
      </c>
      <c r="AH33" s="72">
        <f t="shared" si="6"/>
        <v>15088.210000000003</v>
      </c>
      <c r="AI33" s="75">
        <f t="shared" si="7"/>
        <v>10230</v>
      </c>
      <c r="AJ33" s="78">
        <f t="shared" si="8"/>
        <v>0</v>
      </c>
      <c r="AK33" s="72">
        <f t="shared" si="9"/>
        <v>10230</v>
      </c>
    </row>
    <row r="34" spans="1:37" ht="15.95" customHeight="1">
      <c r="A34" s="25" t="s">
        <v>948</v>
      </c>
      <c r="B34" s="25" t="s">
        <v>949</v>
      </c>
      <c r="C34" s="26" t="s">
        <v>14</v>
      </c>
      <c r="D34" s="26" t="s">
        <v>373</v>
      </c>
      <c r="E34" s="26" t="s">
        <v>16</v>
      </c>
      <c r="F34" s="26" t="s">
        <v>967</v>
      </c>
      <c r="G34" s="26" t="s">
        <v>273</v>
      </c>
      <c r="H34" s="27" t="s">
        <v>89</v>
      </c>
      <c r="I34" s="26" t="s">
        <v>27</v>
      </c>
      <c r="J34" s="28" t="s">
        <v>41</v>
      </c>
      <c r="K34" s="123">
        <v>140</v>
      </c>
      <c r="L34" s="29">
        <v>22.679849999999998</v>
      </c>
      <c r="M34" s="110">
        <v>15.55</v>
      </c>
      <c r="N34" s="30">
        <v>0.28199999999999997</v>
      </c>
      <c r="O34" s="116">
        <v>4.3850999999999996</v>
      </c>
      <c r="P34" s="30">
        <v>7.4999999999999997E-2</v>
      </c>
      <c r="Q34" s="116">
        <v>1.16625</v>
      </c>
      <c r="R34" s="30">
        <v>7.0000000000000007E-2</v>
      </c>
      <c r="S34" s="116">
        <v>1.0885000000000002</v>
      </c>
      <c r="T34" s="117">
        <v>0.49</v>
      </c>
      <c r="U34" s="39">
        <v>500</v>
      </c>
      <c r="V34" s="32">
        <v>138</v>
      </c>
      <c r="W34" s="33">
        <v>0</v>
      </c>
      <c r="X34" s="32"/>
      <c r="Y34" s="32"/>
      <c r="Z34" s="32"/>
      <c r="AA34" s="34">
        <v>6</v>
      </c>
      <c r="AB34" s="35">
        <f t="shared" si="0"/>
        <v>644</v>
      </c>
      <c r="AC34" s="75">
        <f t="shared" si="1"/>
        <v>70000</v>
      </c>
      <c r="AD34" s="78">
        <f t="shared" si="2"/>
        <v>20160</v>
      </c>
      <c r="AE34" s="72">
        <f t="shared" si="3"/>
        <v>90160</v>
      </c>
      <c r="AF34" s="75">
        <f t="shared" si="4"/>
        <v>11339.924999999999</v>
      </c>
      <c r="AG34" s="78">
        <f t="shared" si="5"/>
        <v>3223.1192999999998</v>
      </c>
      <c r="AH34" s="72">
        <f t="shared" si="6"/>
        <v>14563.0443</v>
      </c>
      <c r="AI34" s="75">
        <f t="shared" si="7"/>
        <v>7775</v>
      </c>
      <c r="AJ34" s="78">
        <f t="shared" si="8"/>
        <v>2239.2000000000003</v>
      </c>
      <c r="AK34" s="72">
        <f t="shared" si="9"/>
        <v>10014.200000000001</v>
      </c>
    </row>
    <row r="35" spans="1:37" ht="15.95" customHeight="1">
      <c r="A35" s="25" t="s">
        <v>948</v>
      </c>
      <c r="B35" s="25" t="s">
        <v>949</v>
      </c>
      <c r="C35" s="26" t="s">
        <v>21</v>
      </c>
      <c r="D35" s="26" t="s">
        <v>373</v>
      </c>
      <c r="E35" s="26" t="s">
        <v>16</v>
      </c>
      <c r="F35" s="26" t="s">
        <v>968</v>
      </c>
      <c r="G35" s="26" t="s">
        <v>273</v>
      </c>
      <c r="H35" s="27" t="s">
        <v>89</v>
      </c>
      <c r="I35" s="26" t="s">
        <v>27</v>
      </c>
      <c r="J35" s="37" t="s">
        <v>43</v>
      </c>
      <c r="K35" s="123">
        <v>125</v>
      </c>
      <c r="L35" s="29">
        <v>19.041</v>
      </c>
      <c r="M35" s="110">
        <v>13</v>
      </c>
      <c r="N35" s="30">
        <v>0.28199999999999997</v>
      </c>
      <c r="O35" s="116">
        <v>3.6659999999999995</v>
      </c>
      <c r="P35" s="30">
        <v>7.4999999999999997E-2</v>
      </c>
      <c r="Q35" s="116">
        <v>0.97499999999999998</v>
      </c>
      <c r="R35" s="30">
        <v>7.0000000000000007E-2</v>
      </c>
      <c r="S35" s="116">
        <v>0.91000000000000014</v>
      </c>
      <c r="T35" s="117">
        <v>0.49</v>
      </c>
      <c r="U35" s="39">
        <v>400</v>
      </c>
      <c r="V35" s="32">
        <v>138</v>
      </c>
      <c r="W35" s="33">
        <v>0</v>
      </c>
      <c r="X35" s="32"/>
      <c r="Y35" s="32"/>
      <c r="Z35" s="32"/>
      <c r="AA35" s="34"/>
      <c r="AB35" s="35">
        <f t="shared" si="0"/>
        <v>538</v>
      </c>
      <c r="AC35" s="75">
        <f t="shared" si="1"/>
        <v>50000</v>
      </c>
      <c r="AD35" s="78">
        <f t="shared" si="2"/>
        <v>17250</v>
      </c>
      <c r="AE35" s="72">
        <f t="shared" si="3"/>
        <v>67250</v>
      </c>
      <c r="AF35" s="75">
        <f t="shared" si="4"/>
        <v>7616.4000000000005</v>
      </c>
      <c r="AG35" s="78">
        <f t="shared" si="5"/>
        <v>2627.6579999999999</v>
      </c>
      <c r="AH35" s="72">
        <f t="shared" si="6"/>
        <v>10244.058000000001</v>
      </c>
      <c r="AI35" s="75">
        <f t="shared" si="7"/>
        <v>5200</v>
      </c>
      <c r="AJ35" s="78">
        <f t="shared" si="8"/>
        <v>1794</v>
      </c>
      <c r="AK35" s="72">
        <f t="shared" si="9"/>
        <v>6994</v>
      </c>
    </row>
    <row r="36" spans="1:37" ht="15.95" customHeight="1">
      <c r="A36" s="25" t="s">
        <v>961</v>
      </c>
      <c r="B36" s="25" t="s">
        <v>949</v>
      </c>
      <c r="C36" s="26" t="s">
        <v>14</v>
      </c>
      <c r="D36" s="26" t="s">
        <v>373</v>
      </c>
      <c r="E36" s="26" t="s">
        <v>16</v>
      </c>
      <c r="F36" s="26" t="s">
        <v>967</v>
      </c>
      <c r="G36" s="26" t="s">
        <v>273</v>
      </c>
      <c r="H36" s="27" t="s">
        <v>89</v>
      </c>
      <c r="I36" s="26" t="s">
        <v>27</v>
      </c>
      <c r="J36" s="28" t="s">
        <v>41</v>
      </c>
      <c r="K36" s="123">
        <v>140</v>
      </c>
      <c r="L36" s="29">
        <v>22.679849999999998</v>
      </c>
      <c r="M36" s="110">
        <v>15.55</v>
      </c>
      <c r="N36" s="30">
        <v>0.28199999999999997</v>
      </c>
      <c r="O36" s="116">
        <v>4.3850999999999996</v>
      </c>
      <c r="P36" s="30">
        <v>7.4999999999999997E-2</v>
      </c>
      <c r="Q36" s="116">
        <v>1.16625</v>
      </c>
      <c r="R36" s="30">
        <v>7.0000000000000007E-2</v>
      </c>
      <c r="S36" s="116">
        <v>1.0885000000000002</v>
      </c>
      <c r="T36" s="117">
        <v>0.49</v>
      </c>
      <c r="U36" s="39">
        <v>400</v>
      </c>
      <c r="V36" s="32"/>
      <c r="W36" s="33">
        <v>0</v>
      </c>
      <c r="X36" s="32"/>
      <c r="Y36" s="32"/>
      <c r="Z36" s="32"/>
      <c r="AA36" s="34"/>
      <c r="AB36" s="35">
        <f t="shared" si="0"/>
        <v>400</v>
      </c>
      <c r="AC36" s="75">
        <f t="shared" si="1"/>
        <v>56000</v>
      </c>
      <c r="AD36" s="78">
        <f t="shared" si="2"/>
        <v>0</v>
      </c>
      <c r="AE36" s="72">
        <f t="shared" si="3"/>
        <v>56000</v>
      </c>
      <c r="AF36" s="75">
        <f t="shared" si="4"/>
        <v>9071.9399999999987</v>
      </c>
      <c r="AG36" s="78">
        <f t="shared" si="5"/>
        <v>0</v>
      </c>
      <c r="AH36" s="72">
        <f t="shared" si="6"/>
        <v>9071.9399999999987</v>
      </c>
      <c r="AI36" s="75">
        <f t="shared" si="7"/>
        <v>6220</v>
      </c>
      <c r="AJ36" s="78">
        <f t="shared" si="8"/>
        <v>0</v>
      </c>
      <c r="AK36" s="72">
        <f t="shared" si="9"/>
        <v>6220</v>
      </c>
    </row>
    <row r="37" spans="1:37" ht="15.95" customHeight="1">
      <c r="A37" s="25" t="s">
        <v>961</v>
      </c>
      <c r="B37" s="25" t="s">
        <v>949</v>
      </c>
      <c r="C37" s="26" t="s">
        <v>21</v>
      </c>
      <c r="D37" s="26" t="s">
        <v>373</v>
      </c>
      <c r="E37" s="26" t="s">
        <v>16</v>
      </c>
      <c r="F37" s="26" t="s">
        <v>968</v>
      </c>
      <c r="G37" s="26" t="s">
        <v>273</v>
      </c>
      <c r="H37" s="27" t="s">
        <v>89</v>
      </c>
      <c r="I37" s="26" t="s">
        <v>27</v>
      </c>
      <c r="J37" s="28" t="s">
        <v>43</v>
      </c>
      <c r="K37" s="123">
        <v>125</v>
      </c>
      <c r="L37" s="29">
        <v>19.041</v>
      </c>
      <c r="M37" s="110">
        <v>13</v>
      </c>
      <c r="N37" s="30">
        <v>0.28199999999999997</v>
      </c>
      <c r="O37" s="116">
        <v>3.6659999999999995</v>
      </c>
      <c r="P37" s="30">
        <v>7.4999999999999997E-2</v>
      </c>
      <c r="Q37" s="116">
        <v>0.97499999999999998</v>
      </c>
      <c r="R37" s="30">
        <v>7.0000000000000007E-2</v>
      </c>
      <c r="S37" s="116">
        <v>0.91000000000000014</v>
      </c>
      <c r="T37" s="117">
        <v>0.49</v>
      </c>
      <c r="U37" s="39">
        <v>400</v>
      </c>
      <c r="V37" s="32"/>
      <c r="W37" s="33">
        <v>0</v>
      </c>
      <c r="X37" s="32"/>
      <c r="Y37" s="32"/>
      <c r="Z37" s="32"/>
      <c r="AA37" s="34"/>
      <c r="AB37" s="35">
        <f t="shared" si="0"/>
        <v>400</v>
      </c>
      <c r="AC37" s="75">
        <f t="shared" si="1"/>
        <v>50000</v>
      </c>
      <c r="AD37" s="78">
        <f t="shared" si="2"/>
        <v>0</v>
      </c>
      <c r="AE37" s="72">
        <f t="shared" si="3"/>
        <v>50000</v>
      </c>
      <c r="AF37" s="75">
        <f t="shared" si="4"/>
        <v>7616.4000000000005</v>
      </c>
      <c r="AG37" s="78">
        <f t="shared" si="5"/>
        <v>0</v>
      </c>
      <c r="AH37" s="72">
        <f t="shared" si="6"/>
        <v>7616.4000000000005</v>
      </c>
      <c r="AI37" s="75">
        <f t="shared" si="7"/>
        <v>5200</v>
      </c>
      <c r="AJ37" s="78">
        <f t="shared" si="8"/>
        <v>0</v>
      </c>
      <c r="AK37" s="72">
        <f t="shared" si="9"/>
        <v>5200</v>
      </c>
    </row>
    <row r="38" spans="1:37" ht="15.95" customHeight="1">
      <c r="A38" s="25" t="s">
        <v>948</v>
      </c>
      <c r="B38" s="25" t="s">
        <v>949</v>
      </c>
      <c r="C38" s="26" t="s">
        <v>14</v>
      </c>
      <c r="D38" s="26" t="s">
        <v>373</v>
      </c>
      <c r="E38" s="26" t="s">
        <v>16</v>
      </c>
      <c r="F38" s="26" t="s">
        <v>967</v>
      </c>
      <c r="G38" s="26" t="s">
        <v>273</v>
      </c>
      <c r="H38" s="27" t="s">
        <v>89</v>
      </c>
      <c r="I38" s="26" t="s">
        <v>27</v>
      </c>
      <c r="J38" s="28" t="s">
        <v>41</v>
      </c>
      <c r="K38" s="123">
        <v>140</v>
      </c>
      <c r="L38" s="29">
        <v>22.679849999999998</v>
      </c>
      <c r="M38" s="110">
        <v>15.55</v>
      </c>
      <c r="N38" s="30">
        <v>0.28199999999999997</v>
      </c>
      <c r="O38" s="116">
        <v>4.3850999999999996</v>
      </c>
      <c r="P38" s="30">
        <v>7.4999999999999997E-2</v>
      </c>
      <c r="Q38" s="116">
        <v>1.16625</v>
      </c>
      <c r="R38" s="30">
        <v>7.0000000000000007E-2</v>
      </c>
      <c r="S38" s="116">
        <v>1.0885000000000002</v>
      </c>
      <c r="T38" s="117">
        <v>0.49</v>
      </c>
      <c r="U38" s="39">
        <v>400</v>
      </c>
      <c r="V38" s="32">
        <v>240</v>
      </c>
      <c r="W38" s="33">
        <v>0</v>
      </c>
      <c r="X38" s="32"/>
      <c r="Y38" s="32"/>
      <c r="Z38" s="32"/>
      <c r="AA38" s="34">
        <v>12</v>
      </c>
      <c r="AB38" s="35">
        <f t="shared" si="0"/>
        <v>652</v>
      </c>
      <c r="AC38" s="75">
        <f t="shared" si="1"/>
        <v>56000</v>
      </c>
      <c r="AD38" s="78">
        <f t="shared" si="2"/>
        <v>35280</v>
      </c>
      <c r="AE38" s="72">
        <f t="shared" si="3"/>
        <v>91280</v>
      </c>
      <c r="AF38" s="75">
        <f t="shared" si="4"/>
        <v>9071.9399999999987</v>
      </c>
      <c r="AG38" s="78">
        <f t="shared" si="5"/>
        <v>5629.7640000000001</v>
      </c>
      <c r="AH38" s="72">
        <f t="shared" si="6"/>
        <v>14701.703999999998</v>
      </c>
      <c r="AI38" s="75">
        <f t="shared" si="7"/>
        <v>6220</v>
      </c>
      <c r="AJ38" s="78">
        <f t="shared" si="8"/>
        <v>3918.6000000000004</v>
      </c>
      <c r="AK38" s="72">
        <f t="shared" si="9"/>
        <v>10138.6</v>
      </c>
    </row>
    <row r="39" spans="1:37" ht="15.95" customHeight="1">
      <c r="A39" s="25" t="s">
        <v>948</v>
      </c>
      <c r="B39" s="25" t="s">
        <v>949</v>
      </c>
      <c r="C39" s="26" t="s">
        <v>21</v>
      </c>
      <c r="D39" s="26" t="s">
        <v>373</v>
      </c>
      <c r="E39" s="26" t="s">
        <v>16</v>
      </c>
      <c r="F39" s="26" t="s">
        <v>968</v>
      </c>
      <c r="G39" s="26" t="s">
        <v>273</v>
      </c>
      <c r="H39" s="27" t="s">
        <v>89</v>
      </c>
      <c r="I39" s="26" t="s">
        <v>27</v>
      </c>
      <c r="J39" s="37" t="s">
        <v>43</v>
      </c>
      <c r="K39" s="123">
        <v>125</v>
      </c>
      <c r="L39" s="29">
        <v>19.041</v>
      </c>
      <c r="M39" s="110">
        <v>13</v>
      </c>
      <c r="N39" s="30">
        <v>0.28199999999999997</v>
      </c>
      <c r="O39" s="116">
        <v>3.6659999999999995</v>
      </c>
      <c r="P39" s="30">
        <v>7.4999999999999997E-2</v>
      </c>
      <c r="Q39" s="116">
        <v>0.97499999999999998</v>
      </c>
      <c r="R39" s="30">
        <v>7.0000000000000007E-2</v>
      </c>
      <c r="S39" s="116">
        <v>0.91000000000000014</v>
      </c>
      <c r="T39" s="117">
        <v>0.49</v>
      </c>
      <c r="U39" s="39">
        <v>300</v>
      </c>
      <c r="V39" s="32">
        <v>240</v>
      </c>
      <c r="W39" s="33">
        <v>0</v>
      </c>
      <c r="X39" s="32"/>
      <c r="Y39" s="32"/>
      <c r="Z39" s="32"/>
      <c r="AA39" s="34"/>
      <c r="AB39" s="35">
        <f t="shared" si="0"/>
        <v>540</v>
      </c>
      <c r="AC39" s="75">
        <f t="shared" si="1"/>
        <v>37500</v>
      </c>
      <c r="AD39" s="78">
        <f t="shared" si="2"/>
        <v>30000</v>
      </c>
      <c r="AE39" s="72">
        <f t="shared" si="3"/>
        <v>67500</v>
      </c>
      <c r="AF39" s="75">
        <f t="shared" si="4"/>
        <v>5712.3</v>
      </c>
      <c r="AG39" s="78">
        <f t="shared" si="5"/>
        <v>4569.84</v>
      </c>
      <c r="AH39" s="72">
        <f t="shared" si="6"/>
        <v>10282.14</v>
      </c>
      <c r="AI39" s="75">
        <f t="shared" si="7"/>
        <v>3900</v>
      </c>
      <c r="AJ39" s="78">
        <f t="shared" si="8"/>
        <v>3120</v>
      </c>
      <c r="AK39" s="72">
        <f t="shared" si="9"/>
        <v>7020</v>
      </c>
    </row>
    <row r="40" spans="1:37" ht="15.95" customHeight="1">
      <c r="A40" s="25" t="s">
        <v>961</v>
      </c>
      <c r="B40" s="25" t="s">
        <v>949</v>
      </c>
      <c r="C40" s="26" t="s">
        <v>14</v>
      </c>
      <c r="D40" s="26" t="s">
        <v>373</v>
      </c>
      <c r="E40" s="26" t="s">
        <v>16</v>
      </c>
      <c r="F40" s="26" t="s">
        <v>967</v>
      </c>
      <c r="G40" s="26" t="s">
        <v>273</v>
      </c>
      <c r="H40" s="27" t="s">
        <v>89</v>
      </c>
      <c r="I40" s="26" t="s">
        <v>27</v>
      </c>
      <c r="J40" s="37" t="s">
        <v>41</v>
      </c>
      <c r="K40" s="123">
        <v>140</v>
      </c>
      <c r="L40" s="29">
        <v>22.679849999999998</v>
      </c>
      <c r="M40" s="110">
        <v>15.55</v>
      </c>
      <c r="N40" s="30">
        <v>0.28199999999999997</v>
      </c>
      <c r="O40" s="116">
        <v>4.3850999999999996</v>
      </c>
      <c r="P40" s="30">
        <v>7.4999999999999997E-2</v>
      </c>
      <c r="Q40" s="116">
        <v>1.16625</v>
      </c>
      <c r="R40" s="30">
        <v>7.0000000000000007E-2</v>
      </c>
      <c r="S40" s="116">
        <v>1.0885000000000002</v>
      </c>
      <c r="T40" s="117">
        <v>0.49</v>
      </c>
      <c r="U40" s="39">
        <v>400</v>
      </c>
      <c r="V40" s="32"/>
      <c r="W40" s="33">
        <v>0</v>
      </c>
      <c r="X40" s="32"/>
      <c r="Y40" s="32"/>
      <c r="Z40" s="32"/>
      <c r="AA40" s="34"/>
      <c r="AB40" s="35">
        <f t="shared" si="0"/>
        <v>400</v>
      </c>
      <c r="AC40" s="75">
        <f t="shared" si="1"/>
        <v>56000</v>
      </c>
      <c r="AD40" s="78">
        <f t="shared" si="2"/>
        <v>0</v>
      </c>
      <c r="AE40" s="72">
        <f t="shared" si="3"/>
        <v>56000</v>
      </c>
      <c r="AF40" s="75">
        <f t="shared" si="4"/>
        <v>9071.9399999999987</v>
      </c>
      <c r="AG40" s="78">
        <f t="shared" si="5"/>
        <v>0</v>
      </c>
      <c r="AH40" s="72">
        <f t="shared" si="6"/>
        <v>9071.9399999999987</v>
      </c>
      <c r="AI40" s="75">
        <f t="shared" si="7"/>
        <v>6220</v>
      </c>
      <c r="AJ40" s="78">
        <f t="shared" si="8"/>
        <v>0</v>
      </c>
      <c r="AK40" s="72">
        <f t="shared" si="9"/>
        <v>6220</v>
      </c>
    </row>
    <row r="41" spans="1:37" ht="15.95" customHeight="1">
      <c r="A41" s="25" t="s">
        <v>961</v>
      </c>
      <c r="B41" s="25" t="s">
        <v>949</v>
      </c>
      <c r="C41" s="26" t="s">
        <v>21</v>
      </c>
      <c r="D41" s="26" t="s">
        <v>373</v>
      </c>
      <c r="E41" s="26" t="s">
        <v>16</v>
      </c>
      <c r="F41" s="26" t="s">
        <v>968</v>
      </c>
      <c r="G41" s="26" t="s">
        <v>273</v>
      </c>
      <c r="H41" s="27" t="s">
        <v>89</v>
      </c>
      <c r="I41" s="26" t="s">
        <v>27</v>
      </c>
      <c r="J41" s="28" t="s">
        <v>43</v>
      </c>
      <c r="K41" s="123">
        <v>125</v>
      </c>
      <c r="L41" s="29">
        <v>19.041</v>
      </c>
      <c r="M41" s="110">
        <v>13</v>
      </c>
      <c r="N41" s="30">
        <v>0.28199999999999997</v>
      </c>
      <c r="O41" s="116">
        <v>3.6659999999999995</v>
      </c>
      <c r="P41" s="30">
        <v>7.4999999999999997E-2</v>
      </c>
      <c r="Q41" s="116">
        <v>0.97499999999999998</v>
      </c>
      <c r="R41" s="30">
        <v>7.0000000000000007E-2</v>
      </c>
      <c r="S41" s="116">
        <v>0.91000000000000014</v>
      </c>
      <c r="T41" s="117">
        <v>0.49</v>
      </c>
      <c r="U41" s="39">
        <v>400</v>
      </c>
      <c r="V41" s="32"/>
      <c r="W41" s="33">
        <v>0</v>
      </c>
      <c r="X41" s="32"/>
      <c r="Y41" s="32"/>
      <c r="Z41" s="32"/>
      <c r="AA41" s="34"/>
      <c r="AB41" s="35">
        <f t="shared" si="0"/>
        <v>400</v>
      </c>
      <c r="AC41" s="75">
        <f t="shared" si="1"/>
        <v>50000</v>
      </c>
      <c r="AD41" s="78">
        <f t="shared" si="2"/>
        <v>0</v>
      </c>
      <c r="AE41" s="72">
        <f t="shared" si="3"/>
        <v>50000</v>
      </c>
      <c r="AF41" s="75">
        <f t="shared" si="4"/>
        <v>7616.4000000000005</v>
      </c>
      <c r="AG41" s="78">
        <f t="shared" si="5"/>
        <v>0</v>
      </c>
      <c r="AH41" s="72">
        <f t="shared" si="6"/>
        <v>7616.4000000000005</v>
      </c>
      <c r="AI41" s="75">
        <f t="shared" si="7"/>
        <v>5200</v>
      </c>
      <c r="AJ41" s="78">
        <f t="shared" si="8"/>
        <v>0</v>
      </c>
      <c r="AK41" s="72">
        <f t="shared" si="9"/>
        <v>5200</v>
      </c>
    </row>
    <row r="42" spans="1:37" ht="15.95" customHeight="1">
      <c r="A42" s="25" t="s">
        <v>966</v>
      </c>
      <c r="B42" s="25" t="s">
        <v>949</v>
      </c>
      <c r="C42" s="26" t="s">
        <v>14</v>
      </c>
      <c r="D42" s="26" t="s">
        <v>373</v>
      </c>
      <c r="E42" s="26" t="s">
        <v>16</v>
      </c>
      <c r="F42" s="26" t="s">
        <v>967</v>
      </c>
      <c r="G42" s="26" t="s">
        <v>273</v>
      </c>
      <c r="H42" s="27" t="s">
        <v>89</v>
      </c>
      <c r="I42" s="26" t="s">
        <v>27</v>
      </c>
      <c r="J42" s="28" t="s">
        <v>41</v>
      </c>
      <c r="K42" s="123">
        <v>140</v>
      </c>
      <c r="L42" s="29">
        <v>22.679849999999998</v>
      </c>
      <c r="M42" s="110">
        <v>15.55</v>
      </c>
      <c r="N42" s="30">
        <v>0.28199999999999997</v>
      </c>
      <c r="O42" s="116">
        <v>4.3850999999999996</v>
      </c>
      <c r="P42" s="30">
        <v>7.4999999999999997E-2</v>
      </c>
      <c r="Q42" s="116">
        <v>1.16625</v>
      </c>
      <c r="R42" s="30">
        <v>7.0000000000000007E-2</v>
      </c>
      <c r="S42" s="116">
        <v>1.0885000000000002</v>
      </c>
      <c r="T42" s="117">
        <v>0.49</v>
      </c>
      <c r="U42" s="39">
        <v>1000</v>
      </c>
      <c r="V42" s="32"/>
      <c r="W42" s="33">
        <v>0</v>
      </c>
      <c r="X42" s="32"/>
      <c r="Y42" s="32"/>
      <c r="Z42" s="32"/>
      <c r="AA42" s="34"/>
      <c r="AB42" s="35">
        <f t="shared" si="0"/>
        <v>1000</v>
      </c>
      <c r="AC42" s="75">
        <f t="shared" si="1"/>
        <v>140000</v>
      </c>
      <c r="AD42" s="78">
        <f t="shared" si="2"/>
        <v>0</v>
      </c>
      <c r="AE42" s="72">
        <f t="shared" si="3"/>
        <v>140000</v>
      </c>
      <c r="AF42" s="75">
        <f t="shared" si="4"/>
        <v>22679.85</v>
      </c>
      <c r="AG42" s="78">
        <f t="shared" si="5"/>
        <v>0</v>
      </c>
      <c r="AH42" s="72">
        <f t="shared" si="6"/>
        <v>22679.85</v>
      </c>
      <c r="AI42" s="75">
        <f t="shared" si="7"/>
        <v>15550</v>
      </c>
      <c r="AJ42" s="78">
        <f t="shared" si="8"/>
        <v>0</v>
      </c>
      <c r="AK42" s="72">
        <f t="shared" si="9"/>
        <v>15550</v>
      </c>
    </row>
    <row r="43" spans="1:37" ht="15.95" customHeight="1">
      <c r="A43" s="25" t="s">
        <v>966</v>
      </c>
      <c r="B43" s="25" t="s">
        <v>949</v>
      </c>
      <c r="C43" s="26" t="s">
        <v>21</v>
      </c>
      <c r="D43" s="26" t="s">
        <v>373</v>
      </c>
      <c r="E43" s="26" t="s">
        <v>16</v>
      </c>
      <c r="F43" s="26" t="s">
        <v>968</v>
      </c>
      <c r="G43" s="26" t="s">
        <v>273</v>
      </c>
      <c r="H43" s="27" t="s">
        <v>89</v>
      </c>
      <c r="I43" s="26" t="s">
        <v>27</v>
      </c>
      <c r="J43" s="28" t="s">
        <v>43</v>
      </c>
      <c r="K43" s="123">
        <v>125</v>
      </c>
      <c r="L43" s="29">
        <v>19.041</v>
      </c>
      <c r="M43" s="110">
        <v>13</v>
      </c>
      <c r="N43" s="30">
        <v>0.28199999999999997</v>
      </c>
      <c r="O43" s="116">
        <v>3.6659999999999995</v>
      </c>
      <c r="P43" s="30">
        <v>7.4999999999999997E-2</v>
      </c>
      <c r="Q43" s="116">
        <v>0.97499999999999998</v>
      </c>
      <c r="R43" s="30">
        <v>7.0000000000000007E-2</v>
      </c>
      <c r="S43" s="116">
        <v>0.91000000000000014</v>
      </c>
      <c r="T43" s="117">
        <v>0.49</v>
      </c>
      <c r="U43" s="39">
        <v>1000</v>
      </c>
      <c r="V43" s="32"/>
      <c r="W43" s="33">
        <v>0</v>
      </c>
      <c r="X43" s="32"/>
      <c r="Y43" s="32"/>
      <c r="Z43" s="32"/>
      <c r="AA43" s="34"/>
      <c r="AB43" s="35">
        <f t="shared" si="0"/>
        <v>1000</v>
      </c>
      <c r="AC43" s="75">
        <f t="shared" si="1"/>
        <v>125000</v>
      </c>
      <c r="AD43" s="78">
        <f t="shared" si="2"/>
        <v>0</v>
      </c>
      <c r="AE43" s="72">
        <f t="shared" si="3"/>
        <v>125000</v>
      </c>
      <c r="AF43" s="75">
        <f t="shared" si="4"/>
        <v>19041</v>
      </c>
      <c r="AG43" s="78">
        <f t="shared" si="5"/>
        <v>0</v>
      </c>
      <c r="AH43" s="72">
        <f t="shared" si="6"/>
        <v>19041</v>
      </c>
      <c r="AI43" s="75">
        <f t="shared" si="7"/>
        <v>13000</v>
      </c>
      <c r="AJ43" s="78">
        <f t="shared" si="8"/>
        <v>0</v>
      </c>
      <c r="AK43" s="72">
        <f t="shared" si="9"/>
        <v>13000</v>
      </c>
    </row>
    <row r="44" spans="1:37" ht="15.95" customHeight="1">
      <c r="A44" s="25" t="s">
        <v>966</v>
      </c>
      <c r="B44" s="25" t="s">
        <v>949</v>
      </c>
      <c r="C44" s="26" t="s">
        <v>14</v>
      </c>
      <c r="D44" s="26" t="s">
        <v>373</v>
      </c>
      <c r="E44" s="26" t="s">
        <v>16</v>
      </c>
      <c r="F44" s="26" t="s">
        <v>967</v>
      </c>
      <c r="G44" s="26" t="s">
        <v>273</v>
      </c>
      <c r="H44" s="27" t="s">
        <v>89</v>
      </c>
      <c r="I44" s="26" t="s">
        <v>27</v>
      </c>
      <c r="J44" s="28" t="s">
        <v>41</v>
      </c>
      <c r="K44" s="123">
        <v>140</v>
      </c>
      <c r="L44" s="29">
        <v>22.679849999999998</v>
      </c>
      <c r="M44" s="110">
        <v>15.55</v>
      </c>
      <c r="N44" s="30">
        <v>0.28199999999999997</v>
      </c>
      <c r="O44" s="116">
        <v>4.3850999999999996</v>
      </c>
      <c r="P44" s="30">
        <v>7.4999999999999997E-2</v>
      </c>
      <c r="Q44" s="116">
        <v>1.16625</v>
      </c>
      <c r="R44" s="30">
        <v>7.0000000000000007E-2</v>
      </c>
      <c r="S44" s="116">
        <v>1.0885000000000002</v>
      </c>
      <c r="T44" s="117">
        <v>0.49</v>
      </c>
      <c r="U44" s="39">
        <v>900</v>
      </c>
      <c r="V44" s="32"/>
      <c r="W44" s="33">
        <v>0</v>
      </c>
      <c r="X44" s="32"/>
      <c r="Y44" s="32"/>
      <c r="Z44" s="32"/>
      <c r="AA44" s="34"/>
      <c r="AB44" s="35">
        <f t="shared" si="0"/>
        <v>900</v>
      </c>
      <c r="AC44" s="75">
        <f t="shared" si="1"/>
        <v>126000</v>
      </c>
      <c r="AD44" s="78">
        <f t="shared" si="2"/>
        <v>0</v>
      </c>
      <c r="AE44" s="72">
        <f t="shared" si="3"/>
        <v>126000</v>
      </c>
      <c r="AF44" s="75">
        <f t="shared" si="4"/>
        <v>20411.864999999998</v>
      </c>
      <c r="AG44" s="78">
        <f t="shared" si="5"/>
        <v>0</v>
      </c>
      <c r="AH44" s="72">
        <f t="shared" si="6"/>
        <v>20411.864999999998</v>
      </c>
      <c r="AI44" s="75">
        <f t="shared" si="7"/>
        <v>13995</v>
      </c>
      <c r="AJ44" s="78">
        <f t="shared" si="8"/>
        <v>0</v>
      </c>
      <c r="AK44" s="72">
        <f t="shared" si="9"/>
        <v>13995</v>
      </c>
    </row>
    <row r="45" spans="1:37" ht="15.95" customHeight="1">
      <c r="A45" s="25" t="s">
        <v>966</v>
      </c>
      <c r="B45" s="25" t="s">
        <v>949</v>
      </c>
      <c r="C45" s="26" t="s">
        <v>21</v>
      </c>
      <c r="D45" s="26" t="s">
        <v>373</v>
      </c>
      <c r="E45" s="26" t="s">
        <v>16</v>
      </c>
      <c r="F45" s="26" t="s">
        <v>968</v>
      </c>
      <c r="G45" s="26" t="s">
        <v>273</v>
      </c>
      <c r="H45" s="27" t="s">
        <v>89</v>
      </c>
      <c r="I45" s="26" t="s">
        <v>27</v>
      </c>
      <c r="J45" s="28" t="s">
        <v>43</v>
      </c>
      <c r="K45" s="123">
        <v>125</v>
      </c>
      <c r="L45" s="29">
        <v>19.041</v>
      </c>
      <c r="M45" s="110">
        <v>13</v>
      </c>
      <c r="N45" s="30">
        <v>0.28199999999999997</v>
      </c>
      <c r="O45" s="116">
        <v>3.6659999999999995</v>
      </c>
      <c r="P45" s="30">
        <v>7.4999999999999997E-2</v>
      </c>
      <c r="Q45" s="116">
        <v>0.97499999999999998</v>
      </c>
      <c r="R45" s="30">
        <v>7.0000000000000007E-2</v>
      </c>
      <c r="S45" s="116">
        <v>0.91000000000000014</v>
      </c>
      <c r="T45" s="117">
        <v>0.49</v>
      </c>
      <c r="U45" s="39">
        <v>900</v>
      </c>
      <c r="V45" s="32"/>
      <c r="W45" s="33">
        <v>0</v>
      </c>
      <c r="X45" s="32"/>
      <c r="Y45" s="32"/>
      <c r="Z45" s="32"/>
      <c r="AA45" s="34"/>
      <c r="AB45" s="35">
        <f t="shared" si="0"/>
        <v>900</v>
      </c>
      <c r="AC45" s="75">
        <f t="shared" si="1"/>
        <v>112500</v>
      </c>
      <c r="AD45" s="78">
        <f t="shared" si="2"/>
        <v>0</v>
      </c>
      <c r="AE45" s="72">
        <f t="shared" si="3"/>
        <v>112500</v>
      </c>
      <c r="AF45" s="75">
        <f t="shared" si="4"/>
        <v>17136.900000000001</v>
      </c>
      <c r="AG45" s="78">
        <f t="shared" si="5"/>
        <v>0</v>
      </c>
      <c r="AH45" s="72">
        <f t="shared" si="6"/>
        <v>17136.900000000001</v>
      </c>
      <c r="AI45" s="75">
        <f t="shared" si="7"/>
        <v>11700</v>
      </c>
      <c r="AJ45" s="78">
        <f t="shared" si="8"/>
        <v>0</v>
      </c>
      <c r="AK45" s="72">
        <f t="shared" si="9"/>
        <v>11700</v>
      </c>
    </row>
    <row r="46" spans="1:37" ht="15.95" customHeight="1">
      <c r="A46" s="25" t="s">
        <v>966</v>
      </c>
      <c r="B46" s="25" t="s">
        <v>949</v>
      </c>
      <c r="C46" s="26" t="s">
        <v>14</v>
      </c>
      <c r="D46" s="26" t="s">
        <v>373</v>
      </c>
      <c r="E46" s="26" t="s">
        <v>16</v>
      </c>
      <c r="F46" s="26" t="s">
        <v>967</v>
      </c>
      <c r="G46" s="26" t="s">
        <v>273</v>
      </c>
      <c r="H46" s="27" t="s">
        <v>89</v>
      </c>
      <c r="I46" s="26" t="s">
        <v>27</v>
      </c>
      <c r="J46" s="28" t="s">
        <v>41</v>
      </c>
      <c r="K46" s="123">
        <v>140</v>
      </c>
      <c r="L46" s="29">
        <v>22.679849999999998</v>
      </c>
      <c r="M46" s="110">
        <v>15.55</v>
      </c>
      <c r="N46" s="30">
        <v>0.28199999999999997</v>
      </c>
      <c r="O46" s="116">
        <v>4.3850999999999996</v>
      </c>
      <c r="P46" s="30">
        <v>7.4999999999999997E-2</v>
      </c>
      <c r="Q46" s="116">
        <v>1.16625</v>
      </c>
      <c r="R46" s="30">
        <v>7.0000000000000007E-2</v>
      </c>
      <c r="S46" s="116">
        <v>1.0885000000000002</v>
      </c>
      <c r="T46" s="117">
        <v>0.49</v>
      </c>
      <c r="U46" s="39">
        <v>1100</v>
      </c>
      <c r="V46" s="32"/>
      <c r="W46" s="33">
        <v>0</v>
      </c>
      <c r="X46" s="32"/>
      <c r="Y46" s="32"/>
      <c r="Z46" s="32"/>
      <c r="AA46" s="34"/>
      <c r="AB46" s="35">
        <f t="shared" si="0"/>
        <v>1100</v>
      </c>
      <c r="AC46" s="75">
        <f t="shared" si="1"/>
        <v>154000</v>
      </c>
      <c r="AD46" s="78">
        <f t="shared" si="2"/>
        <v>0</v>
      </c>
      <c r="AE46" s="72">
        <f t="shared" si="3"/>
        <v>154000</v>
      </c>
      <c r="AF46" s="75">
        <f t="shared" si="4"/>
        <v>24947.834999999999</v>
      </c>
      <c r="AG46" s="78">
        <f t="shared" si="5"/>
        <v>0</v>
      </c>
      <c r="AH46" s="72">
        <f t="shared" si="6"/>
        <v>24947.834999999999</v>
      </c>
      <c r="AI46" s="75">
        <f t="shared" si="7"/>
        <v>17105</v>
      </c>
      <c r="AJ46" s="78">
        <f t="shared" si="8"/>
        <v>0</v>
      </c>
      <c r="AK46" s="72">
        <f t="shared" si="9"/>
        <v>17105</v>
      </c>
    </row>
    <row r="47" spans="1:37" ht="15.95" customHeight="1">
      <c r="A47" s="25" t="s">
        <v>966</v>
      </c>
      <c r="B47" s="25" t="s">
        <v>949</v>
      </c>
      <c r="C47" s="26" t="s">
        <v>21</v>
      </c>
      <c r="D47" s="26" t="s">
        <v>373</v>
      </c>
      <c r="E47" s="26" t="s">
        <v>16</v>
      </c>
      <c r="F47" s="26" t="s">
        <v>968</v>
      </c>
      <c r="G47" s="26" t="s">
        <v>273</v>
      </c>
      <c r="H47" s="27" t="s">
        <v>89</v>
      </c>
      <c r="I47" s="26" t="s">
        <v>27</v>
      </c>
      <c r="J47" s="28" t="s">
        <v>43</v>
      </c>
      <c r="K47" s="123">
        <v>125</v>
      </c>
      <c r="L47" s="29">
        <v>19.041</v>
      </c>
      <c r="M47" s="110">
        <v>13</v>
      </c>
      <c r="N47" s="30">
        <v>0.28199999999999997</v>
      </c>
      <c r="O47" s="116">
        <v>3.6659999999999995</v>
      </c>
      <c r="P47" s="30">
        <v>7.4999999999999997E-2</v>
      </c>
      <c r="Q47" s="116">
        <v>0.97499999999999998</v>
      </c>
      <c r="R47" s="30">
        <v>7.0000000000000007E-2</v>
      </c>
      <c r="S47" s="116">
        <v>0.91000000000000014</v>
      </c>
      <c r="T47" s="117">
        <v>0.49</v>
      </c>
      <c r="U47" s="39">
        <v>1100</v>
      </c>
      <c r="V47" s="32"/>
      <c r="W47" s="33">
        <v>0</v>
      </c>
      <c r="X47" s="32"/>
      <c r="Y47" s="32"/>
      <c r="Z47" s="32"/>
      <c r="AA47" s="34"/>
      <c r="AB47" s="35">
        <f t="shared" si="0"/>
        <v>1100</v>
      </c>
      <c r="AC47" s="75">
        <f t="shared" si="1"/>
        <v>137500</v>
      </c>
      <c r="AD47" s="78">
        <f t="shared" si="2"/>
        <v>0</v>
      </c>
      <c r="AE47" s="72">
        <f t="shared" si="3"/>
        <v>137500</v>
      </c>
      <c r="AF47" s="75">
        <f t="shared" si="4"/>
        <v>20945.100000000002</v>
      </c>
      <c r="AG47" s="78">
        <f t="shared" si="5"/>
        <v>0</v>
      </c>
      <c r="AH47" s="72">
        <f t="shared" si="6"/>
        <v>20945.100000000002</v>
      </c>
      <c r="AI47" s="75">
        <f t="shared" si="7"/>
        <v>14300</v>
      </c>
      <c r="AJ47" s="78">
        <f t="shared" si="8"/>
        <v>0</v>
      </c>
      <c r="AK47" s="72">
        <f t="shared" si="9"/>
        <v>14300</v>
      </c>
    </row>
    <row r="48" spans="1:37" ht="15.95" customHeight="1">
      <c r="A48" s="25" t="s">
        <v>948</v>
      </c>
      <c r="B48" s="25" t="s">
        <v>949</v>
      </c>
      <c r="C48" s="26" t="s">
        <v>14</v>
      </c>
      <c r="D48" s="26" t="s">
        <v>373</v>
      </c>
      <c r="E48" s="26" t="s">
        <v>16</v>
      </c>
      <c r="F48" s="26" t="s">
        <v>969</v>
      </c>
      <c r="G48" s="26" t="s">
        <v>273</v>
      </c>
      <c r="H48" s="27" t="s">
        <v>89</v>
      </c>
      <c r="I48" s="26" t="s">
        <v>27</v>
      </c>
      <c r="J48" s="28" t="s">
        <v>41</v>
      </c>
      <c r="K48" s="124">
        <v>165</v>
      </c>
      <c r="L48" s="29">
        <v>25.6052</v>
      </c>
      <c r="M48" s="110">
        <v>17.600000000000001</v>
      </c>
      <c r="N48" s="30">
        <v>0.28199999999999997</v>
      </c>
      <c r="O48" s="116">
        <v>4.9631999999999996</v>
      </c>
      <c r="P48" s="30">
        <v>7.4999999999999997E-2</v>
      </c>
      <c r="Q48" s="116">
        <v>1.32</v>
      </c>
      <c r="R48" s="30">
        <v>7.0000000000000007E-2</v>
      </c>
      <c r="S48" s="116">
        <v>1.2320000000000002</v>
      </c>
      <c r="T48" s="117">
        <v>0.49</v>
      </c>
      <c r="U48" s="39">
        <v>600</v>
      </c>
      <c r="V48" s="32">
        <v>124</v>
      </c>
      <c r="W48" s="33">
        <v>0</v>
      </c>
      <c r="X48" s="32"/>
      <c r="Y48" s="32"/>
      <c r="Z48" s="32"/>
      <c r="AA48" s="34"/>
      <c r="AB48" s="35">
        <f t="shared" si="0"/>
        <v>724</v>
      </c>
      <c r="AC48" s="75">
        <f t="shared" si="1"/>
        <v>99000</v>
      </c>
      <c r="AD48" s="78">
        <f t="shared" si="2"/>
        <v>20460</v>
      </c>
      <c r="AE48" s="72">
        <f t="shared" si="3"/>
        <v>119460</v>
      </c>
      <c r="AF48" s="75">
        <f t="shared" si="4"/>
        <v>15363.12</v>
      </c>
      <c r="AG48" s="78">
        <f t="shared" si="5"/>
        <v>3175.0448000000001</v>
      </c>
      <c r="AH48" s="72">
        <f t="shared" si="6"/>
        <v>18538.164800000002</v>
      </c>
      <c r="AI48" s="75">
        <f t="shared" si="7"/>
        <v>10560</v>
      </c>
      <c r="AJ48" s="78">
        <f t="shared" si="8"/>
        <v>2182.4</v>
      </c>
      <c r="AK48" s="72">
        <f t="shared" si="9"/>
        <v>12742.4</v>
      </c>
    </row>
    <row r="49" spans="1:37" ht="15.95" customHeight="1">
      <c r="A49" s="25" t="s">
        <v>948</v>
      </c>
      <c r="B49" s="25" t="s">
        <v>949</v>
      </c>
      <c r="C49" s="26" t="s">
        <v>21</v>
      </c>
      <c r="D49" s="26" t="s">
        <v>373</v>
      </c>
      <c r="E49" s="26" t="s">
        <v>16</v>
      </c>
      <c r="F49" s="26" t="s">
        <v>970</v>
      </c>
      <c r="G49" s="26" t="s">
        <v>273</v>
      </c>
      <c r="H49" s="27" t="s">
        <v>89</v>
      </c>
      <c r="I49" s="26" t="s">
        <v>27</v>
      </c>
      <c r="J49" s="28" t="s">
        <v>43</v>
      </c>
      <c r="K49" s="123">
        <v>125</v>
      </c>
      <c r="L49" s="29">
        <v>21.895</v>
      </c>
      <c r="M49" s="110">
        <v>15</v>
      </c>
      <c r="N49" s="30">
        <v>0.28199999999999997</v>
      </c>
      <c r="O49" s="116">
        <v>4.2299999999999995</v>
      </c>
      <c r="P49" s="30">
        <v>7.4999999999999997E-2</v>
      </c>
      <c r="Q49" s="116">
        <v>1.125</v>
      </c>
      <c r="R49" s="30">
        <v>7.0000000000000007E-2</v>
      </c>
      <c r="S49" s="116">
        <v>1.05</v>
      </c>
      <c r="T49" s="117">
        <v>0.49</v>
      </c>
      <c r="U49" s="39">
        <v>500</v>
      </c>
      <c r="V49" s="32">
        <v>118</v>
      </c>
      <c r="W49" s="33">
        <v>0</v>
      </c>
      <c r="X49" s="32"/>
      <c r="Y49" s="32"/>
      <c r="Z49" s="32"/>
      <c r="AA49" s="34"/>
      <c r="AB49" s="35">
        <f t="shared" si="0"/>
        <v>618</v>
      </c>
      <c r="AC49" s="75">
        <f t="shared" si="1"/>
        <v>62500</v>
      </c>
      <c r="AD49" s="78">
        <f t="shared" si="2"/>
        <v>14750</v>
      </c>
      <c r="AE49" s="72">
        <f t="shared" si="3"/>
        <v>77250</v>
      </c>
      <c r="AF49" s="75">
        <f t="shared" si="4"/>
        <v>10947.5</v>
      </c>
      <c r="AG49" s="78">
        <f t="shared" si="5"/>
        <v>2583.61</v>
      </c>
      <c r="AH49" s="72">
        <f t="shared" si="6"/>
        <v>13531.11</v>
      </c>
      <c r="AI49" s="75">
        <f t="shared" si="7"/>
        <v>7500</v>
      </c>
      <c r="AJ49" s="78">
        <f t="shared" si="8"/>
        <v>1770</v>
      </c>
      <c r="AK49" s="72">
        <f t="shared" si="9"/>
        <v>9270</v>
      </c>
    </row>
    <row r="50" spans="1:37" ht="15.95" customHeight="1">
      <c r="A50" s="25" t="s">
        <v>961</v>
      </c>
      <c r="B50" s="25" t="s">
        <v>949</v>
      </c>
      <c r="C50" s="26" t="s">
        <v>14</v>
      </c>
      <c r="D50" s="26" t="s">
        <v>373</v>
      </c>
      <c r="E50" s="26" t="s">
        <v>16</v>
      </c>
      <c r="F50" s="26" t="s">
        <v>969</v>
      </c>
      <c r="G50" s="26" t="s">
        <v>273</v>
      </c>
      <c r="H50" s="27" t="s">
        <v>89</v>
      </c>
      <c r="I50" s="26" t="s">
        <v>27</v>
      </c>
      <c r="J50" s="28" t="s">
        <v>41</v>
      </c>
      <c r="K50" s="123">
        <v>165</v>
      </c>
      <c r="L50" s="29">
        <v>25.6052</v>
      </c>
      <c r="M50" s="110">
        <v>17.600000000000001</v>
      </c>
      <c r="N50" s="30">
        <v>0.28199999999999997</v>
      </c>
      <c r="O50" s="116">
        <v>4.9631999999999996</v>
      </c>
      <c r="P50" s="30">
        <v>7.4999999999999997E-2</v>
      </c>
      <c r="Q50" s="116">
        <v>1.32</v>
      </c>
      <c r="R50" s="30">
        <v>7.0000000000000007E-2</v>
      </c>
      <c r="S50" s="116">
        <v>1.2320000000000002</v>
      </c>
      <c r="T50" s="117">
        <v>0.49</v>
      </c>
      <c r="U50" s="39">
        <v>300</v>
      </c>
      <c r="V50" s="32"/>
      <c r="W50" s="33">
        <v>0</v>
      </c>
      <c r="X50" s="32"/>
      <c r="Y50" s="32"/>
      <c r="Z50" s="32"/>
      <c r="AA50" s="34"/>
      <c r="AB50" s="35">
        <f t="shared" si="0"/>
        <v>300</v>
      </c>
      <c r="AC50" s="75">
        <f t="shared" si="1"/>
        <v>49500</v>
      </c>
      <c r="AD50" s="78">
        <f t="shared" si="2"/>
        <v>0</v>
      </c>
      <c r="AE50" s="72">
        <f t="shared" si="3"/>
        <v>49500</v>
      </c>
      <c r="AF50" s="75">
        <f t="shared" si="4"/>
        <v>7681.56</v>
      </c>
      <c r="AG50" s="78">
        <f t="shared" si="5"/>
        <v>0</v>
      </c>
      <c r="AH50" s="72">
        <f t="shared" si="6"/>
        <v>7681.56</v>
      </c>
      <c r="AI50" s="75">
        <f t="shared" si="7"/>
        <v>5280</v>
      </c>
      <c r="AJ50" s="78">
        <f t="shared" si="8"/>
        <v>0</v>
      </c>
      <c r="AK50" s="72">
        <f t="shared" si="9"/>
        <v>5280</v>
      </c>
    </row>
    <row r="51" spans="1:37" ht="15.95" customHeight="1">
      <c r="A51" s="25" t="s">
        <v>961</v>
      </c>
      <c r="B51" s="25" t="s">
        <v>949</v>
      </c>
      <c r="C51" s="26" t="s">
        <v>21</v>
      </c>
      <c r="D51" s="26" t="s">
        <v>373</v>
      </c>
      <c r="E51" s="26" t="s">
        <v>16</v>
      </c>
      <c r="F51" s="26" t="s">
        <v>970</v>
      </c>
      <c r="G51" s="26" t="s">
        <v>273</v>
      </c>
      <c r="H51" s="27" t="s">
        <v>89</v>
      </c>
      <c r="I51" s="26" t="s">
        <v>27</v>
      </c>
      <c r="J51" s="28" t="s">
        <v>43</v>
      </c>
      <c r="K51" s="123">
        <v>125</v>
      </c>
      <c r="L51" s="29">
        <v>21.895</v>
      </c>
      <c r="M51" s="110">
        <v>15</v>
      </c>
      <c r="N51" s="30">
        <v>0.28199999999999997</v>
      </c>
      <c r="O51" s="116">
        <v>4.2299999999999995</v>
      </c>
      <c r="P51" s="30">
        <v>7.4999999999999997E-2</v>
      </c>
      <c r="Q51" s="116">
        <v>1.125</v>
      </c>
      <c r="R51" s="30">
        <v>7.0000000000000007E-2</v>
      </c>
      <c r="S51" s="116">
        <v>1.05</v>
      </c>
      <c r="T51" s="117">
        <v>0.49</v>
      </c>
      <c r="U51" s="39">
        <v>300</v>
      </c>
      <c r="V51" s="32"/>
      <c r="W51" s="33">
        <v>0</v>
      </c>
      <c r="X51" s="32"/>
      <c r="Y51" s="32"/>
      <c r="Z51" s="32"/>
      <c r="AA51" s="34"/>
      <c r="AB51" s="35">
        <f t="shared" si="0"/>
        <v>300</v>
      </c>
      <c r="AC51" s="75">
        <f t="shared" si="1"/>
        <v>37500</v>
      </c>
      <c r="AD51" s="78">
        <f t="shared" si="2"/>
        <v>0</v>
      </c>
      <c r="AE51" s="72">
        <f t="shared" si="3"/>
        <v>37500</v>
      </c>
      <c r="AF51" s="75">
        <f t="shared" si="4"/>
        <v>6568.5</v>
      </c>
      <c r="AG51" s="78">
        <f t="shared" si="5"/>
        <v>0</v>
      </c>
      <c r="AH51" s="72">
        <f t="shared" si="6"/>
        <v>6568.5</v>
      </c>
      <c r="AI51" s="75">
        <f t="shared" si="7"/>
        <v>4500</v>
      </c>
      <c r="AJ51" s="78">
        <f t="shared" si="8"/>
        <v>0</v>
      </c>
      <c r="AK51" s="72">
        <f t="shared" si="9"/>
        <v>4500</v>
      </c>
    </row>
    <row r="52" spans="1:37" ht="15.95" customHeight="1">
      <c r="A52" s="25" t="s">
        <v>948</v>
      </c>
      <c r="B52" s="25" t="s">
        <v>949</v>
      </c>
      <c r="C52" s="26" t="s">
        <v>14</v>
      </c>
      <c r="D52" s="26" t="s">
        <v>373</v>
      </c>
      <c r="E52" s="26" t="s">
        <v>16</v>
      </c>
      <c r="F52" s="26" t="s">
        <v>969</v>
      </c>
      <c r="G52" s="26" t="s">
        <v>273</v>
      </c>
      <c r="H52" s="27" t="s">
        <v>89</v>
      </c>
      <c r="I52" s="26" t="s">
        <v>27</v>
      </c>
      <c r="J52" s="28" t="s">
        <v>41</v>
      </c>
      <c r="K52" s="123">
        <v>165</v>
      </c>
      <c r="L52" s="29">
        <v>25.6052</v>
      </c>
      <c r="M52" s="110">
        <v>17.600000000000001</v>
      </c>
      <c r="N52" s="30">
        <v>0.28199999999999997</v>
      </c>
      <c r="O52" s="116">
        <v>4.9631999999999996</v>
      </c>
      <c r="P52" s="30">
        <v>7.4999999999999997E-2</v>
      </c>
      <c r="Q52" s="116">
        <v>1.32</v>
      </c>
      <c r="R52" s="30">
        <v>7.0000000000000007E-2</v>
      </c>
      <c r="S52" s="116">
        <v>1.2320000000000002</v>
      </c>
      <c r="T52" s="117">
        <v>0.49</v>
      </c>
      <c r="U52" s="39">
        <v>500</v>
      </c>
      <c r="V52" s="32">
        <v>11</v>
      </c>
      <c r="W52" s="33">
        <v>0</v>
      </c>
      <c r="X52" s="32"/>
      <c r="Y52" s="32"/>
      <c r="Z52" s="32"/>
      <c r="AA52" s="34"/>
      <c r="AB52" s="35">
        <f t="shared" si="0"/>
        <v>511</v>
      </c>
      <c r="AC52" s="75">
        <f t="shared" si="1"/>
        <v>82500</v>
      </c>
      <c r="AD52" s="78">
        <f t="shared" si="2"/>
        <v>1815</v>
      </c>
      <c r="AE52" s="72">
        <f t="shared" si="3"/>
        <v>84315</v>
      </c>
      <c r="AF52" s="75">
        <f t="shared" si="4"/>
        <v>12802.6</v>
      </c>
      <c r="AG52" s="78">
        <f t="shared" si="5"/>
        <v>281.65719999999999</v>
      </c>
      <c r="AH52" s="72">
        <f t="shared" si="6"/>
        <v>13084.2572</v>
      </c>
      <c r="AI52" s="75">
        <f t="shared" si="7"/>
        <v>8800</v>
      </c>
      <c r="AJ52" s="78">
        <f t="shared" si="8"/>
        <v>193.60000000000002</v>
      </c>
      <c r="AK52" s="72">
        <f t="shared" si="9"/>
        <v>8993.6</v>
      </c>
    </row>
    <row r="53" spans="1:37" ht="15.95" customHeight="1">
      <c r="A53" s="25" t="s">
        <v>948</v>
      </c>
      <c r="B53" s="25" t="s">
        <v>949</v>
      </c>
      <c r="C53" s="26" t="s">
        <v>21</v>
      </c>
      <c r="D53" s="26" t="s">
        <v>373</v>
      </c>
      <c r="E53" s="26" t="s">
        <v>16</v>
      </c>
      <c r="F53" s="26" t="s">
        <v>970</v>
      </c>
      <c r="G53" s="26" t="s">
        <v>273</v>
      </c>
      <c r="H53" s="27" t="s">
        <v>414</v>
      </c>
      <c r="I53" s="26" t="s">
        <v>27</v>
      </c>
      <c r="J53" s="37" t="s">
        <v>43</v>
      </c>
      <c r="K53" s="123">
        <v>125</v>
      </c>
      <c r="L53" s="29">
        <v>21.895</v>
      </c>
      <c r="M53" s="110">
        <v>15</v>
      </c>
      <c r="N53" s="30">
        <v>0.28199999999999997</v>
      </c>
      <c r="O53" s="116">
        <v>4.2299999999999995</v>
      </c>
      <c r="P53" s="30">
        <v>7.4999999999999997E-2</v>
      </c>
      <c r="Q53" s="116">
        <v>1.125</v>
      </c>
      <c r="R53" s="30">
        <v>7.0000000000000007E-2</v>
      </c>
      <c r="S53" s="116">
        <v>1.05</v>
      </c>
      <c r="T53" s="117">
        <v>0.49</v>
      </c>
      <c r="U53" s="39">
        <v>400</v>
      </c>
      <c r="V53" s="32">
        <v>11</v>
      </c>
      <c r="W53" s="33">
        <v>100</v>
      </c>
      <c r="X53" s="32"/>
      <c r="Y53" s="32"/>
      <c r="Z53" s="32"/>
      <c r="AA53" s="34"/>
      <c r="AB53" s="35">
        <f t="shared" si="0"/>
        <v>511</v>
      </c>
      <c r="AC53" s="75">
        <f t="shared" si="1"/>
        <v>50000</v>
      </c>
      <c r="AD53" s="78">
        <f t="shared" si="2"/>
        <v>13875</v>
      </c>
      <c r="AE53" s="72">
        <f t="shared" si="3"/>
        <v>63875</v>
      </c>
      <c r="AF53" s="75">
        <f t="shared" si="4"/>
        <v>8758</v>
      </c>
      <c r="AG53" s="78">
        <f t="shared" si="5"/>
        <v>2430.3449999999998</v>
      </c>
      <c r="AH53" s="72">
        <f t="shared" si="6"/>
        <v>11188.344999999999</v>
      </c>
      <c r="AI53" s="75">
        <f t="shared" si="7"/>
        <v>6000</v>
      </c>
      <c r="AJ53" s="78">
        <f t="shared" si="8"/>
        <v>1665</v>
      </c>
      <c r="AK53" s="72">
        <f t="shared" si="9"/>
        <v>7665</v>
      </c>
    </row>
    <row r="54" spans="1:37" ht="15.95" customHeight="1">
      <c r="A54" s="25" t="s">
        <v>961</v>
      </c>
      <c r="B54" s="25" t="s">
        <v>949</v>
      </c>
      <c r="C54" s="26" t="s">
        <v>14</v>
      </c>
      <c r="D54" s="26" t="s">
        <v>373</v>
      </c>
      <c r="E54" s="26" t="s">
        <v>16</v>
      </c>
      <c r="F54" s="26" t="s">
        <v>969</v>
      </c>
      <c r="G54" s="26" t="s">
        <v>273</v>
      </c>
      <c r="H54" s="27" t="s">
        <v>414</v>
      </c>
      <c r="I54" s="26" t="s">
        <v>27</v>
      </c>
      <c r="J54" s="28" t="s">
        <v>41</v>
      </c>
      <c r="K54" s="123">
        <v>165</v>
      </c>
      <c r="L54" s="29">
        <v>25.6052</v>
      </c>
      <c r="M54" s="110">
        <v>17.600000000000001</v>
      </c>
      <c r="N54" s="30">
        <v>0.28199999999999997</v>
      </c>
      <c r="O54" s="116">
        <v>4.9631999999999996</v>
      </c>
      <c r="P54" s="30">
        <v>7.4999999999999997E-2</v>
      </c>
      <c r="Q54" s="116">
        <v>1.32</v>
      </c>
      <c r="R54" s="30">
        <v>7.0000000000000007E-2</v>
      </c>
      <c r="S54" s="116">
        <v>1.2320000000000002</v>
      </c>
      <c r="T54" s="117">
        <v>0.49</v>
      </c>
      <c r="U54" s="39">
        <v>300</v>
      </c>
      <c r="V54" s="32"/>
      <c r="W54" s="33">
        <v>0</v>
      </c>
      <c r="X54" s="32"/>
      <c r="Y54" s="32"/>
      <c r="Z54" s="32"/>
      <c r="AA54" s="34"/>
      <c r="AB54" s="35">
        <f t="shared" si="0"/>
        <v>300</v>
      </c>
      <c r="AC54" s="75">
        <f t="shared" si="1"/>
        <v>49500</v>
      </c>
      <c r="AD54" s="78">
        <f t="shared" si="2"/>
        <v>0</v>
      </c>
      <c r="AE54" s="72">
        <f t="shared" si="3"/>
        <v>49500</v>
      </c>
      <c r="AF54" s="75">
        <f t="shared" si="4"/>
        <v>7681.56</v>
      </c>
      <c r="AG54" s="78">
        <f t="shared" si="5"/>
        <v>0</v>
      </c>
      <c r="AH54" s="72">
        <f t="shared" si="6"/>
        <v>7681.56</v>
      </c>
      <c r="AI54" s="75">
        <f t="shared" si="7"/>
        <v>5280</v>
      </c>
      <c r="AJ54" s="78">
        <f t="shared" si="8"/>
        <v>0</v>
      </c>
      <c r="AK54" s="72">
        <f t="shared" si="9"/>
        <v>5280</v>
      </c>
    </row>
    <row r="55" spans="1:37" ht="15.95" customHeight="1">
      <c r="A55" s="25" t="s">
        <v>961</v>
      </c>
      <c r="B55" s="25" t="s">
        <v>949</v>
      </c>
      <c r="C55" s="26" t="s">
        <v>21</v>
      </c>
      <c r="D55" s="26" t="s">
        <v>373</v>
      </c>
      <c r="E55" s="26" t="s">
        <v>16</v>
      </c>
      <c r="F55" s="26" t="s">
        <v>970</v>
      </c>
      <c r="G55" s="26" t="s">
        <v>273</v>
      </c>
      <c r="H55" s="27" t="s">
        <v>414</v>
      </c>
      <c r="I55" s="26" t="s">
        <v>27</v>
      </c>
      <c r="J55" s="37" t="s">
        <v>43</v>
      </c>
      <c r="K55" s="123">
        <v>125</v>
      </c>
      <c r="L55" s="29">
        <v>21.895</v>
      </c>
      <c r="M55" s="110">
        <v>15</v>
      </c>
      <c r="N55" s="30">
        <v>0.28199999999999997</v>
      </c>
      <c r="O55" s="116">
        <v>4.2299999999999995</v>
      </c>
      <c r="P55" s="30">
        <v>7.4999999999999997E-2</v>
      </c>
      <c r="Q55" s="116">
        <v>1.125</v>
      </c>
      <c r="R55" s="30">
        <v>7.0000000000000007E-2</v>
      </c>
      <c r="S55" s="116">
        <v>1.05</v>
      </c>
      <c r="T55" s="117">
        <v>0.49</v>
      </c>
      <c r="U55" s="39">
        <v>300</v>
      </c>
      <c r="V55" s="32"/>
      <c r="W55" s="33">
        <v>0</v>
      </c>
      <c r="X55" s="32"/>
      <c r="Y55" s="32"/>
      <c r="Z55" s="32"/>
      <c r="AA55" s="34"/>
      <c r="AB55" s="35">
        <f t="shared" si="0"/>
        <v>300</v>
      </c>
      <c r="AC55" s="75">
        <f t="shared" si="1"/>
        <v>37500</v>
      </c>
      <c r="AD55" s="78">
        <f t="shared" si="2"/>
        <v>0</v>
      </c>
      <c r="AE55" s="72">
        <f t="shared" si="3"/>
        <v>37500</v>
      </c>
      <c r="AF55" s="75">
        <f t="shared" si="4"/>
        <v>6568.5</v>
      </c>
      <c r="AG55" s="78">
        <f t="shared" si="5"/>
        <v>0</v>
      </c>
      <c r="AH55" s="72">
        <f t="shared" si="6"/>
        <v>6568.5</v>
      </c>
      <c r="AI55" s="75">
        <f t="shared" si="7"/>
        <v>4500</v>
      </c>
      <c r="AJ55" s="78">
        <f t="shared" si="8"/>
        <v>0</v>
      </c>
      <c r="AK55" s="72">
        <f t="shared" si="9"/>
        <v>4500</v>
      </c>
    </row>
    <row r="56" spans="1:37" ht="15.95" customHeight="1">
      <c r="A56" s="25" t="s">
        <v>948</v>
      </c>
      <c r="B56" s="25" t="s">
        <v>949</v>
      </c>
      <c r="C56" s="26" t="s">
        <v>14</v>
      </c>
      <c r="D56" s="26" t="s">
        <v>373</v>
      </c>
      <c r="E56" s="26" t="s">
        <v>16</v>
      </c>
      <c r="F56" s="26" t="s">
        <v>969</v>
      </c>
      <c r="G56" s="26" t="s">
        <v>273</v>
      </c>
      <c r="H56" s="27" t="s">
        <v>414</v>
      </c>
      <c r="I56" s="26" t="s">
        <v>27</v>
      </c>
      <c r="J56" s="28" t="s">
        <v>41</v>
      </c>
      <c r="K56" s="123">
        <v>165</v>
      </c>
      <c r="L56" s="29">
        <v>25.6052</v>
      </c>
      <c r="M56" s="110">
        <v>17.600000000000001</v>
      </c>
      <c r="N56" s="30">
        <v>0.28199999999999997</v>
      </c>
      <c r="O56" s="116">
        <v>4.9631999999999996</v>
      </c>
      <c r="P56" s="30">
        <v>7.4999999999999997E-2</v>
      </c>
      <c r="Q56" s="116">
        <v>1.32</v>
      </c>
      <c r="R56" s="30">
        <v>7.0000000000000007E-2</v>
      </c>
      <c r="S56" s="116">
        <v>1.2320000000000002</v>
      </c>
      <c r="T56" s="117">
        <v>0.49</v>
      </c>
      <c r="U56" s="39">
        <v>600</v>
      </c>
      <c r="V56" s="32">
        <v>6</v>
      </c>
      <c r="W56" s="33">
        <v>0</v>
      </c>
      <c r="X56" s="32"/>
      <c r="Y56" s="32"/>
      <c r="Z56" s="32"/>
      <c r="AA56" s="34"/>
      <c r="AB56" s="35">
        <f t="shared" si="0"/>
        <v>606</v>
      </c>
      <c r="AC56" s="75">
        <f t="shared" si="1"/>
        <v>99000</v>
      </c>
      <c r="AD56" s="78">
        <f t="shared" si="2"/>
        <v>990</v>
      </c>
      <c r="AE56" s="72">
        <f t="shared" si="3"/>
        <v>99990</v>
      </c>
      <c r="AF56" s="75">
        <f t="shared" si="4"/>
        <v>15363.12</v>
      </c>
      <c r="AG56" s="78">
        <f t="shared" si="5"/>
        <v>153.63120000000001</v>
      </c>
      <c r="AH56" s="72">
        <f t="shared" si="6"/>
        <v>15516.751200000001</v>
      </c>
      <c r="AI56" s="75">
        <f t="shared" si="7"/>
        <v>10560</v>
      </c>
      <c r="AJ56" s="78">
        <f t="shared" si="8"/>
        <v>105.60000000000001</v>
      </c>
      <c r="AK56" s="72">
        <f t="shared" si="9"/>
        <v>10665.6</v>
      </c>
    </row>
    <row r="57" spans="1:37" ht="15.95" customHeight="1">
      <c r="A57" s="25" t="s">
        <v>948</v>
      </c>
      <c r="B57" s="25" t="s">
        <v>949</v>
      </c>
      <c r="C57" s="26" t="s">
        <v>21</v>
      </c>
      <c r="D57" s="26" t="s">
        <v>373</v>
      </c>
      <c r="E57" s="26" t="s">
        <v>16</v>
      </c>
      <c r="F57" s="26" t="s">
        <v>970</v>
      </c>
      <c r="G57" s="26" t="s">
        <v>273</v>
      </c>
      <c r="H57" s="27" t="s">
        <v>89</v>
      </c>
      <c r="I57" s="26" t="s">
        <v>27</v>
      </c>
      <c r="J57" s="28" t="s">
        <v>43</v>
      </c>
      <c r="K57" s="123">
        <v>125</v>
      </c>
      <c r="L57" s="29">
        <v>21.895</v>
      </c>
      <c r="M57" s="110">
        <v>15</v>
      </c>
      <c r="N57" s="30">
        <v>0.28199999999999997</v>
      </c>
      <c r="O57" s="116">
        <v>4.2299999999999995</v>
      </c>
      <c r="P57" s="30">
        <v>7.4999999999999997E-2</v>
      </c>
      <c r="Q57" s="116">
        <v>1.125</v>
      </c>
      <c r="R57" s="30">
        <v>7.0000000000000007E-2</v>
      </c>
      <c r="S57" s="116">
        <v>1.05</v>
      </c>
      <c r="T57" s="117">
        <v>0.49</v>
      </c>
      <c r="U57" s="39">
        <v>500</v>
      </c>
      <c r="V57" s="32">
        <v>6</v>
      </c>
      <c r="W57" s="33">
        <v>0</v>
      </c>
      <c r="X57" s="32"/>
      <c r="Y57" s="32"/>
      <c r="Z57" s="32"/>
      <c r="AA57" s="34"/>
      <c r="AB57" s="35">
        <f t="shared" si="0"/>
        <v>506</v>
      </c>
      <c r="AC57" s="75">
        <f t="shared" si="1"/>
        <v>62500</v>
      </c>
      <c r="AD57" s="78">
        <f t="shared" si="2"/>
        <v>750</v>
      </c>
      <c r="AE57" s="72">
        <f t="shared" si="3"/>
        <v>63250</v>
      </c>
      <c r="AF57" s="75">
        <f t="shared" si="4"/>
        <v>10947.5</v>
      </c>
      <c r="AG57" s="78">
        <f t="shared" si="5"/>
        <v>131.37</v>
      </c>
      <c r="AH57" s="72">
        <f t="shared" si="6"/>
        <v>11078.87</v>
      </c>
      <c r="AI57" s="75">
        <f t="shared" si="7"/>
        <v>7500</v>
      </c>
      <c r="AJ57" s="78">
        <f t="shared" si="8"/>
        <v>90</v>
      </c>
      <c r="AK57" s="72">
        <f t="shared" si="9"/>
        <v>7590</v>
      </c>
    </row>
    <row r="58" spans="1:37" ht="15.95" customHeight="1">
      <c r="A58" s="25" t="s">
        <v>961</v>
      </c>
      <c r="B58" s="25" t="s">
        <v>949</v>
      </c>
      <c r="C58" s="26" t="s">
        <v>14</v>
      </c>
      <c r="D58" s="26" t="s">
        <v>373</v>
      </c>
      <c r="E58" s="26" t="s">
        <v>16</v>
      </c>
      <c r="F58" s="26" t="s">
        <v>969</v>
      </c>
      <c r="G58" s="26" t="s">
        <v>273</v>
      </c>
      <c r="H58" s="27" t="s">
        <v>89</v>
      </c>
      <c r="I58" s="26" t="s">
        <v>27</v>
      </c>
      <c r="J58" s="28" t="s">
        <v>41</v>
      </c>
      <c r="K58" s="123">
        <v>165</v>
      </c>
      <c r="L58" s="29">
        <v>25.6052</v>
      </c>
      <c r="M58" s="110">
        <v>17.600000000000001</v>
      </c>
      <c r="N58" s="30">
        <v>0.28199999999999997</v>
      </c>
      <c r="O58" s="116">
        <v>4.9631999999999996</v>
      </c>
      <c r="P58" s="30">
        <v>7.4999999999999997E-2</v>
      </c>
      <c r="Q58" s="116">
        <v>1.32</v>
      </c>
      <c r="R58" s="30">
        <v>7.0000000000000007E-2</v>
      </c>
      <c r="S58" s="116">
        <v>1.2320000000000002</v>
      </c>
      <c r="T58" s="117">
        <v>0.49</v>
      </c>
      <c r="U58" s="39">
        <v>300</v>
      </c>
      <c r="V58" s="32"/>
      <c r="W58" s="33">
        <v>0</v>
      </c>
      <c r="X58" s="32"/>
      <c r="Y58" s="32"/>
      <c r="Z58" s="32"/>
      <c r="AA58" s="34"/>
      <c r="AB58" s="35">
        <f t="shared" si="0"/>
        <v>300</v>
      </c>
      <c r="AC58" s="75">
        <f t="shared" si="1"/>
        <v>49500</v>
      </c>
      <c r="AD58" s="78">
        <f t="shared" si="2"/>
        <v>0</v>
      </c>
      <c r="AE58" s="72">
        <f t="shared" si="3"/>
        <v>49500</v>
      </c>
      <c r="AF58" s="75">
        <f t="shared" si="4"/>
        <v>7681.56</v>
      </c>
      <c r="AG58" s="78">
        <f t="shared" si="5"/>
        <v>0</v>
      </c>
      <c r="AH58" s="72">
        <f t="shared" si="6"/>
        <v>7681.56</v>
      </c>
      <c r="AI58" s="75">
        <f t="shared" si="7"/>
        <v>5280</v>
      </c>
      <c r="AJ58" s="78">
        <f t="shared" si="8"/>
        <v>0</v>
      </c>
      <c r="AK58" s="72">
        <f t="shared" si="9"/>
        <v>5280</v>
      </c>
    </row>
    <row r="59" spans="1:37" ht="15.95" customHeight="1">
      <c r="A59" s="25" t="s">
        <v>961</v>
      </c>
      <c r="B59" s="25" t="s">
        <v>949</v>
      </c>
      <c r="C59" s="40" t="s">
        <v>21</v>
      </c>
      <c r="D59" s="26" t="s">
        <v>373</v>
      </c>
      <c r="E59" s="26" t="s">
        <v>16</v>
      </c>
      <c r="F59" s="26" t="s">
        <v>970</v>
      </c>
      <c r="G59" s="41" t="s">
        <v>273</v>
      </c>
      <c r="H59" s="27" t="s">
        <v>89</v>
      </c>
      <c r="I59" s="26" t="s">
        <v>27</v>
      </c>
      <c r="J59" s="28" t="s">
        <v>43</v>
      </c>
      <c r="K59" s="123">
        <v>125</v>
      </c>
      <c r="L59" s="29">
        <v>21.895</v>
      </c>
      <c r="M59" s="110">
        <v>15</v>
      </c>
      <c r="N59" s="30">
        <v>0.28199999999999997</v>
      </c>
      <c r="O59" s="116">
        <v>4.2299999999999995</v>
      </c>
      <c r="P59" s="30">
        <v>7.4999999999999997E-2</v>
      </c>
      <c r="Q59" s="116">
        <v>1.125</v>
      </c>
      <c r="R59" s="30">
        <v>7.0000000000000007E-2</v>
      </c>
      <c r="S59" s="116">
        <v>1.05</v>
      </c>
      <c r="T59" s="117">
        <v>0.49</v>
      </c>
      <c r="U59" s="39">
        <v>200</v>
      </c>
      <c r="V59" s="32"/>
      <c r="W59" s="33">
        <v>0</v>
      </c>
      <c r="X59" s="32"/>
      <c r="Y59" s="32"/>
      <c r="Z59" s="32"/>
      <c r="AA59" s="34"/>
      <c r="AB59" s="35">
        <f t="shared" si="0"/>
        <v>200</v>
      </c>
      <c r="AC59" s="75">
        <f t="shared" si="1"/>
        <v>25000</v>
      </c>
      <c r="AD59" s="78">
        <f t="shared" si="2"/>
        <v>0</v>
      </c>
      <c r="AE59" s="72">
        <f t="shared" si="3"/>
        <v>25000</v>
      </c>
      <c r="AF59" s="75">
        <f t="shared" si="4"/>
        <v>4379</v>
      </c>
      <c r="AG59" s="78">
        <f t="shared" si="5"/>
        <v>0</v>
      </c>
      <c r="AH59" s="72">
        <f t="shared" si="6"/>
        <v>4379</v>
      </c>
      <c r="AI59" s="75">
        <f t="shared" si="7"/>
        <v>3000</v>
      </c>
      <c r="AJ59" s="78">
        <f t="shared" si="8"/>
        <v>0</v>
      </c>
      <c r="AK59" s="72">
        <f t="shared" si="9"/>
        <v>3000</v>
      </c>
    </row>
    <row r="60" spans="1:37" ht="15.95" customHeight="1">
      <c r="A60" s="25" t="s">
        <v>966</v>
      </c>
      <c r="B60" s="25" t="s">
        <v>949</v>
      </c>
      <c r="C60" s="26" t="s">
        <v>14</v>
      </c>
      <c r="D60" s="26" t="s">
        <v>373</v>
      </c>
      <c r="E60" s="26" t="s">
        <v>16</v>
      </c>
      <c r="F60" s="26" t="s">
        <v>969</v>
      </c>
      <c r="G60" s="41" t="s">
        <v>273</v>
      </c>
      <c r="H60" s="27" t="s">
        <v>89</v>
      </c>
      <c r="I60" s="26" t="s">
        <v>27</v>
      </c>
      <c r="J60" s="37" t="s">
        <v>41</v>
      </c>
      <c r="K60" s="123">
        <v>165</v>
      </c>
      <c r="L60" s="29">
        <v>25.6052</v>
      </c>
      <c r="M60" s="110">
        <v>17.600000000000001</v>
      </c>
      <c r="N60" s="30">
        <v>0.28199999999999997</v>
      </c>
      <c r="O60" s="116">
        <v>4.9631999999999996</v>
      </c>
      <c r="P60" s="30">
        <v>7.4999999999999997E-2</v>
      </c>
      <c r="Q60" s="116">
        <v>1.32</v>
      </c>
      <c r="R60" s="30">
        <v>7.0000000000000007E-2</v>
      </c>
      <c r="S60" s="116">
        <v>1.2320000000000002</v>
      </c>
      <c r="T60" s="117">
        <v>0.49</v>
      </c>
      <c r="U60" s="39">
        <v>1000</v>
      </c>
      <c r="V60" s="32"/>
      <c r="W60" s="33">
        <v>0</v>
      </c>
      <c r="X60" s="32"/>
      <c r="Y60" s="32"/>
      <c r="Z60" s="32"/>
      <c r="AA60" s="34"/>
      <c r="AB60" s="35">
        <f t="shared" si="0"/>
        <v>1000</v>
      </c>
      <c r="AC60" s="75">
        <f t="shared" si="1"/>
        <v>165000</v>
      </c>
      <c r="AD60" s="78">
        <f t="shared" si="2"/>
        <v>0</v>
      </c>
      <c r="AE60" s="72">
        <f t="shared" si="3"/>
        <v>165000</v>
      </c>
      <c r="AF60" s="75">
        <f t="shared" si="4"/>
        <v>25605.200000000001</v>
      </c>
      <c r="AG60" s="78">
        <f t="shared" si="5"/>
        <v>0</v>
      </c>
      <c r="AH60" s="72">
        <f t="shared" si="6"/>
        <v>25605.200000000001</v>
      </c>
      <c r="AI60" s="75">
        <f t="shared" si="7"/>
        <v>17600</v>
      </c>
      <c r="AJ60" s="78">
        <f t="shared" si="8"/>
        <v>0</v>
      </c>
      <c r="AK60" s="72">
        <f t="shared" si="9"/>
        <v>17600</v>
      </c>
    </row>
    <row r="61" spans="1:37" ht="15.95" customHeight="1">
      <c r="A61" s="25" t="s">
        <v>966</v>
      </c>
      <c r="B61" s="25" t="s">
        <v>949</v>
      </c>
      <c r="C61" s="40" t="s">
        <v>21</v>
      </c>
      <c r="D61" s="26" t="s">
        <v>373</v>
      </c>
      <c r="E61" s="26" t="s">
        <v>16</v>
      </c>
      <c r="F61" s="26" t="s">
        <v>970</v>
      </c>
      <c r="G61" s="41" t="s">
        <v>273</v>
      </c>
      <c r="H61" s="27" t="s">
        <v>89</v>
      </c>
      <c r="I61" s="26" t="s">
        <v>27</v>
      </c>
      <c r="J61" s="28" t="s">
        <v>43</v>
      </c>
      <c r="K61" s="123">
        <v>125</v>
      </c>
      <c r="L61" s="29">
        <v>21.895</v>
      </c>
      <c r="M61" s="110">
        <v>15</v>
      </c>
      <c r="N61" s="30">
        <v>0.28199999999999997</v>
      </c>
      <c r="O61" s="116">
        <v>4.2299999999999995</v>
      </c>
      <c r="P61" s="30">
        <v>7.4999999999999997E-2</v>
      </c>
      <c r="Q61" s="116">
        <v>1.125</v>
      </c>
      <c r="R61" s="30">
        <v>7.0000000000000007E-2</v>
      </c>
      <c r="S61" s="116">
        <v>1.05</v>
      </c>
      <c r="T61" s="117">
        <v>0.49</v>
      </c>
      <c r="U61" s="39">
        <v>1000</v>
      </c>
      <c r="V61" s="32"/>
      <c r="W61" s="33">
        <v>0</v>
      </c>
      <c r="X61" s="32"/>
      <c r="Y61" s="32"/>
      <c r="Z61" s="32"/>
      <c r="AA61" s="34"/>
      <c r="AB61" s="35">
        <f t="shared" si="0"/>
        <v>1000</v>
      </c>
      <c r="AC61" s="75">
        <f t="shared" si="1"/>
        <v>125000</v>
      </c>
      <c r="AD61" s="78">
        <f t="shared" si="2"/>
        <v>0</v>
      </c>
      <c r="AE61" s="72">
        <f t="shared" si="3"/>
        <v>125000</v>
      </c>
      <c r="AF61" s="75">
        <f t="shared" si="4"/>
        <v>21895</v>
      </c>
      <c r="AG61" s="78">
        <f t="shared" si="5"/>
        <v>0</v>
      </c>
      <c r="AH61" s="72">
        <f t="shared" si="6"/>
        <v>21895</v>
      </c>
      <c r="AI61" s="75">
        <f t="shared" si="7"/>
        <v>15000</v>
      </c>
      <c r="AJ61" s="78">
        <f t="shared" si="8"/>
        <v>0</v>
      </c>
      <c r="AK61" s="72">
        <f t="shared" si="9"/>
        <v>15000</v>
      </c>
    </row>
    <row r="62" spans="1:37" ht="15.95" customHeight="1">
      <c r="A62" s="25" t="s">
        <v>948</v>
      </c>
      <c r="B62" s="25" t="s">
        <v>949</v>
      </c>
      <c r="C62" s="26" t="s">
        <v>14</v>
      </c>
      <c r="D62" s="26" t="s">
        <v>373</v>
      </c>
      <c r="E62" s="26" t="s">
        <v>16</v>
      </c>
      <c r="F62" s="26" t="s">
        <v>971</v>
      </c>
      <c r="G62" s="41" t="s">
        <v>119</v>
      </c>
      <c r="H62" s="27" t="s">
        <v>120</v>
      </c>
      <c r="I62" s="26" t="s">
        <v>27</v>
      </c>
      <c r="J62" s="37" t="s">
        <v>41</v>
      </c>
      <c r="K62" s="123">
        <v>140</v>
      </c>
      <c r="L62" s="29">
        <v>23.7501</v>
      </c>
      <c r="M62" s="110">
        <v>16.3</v>
      </c>
      <c r="N62" s="30">
        <v>0.28199999999999997</v>
      </c>
      <c r="O62" s="116">
        <v>4.5965999999999996</v>
      </c>
      <c r="P62" s="30">
        <v>7.4999999999999997E-2</v>
      </c>
      <c r="Q62" s="116">
        <v>1.2224999999999999</v>
      </c>
      <c r="R62" s="30">
        <v>7.0000000000000007E-2</v>
      </c>
      <c r="S62" s="116">
        <v>1.1410000000000002</v>
      </c>
      <c r="T62" s="117">
        <v>0.49</v>
      </c>
      <c r="U62" s="39">
        <v>400</v>
      </c>
      <c r="V62" s="32">
        <v>10</v>
      </c>
      <c r="W62" s="33">
        <v>100</v>
      </c>
      <c r="X62" s="32"/>
      <c r="Y62" s="32"/>
      <c r="Z62" s="32"/>
      <c r="AA62" s="34"/>
      <c r="AB62" s="35">
        <f t="shared" si="0"/>
        <v>510</v>
      </c>
      <c r="AC62" s="75">
        <f t="shared" si="1"/>
        <v>56000</v>
      </c>
      <c r="AD62" s="78">
        <f t="shared" si="2"/>
        <v>15400</v>
      </c>
      <c r="AE62" s="72">
        <f t="shared" si="3"/>
        <v>71400</v>
      </c>
      <c r="AF62" s="75">
        <f t="shared" si="4"/>
        <v>9500.0399999999991</v>
      </c>
      <c r="AG62" s="78">
        <f t="shared" si="5"/>
        <v>2612.511</v>
      </c>
      <c r="AH62" s="72">
        <f t="shared" si="6"/>
        <v>12112.550999999999</v>
      </c>
      <c r="AI62" s="75">
        <f t="shared" si="7"/>
        <v>6520</v>
      </c>
      <c r="AJ62" s="78">
        <f t="shared" si="8"/>
        <v>1793</v>
      </c>
      <c r="AK62" s="72">
        <f t="shared" si="9"/>
        <v>8313</v>
      </c>
    </row>
    <row r="63" spans="1:37" ht="15.95" customHeight="1">
      <c r="A63" s="25" t="s">
        <v>948</v>
      </c>
      <c r="B63" s="25" t="s">
        <v>949</v>
      </c>
      <c r="C63" s="40" t="s">
        <v>21</v>
      </c>
      <c r="D63" s="26" t="s">
        <v>373</v>
      </c>
      <c r="E63" s="26" t="s">
        <v>16</v>
      </c>
      <c r="F63" s="26" t="s">
        <v>972</v>
      </c>
      <c r="G63" s="41" t="s">
        <v>119</v>
      </c>
      <c r="H63" s="27" t="s">
        <v>120</v>
      </c>
      <c r="I63" s="26" t="s">
        <v>27</v>
      </c>
      <c r="J63" s="28" t="s">
        <v>43</v>
      </c>
      <c r="K63" s="123">
        <v>110</v>
      </c>
      <c r="L63" s="29">
        <v>16.686449999999997</v>
      </c>
      <c r="M63" s="110">
        <v>11.35</v>
      </c>
      <c r="N63" s="30">
        <v>0.28199999999999997</v>
      </c>
      <c r="O63" s="116">
        <v>3.2006999999999994</v>
      </c>
      <c r="P63" s="30">
        <v>7.4999999999999997E-2</v>
      </c>
      <c r="Q63" s="116">
        <v>0.85124999999999995</v>
      </c>
      <c r="R63" s="30">
        <v>7.0000000000000007E-2</v>
      </c>
      <c r="S63" s="116">
        <v>0.7945000000000001</v>
      </c>
      <c r="T63" s="117">
        <v>0.49</v>
      </c>
      <c r="U63" s="39">
        <v>300</v>
      </c>
      <c r="V63" s="32">
        <v>10</v>
      </c>
      <c r="W63" s="33">
        <v>200</v>
      </c>
      <c r="X63" s="32"/>
      <c r="Y63" s="32"/>
      <c r="Z63" s="32"/>
      <c r="AA63" s="34"/>
      <c r="AB63" s="35">
        <f t="shared" si="0"/>
        <v>510</v>
      </c>
      <c r="AC63" s="75">
        <f t="shared" si="1"/>
        <v>33000</v>
      </c>
      <c r="AD63" s="78">
        <f t="shared" si="2"/>
        <v>23100</v>
      </c>
      <c r="AE63" s="72">
        <f t="shared" si="3"/>
        <v>56100</v>
      </c>
      <c r="AF63" s="75">
        <f t="shared" si="4"/>
        <v>5005.9349999999995</v>
      </c>
      <c r="AG63" s="78">
        <f t="shared" si="5"/>
        <v>3504.1544999999992</v>
      </c>
      <c r="AH63" s="72">
        <f t="shared" si="6"/>
        <v>8510.0894999999982</v>
      </c>
      <c r="AI63" s="75">
        <f t="shared" si="7"/>
        <v>3405</v>
      </c>
      <c r="AJ63" s="78">
        <f t="shared" si="8"/>
        <v>2383.5</v>
      </c>
      <c r="AK63" s="72">
        <f t="shared" si="9"/>
        <v>5788.5</v>
      </c>
    </row>
    <row r="64" spans="1:37" ht="15.95" customHeight="1">
      <c r="A64" s="25" t="s">
        <v>948</v>
      </c>
      <c r="B64" s="25" t="s">
        <v>949</v>
      </c>
      <c r="C64" s="26" t="s">
        <v>14</v>
      </c>
      <c r="D64" s="26" t="s">
        <v>373</v>
      </c>
      <c r="E64" s="26" t="s">
        <v>16</v>
      </c>
      <c r="F64" s="26" t="s">
        <v>971</v>
      </c>
      <c r="G64" s="41" t="s">
        <v>119</v>
      </c>
      <c r="H64" s="27" t="s">
        <v>120</v>
      </c>
      <c r="I64" s="26" t="s">
        <v>27</v>
      </c>
      <c r="J64" s="37" t="s">
        <v>41</v>
      </c>
      <c r="K64" s="123">
        <v>140</v>
      </c>
      <c r="L64" s="29">
        <v>23.7501</v>
      </c>
      <c r="M64" s="110">
        <v>16.3</v>
      </c>
      <c r="N64" s="30">
        <v>0.28199999999999997</v>
      </c>
      <c r="O64" s="116">
        <v>4.5965999999999996</v>
      </c>
      <c r="P64" s="30">
        <v>7.4999999999999997E-2</v>
      </c>
      <c r="Q64" s="116">
        <v>1.2224999999999999</v>
      </c>
      <c r="R64" s="30">
        <v>7.0000000000000007E-2</v>
      </c>
      <c r="S64" s="116">
        <v>1.1410000000000002</v>
      </c>
      <c r="T64" s="117">
        <v>0.49</v>
      </c>
      <c r="U64" s="39">
        <v>400</v>
      </c>
      <c r="V64" s="32">
        <v>219</v>
      </c>
      <c r="W64" s="33">
        <v>0</v>
      </c>
      <c r="X64" s="32"/>
      <c r="Y64" s="32"/>
      <c r="Z64" s="32"/>
      <c r="AA64" s="34"/>
      <c r="AB64" s="35">
        <f t="shared" si="0"/>
        <v>619</v>
      </c>
      <c r="AC64" s="75">
        <f t="shared" si="1"/>
        <v>56000</v>
      </c>
      <c r="AD64" s="78">
        <f t="shared" si="2"/>
        <v>30660</v>
      </c>
      <c r="AE64" s="72">
        <f t="shared" si="3"/>
        <v>86660</v>
      </c>
      <c r="AF64" s="75">
        <f t="shared" si="4"/>
        <v>9500.0399999999991</v>
      </c>
      <c r="AG64" s="78">
        <f t="shared" si="5"/>
        <v>5201.2718999999997</v>
      </c>
      <c r="AH64" s="72">
        <f t="shared" si="6"/>
        <v>14701.311899999999</v>
      </c>
      <c r="AI64" s="75">
        <f t="shared" si="7"/>
        <v>6520</v>
      </c>
      <c r="AJ64" s="78">
        <f t="shared" si="8"/>
        <v>3569.7000000000003</v>
      </c>
      <c r="AK64" s="72">
        <f t="shared" si="9"/>
        <v>10089.700000000001</v>
      </c>
    </row>
    <row r="65" spans="1:37" ht="15.95" customHeight="1">
      <c r="A65" s="25" t="s">
        <v>948</v>
      </c>
      <c r="B65" s="25" t="s">
        <v>949</v>
      </c>
      <c r="C65" s="26" t="s">
        <v>21</v>
      </c>
      <c r="D65" s="26" t="s">
        <v>373</v>
      </c>
      <c r="E65" s="26" t="s">
        <v>16</v>
      </c>
      <c r="F65" s="26" t="s">
        <v>972</v>
      </c>
      <c r="G65" s="26" t="s">
        <v>119</v>
      </c>
      <c r="H65" s="27" t="s">
        <v>120</v>
      </c>
      <c r="I65" s="26" t="s">
        <v>27</v>
      </c>
      <c r="J65" s="28" t="s">
        <v>43</v>
      </c>
      <c r="K65" s="123">
        <v>110</v>
      </c>
      <c r="L65" s="29">
        <v>16.686449999999997</v>
      </c>
      <c r="M65" s="110">
        <v>11.35</v>
      </c>
      <c r="N65" s="30">
        <v>0.28199999999999997</v>
      </c>
      <c r="O65" s="116">
        <v>3.2006999999999994</v>
      </c>
      <c r="P65" s="30">
        <v>7.4999999999999997E-2</v>
      </c>
      <c r="Q65" s="116">
        <v>0.85124999999999995</v>
      </c>
      <c r="R65" s="30">
        <v>7.0000000000000007E-2</v>
      </c>
      <c r="S65" s="116">
        <v>0.7945000000000001</v>
      </c>
      <c r="T65" s="117">
        <v>0.49</v>
      </c>
      <c r="U65" s="39">
        <v>300</v>
      </c>
      <c r="V65" s="32">
        <v>218</v>
      </c>
      <c r="W65" s="33">
        <v>0</v>
      </c>
      <c r="X65" s="32"/>
      <c r="Y65" s="32"/>
      <c r="Z65" s="32"/>
      <c r="AA65" s="34"/>
      <c r="AB65" s="35">
        <f t="shared" si="0"/>
        <v>518</v>
      </c>
      <c r="AC65" s="75">
        <f t="shared" si="1"/>
        <v>33000</v>
      </c>
      <c r="AD65" s="78">
        <f t="shared" si="2"/>
        <v>23980</v>
      </c>
      <c r="AE65" s="72">
        <f t="shared" si="3"/>
        <v>56980</v>
      </c>
      <c r="AF65" s="75">
        <f t="shared" si="4"/>
        <v>5005.9349999999995</v>
      </c>
      <c r="AG65" s="78">
        <f t="shared" si="5"/>
        <v>3637.6460999999995</v>
      </c>
      <c r="AH65" s="72">
        <f t="shared" si="6"/>
        <v>8643.5810999999994</v>
      </c>
      <c r="AI65" s="75">
        <f t="shared" si="7"/>
        <v>3405</v>
      </c>
      <c r="AJ65" s="78">
        <f t="shared" si="8"/>
        <v>2474.2999999999997</v>
      </c>
      <c r="AK65" s="72">
        <f t="shared" si="9"/>
        <v>5879.2999999999993</v>
      </c>
    </row>
    <row r="66" spans="1:37" ht="15.95" customHeight="1">
      <c r="A66" s="25" t="s">
        <v>948</v>
      </c>
      <c r="B66" s="25" t="s">
        <v>949</v>
      </c>
      <c r="C66" s="26" t="s">
        <v>14</v>
      </c>
      <c r="D66" s="26" t="s">
        <v>373</v>
      </c>
      <c r="E66" s="26" t="s">
        <v>16</v>
      </c>
      <c r="F66" s="26" t="s">
        <v>971</v>
      </c>
      <c r="G66" s="26" t="s">
        <v>119</v>
      </c>
      <c r="H66" s="27" t="s">
        <v>120</v>
      </c>
      <c r="I66" s="26" t="s">
        <v>27</v>
      </c>
      <c r="J66" s="28" t="s">
        <v>41</v>
      </c>
      <c r="K66" s="123">
        <v>140</v>
      </c>
      <c r="L66" s="29">
        <v>23.7501</v>
      </c>
      <c r="M66" s="110">
        <v>16.3</v>
      </c>
      <c r="N66" s="30">
        <v>0.28199999999999997</v>
      </c>
      <c r="O66" s="116">
        <v>4.5965999999999996</v>
      </c>
      <c r="P66" s="30">
        <v>7.4999999999999997E-2</v>
      </c>
      <c r="Q66" s="116">
        <v>1.2224999999999999</v>
      </c>
      <c r="R66" s="30">
        <v>7.0000000000000007E-2</v>
      </c>
      <c r="S66" s="116">
        <v>1.1410000000000002</v>
      </c>
      <c r="T66" s="117">
        <v>0.49</v>
      </c>
      <c r="U66" s="39">
        <v>300</v>
      </c>
      <c r="V66" s="32">
        <v>118</v>
      </c>
      <c r="W66" s="33">
        <v>100</v>
      </c>
      <c r="X66" s="32"/>
      <c r="Y66" s="32"/>
      <c r="Z66" s="32"/>
      <c r="AA66" s="34"/>
      <c r="AB66" s="35">
        <f t="shared" si="0"/>
        <v>518</v>
      </c>
      <c r="AC66" s="75">
        <f t="shared" si="1"/>
        <v>42000</v>
      </c>
      <c r="AD66" s="78">
        <f t="shared" si="2"/>
        <v>30520</v>
      </c>
      <c r="AE66" s="72">
        <f t="shared" si="3"/>
        <v>72520</v>
      </c>
      <c r="AF66" s="75">
        <f t="shared" si="4"/>
        <v>7125.03</v>
      </c>
      <c r="AG66" s="78">
        <f t="shared" si="5"/>
        <v>5177.5217999999995</v>
      </c>
      <c r="AH66" s="72">
        <f t="shared" si="6"/>
        <v>12302.551799999999</v>
      </c>
      <c r="AI66" s="75">
        <f t="shared" si="7"/>
        <v>4890</v>
      </c>
      <c r="AJ66" s="78">
        <f t="shared" si="8"/>
        <v>3553.4</v>
      </c>
      <c r="AK66" s="72">
        <f t="shared" si="9"/>
        <v>8443.4</v>
      </c>
    </row>
    <row r="67" spans="1:37" ht="15.95" customHeight="1">
      <c r="A67" s="25" t="s">
        <v>948</v>
      </c>
      <c r="B67" s="25" t="s">
        <v>949</v>
      </c>
      <c r="C67" s="26" t="s">
        <v>21</v>
      </c>
      <c r="D67" s="26" t="s">
        <v>373</v>
      </c>
      <c r="E67" s="26" t="s">
        <v>16</v>
      </c>
      <c r="F67" s="26" t="s">
        <v>972</v>
      </c>
      <c r="G67" s="26" t="s">
        <v>119</v>
      </c>
      <c r="H67" s="27" t="s">
        <v>120</v>
      </c>
      <c r="I67" s="26" t="s">
        <v>27</v>
      </c>
      <c r="J67" s="28" t="s">
        <v>43</v>
      </c>
      <c r="K67" s="123">
        <v>110</v>
      </c>
      <c r="L67" s="29">
        <v>16.686449999999997</v>
      </c>
      <c r="M67" s="110">
        <v>11.35</v>
      </c>
      <c r="N67" s="30">
        <v>0.28199999999999997</v>
      </c>
      <c r="O67" s="116">
        <v>3.2006999999999994</v>
      </c>
      <c r="P67" s="30">
        <v>7.4999999999999997E-2</v>
      </c>
      <c r="Q67" s="116">
        <v>0.85124999999999995</v>
      </c>
      <c r="R67" s="30">
        <v>7.0000000000000007E-2</v>
      </c>
      <c r="S67" s="116">
        <v>0.7945000000000001</v>
      </c>
      <c r="T67" s="117">
        <v>0.49</v>
      </c>
      <c r="U67" s="39">
        <v>300</v>
      </c>
      <c r="V67" s="32">
        <v>118</v>
      </c>
      <c r="W67" s="33">
        <v>100</v>
      </c>
      <c r="X67" s="32"/>
      <c r="Y67" s="32"/>
      <c r="Z67" s="32"/>
      <c r="AA67" s="34"/>
      <c r="AB67" s="35">
        <f t="shared" si="0"/>
        <v>518</v>
      </c>
      <c r="AC67" s="75">
        <f t="shared" si="1"/>
        <v>33000</v>
      </c>
      <c r="AD67" s="78">
        <f t="shared" si="2"/>
        <v>23980</v>
      </c>
      <c r="AE67" s="72">
        <f t="shared" si="3"/>
        <v>56980</v>
      </c>
      <c r="AF67" s="75">
        <f t="shared" si="4"/>
        <v>5005.9349999999995</v>
      </c>
      <c r="AG67" s="78">
        <f t="shared" si="5"/>
        <v>3637.6460999999995</v>
      </c>
      <c r="AH67" s="72">
        <f t="shared" si="6"/>
        <v>8643.5810999999994</v>
      </c>
      <c r="AI67" s="75">
        <f t="shared" si="7"/>
        <v>3405</v>
      </c>
      <c r="AJ67" s="78">
        <f t="shared" si="8"/>
        <v>2474.2999999999997</v>
      </c>
      <c r="AK67" s="72">
        <f t="shared" si="9"/>
        <v>5879.2999999999993</v>
      </c>
    </row>
    <row r="68" spans="1:37" ht="15.95" customHeight="1">
      <c r="A68" s="25" t="s">
        <v>948</v>
      </c>
      <c r="B68" s="25" t="s">
        <v>949</v>
      </c>
      <c r="C68" s="26" t="s">
        <v>14</v>
      </c>
      <c r="D68" s="26" t="s">
        <v>373</v>
      </c>
      <c r="E68" s="26" t="s">
        <v>16</v>
      </c>
      <c r="F68" s="26" t="s">
        <v>973</v>
      </c>
      <c r="G68" s="26" t="s">
        <v>113</v>
      </c>
      <c r="H68" s="27" t="s">
        <v>974</v>
      </c>
      <c r="I68" s="26" t="s">
        <v>19</v>
      </c>
      <c r="J68" s="28" t="s">
        <v>20</v>
      </c>
      <c r="K68" s="123">
        <v>150</v>
      </c>
      <c r="L68" s="29">
        <v>30.067599999999999</v>
      </c>
      <c r="M68" s="110">
        <v>20.8</v>
      </c>
      <c r="N68" s="30">
        <v>0.27700000000000002</v>
      </c>
      <c r="O68" s="116">
        <v>5.7616000000000005</v>
      </c>
      <c r="P68" s="30">
        <v>7.4999999999999997E-2</v>
      </c>
      <c r="Q68" s="116">
        <v>1.56</v>
      </c>
      <c r="R68" s="30">
        <v>7.0000000000000007E-2</v>
      </c>
      <c r="S68" s="116">
        <v>1.4560000000000002</v>
      </c>
      <c r="T68" s="117">
        <v>0.49</v>
      </c>
      <c r="U68" s="39">
        <v>300</v>
      </c>
      <c r="V68" s="32">
        <v>100</v>
      </c>
      <c r="W68" s="33">
        <v>100</v>
      </c>
      <c r="X68" s="32"/>
      <c r="Y68" s="32">
        <v>16</v>
      </c>
      <c r="Z68" s="32"/>
      <c r="AA68" s="34">
        <v>4</v>
      </c>
      <c r="AB68" s="35">
        <f t="shared" si="0"/>
        <v>520</v>
      </c>
      <c r="AC68" s="75">
        <f t="shared" si="1"/>
        <v>45000</v>
      </c>
      <c r="AD68" s="78">
        <f t="shared" si="2"/>
        <v>33000</v>
      </c>
      <c r="AE68" s="72">
        <f t="shared" si="3"/>
        <v>78000</v>
      </c>
      <c r="AF68" s="75">
        <f t="shared" si="4"/>
        <v>9020.2799999999988</v>
      </c>
      <c r="AG68" s="78">
        <f t="shared" si="5"/>
        <v>6429.5199999999995</v>
      </c>
      <c r="AH68" s="72">
        <f t="shared" si="6"/>
        <v>15449.8</v>
      </c>
      <c r="AI68" s="75">
        <f t="shared" si="7"/>
        <v>6240</v>
      </c>
      <c r="AJ68" s="78">
        <f t="shared" si="8"/>
        <v>4576</v>
      </c>
      <c r="AK68" s="72">
        <f t="shared" si="9"/>
        <v>10816</v>
      </c>
    </row>
    <row r="69" spans="1:37" ht="15.95" customHeight="1">
      <c r="A69" s="25" t="s">
        <v>948</v>
      </c>
      <c r="B69" s="25" t="s">
        <v>949</v>
      </c>
      <c r="C69" s="26" t="s">
        <v>21</v>
      </c>
      <c r="D69" s="26" t="s">
        <v>373</v>
      </c>
      <c r="E69" s="26" t="s">
        <v>16</v>
      </c>
      <c r="F69" s="26" t="s">
        <v>975</v>
      </c>
      <c r="G69" s="26" t="s">
        <v>113</v>
      </c>
      <c r="H69" s="27" t="s">
        <v>974</v>
      </c>
      <c r="I69" s="26" t="s">
        <v>19</v>
      </c>
      <c r="J69" s="28" t="s">
        <v>23</v>
      </c>
      <c r="K69" s="123">
        <v>125</v>
      </c>
      <c r="L69" s="29">
        <v>20.853200000000001</v>
      </c>
      <c r="M69" s="110">
        <v>14.3</v>
      </c>
      <c r="N69" s="30">
        <v>0.27900000000000003</v>
      </c>
      <c r="O69" s="116">
        <v>3.9897000000000005</v>
      </c>
      <c r="P69" s="30">
        <v>7.4999999999999997E-2</v>
      </c>
      <c r="Q69" s="116">
        <v>1.0725</v>
      </c>
      <c r="R69" s="30">
        <v>7.0000000000000007E-2</v>
      </c>
      <c r="S69" s="116">
        <v>1.0010000000000001</v>
      </c>
      <c r="T69" s="117">
        <v>0.49</v>
      </c>
      <c r="U69" s="39">
        <v>250</v>
      </c>
      <c r="V69" s="32">
        <v>100</v>
      </c>
      <c r="W69" s="33">
        <v>152</v>
      </c>
      <c r="X69" s="32"/>
      <c r="Y69" s="32">
        <v>16</v>
      </c>
      <c r="Z69" s="32"/>
      <c r="AA69" s="34">
        <v>4</v>
      </c>
      <c r="AB69" s="35">
        <f t="shared" ref="AB69:AB132" si="10">SUM(U69:AA69)</f>
        <v>522</v>
      </c>
      <c r="AC69" s="75">
        <f t="shared" ref="AC69:AC132" si="11">$K69*U69</f>
        <v>31250</v>
      </c>
      <c r="AD69" s="78">
        <f t="shared" ref="AD69:AD132" si="12">$K69*SUM(V69:AA69)</f>
        <v>34000</v>
      </c>
      <c r="AE69" s="72">
        <f t="shared" ref="AE69:AE132" si="13">SUM(AC69:AD69)</f>
        <v>65250</v>
      </c>
      <c r="AF69" s="75">
        <f t="shared" ref="AF69:AF132" si="14">$L69*U69</f>
        <v>5213.3</v>
      </c>
      <c r="AG69" s="78">
        <f t="shared" ref="AG69:AG132" si="15">$L69*SUM(V69:W69)+M69*SUM(X69:AA69)</f>
        <v>5541.0064000000002</v>
      </c>
      <c r="AH69" s="72">
        <f t="shared" ref="AH69:AH132" si="16">SUM(AF69:AG69)</f>
        <v>10754.306400000001</v>
      </c>
      <c r="AI69" s="75">
        <f t="shared" ref="AI69:AI132" si="17">$M69*U69</f>
        <v>3575</v>
      </c>
      <c r="AJ69" s="78">
        <f t="shared" ref="AJ69:AJ132" si="18">$M69*SUM(V69:AA69)</f>
        <v>3889.6000000000004</v>
      </c>
      <c r="AK69" s="72">
        <f t="shared" ref="AK69:AK132" si="19">SUM(AI69:AJ69)</f>
        <v>7464.6</v>
      </c>
    </row>
    <row r="70" spans="1:37" ht="15.95" customHeight="1">
      <c r="A70" s="25" t="s">
        <v>948</v>
      </c>
      <c r="B70" s="25" t="s">
        <v>949</v>
      </c>
      <c r="C70" s="26" t="s">
        <v>14</v>
      </c>
      <c r="D70" s="26" t="s">
        <v>373</v>
      </c>
      <c r="E70" s="26" t="s">
        <v>16</v>
      </c>
      <c r="F70" s="26" t="s">
        <v>973</v>
      </c>
      <c r="G70" s="26" t="s">
        <v>113</v>
      </c>
      <c r="H70" s="27" t="s">
        <v>974</v>
      </c>
      <c r="I70" s="26" t="s">
        <v>19</v>
      </c>
      <c r="J70" s="28" t="s">
        <v>20</v>
      </c>
      <c r="K70" s="123">
        <v>150</v>
      </c>
      <c r="L70" s="29">
        <v>30.067599999999999</v>
      </c>
      <c r="M70" s="110">
        <v>20.8</v>
      </c>
      <c r="N70" s="30">
        <v>0.27700000000000002</v>
      </c>
      <c r="O70" s="116">
        <v>5.7616000000000005</v>
      </c>
      <c r="P70" s="30">
        <v>7.4999999999999997E-2</v>
      </c>
      <c r="Q70" s="116">
        <v>1.56</v>
      </c>
      <c r="R70" s="30">
        <v>7.0000000000000007E-2</v>
      </c>
      <c r="S70" s="116">
        <v>1.4560000000000002</v>
      </c>
      <c r="T70" s="117">
        <v>0.49</v>
      </c>
      <c r="U70" s="39">
        <v>350</v>
      </c>
      <c r="V70" s="32">
        <v>203</v>
      </c>
      <c r="W70" s="33">
        <v>0</v>
      </c>
      <c r="X70" s="32"/>
      <c r="Y70" s="32"/>
      <c r="Z70" s="32"/>
      <c r="AA70" s="34"/>
      <c r="AB70" s="35">
        <f t="shared" si="10"/>
        <v>553</v>
      </c>
      <c r="AC70" s="75">
        <f t="shared" si="11"/>
        <v>52500</v>
      </c>
      <c r="AD70" s="78">
        <f t="shared" si="12"/>
        <v>30450</v>
      </c>
      <c r="AE70" s="72">
        <f t="shared" si="13"/>
        <v>82950</v>
      </c>
      <c r="AF70" s="75">
        <f t="shared" si="14"/>
        <v>10523.66</v>
      </c>
      <c r="AG70" s="78">
        <f t="shared" si="15"/>
        <v>6103.7227999999996</v>
      </c>
      <c r="AH70" s="72">
        <f t="shared" si="16"/>
        <v>16627.382799999999</v>
      </c>
      <c r="AI70" s="75">
        <f t="shared" si="17"/>
        <v>7280</v>
      </c>
      <c r="AJ70" s="78">
        <f t="shared" si="18"/>
        <v>4222.4000000000005</v>
      </c>
      <c r="AK70" s="72">
        <f t="shared" si="19"/>
        <v>11502.400000000001</v>
      </c>
    </row>
    <row r="71" spans="1:37" ht="15.95" customHeight="1">
      <c r="A71" s="25" t="s">
        <v>948</v>
      </c>
      <c r="B71" s="25" t="s">
        <v>949</v>
      </c>
      <c r="C71" s="26" t="s">
        <v>21</v>
      </c>
      <c r="D71" s="26" t="s">
        <v>373</v>
      </c>
      <c r="E71" s="26" t="s">
        <v>16</v>
      </c>
      <c r="F71" s="26" t="s">
        <v>975</v>
      </c>
      <c r="G71" s="26" t="s">
        <v>113</v>
      </c>
      <c r="H71" s="27" t="s">
        <v>974</v>
      </c>
      <c r="I71" s="26" t="s">
        <v>19</v>
      </c>
      <c r="J71" s="28" t="s">
        <v>23</v>
      </c>
      <c r="K71" s="123">
        <v>125</v>
      </c>
      <c r="L71" s="29">
        <v>20.853200000000001</v>
      </c>
      <c r="M71" s="110">
        <v>14.3</v>
      </c>
      <c r="N71" s="30">
        <v>0.27900000000000003</v>
      </c>
      <c r="O71" s="116">
        <v>3.9897000000000005</v>
      </c>
      <c r="P71" s="30">
        <v>7.4999999999999997E-2</v>
      </c>
      <c r="Q71" s="116">
        <v>1.0725</v>
      </c>
      <c r="R71" s="30">
        <v>7.0000000000000007E-2</v>
      </c>
      <c r="S71" s="116">
        <v>1.0010000000000001</v>
      </c>
      <c r="T71" s="117">
        <v>0.49</v>
      </c>
      <c r="U71" s="39">
        <v>300</v>
      </c>
      <c r="V71" s="32">
        <v>203</v>
      </c>
      <c r="W71" s="33">
        <v>0</v>
      </c>
      <c r="X71" s="32"/>
      <c r="Y71" s="32"/>
      <c r="Z71" s="32"/>
      <c r="AA71" s="34"/>
      <c r="AB71" s="35">
        <f t="shared" si="10"/>
        <v>503</v>
      </c>
      <c r="AC71" s="75">
        <f t="shared" si="11"/>
        <v>37500</v>
      </c>
      <c r="AD71" s="78">
        <f t="shared" si="12"/>
        <v>25375</v>
      </c>
      <c r="AE71" s="72">
        <f t="shared" si="13"/>
        <v>62875</v>
      </c>
      <c r="AF71" s="75">
        <f t="shared" si="14"/>
        <v>6255.96</v>
      </c>
      <c r="AG71" s="78">
        <f t="shared" si="15"/>
        <v>4233.1995999999999</v>
      </c>
      <c r="AH71" s="72">
        <f t="shared" si="16"/>
        <v>10489.159599999999</v>
      </c>
      <c r="AI71" s="75">
        <f t="shared" si="17"/>
        <v>4290</v>
      </c>
      <c r="AJ71" s="78">
        <f t="shared" si="18"/>
        <v>2902.9</v>
      </c>
      <c r="AK71" s="72">
        <f t="shared" si="19"/>
        <v>7192.9</v>
      </c>
    </row>
    <row r="72" spans="1:37" ht="15.95" customHeight="1">
      <c r="A72" s="25" t="s">
        <v>948</v>
      </c>
      <c r="B72" s="25" t="s">
        <v>949</v>
      </c>
      <c r="C72" s="26" t="s">
        <v>976</v>
      </c>
      <c r="D72" s="26" t="s">
        <v>373</v>
      </c>
      <c r="E72" s="26" t="s">
        <v>16</v>
      </c>
      <c r="F72" s="26" t="s">
        <v>977</v>
      </c>
      <c r="G72" s="26" t="s">
        <v>978</v>
      </c>
      <c r="H72" s="27" t="s">
        <v>979</v>
      </c>
      <c r="I72" s="26" t="s">
        <v>19</v>
      </c>
      <c r="J72" s="28" t="s">
        <v>20</v>
      </c>
      <c r="K72" s="123">
        <v>150</v>
      </c>
      <c r="L72" s="29">
        <v>25.801600000000001</v>
      </c>
      <c r="M72" s="110">
        <v>17.8</v>
      </c>
      <c r="N72" s="30">
        <v>0.27700000000000002</v>
      </c>
      <c r="O72" s="116">
        <v>4.930600000000001</v>
      </c>
      <c r="P72" s="30">
        <v>7.4999999999999997E-2</v>
      </c>
      <c r="Q72" s="116">
        <v>1.335</v>
      </c>
      <c r="R72" s="30">
        <v>7.0000000000000007E-2</v>
      </c>
      <c r="S72" s="116">
        <v>1.2460000000000002</v>
      </c>
      <c r="T72" s="117">
        <v>0.49</v>
      </c>
      <c r="U72" s="39">
        <v>400</v>
      </c>
      <c r="V72" s="32">
        <v>223</v>
      </c>
      <c r="W72" s="33">
        <v>0</v>
      </c>
      <c r="X72" s="32"/>
      <c r="Y72" s="32"/>
      <c r="Z72" s="32">
        <v>22</v>
      </c>
      <c r="AA72" s="34"/>
      <c r="AB72" s="35">
        <f t="shared" si="10"/>
        <v>645</v>
      </c>
      <c r="AC72" s="75">
        <f t="shared" si="11"/>
        <v>60000</v>
      </c>
      <c r="AD72" s="78">
        <f t="shared" si="12"/>
        <v>36750</v>
      </c>
      <c r="AE72" s="72">
        <f t="shared" si="13"/>
        <v>96750</v>
      </c>
      <c r="AF72" s="75">
        <f t="shared" si="14"/>
        <v>10320.64</v>
      </c>
      <c r="AG72" s="78">
        <f t="shared" si="15"/>
        <v>6145.3568000000005</v>
      </c>
      <c r="AH72" s="72">
        <f t="shared" si="16"/>
        <v>16465.996800000001</v>
      </c>
      <c r="AI72" s="75">
        <f t="shared" si="17"/>
        <v>7120</v>
      </c>
      <c r="AJ72" s="78">
        <f t="shared" si="18"/>
        <v>4361</v>
      </c>
      <c r="AK72" s="72">
        <f t="shared" si="19"/>
        <v>11481</v>
      </c>
    </row>
    <row r="73" spans="1:37" ht="15.95" customHeight="1">
      <c r="A73" s="25" t="s">
        <v>948</v>
      </c>
      <c r="B73" s="25" t="s">
        <v>949</v>
      </c>
      <c r="C73" s="26" t="s">
        <v>980</v>
      </c>
      <c r="D73" s="26" t="s">
        <v>373</v>
      </c>
      <c r="E73" s="26" t="s">
        <v>16</v>
      </c>
      <c r="F73" s="26" t="s">
        <v>981</v>
      </c>
      <c r="G73" s="26" t="s">
        <v>978</v>
      </c>
      <c r="H73" s="27" t="s">
        <v>979</v>
      </c>
      <c r="I73" s="26" t="s">
        <v>19</v>
      </c>
      <c r="J73" s="28" t="s">
        <v>23</v>
      </c>
      <c r="K73" s="123">
        <v>110</v>
      </c>
      <c r="L73" s="29">
        <v>18.717200000000002</v>
      </c>
      <c r="M73" s="110">
        <v>12.8</v>
      </c>
      <c r="N73" s="30">
        <v>0.27900000000000003</v>
      </c>
      <c r="O73" s="116">
        <v>3.5712000000000006</v>
      </c>
      <c r="P73" s="30">
        <v>7.4999999999999997E-2</v>
      </c>
      <c r="Q73" s="116">
        <v>0.96</v>
      </c>
      <c r="R73" s="30">
        <v>7.0000000000000007E-2</v>
      </c>
      <c r="S73" s="116">
        <v>0.89600000000000013</v>
      </c>
      <c r="T73" s="117">
        <v>0.49</v>
      </c>
      <c r="U73" s="39">
        <v>350</v>
      </c>
      <c r="V73" s="32">
        <v>216</v>
      </c>
      <c r="W73" s="33">
        <v>0</v>
      </c>
      <c r="X73" s="32"/>
      <c r="Y73" s="32"/>
      <c r="Z73" s="32">
        <v>18</v>
      </c>
      <c r="AA73" s="34"/>
      <c r="AB73" s="35">
        <f t="shared" si="10"/>
        <v>584</v>
      </c>
      <c r="AC73" s="75">
        <f t="shared" si="11"/>
        <v>38500</v>
      </c>
      <c r="AD73" s="78">
        <f t="shared" si="12"/>
        <v>25740</v>
      </c>
      <c r="AE73" s="72">
        <f t="shared" si="13"/>
        <v>64240</v>
      </c>
      <c r="AF73" s="75">
        <f t="shared" si="14"/>
        <v>6551.02</v>
      </c>
      <c r="AG73" s="78">
        <f t="shared" si="15"/>
        <v>4273.3152</v>
      </c>
      <c r="AH73" s="72">
        <f t="shared" si="16"/>
        <v>10824.335200000001</v>
      </c>
      <c r="AI73" s="75">
        <f t="shared" si="17"/>
        <v>4480</v>
      </c>
      <c r="AJ73" s="78">
        <f t="shared" si="18"/>
        <v>2995.2000000000003</v>
      </c>
      <c r="AK73" s="72">
        <f t="shared" si="19"/>
        <v>7475.2000000000007</v>
      </c>
    </row>
    <row r="74" spans="1:37" ht="15.95" customHeight="1">
      <c r="A74" s="25" t="s">
        <v>948</v>
      </c>
      <c r="B74" s="25" t="s">
        <v>949</v>
      </c>
      <c r="C74" s="26" t="s">
        <v>976</v>
      </c>
      <c r="D74" s="26" t="s">
        <v>373</v>
      </c>
      <c r="E74" s="26" t="s">
        <v>16</v>
      </c>
      <c r="F74" s="26" t="s">
        <v>977</v>
      </c>
      <c r="G74" s="26" t="s">
        <v>978</v>
      </c>
      <c r="H74" s="27" t="s">
        <v>979</v>
      </c>
      <c r="I74" s="26" t="s">
        <v>19</v>
      </c>
      <c r="J74" s="28" t="s">
        <v>20</v>
      </c>
      <c r="K74" s="123">
        <v>150</v>
      </c>
      <c r="L74" s="29">
        <v>25.801600000000001</v>
      </c>
      <c r="M74" s="110">
        <v>17.8</v>
      </c>
      <c r="N74" s="30">
        <v>0.27700000000000002</v>
      </c>
      <c r="O74" s="116">
        <v>4.930600000000001</v>
      </c>
      <c r="P74" s="30">
        <v>7.4999999999999997E-2</v>
      </c>
      <c r="Q74" s="116">
        <v>1.335</v>
      </c>
      <c r="R74" s="30">
        <v>7.0000000000000007E-2</v>
      </c>
      <c r="S74" s="116">
        <v>1.2460000000000002</v>
      </c>
      <c r="T74" s="117">
        <v>0.49</v>
      </c>
      <c r="U74" s="39">
        <v>400</v>
      </c>
      <c r="V74" s="32">
        <v>124</v>
      </c>
      <c r="W74" s="33">
        <v>0</v>
      </c>
      <c r="X74" s="32"/>
      <c r="Y74" s="32"/>
      <c r="Z74" s="32">
        <v>4</v>
      </c>
      <c r="AA74" s="34"/>
      <c r="AB74" s="35">
        <f t="shared" si="10"/>
        <v>528</v>
      </c>
      <c r="AC74" s="75">
        <f t="shared" si="11"/>
        <v>60000</v>
      </c>
      <c r="AD74" s="78">
        <f t="shared" si="12"/>
        <v>19200</v>
      </c>
      <c r="AE74" s="72">
        <f t="shared" si="13"/>
        <v>79200</v>
      </c>
      <c r="AF74" s="75">
        <f t="shared" si="14"/>
        <v>10320.64</v>
      </c>
      <c r="AG74" s="78">
        <f t="shared" si="15"/>
        <v>3270.5983999999999</v>
      </c>
      <c r="AH74" s="72">
        <f t="shared" si="16"/>
        <v>13591.238399999998</v>
      </c>
      <c r="AI74" s="75">
        <f t="shared" si="17"/>
        <v>7120</v>
      </c>
      <c r="AJ74" s="78">
        <f t="shared" si="18"/>
        <v>2278.4</v>
      </c>
      <c r="AK74" s="72">
        <f t="shared" si="19"/>
        <v>9398.4</v>
      </c>
    </row>
    <row r="75" spans="1:37" ht="15.95" customHeight="1">
      <c r="A75" s="25" t="s">
        <v>948</v>
      </c>
      <c r="B75" s="25" t="s">
        <v>949</v>
      </c>
      <c r="C75" s="26" t="s">
        <v>980</v>
      </c>
      <c r="D75" s="26" t="s">
        <v>373</v>
      </c>
      <c r="E75" s="26" t="s">
        <v>16</v>
      </c>
      <c r="F75" s="26" t="s">
        <v>981</v>
      </c>
      <c r="G75" s="26" t="s">
        <v>978</v>
      </c>
      <c r="H75" s="27" t="s">
        <v>979</v>
      </c>
      <c r="I75" s="26" t="s">
        <v>19</v>
      </c>
      <c r="J75" s="28" t="s">
        <v>23</v>
      </c>
      <c r="K75" s="123">
        <v>125</v>
      </c>
      <c r="L75" s="29">
        <v>18.717200000000002</v>
      </c>
      <c r="M75" s="110">
        <v>12.8</v>
      </c>
      <c r="N75" s="30">
        <v>0.27900000000000003</v>
      </c>
      <c r="O75" s="116">
        <v>3.5712000000000006</v>
      </c>
      <c r="P75" s="30">
        <v>7.4999999999999997E-2</v>
      </c>
      <c r="Q75" s="116">
        <v>0.96</v>
      </c>
      <c r="R75" s="30">
        <v>7.0000000000000007E-2</v>
      </c>
      <c r="S75" s="116">
        <v>0.89600000000000013</v>
      </c>
      <c r="T75" s="117">
        <v>0.49</v>
      </c>
      <c r="U75" s="39">
        <v>350</v>
      </c>
      <c r="V75" s="32">
        <v>124</v>
      </c>
      <c r="W75" s="33">
        <v>152</v>
      </c>
      <c r="X75" s="32"/>
      <c r="Y75" s="32"/>
      <c r="Z75" s="32">
        <v>4</v>
      </c>
      <c r="AA75" s="34"/>
      <c r="AB75" s="35">
        <f t="shared" si="10"/>
        <v>630</v>
      </c>
      <c r="AC75" s="75">
        <f t="shared" si="11"/>
        <v>43750</v>
      </c>
      <c r="AD75" s="78">
        <f t="shared" si="12"/>
        <v>35000</v>
      </c>
      <c r="AE75" s="72">
        <f t="shared" si="13"/>
        <v>78750</v>
      </c>
      <c r="AF75" s="75">
        <f t="shared" si="14"/>
        <v>6551.02</v>
      </c>
      <c r="AG75" s="78">
        <f t="shared" si="15"/>
        <v>5217.1472000000003</v>
      </c>
      <c r="AH75" s="72">
        <f t="shared" si="16"/>
        <v>11768.1672</v>
      </c>
      <c r="AI75" s="75">
        <f t="shared" si="17"/>
        <v>4480</v>
      </c>
      <c r="AJ75" s="78">
        <f t="shared" si="18"/>
        <v>3584</v>
      </c>
      <c r="AK75" s="72">
        <f t="shared" si="19"/>
        <v>8064</v>
      </c>
    </row>
    <row r="76" spans="1:37" ht="15.95" customHeight="1">
      <c r="A76" s="25" t="s">
        <v>948</v>
      </c>
      <c r="B76" s="25" t="s">
        <v>949</v>
      </c>
      <c r="C76" s="26" t="s">
        <v>982</v>
      </c>
      <c r="D76" s="26" t="s">
        <v>373</v>
      </c>
      <c r="E76" s="26" t="s">
        <v>16</v>
      </c>
      <c r="F76" s="26" t="s">
        <v>983</v>
      </c>
      <c r="G76" s="26" t="s">
        <v>119</v>
      </c>
      <c r="H76" s="27" t="s">
        <v>120</v>
      </c>
      <c r="I76" s="26" t="s">
        <v>27</v>
      </c>
      <c r="J76" s="28" t="s">
        <v>35</v>
      </c>
      <c r="K76" s="123">
        <v>68</v>
      </c>
      <c r="L76" s="29">
        <v>12.7622</v>
      </c>
      <c r="M76" s="110">
        <v>8.6</v>
      </c>
      <c r="N76" s="30">
        <v>0.28199999999999997</v>
      </c>
      <c r="O76" s="116">
        <v>2.4251999999999998</v>
      </c>
      <c r="P76" s="30">
        <v>7.4999999999999997E-2</v>
      </c>
      <c r="Q76" s="116">
        <v>0.64499999999999991</v>
      </c>
      <c r="R76" s="30">
        <v>7.0000000000000007E-2</v>
      </c>
      <c r="S76" s="116">
        <v>0.60199999999999998</v>
      </c>
      <c r="T76" s="117">
        <v>0.49</v>
      </c>
      <c r="U76" s="39">
        <v>600</v>
      </c>
      <c r="V76" s="32">
        <v>496</v>
      </c>
      <c r="W76" s="33">
        <v>0</v>
      </c>
      <c r="X76" s="32"/>
      <c r="Y76" s="32"/>
      <c r="Z76" s="32"/>
      <c r="AA76" s="34">
        <v>30</v>
      </c>
      <c r="AB76" s="35">
        <f t="shared" si="10"/>
        <v>1126</v>
      </c>
      <c r="AC76" s="75">
        <f t="shared" si="11"/>
        <v>40800</v>
      </c>
      <c r="AD76" s="78">
        <f t="shared" si="12"/>
        <v>35768</v>
      </c>
      <c r="AE76" s="72">
        <f t="shared" si="13"/>
        <v>76568</v>
      </c>
      <c r="AF76" s="75">
        <f t="shared" si="14"/>
        <v>7657.32</v>
      </c>
      <c r="AG76" s="78">
        <f t="shared" si="15"/>
        <v>6588.0511999999999</v>
      </c>
      <c r="AH76" s="72">
        <f t="shared" si="16"/>
        <v>14245.3712</v>
      </c>
      <c r="AI76" s="75">
        <f t="shared" si="17"/>
        <v>5160</v>
      </c>
      <c r="AJ76" s="78">
        <f t="shared" si="18"/>
        <v>4523.5999999999995</v>
      </c>
      <c r="AK76" s="72">
        <f t="shared" si="19"/>
        <v>9683.5999999999985</v>
      </c>
    </row>
    <row r="77" spans="1:37" ht="15.95" customHeight="1">
      <c r="A77" s="25" t="s">
        <v>948</v>
      </c>
      <c r="B77" s="25" t="s">
        <v>949</v>
      </c>
      <c r="C77" s="26" t="s">
        <v>982</v>
      </c>
      <c r="D77" s="26" t="s">
        <v>373</v>
      </c>
      <c r="E77" s="26" t="s">
        <v>16</v>
      </c>
      <c r="F77" s="26" t="s">
        <v>983</v>
      </c>
      <c r="G77" s="25" t="s">
        <v>119</v>
      </c>
      <c r="H77" s="42" t="s">
        <v>120</v>
      </c>
      <c r="I77" s="43" t="s">
        <v>27</v>
      </c>
      <c r="J77" s="28" t="s">
        <v>35</v>
      </c>
      <c r="K77" s="123">
        <v>68</v>
      </c>
      <c r="L77" s="29">
        <v>12.7622</v>
      </c>
      <c r="M77" s="110">
        <v>8.6</v>
      </c>
      <c r="N77" s="30">
        <v>0.28199999999999997</v>
      </c>
      <c r="O77" s="116">
        <v>2.4251999999999998</v>
      </c>
      <c r="P77" s="30">
        <v>7.4999999999999997E-2</v>
      </c>
      <c r="Q77" s="116">
        <v>0.64499999999999991</v>
      </c>
      <c r="R77" s="30">
        <v>7.0000000000000007E-2</v>
      </c>
      <c r="S77" s="116">
        <v>0.60199999999999998</v>
      </c>
      <c r="T77" s="117">
        <v>0.49</v>
      </c>
      <c r="U77" s="39">
        <v>600</v>
      </c>
      <c r="V77" s="32">
        <v>460</v>
      </c>
      <c r="W77" s="33">
        <v>0</v>
      </c>
      <c r="X77" s="32"/>
      <c r="Y77" s="32"/>
      <c r="Z77" s="32"/>
      <c r="AA77" s="34">
        <v>10</v>
      </c>
      <c r="AB77" s="35">
        <f t="shared" si="10"/>
        <v>1070</v>
      </c>
      <c r="AC77" s="75">
        <f t="shared" si="11"/>
        <v>40800</v>
      </c>
      <c r="AD77" s="78">
        <f t="shared" si="12"/>
        <v>31960</v>
      </c>
      <c r="AE77" s="72">
        <f t="shared" si="13"/>
        <v>72760</v>
      </c>
      <c r="AF77" s="75">
        <f t="shared" si="14"/>
        <v>7657.32</v>
      </c>
      <c r="AG77" s="78">
        <f t="shared" si="15"/>
        <v>5956.6120000000001</v>
      </c>
      <c r="AH77" s="72">
        <f t="shared" si="16"/>
        <v>13613.932000000001</v>
      </c>
      <c r="AI77" s="75">
        <f t="shared" si="17"/>
        <v>5160</v>
      </c>
      <c r="AJ77" s="78">
        <f t="shared" si="18"/>
        <v>4042</v>
      </c>
      <c r="AK77" s="72">
        <f t="shared" si="19"/>
        <v>9202</v>
      </c>
    </row>
    <row r="78" spans="1:37" ht="15.95" customHeight="1">
      <c r="A78" s="25" t="s">
        <v>948</v>
      </c>
      <c r="B78" s="25" t="s">
        <v>949</v>
      </c>
      <c r="C78" s="26" t="s">
        <v>982</v>
      </c>
      <c r="D78" s="26" t="s">
        <v>373</v>
      </c>
      <c r="E78" s="26" t="s">
        <v>16</v>
      </c>
      <c r="F78" s="26" t="s">
        <v>983</v>
      </c>
      <c r="G78" s="25" t="s">
        <v>119</v>
      </c>
      <c r="H78" s="42" t="s">
        <v>120</v>
      </c>
      <c r="I78" s="43" t="s">
        <v>27</v>
      </c>
      <c r="J78" s="28" t="s">
        <v>35</v>
      </c>
      <c r="K78" s="123">
        <v>68</v>
      </c>
      <c r="L78" s="29">
        <v>12.7622</v>
      </c>
      <c r="M78" s="110">
        <v>8.6</v>
      </c>
      <c r="N78" s="30">
        <v>0.28199999999999997</v>
      </c>
      <c r="O78" s="116">
        <v>2.4251999999999998</v>
      </c>
      <c r="P78" s="30">
        <v>7.4999999999999997E-2</v>
      </c>
      <c r="Q78" s="116">
        <v>0.64499999999999991</v>
      </c>
      <c r="R78" s="30">
        <v>7.0000000000000007E-2</v>
      </c>
      <c r="S78" s="116">
        <v>0.60199999999999998</v>
      </c>
      <c r="T78" s="117">
        <v>0.49</v>
      </c>
      <c r="U78" s="39">
        <v>500</v>
      </c>
      <c r="V78" s="32">
        <v>520</v>
      </c>
      <c r="W78" s="33">
        <v>0</v>
      </c>
      <c r="X78" s="32"/>
      <c r="Y78" s="32"/>
      <c r="Z78" s="32"/>
      <c r="AA78" s="34">
        <v>10</v>
      </c>
      <c r="AB78" s="35">
        <f t="shared" si="10"/>
        <v>1030</v>
      </c>
      <c r="AC78" s="75">
        <f t="shared" si="11"/>
        <v>34000</v>
      </c>
      <c r="AD78" s="78">
        <f t="shared" si="12"/>
        <v>36040</v>
      </c>
      <c r="AE78" s="72">
        <f t="shared" si="13"/>
        <v>70040</v>
      </c>
      <c r="AF78" s="75">
        <f t="shared" si="14"/>
        <v>6381.1</v>
      </c>
      <c r="AG78" s="78">
        <f t="shared" si="15"/>
        <v>6722.3440000000001</v>
      </c>
      <c r="AH78" s="72">
        <f t="shared" si="16"/>
        <v>13103.444</v>
      </c>
      <c r="AI78" s="75">
        <f t="shared" si="17"/>
        <v>4300</v>
      </c>
      <c r="AJ78" s="78">
        <f t="shared" si="18"/>
        <v>4558</v>
      </c>
      <c r="AK78" s="72">
        <f t="shared" si="19"/>
        <v>8858</v>
      </c>
    </row>
    <row r="79" spans="1:37" ht="15.95" customHeight="1">
      <c r="A79" s="25" t="s">
        <v>961</v>
      </c>
      <c r="B79" s="25" t="s">
        <v>949</v>
      </c>
      <c r="C79" s="26" t="s">
        <v>982</v>
      </c>
      <c r="D79" s="26" t="s">
        <v>373</v>
      </c>
      <c r="E79" s="26" t="s">
        <v>16</v>
      </c>
      <c r="F79" s="26" t="s">
        <v>983</v>
      </c>
      <c r="G79" s="26" t="s">
        <v>119</v>
      </c>
      <c r="H79" s="27" t="s">
        <v>120</v>
      </c>
      <c r="I79" s="26" t="s">
        <v>27</v>
      </c>
      <c r="J79" s="28" t="s">
        <v>35</v>
      </c>
      <c r="K79" s="123">
        <v>68</v>
      </c>
      <c r="L79" s="29">
        <v>12.7622</v>
      </c>
      <c r="M79" s="110">
        <v>8.6</v>
      </c>
      <c r="N79" s="30">
        <v>0.28199999999999997</v>
      </c>
      <c r="O79" s="116">
        <v>2.4251999999999998</v>
      </c>
      <c r="P79" s="30">
        <v>7.4999999999999997E-2</v>
      </c>
      <c r="Q79" s="116">
        <v>0.64499999999999991</v>
      </c>
      <c r="R79" s="30">
        <v>7.0000000000000007E-2</v>
      </c>
      <c r="S79" s="116">
        <v>0.60199999999999998</v>
      </c>
      <c r="T79" s="117">
        <v>0.49</v>
      </c>
      <c r="U79" s="39">
        <v>400</v>
      </c>
      <c r="V79" s="32"/>
      <c r="W79" s="33">
        <v>0</v>
      </c>
      <c r="X79" s="32"/>
      <c r="Y79" s="32"/>
      <c r="Z79" s="32"/>
      <c r="AA79" s="34"/>
      <c r="AB79" s="35">
        <f t="shared" si="10"/>
        <v>400</v>
      </c>
      <c r="AC79" s="75">
        <f t="shared" si="11"/>
        <v>27200</v>
      </c>
      <c r="AD79" s="78">
        <f t="shared" si="12"/>
        <v>0</v>
      </c>
      <c r="AE79" s="72">
        <f t="shared" si="13"/>
        <v>27200</v>
      </c>
      <c r="AF79" s="75">
        <f t="shared" si="14"/>
        <v>5104.88</v>
      </c>
      <c r="AG79" s="78">
        <f t="shared" si="15"/>
        <v>0</v>
      </c>
      <c r="AH79" s="72">
        <f t="shared" si="16"/>
        <v>5104.88</v>
      </c>
      <c r="AI79" s="75">
        <f t="shared" si="17"/>
        <v>3440</v>
      </c>
      <c r="AJ79" s="78">
        <f t="shared" si="18"/>
        <v>0</v>
      </c>
      <c r="AK79" s="72">
        <f t="shared" si="19"/>
        <v>3440</v>
      </c>
    </row>
    <row r="80" spans="1:37" ht="15.95" customHeight="1">
      <c r="A80" s="25" t="s">
        <v>961</v>
      </c>
      <c r="B80" s="25" t="s">
        <v>949</v>
      </c>
      <c r="C80" s="26" t="s">
        <v>982</v>
      </c>
      <c r="D80" s="26" t="s">
        <v>373</v>
      </c>
      <c r="E80" s="26" t="s">
        <v>16</v>
      </c>
      <c r="F80" s="26" t="s">
        <v>983</v>
      </c>
      <c r="G80" s="26" t="s">
        <v>119</v>
      </c>
      <c r="H80" s="27" t="s">
        <v>120</v>
      </c>
      <c r="I80" s="26" t="s">
        <v>27</v>
      </c>
      <c r="J80" s="37" t="s">
        <v>35</v>
      </c>
      <c r="K80" s="123">
        <v>68</v>
      </c>
      <c r="L80" s="29">
        <v>12.7622</v>
      </c>
      <c r="M80" s="110">
        <v>8.6</v>
      </c>
      <c r="N80" s="30">
        <v>0.28199999999999997</v>
      </c>
      <c r="O80" s="116">
        <v>2.4251999999999998</v>
      </c>
      <c r="P80" s="30">
        <v>7.4999999999999997E-2</v>
      </c>
      <c r="Q80" s="116">
        <v>0.64499999999999991</v>
      </c>
      <c r="R80" s="30">
        <v>7.0000000000000007E-2</v>
      </c>
      <c r="S80" s="116">
        <v>0.60199999999999998</v>
      </c>
      <c r="T80" s="117">
        <v>0.49</v>
      </c>
      <c r="U80" s="39">
        <v>400</v>
      </c>
      <c r="V80" s="32"/>
      <c r="W80" s="33">
        <v>0</v>
      </c>
      <c r="X80" s="32"/>
      <c r="Y80" s="32"/>
      <c r="Z80" s="32"/>
      <c r="AA80" s="34"/>
      <c r="AB80" s="35">
        <f t="shared" si="10"/>
        <v>400</v>
      </c>
      <c r="AC80" s="75">
        <f t="shared" si="11"/>
        <v>27200</v>
      </c>
      <c r="AD80" s="78">
        <f t="shared" si="12"/>
        <v>0</v>
      </c>
      <c r="AE80" s="72">
        <f t="shared" si="13"/>
        <v>27200</v>
      </c>
      <c r="AF80" s="75">
        <f t="shared" si="14"/>
        <v>5104.88</v>
      </c>
      <c r="AG80" s="78">
        <f t="shared" si="15"/>
        <v>0</v>
      </c>
      <c r="AH80" s="72">
        <f t="shared" si="16"/>
        <v>5104.88</v>
      </c>
      <c r="AI80" s="75">
        <f t="shared" si="17"/>
        <v>3440</v>
      </c>
      <c r="AJ80" s="78">
        <f t="shared" si="18"/>
        <v>0</v>
      </c>
      <c r="AK80" s="72">
        <f t="shared" si="19"/>
        <v>3440</v>
      </c>
    </row>
    <row r="81" spans="1:37" ht="15.95" customHeight="1">
      <c r="A81" s="25" t="s">
        <v>961</v>
      </c>
      <c r="B81" s="25" t="s">
        <v>949</v>
      </c>
      <c r="C81" s="26" t="s">
        <v>982</v>
      </c>
      <c r="D81" s="26" t="s">
        <v>373</v>
      </c>
      <c r="E81" s="26" t="s">
        <v>16</v>
      </c>
      <c r="F81" s="26" t="s">
        <v>983</v>
      </c>
      <c r="G81" s="26" t="s">
        <v>119</v>
      </c>
      <c r="H81" s="27" t="s">
        <v>120</v>
      </c>
      <c r="I81" s="26" t="s">
        <v>27</v>
      </c>
      <c r="J81" s="28" t="s">
        <v>35</v>
      </c>
      <c r="K81" s="123">
        <v>68</v>
      </c>
      <c r="L81" s="29">
        <v>12.7622</v>
      </c>
      <c r="M81" s="110">
        <v>8.6</v>
      </c>
      <c r="N81" s="30">
        <v>0.28199999999999997</v>
      </c>
      <c r="O81" s="116">
        <v>2.4251999999999998</v>
      </c>
      <c r="P81" s="30">
        <v>7.4999999999999997E-2</v>
      </c>
      <c r="Q81" s="116">
        <v>0.64499999999999991</v>
      </c>
      <c r="R81" s="30">
        <v>7.0000000000000007E-2</v>
      </c>
      <c r="S81" s="116">
        <v>0.60199999999999998</v>
      </c>
      <c r="T81" s="117">
        <v>0.49</v>
      </c>
      <c r="U81" s="39">
        <v>500</v>
      </c>
      <c r="V81" s="32"/>
      <c r="W81" s="33">
        <v>0</v>
      </c>
      <c r="X81" s="32"/>
      <c r="Y81" s="32"/>
      <c r="Z81" s="32"/>
      <c r="AA81" s="34"/>
      <c r="AB81" s="35">
        <f t="shared" si="10"/>
        <v>500</v>
      </c>
      <c r="AC81" s="75">
        <f t="shared" si="11"/>
        <v>34000</v>
      </c>
      <c r="AD81" s="78">
        <f t="shared" si="12"/>
        <v>0</v>
      </c>
      <c r="AE81" s="72">
        <f t="shared" si="13"/>
        <v>34000</v>
      </c>
      <c r="AF81" s="75">
        <f t="shared" si="14"/>
        <v>6381.1</v>
      </c>
      <c r="AG81" s="78">
        <f t="shared" si="15"/>
        <v>0</v>
      </c>
      <c r="AH81" s="72">
        <f t="shared" si="16"/>
        <v>6381.1</v>
      </c>
      <c r="AI81" s="75">
        <f t="shared" si="17"/>
        <v>4300</v>
      </c>
      <c r="AJ81" s="78">
        <f t="shared" si="18"/>
        <v>0</v>
      </c>
      <c r="AK81" s="72">
        <f t="shared" si="19"/>
        <v>4300</v>
      </c>
    </row>
    <row r="82" spans="1:37" ht="15.95" customHeight="1">
      <c r="A82" s="25" t="s">
        <v>966</v>
      </c>
      <c r="B82" s="25" t="s">
        <v>949</v>
      </c>
      <c r="C82" s="26" t="s">
        <v>982</v>
      </c>
      <c r="D82" s="26" t="s">
        <v>373</v>
      </c>
      <c r="E82" s="26" t="s">
        <v>16</v>
      </c>
      <c r="F82" s="26" t="s">
        <v>983</v>
      </c>
      <c r="G82" s="26" t="s">
        <v>119</v>
      </c>
      <c r="H82" s="27" t="s">
        <v>120</v>
      </c>
      <c r="I82" s="26" t="s">
        <v>27</v>
      </c>
      <c r="J82" s="28" t="s">
        <v>35</v>
      </c>
      <c r="K82" s="123">
        <v>68</v>
      </c>
      <c r="L82" s="29">
        <v>12.7622</v>
      </c>
      <c r="M82" s="110">
        <v>8.6</v>
      </c>
      <c r="N82" s="30">
        <v>0.28199999999999997</v>
      </c>
      <c r="O82" s="116">
        <v>2.4251999999999998</v>
      </c>
      <c r="P82" s="30">
        <v>7.4999999999999997E-2</v>
      </c>
      <c r="Q82" s="116">
        <v>0.64499999999999991</v>
      </c>
      <c r="R82" s="30">
        <v>7.0000000000000007E-2</v>
      </c>
      <c r="S82" s="116">
        <v>0.60199999999999998</v>
      </c>
      <c r="T82" s="117">
        <v>0.49</v>
      </c>
      <c r="U82" s="39">
        <v>1000</v>
      </c>
      <c r="V82" s="32"/>
      <c r="W82" s="33">
        <v>0</v>
      </c>
      <c r="X82" s="32"/>
      <c r="Y82" s="32"/>
      <c r="Z82" s="32"/>
      <c r="AA82" s="34"/>
      <c r="AB82" s="35">
        <f t="shared" si="10"/>
        <v>1000</v>
      </c>
      <c r="AC82" s="75">
        <f t="shared" si="11"/>
        <v>68000</v>
      </c>
      <c r="AD82" s="78">
        <f t="shared" si="12"/>
        <v>0</v>
      </c>
      <c r="AE82" s="72">
        <f t="shared" si="13"/>
        <v>68000</v>
      </c>
      <c r="AF82" s="75">
        <f t="shared" si="14"/>
        <v>12762.2</v>
      </c>
      <c r="AG82" s="78">
        <f t="shared" si="15"/>
        <v>0</v>
      </c>
      <c r="AH82" s="72">
        <f t="shared" si="16"/>
        <v>12762.2</v>
      </c>
      <c r="AI82" s="75">
        <f t="shared" si="17"/>
        <v>8600</v>
      </c>
      <c r="AJ82" s="78">
        <f t="shared" si="18"/>
        <v>0</v>
      </c>
      <c r="AK82" s="72">
        <f t="shared" si="19"/>
        <v>8600</v>
      </c>
    </row>
    <row r="83" spans="1:37" ht="15.95" customHeight="1">
      <c r="A83" s="25" t="s">
        <v>948</v>
      </c>
      <c r="B83" s="25" t="s">
        <v>949</v>
      </c>
      <c r="C83" s="26" t="s">
        <v>24</v>
      </c>
      <c r="D83" s="26" t="s">
        <v>373</v>
      </c>
      <c r="E83" s="26" t="s">
        <v>16</v>
      </c>
      <c r="F83" s="26" t="s">
        <v>984</v>
      </c>
      <c r="G83" s="26" t="s">
        <v>954</v>
      </c>
      <c r="H83" s="27" t="s">
        <v>955</v>
      </c>
      <c r="I83" s="26" t="s">
        <v>27</v>
      </c>
      <c r="J83" s="28" t="s">
        <v>28</v>
      </c>
      <c r="K83" s="123">
        <v>78</v>
      </c>
      <c r="L83" s="29">
        <v>12.502999999999998</v>
      </c>
      <c r="M83" s="110">
        <v>8.1999999999999993</v>
      </c>
      <c r="N83" s="30">
        <v>0.32</v>
      </c>
      <c r="O83" s="116">
        <v>2.6239999999999997</v>
      </c>
      <c r="P83" s="30">
        <v>7.4999999999999997E-2</v>
      </c>
      <c r="Q83" s="116">
        <v>0.61499999999999988</v>
      </c>
      <c r="R83" s="30">
        <v>7.0000000000000007E-2</v>
      </c>
      <c r="S83" s="116">
        <v>0.57399999999999995</v>
      </c>
      <c r="T83" s="117">
        <v>0.49</v>
      </c>
      <c r="U83" s="39">
        <v>400</v>
      </c>
      <c r="V83" s="32">
        <v>237</v>
      </c>
      <c r="W83" s="33">
        <v>0</v>
      </c>
      <c r="X83" s="32"/>
      <c r="Y83" s="32"/>
      <c r="Z83" s="32"/>
      <c r="AA83" s="34">
        <v>20</v>
      </c>
      <c r="AB83" s="35">
        <f t="shared" si="10"/>
        <v>657</v>
      </c>
      <c r="AC83" s="75">
        <f t="shared" si="11"/>
        <v>31200</v>
      </c>
      <c r="AD83" s="78">
        <f t="shared" si="12"/>
        <v>20046</v>
      </c>
      <c r="AE83" s="72">
        <f t="shared" si="13"/>
        <v>51246</v>
      </c>
      <c r="AF83" s="75">
        <f t="shared" si="14"/>
        <v>5001.1999999999989</v>
      </c>
      <c r="AG83" s="78">
        <f t="shared" si="15"/>
        <v>3127.2109999999998</v>
      </c>
      <c r="AH83" s="72">
        <f t="shared" si="16"/>
        <v>8128.4109999999982</v>
      </c>
      <c r="AI83" s="75">
        <f t="shared" si="17"/>
        <v>3279.9999999999995</v>
      </c>
      <c r="AJ83" s="78">
        <f t="shared" si="18"/>
        <v>2107.3999999999996</v>
      </c>
      <c r="AK83" s="72">
        <f t="shared" si="19"/>
        <v>5387.4</v>
      </c>
    </row>
    <row r="84" spans="1:37" ht="15.95" customHeight="1">
      <c r="A84" s="25" t="s">
        <v>948</v>
      </c>
      <c r="B84" s="25" t="s">
        <v>949</v>
      </c>
      <c r="C84" s="26" t="s">
        <v>44</v>
      </c>
      <c r="D84" s="26" t="s">
        <v>373</v>
      </c>
      <c r="E84" s="26" t="s">
        <v>16</v>
      </c>
      <c r="F84" s="26" t="s">
        <v>985</v>
      </c>
      <c r="G84" s="26" t="s">
        <v>954</v>
      </c>
      <c r="H84" s="27" t="s">
        <v>955</v>
      </c>
      <c r="I84" s="26" t="s">
        <v>27</v>
      </c>
      <c r="J84" s="28" t="s">
        <v>46</v>
      </c>
      <c r="K84" s="123">
        <v>98</v>
      </c>
      <c r="L84" s="29">
        <v>13.382000000000001</v>
      </c>
      <c r="M84" s="110">
        <v>8.8000000000000007</v>
      </c>
      <c r="N84" s="30">
        <v>0.32</v>
      </c>
      <c r="O84" s="116">
        <v>2.8160000000000003</v>
      </c>
      <c r="P84" s="30">
        <v>7.4999999999999997E-2</v>
      </c>
      <c r="Q84" s="116">
        <v>0.66</v>
      </c>
      <c r="R84" s="30">
        <v>7.0000000000000007E-2</v>
      </c>
      <c r="S84" s="116">
        <v>0.6160000000000001</v>
      </c>
      <c r="T84" s="117">
        <v>0.49</v>
      </c>
      <c r="U84" s="39">
        <v>350</v>
      </c>
      <c r="V84" s="32">
        <v>234</v>
      </c>
      <c r="W84" s="33">
        <v>0</v>
      </c>
      <c r="X84" s="32"/>
      <c r="Y84" s="32"/>
      <c r="Z84" s="32">
        <v>12</v>
      </c>
      <c r="AA84" s="34">
        <v>40</v>
      </c>
      <c r="AB84" s="35">
        <f t="shared" si="10"/>
        <v>636</v>
      </c>
      <c r="AC84" s="75">
        <f t="shared" si="11"/>
        <v>34300</v>
      </c>
      <c r="AD84" s="78">
        <f t="shared" si="12"/>
        <v>28028</v>
      </c>
      <c r="AE84" s="72">
        <f t="shared" si="13"/>
        <v>62328</v>
      </c>
      <c r="AF84" s="75">
        <f t="shared" si="14"/>
        <v>4683.7000000000007</v>
      </c>
      <c r="AG84" s="78">
        <f t="shared" si="15"/>
        <v>3588.9880000000003</v>
      </c>
      <c r="AH84" s="72">
        <f t="shared" si="16"/>
        <v>8272.6880000000019</v>
      </c>
      <c r="AI84" s="75">
        <f t="shared" si="17"/>
        <v>3080.0000000000005</v>
      </c>
      <c r="AJ84" s="78">
        <f t="shared" si="18"/>
        <v>2516.8000000000002</v>
      </c>
      <c r="AK84" s="72">
        <f t="shared" si="19"/>
        <v>5596.8000000000011</v>
      </c>
    </row>
    <row r="85" spans="1:37" ht="15.95" customHeight="1">
      <c r="A85" s="25" t="s">
        <v>948</v>
      </c>
      <c r="B85" s="25" t="s">
        <v>949</v>
      </c>
      <c r="C85" s="26" t="s">
        <v>29</v>
      </c>
      <c r="D85" s="26" t="s">
        <v>373</v>
      </c>
      <c r="E85" s="26" t="s">
        <v>16</v>
      </c>
      <c r="F85" s="26" t="s">
        <v>986</v>
      </c>
      <c r="G85" s="26" t="s">
        <v>954</v>
      </c>
      <c r="H85" s="27" t="s">
        <v>955</v>
      </c>
      <c r="I85" s="26" t="s">
        <v>27</v>
      </c>
      <c r="J85" s="28" t="s">
        <v>35</v>
      </c>
      <c r="K85" s="123">
        <v>68</v>
      </c>
      <c r="L85" s="29">
        <v>12.7622</v>
      </c>
      <c r="M85" s="110">
        <v>8.6</v>
      </c>
      <c r="N85" s="30">
        <v>0.28199999999999997</v>
      </c>
      <c r="O85" s="116">
        <v>2.4251999999999998</v>
      </c>
      <c r="P85" s="30">
        <v>7.4999999999999997E-2</v>
      </c>
      <c r="Q85" s="116">
        <v>0.64499999999999991</v>
      </c>
      <c r="R85" s="30">
        <v>7.0000000000000007E-2</v>
      </c>
      <c r="S85" s="116">
        <v>0.60199999999999998</v>
      </c>
      <c r="T85" s="117">
        <v>0.49</v>
      </c>
      <c r="U85" s="39">
        <v>400</v>
      </c>
      <c r="V85" s="32">
        <v>405</v>
      </c>
      <c r="W85" s="33">
        <v>0</v>
      </c>
      <c r="X85" s="32"/>
      <c r="Y85" s="32"/>
      <c r="Z85" s="32">
        <v>12</v>
      </c>
      <c r="AA85" s="34">
        <v>40</v>
      </c>
      <c r="AB85" s="35">
        <f t="shared" si="10"/>
        <v>857</v>
      </c>
      <c r="AC85" s="75">
        <f t="shared" si="11"/>
        <v>27200</v>
      </c>
      <c r="AD85" s="78">
        <f t="shared" si="12"/>
        <v>31076</v>
      </c>
      <c r="AE85" s="72">
        <f t="shared" si="13"/>
        <v>58276</v>
      </c>
      <c r="AF85" s="75">
        <f t="shared" si="14"/>
        <v>5104.88</v>
      </c>
      <c r="AG85" s="78">
        <f t="shared" si="15"/>
        <v>5615.8909999999996</v>
      </c>
      <c r="AH85" s="72">
        <f t="shared" si="16"/>
        <v>10720.771000000001</v>
      </c>
      <c r="AI85" s="75">
        <f t="shared" si="17"/>
        <v>3440</v>
      </c>
      <c r="AJ85" s="78">
        <f t="shared" si="18"/>
        <v>3930.2</v>
      </c>
      <c r="AK85" s="72">
        <f t="shared" si="19"/>
        <v>7370.2</v>
      </c>
    </row>
    <row r="86" spans="1:37" ht="15.95" customHeight="1">
      <c r="A86" s="25" t="s">
        <v>948</v>
      </c>
      <c r="B86" s="25" t="s">
        <v>949</v>
      </c>
      <c r="C86" s="26" t="s">
        <v>24</v>
      </c>
      <c r="D86" s="26" t="s">
        <v>373</v>
      </c>
      <c r="E86" s="26" t="s">
        <v>16</v>
      </c>
      <c r="F86" s="26" t="s">
        <v>984</v>
      </c>
      <c r="G86" s="26" t="s">
        <v>954</v>
      </c>
      <c r="H86" s="27" t="s">
        <v>955</v>
      </c>
      <c r="I86" s="26" t="s">
        <v>27</v>
      </c>
      <c r="J86" s="28" t="s">
        <v>28</v>
      </c>
      <c r="K86" s="123">
        <v>78</v>
      </c>
      <c r="L86" s="29">
        <v>12.502999999999998</v>
      </c>
      <c r="M86" s="110">
        <v>8.1999999999999993</v>
      </c>
      <c r="N86" s="30">
        <v>0.32</v>
      </c>
      <c r="O86" s="116">
        <v>2.6239999999999997</v>
      </c>
      <c r="P86" s="30">
        <v>7.4999999999999997E-2</v>
      </c>
      <c r="Q86" s="116">
        <v>0.61499999999999988</v>
      </c>
      <c r="R86" s="30">
        <v>7.0000000000000007E-2</v>
      </c>
      <c r="S86" s="116">
        <v>0.57399999999999995</v>
      </c>
      <c r="T86" s="117">
        <v>0.49</v>
      </c>
      <c r="U86" s="39">
        <v>350</v>
      </c>
      <c r="V86" s="32">
        <v>154</v>
      </c>
      <c r="W86" s="33">
        <v>0</v>
      </c>
      <c r="X86" s="32"/>
      <c r="Y86" s="32"/>
      <c r="Z86" s="32"/>
      <c r="AA86" s="34">
        <v>10</v>
      </c>
      <c r="AB86" s="35">
        <f t="shared" si="10"/>
        <v>514</v>
      </c>
      <c r="AC86" s="75">
        <f t="shared" si="11"/>
        <v>27300</v>
      </c>
      <c r="AD86" s="78">
        <f t="shared" si="12"/>
        <v>12792</v>
      </c>
      <c r="AE86" s="72">
        <f t="shared" si="13"/>
        <v>40092</v>
      </c>
      <c r="AF86" s="75">
        <f t="shared" si="14"/>
        <v>4376.0499999999993</v>
      </c>
      <c r="AG86" s="78">
        <f t="shared" si="15"/>
        <v>2007.4619999999998</v>
      </c>
      <c r="AH86" s="72">
        <f t="shared" si="16"/>
        <v>6383.5119999999988</v>
      </c>
      <c r="AI86" s="75">
        <f t="shared" si="17"/>
        <v>2869.9999999999995</v>
      </c>
      <c r="AJ86" s="78">
        <f t="shared" si="18"/>
        <v>1344.8</v>
      </c>
      <c r="AK86" s="72">
        <f t="shared" si="19"/>
        <v>4214.7999999999993</v>
      </c>
    </row>
    <row r="87" spans="1:37" ht="15.95" customHeight="1">
      <c r="A87" s="25" t="s">
        <v>948</v>
      </c>
      <c r="B87" s="25" t="s">
        <v>949</v>
      </c>
      <c r="C87" s="26" t="s">
        <v>44</v>
      </c>
      <c r="D87" s="26" t="s">
        <v>373</v>
      </c>
      <c r="E87" s="26" t="s">
        <v>16</v>
      </c>
      <c r="F87" s="26" t="s">
        <v>985</v>
      </c>
      <c r="G87" s="26" t="s">
        <v>954</v>
      </c>
      <c r="H87" s="27" t="s">
        <v>955</v>
      </c>
      <c r="I87" s="26" t="s">
        <v>27</v>
      </c>
      <c r="J87" s="28" t="s">
        <v>46</v>
      </c>
      <c r="K87" s="123">
        <v>98</v>
      </c>
      <c r="L87" s="29">
        <v>13.382000000000001</v>
      </c>
      <c r="M87" s="110">
        <v>8.8000000000000007</v>
      </c>
      <c r="N87" s="30">
        <v>0.32</v>
      </c>
      <c r="O87" s="116">
        <v>2.8160000000000003</v>
      </c>
      <c r="P87" s="30">
        <v>7.4999999999999997E-2</v>
      </c>
      <c r="Q87" s="116">
        <v>0.66</v>
      </c>
      <c r="R87" s="30">
        <v>7.0000000000000007E-2</v>
      </c>
      <c r="S87" s="116">
        <v>0.6160000000000001</v>
      </c>
      <c r="T87" s="117">
        <v>0.49</v>
      </c>
      <c r="U87" s="39">
        <v>300</v>
      </c>
      <c r="V87" s="32">
        <v>149</v>
      </c>
      <c r="W87" s="33">
        <v>52</v>
      </c>
      <c r="X87" s="32"/>
      <c r="Y87" s="32"/>
      <c r="Z87" s="32"/>
      <c r="AA87" s="34">
        <v>10</v>
      </c>
      <c r="AB87" s="35">
        <f t="shared" si="10"/>
        <v>511</v>
      </c>
      <c r="AC87" s="75">
        <f t="shared" si="11"/>
        <v>29400</v>
      </c>
      <c r="AD87" s="78">
        <f t="shared" si="12"/>
        <v>20678</v>
      </c>
      <c r="AE87" s="72">
        <f t="shared" si="13"/>
        <v>50078</v>
      </c>
      <c r="AF87" s="75">
        <f t="shared" si="14"/>
        <v>4014.6000000000004</v>
      </c>
      <c r="AG87" s="78">
        <f t="shared" si="15"/>
        <v>2777.7820000000002</v>
      </c>
      <c r="AH87" s="72">
        <f t="shared" si="16"/>
        <v>6792.3820000000005</v>
      </c>
      <c r="AI87" s="75">
        <f t="shared" si="17"/>
        <v>2640</v>
      </c>
      <c r="AJ87" s="78">
        <f t="shared" si="18"/>
        <v>1856.8000000000002</v>
      </c>
      <c r="AK87" s="72">
        <f t="shared" si="19"/>
        <v>4496.8</v>
      </c>
    </row>
    <row r="88" spans="1:37" ht="15.95" customHeight="1">
      <c r="A88" s="25" t="s">
        <v>948</v>
      </c>
      <c r="B88" s="25" t="s">
        <v>949</v>
      </c>
      <c r="C88" s="26" t="s">
        <v>29</v>
      </c>
      <c r="D88" s="26" t="s">
        <v>373</v>
      </c>
      <c r="E88" s="26" t="s">
        <v>16</v>
      </c>
      <c r="F88" s="26" t="s">
        <v>986</v>
      </c>
      <c r="G88" s="26" t="s">
        <v>954</v>
      </c>
      <c r="H88" s="27" t="s">
        <v>955</v>
      </c>
      <c r="I88" s="26" t="s">
        <v>27</v>
      </c>
      <c r="J88" s="28" t="s">
        <v>35</v>
      </c>
      <c r="K88" s="123">
        <v>68</v>
      </c>
      <c r="L88" s="29">
        <v>12.7622</v>
      </c>
      <c r="M88" s="110">
        <v>8.6</v>
      </c>
      <c r="N88" s="30">
        <v>0.28199999999999997</v>
      </c>
      <c r="O88" s="116">
        <v>2.4251999999999998</v>
      </c>
      <c r="P88" s="30">
        <v>7.4999999999999997E-2</v>
      </c>
      <c r="Q88" s="116">
        <v>0.64499999999999991</v>
      </c>
      <c r="R88" s="30">
        <v>7.0000000000000007E-2</v>
      </c>
      <c r="S88" s="116">
        <v>0.60199999999999998</v>
      </c>
      <c r="T88" s="117">
        <v>0.49</v>
      </c>
      <c r="U88" s="39">
        <v>300</v>
      </c>
      <c r="V88" s="32">
        <v>174</v>
      </c>
      <c r="W88" s="33">
        <v>52</v>
      </c>
      <c r="X88" s="32"/>
      <c r="Y88" s="32"/>
      <c r="Z88" s="32"/>
      <c r="AA88" s="34">
        <v>10</v>
      </c>
      <c r="AB88" s="35">
        <f t="shared" si="10"/>
        <v>536</v>
      </c>
      <c r="AC88" s="75">
        <f t="shared" si="11"/>
        <v>20400</v>
      </c>
      <c r="AD88" s="78">
        <f t="shared" si="12"/>
        <v>16048</v>
      </c>
      <c r="AE88" s="72">
        <f t="shared" si="13"/>
        <v>36448</v>
      </c>
      <c r="AF88" s="75">
        <f t="shared" si="14"/>
        <v>3828.66</v>
      </c>
      <c r="AG88" s="78">
        <f t="shared" si="15"/>
        <v>2970.2572</v>
      </c>
      <c r="AH88" s="72">
        <f t="shared" si="16"/>
        <v>6798.9171999999999</v>
      </c>
      <c r="AI88" s="75">
        <f t="shared" si="17"/>
        <v>2580</v>
      </c>
      <c r="AJ88" s="78">
        <f t="shared" si="18"/>
        <v>2029.6</v>
      </c>
      <c r="AK88" s="72">
        <f t="shared" si="19"/>
        <v>4609.6000000000004</v>
      </c>
    </row>
    <row r="89" spans="1:37" ht="15.95" customHeight="1">
      <c r="A89" s="25" t="s">
        <v>948</v>
      </c>
      <c r="B89" s="25" t="s">
        <v>949</v>
      </c>
      <c r="C89" s="26" t="s">
        <v>14</v>
      </c>
      <c r="D89" s="26" t="s">
        <v>373</v>
      </c>
      <c r="E89" s="26" t="s">
        <v>16</v>
      </c>
      <c r="F89" s="26" t="s">
        <v>987</v>
      </c>
      <c r="G89" s="26" t="s">
        <v>988</v>
      </c>
      <c r="H89" s="44" t="s">
        <v>989</v>
      </c>
      <c r="I89" s="26" t="s">
        <v>19</v>
      </c>
      <c r="J89" s="28" t="s">
        <v>20</v>
      </c>
      <c r="K89" s="125">
        <v>135</v>
      </c>
      <c r="L89" s="29">
        <v>22.531000000000002</v>
      </c>
      <c r="M89" s="110">
        <v>15.5</v>
      </c>
      <c r="N89" s="30">
        <v>0.27700000000000002</v>
      </c>
      <c r="O89" s="116">
        <v>4.2935000000000008</v>
      </c>
      <c r="P89" s="30">
        <v>7.4999999999999997E-2</v>
      </c>
      <c r="Q89" s="116">
        <v>1.1624999999999999</v>
      </c>
      <c r="R89" s="30">
        <v>7.0000000000000007E-2</v>
      </c>
      <c r="S89" s="116">
        <v>1.0850000000000002</v>
      </c>
      <c r="T89" s="117">
        <v>0.49</v>
      </c>
      <c r="U89" s="39">
        <v>300</v>
      </c>
      <c r="V89" s="32">
        <v>13</v>
      </c>
      <c r="W89" s="33">
        <v>158</v>
      </c>
      <c r="X89" s="32"/>
      <c r="Y89" s="32"/>
      <c r="Z89" s="32"/>
      <c r="AA89" s="34">
        <v>30</v>
      </c>
      <c r="AB89" s="35">
        <f t="shared" si="10"/>
        <v>501</v>
      </c>
      <c r="AC89" s="75">
        <f t="shared" si="11"/>
        <v>40500</v>
      </c>
      <c r="AD89" s="78">
        <f t="shared" si="12"/>
        <v>27135</v>
      </c>
      <c r="AE89" s="72">
        <f t="shared" si="13"/>
        <v>67635</v>
      </c>
      <c r="AF89" s="75">
        <f t="shared" si="14"/>
        <v>6759.3000000000011</v>
      </c>
      <c r="AG89" s="78">
        <f t="shared" si="15"/>
        <v>4317.8010000000004</v>
      </c>
      <c r="AH89" s="72">
        <f t="shared" si="16"/>
        <v>11077.101000000002</v>
      </c>
      <c r="AI89" s="75">
        <f t="shared" si="17"/>
        <v>4650</v>
      </c>
      <c r="AJ89" s="78">
        <f t="shared" si="18"/>
        <v>3115.5</v>
      </c>
      <c r="AK89" s="72">
        <f t="shared" si="19"/>
        <v>7765.5</v>
      </c>
    </row>
    <row r="90" spans="1:37" ht="15.95" customHeight="1">
      <c r="A90" s="25" t="s">
        <v>948</v>
      </c>
      <c r="B90" s="25" t="s">
        <v>949</v>
      </c>
      <c r="C90" s="26" t="s">
        <v>14</v>
      </c>
      <c r="D90" s="26" t="s">
        <v>373</v>
      </c>
      <c r="E90" s="26" t="s">
        <v>16</v>
      </c>
      <c r="F90" s="26" t="s">
        <v>987</v>
      </c>
      <c r="G90" s="26" t="s">
        <v>988</v>
      </c>
      <c r="H90" s="44" t="s">
        <v>989</v>
      </c>
      <c r="I90" s="26" t="s">
        <v>19</v>
      </c>
      <c r="J90" s="28" t="s">
        <v>20</v>
      </c>
      <c r="K90" s="125">
        <v>135</v>
      </c>
      <c r="L90" s="29">
        <v>22.531000000000002</v>
      </c>
      <c r="M90" s="110">
        <v>15.5</v>
      </c>
      <c r="N90" s="30">
        <v>0.27700000000000002</v>
      </c>
      <c r="O90" s="116">
        <v>4.2935000000000008</v>
      </c>
      <c r="P90" s="30">
        <v>7.4999999999999997E-2</v>
      </c>
      <c r="Q90" s="116">
        <v>1.1624999999999999</v>
      </c>
      <c r="R90" s="30">
        <v>7.0000000000000007E-2</v>
      </c>
      <c r="S90" s="116">
        <v>1.0850000000000002</v>
      </c>
      <c r="T90" s="117">
        <v>0.49</v>
      </c>
      <c r="U90" s="39">
        <v>350</v>
      </c>
      <c r="V90" s="32">
        <v>143</v>
      </c>
      <c r="W90" s="33">
        <v>0</v>
      </c>
      <c r="X90" s="32"/>
      <c r="Y90" s="32"/>
      <c r="Z90" s="32"/>
      <c r="AA90" s="34">
        <v>40</v>
      </c>
      <c r="AB90" s="35">
        <f t="shared" si="10"/>
        <v>533</v>
      </c>
      <c r="AC90" s="75">
        <f t="shared" si="11"/>
        <v>47250</v>
      </c>
      <c r="AD90" s="78">
        <f t="shared" si="12"/>
        <v>24705</v>
      </c>
      <c r="AE90" s="72">
        <f t="shared" si="13"/>
        <v>71955</v>
      </c>
      <c r="AF90" s="75">
        <f t="shared" si="14"/>
        <v>7885.8500000000013</v>
      </c>
      <c r="AG90" s="78">
        <f t="shared" si="15"/>
        <v>3841.9330000000004</v>
      </c>
      <c r="AH90" s="72">
        <f t="shared" si="16"/>
        <v>11727.783000000001</v>
      </c>
      <c r="AI90" s="75">
        <f t="shared" si="17"/>
        <v>5425</v>
      </c>
      <c r="AJ90" s="78">
        <f t="shared" si="18"/>
        <v>2836.5</v>
      </c>
      <c r="AK90" s="72">
        <f t="shared" si="19"/>
        <v>8261.5</v>
      </c>
    </row>
    <row r="91" spans="1:37" ht="15.95" customHeight="1">
      <c r="A91" s="25" t="s">
        <v>948</v>
      </c>
      <c r="B91" s="25" t="s">
        <v>949</v>
      </c>
      <c r="C91" s="26" t="s">
        <v>976</v>
      </c>
      <c r="D91" s="26" t="s">
        <v>373</v>
      </c>
      <c r="E91" s="26" t="s">
        <v>16</v>
      </c>
      <c r="F91" s="26" t="s">
        <v>990</v>
      </c>
      <c r="G91" s="26" t="s">
        <v>991</v>
      </c>
      <c r="H91" s="44" t="s">
        <v>992</v>
      </c>
      <c r="I91" s="26" t="s">
        <v>19</v>
      </c>
      <c r="J91" s="28" t="s">
        <v>20</v>
      </c>
      <c r="K91" s="125">
        <v>150</v>
      </c>
      <c r="L91" s="29">
        <v>29.996499999999997</v>
      </c>
      <c r="M91" s="110">
        <v>20.75</v>
      </c>
      <c r="N91" s="30">
        <v>0.27700000000000002</v>
      </c>
      <c r="O91" s="116">
        <v>5.7477500000000008</v>
      </c>
      <c r="P91" s="30">
        <v>7.4999999999999997E-2</v>
      </c>
      <c r="Q91" s="116">
        <v>1.5562499999999999</v>
      </c>
      <c r="R91" s="30">
        <v>7.0000000000000007E-2</v>
      </c>
      <c r="S91" s="116">
        <v>1.4525000000000001</v>
      </c>
      <c r="T91" s="117">
        <v>0.49</v>
      </c>
      <c r="U91" s="39">
        <v>300</v>
      </c>
      <c r="V91" s="32">
        <v>8</v>
      </c>
      <c r="W91" s="33">
        <v>199</v>
      </c>
      <c r="X91" s="32"/>
      <c r="Y91" s="32"/>
      <c r="Z91" s="32"/>
      <c r="AA91" s="34"/>
      <c r="AB91" s="35">
        <f t="shared" si="10"/>
        <v>507</v>
      </c>
      <c r="AC91" s="75">
        <f t="shared" si="11"/>
        <v>45000</v>
      </c>
      <c r="AD91" s="78">
        <f t="shared" si="12"/>
        <v>31050</v>
      </c>
      <c r="AE91" s="72">
        <f t="shared" si="13"/>
        <v>76050</v>
      </c>
      <c r="AF91" s="75">
        <f t="shared" si="14"/>
        <v>8998.9499999999989</v>
      </c>
      <c r="AG91" s="78">
        <f t="shared" si="15"/>
        <v>6209.2754999999997</v>
      </c>
      <c r="AH91" s="72">
        <f t="shared" si="16"/>
        <v>15208.225499999999</v>
      </c>
      <c r="AI91" s="75">
        <f t="shared" si="17"/>
        <v>6225</v>
      </c>
      <c r="AJ91" s="78">
        <f t="shared" si="18"/>
        <v>4295.25</v>
      </c>
      <c r="AK91" s="72">
        <f t="shared" si="19"/>
        <v>10520.25</v>
      </c>
    </row>
    <row r="92" spans="1:37" ht="15.95" customHeight="1">
      <c r="A92" s="25" t="s">
        <v>948</v>
      </c>
      <c r="B92" s="25" t="s">
        <v>949</v>
      </c>
      <c r="C92" s="26" t="s">
        <v>976</v>
      </c>
      <c r="D92" s="26" t="s">
        <v>373</v>
      </c>
      <c r="E92" s="26" t="s">
        <v>16</v>
      </c>
      <c r="F92" s="26" t="s">
        <v>990</v>
      </c>
      <c r="G92" s="26" t="s">
        <v>991</v>
      </c>
      <c r="H92" s="44" t="s">
        <v>992</v>
      </c>
      <c r="I92" s="26" t="s">
        <v>19</v>
      </c>
      <c r="J92" s="28" t="s">
        <v>20</v>
      </c>
      <c r="K92" s="125">
        <v>150</v>
      </c>
      <c r="L92" s="29">
        <v>29.996499999999997</v>
      </c>
      <c r="M92" s="110">
        <v>20.75</v>
      </c>
      <c r="N92" s="30">
        <v>0.27700000000000002</v>
      </c>
      <c r="O92" s="116">
        <v>5.7477500000000008</v>
      </c>
      <c r="P92" s="30">
        <v>7.4999999999999997E-2</v>
      </c>
      <c r="Q92" s="116">
        <v>1.5562499999999999</v>
      </c>
      <c r="R92" s="30">
        <v>7.0000000000000007E-2</v>
      </c>
      <c r="S92" s="116">
        <v>1.4525000000000001</v>
      </c>
      <c r="T92" s="117">
        <v>0.49</v>
      </c>
      <c r="U92" s="39">
        <v>400</v>
      </c>
      <c r="V92" s="32">
        <v>109</v>
      </c>
      <c r="W92" s="33">
        <v>0</v>
      </c>
      <c r="X92" s="32"/>
      <c r="Y92" s="32">
        <v>21</v>
      </c>
      <c r="Z92" s="32"/>
      <c r="AA92" s="34"/>
      <c r="AB92" s="35">
        <f t="shared" si="10"/>
        <v>530</v>
      </c>
      <c r="AC92" s="75">
        <f t="shared" si="11"/>
        <v>60000</v>
      </c>
      <c r="AD92" s="78">
        <f t="shared" si="12"/>
        <v>19500</v>
      </c>
      <c r="AE92" s="72">
        <f t="shared" si="13"/>
        <v>79500</v>
      </c>
      <c r="AF92" s="75">
        <f t="shared" si="14"/>
        <v>11998.599999999999</v>
      </c>
      <c r="AG92" s="78">
        <f t="shared" si="15"/>
        <v>3705.3684999999996</v>
      </c>
      <c r="AH92" s="72">
        <f t="shared" si="16"/>
        <v>15703.968499999999</v>
      </c>
      <c r="AI92" s="75">
        <f t="shared" si="17"/>
        <v>8300</v>
      </c>
      <c r="AJ92" s="78">
        <f t="shared" si="18"/>
        <v>2697.5</v>
      </c>
      <c r="AK92" s="72">
        <f t="shared" si="19"/>
        <v>10997.5</v>
      </c>
    </row>
    <row r="93" spans="1:37" ht="15.95" customHeight="1">
      <c r="A93" s="25" t="s">
        <v>948</v>
      </c>
      <c r="B93" s="25" t="s">
        <v>949</v>
      </c>
      <c r="C93" s="26" t="s">
        <v>24</v>
      </c>
      <c r="D93" s="26" t="s">
        <v>213</v>
      </c>
      <c r="E93" s="26" t="s">
        <v>214</v>
      </c>
      <c r="F93" s="26" t="s">
        <v>993</v>
      </c>
      <c r="G93" s="26" t="s">
        <v>351</v>
      </c>
      <c r="H93" s="27" t="s">
        <v>994</v>
      </c>
      <c r="I93" s="26" t="s">
        <v>27</v>
      </c>
      <c r="J93" s="28" t="s">
        <v>227</v>
      </c>
      <c r="K93" s="125">
        <v>48</v>
      </c>
      <c r="L93" s="29">
        <v>7.1590000000000007</v>
      </c>
      <c r="M93" s="110">
        <v>5.4</v>
      </c>
      <c r="N93" s="30">
        <v>0.16500000000000001</v>
      </c>
      <c r="O93" s="116">
        <v>0.89100000000000013</v>
      </c>
      <c r="P93" s="30"/>
      <c r="Q93" s="116"/>
      <c r="R93" s="30">
        <v>7.0000000000000007E-2</v>
      </c>
      <c r="S93" s="116">
        <v>0.37800000000000006</v>
      </c>
      <c r="T93" s="117">
        <v>0.49</v>
      </c>
      <c r="U93" s="39">
        <v>500</v>
      </c>
      <c r="V93" s="32">
        <v>337</v>
      </c>
      <c r="W93" s="33">
        <v>0</v>
      </c>
      <c r="X93" s="32"/>
      <c r="Y93" s="32"/>
      <c r="Z93" s="32"/>
      <c r="AA93" s="34">
        <v>50</v>
      </c>
      <c r="AB93" s="35">
        <f t="shared" si="10"/>
        <v>887</v>
      </c>
      <c r="AC93" s="75">
        <f t="shared" si="11"/>
        <v>24000</v>
      </c>
      <c r="AD93" s="78">
        <f t="shared" si="12"/>
        <v>18576</v>
      </c>
      <c r="AE93" s="72">
        <f t="shared" si="13"/>
        <v>42576</v>
      </c>
      <c r="AF93" s="75">
        <f t="shared" si="14"/>
        <v>3579.5000000000005</v>
      </c>
      <c r="AG93" s="78">
        <f t="shared" si="15"/>
        <v>2682.5830000000001</v>
      </c>
      <c r="AH93" s="72">
        <f t="shared" si="16"/>
        <v>6262.0830000000005</v>
      </c>
      <c r="AI93" s="75">
        <f t="shared" si="17"/>
        <v>2700</v>
      </c>
      <c r="AJ93" s="78">
        <f t="shared" si="18"/>
        <v>2089.8000000000002</v>
      </c>
      <c r="AK93" s="72">
        <f t="shared" si="19"/>
        <v>4789.8</v>
      </c>
    </row>
    <row r="94" spans="1:37" ht="15.95" customHeight="1">
      <c r="A94" s="25" t="s">
        <v>948</v>
      </c>
      <c r="B94" s="25" t="s">
        <v>949</v>
      </c>
      <c r="C94" s="26" t="s">
        <v>24</v>
      </c>
      <c r="D94" s="26" t="s">
        <v>213</v>
      </c>
      <c r="E94" s="26" t="s">
        <v>214</v>
      </c>
      <c r="F94" s="26" t="s">
        <v>993</v>
      </c>
      <c r="G94" s="26" t="s">
        <v>351</v>
      </c>
      <c r="H94" s="27" t="s">
        <v>994</v>
      </c>
      <c r="I94" s="26" t="s">
        <v>27</v>
      </c>
      <c r="J94" s="28" t="s">
        <v>227</v>
      </c>
      <c r="K94" s="123">
        <v>48</v>
      </c>
      <c r="L94" s="29">
        <v>7.1590000000000007</v>
      </c>
      <c r="M94" s="110">
        <v>5.4</v>
      </c>
      <c r="N94" s="30">
        <v>0.16500000000000001</v>
      </c>
      <c r="O94" s="116">
        <v>0.89100000000000013</v>
      </c>
      <c r="P94" s="30"/>
      <c r="Q94" s="116"/>
      <c r="R94" s="30">
        <v>7.0000000000000007E-2</v>
      </c>
      <c r="S94" s="116">
        <v>0.37800000000000006</v>
      </c>
      <c r="T94" s="117">
        <v>0.49</v>
      </c>
      <c r="U94" s="39">
        <v>350</v>
      </c>
      <c r="V94" s="32">
        <v>185</v>
      </c>
      <c r="W94" s="33">
        <v>0</v>
      </c>
      <c r="X94" s="32"/>
      <c r="Y94" s="32"/>
      <c r="Z94" s="32"/>
      <c r="AA94" s="34">
        <v>20</v>
      </c>
      <c r="AB94" s="35">
        <f t="shared" si="10"/>
        <v>555</v>
      </c>
      <c r="AC94" s="75">
        <f t="shared" si="11"/>
        <v>16800</v>
      </c>
      <c r="AD94" s="78">
        <f t="shared" si="12"/>
        <v>9840</v>
      </c>
      <c r="AE94" s="72">
        <f t="shared" si="13"/>
        <v>26640</v>
      </c>
      <c r="AF94" s="75">
        <f t="shared" si="14"/>
        <v>2505.65</v>
      </c>
      <c r="AG94" s="78">
        <f t="shared" si="15"/>
        <v>1432.4150000000002</v>
      </c>
      <c r="AH94" s="72">
        <f t="shared" si="16"/>
        <v>3938.0650000000005</v>
      </c>
      <c r="AI94" s="75">
        <f t="shared" si="17"/>
        <v>1890.0000000000002</v>
      </c>
      <c r="AJ94" s="78">
        <f t="shared" si="18"/>
        <v>1107</v>
      </c>
      <c r="AK94" s="72">
        <f t="shared" si="19"/>
        <v>2997</v>
      </c>
    </row>
    <row r="95" spans="1:37" ht="15.95" customHeight="1">
      <c r="A95" s="25" t="s">
        <v>948</v>
      </c>
      <c r="B95" s="25" t="s">
        <v>949</v>
      </c>
      <c r="C95" s="26" t="s">
        <v>643</v>
      </c>
      <c r="D95" s="26" t="s">
        <v>213</v>
      </c>
      <c r="E95" s="26" t="s">
        <v>214</v>
      </c>
      <c r="F95" s="26" t="s">
        <v>995</v>
      </c>
      <c r="G95" s="26" t="s">
        <v>240</v>
      </c>
      <c r="H95" s="27" t="s">
        <v>95</v>
      </c>
      <c r="I95" s="26" t="s">
        <v>27</v>
      </c>
      <c r="J95" s="28" t="s">
        <v>41</v>
      </c>
      <c r="K95" s="123">
        <v>98</v>
      </c>
      <c r="L95" s="29">
        <v>18.212249999999997</v>
      </c>
      <c r="M95" s="110">
        <v>14.35</v>
      </c>
      <c r="N95" s="30">
        <v>0.16500000000000001</v>
      </c>
      <c r="O95" s="116">
        <v>2.36775</v>
      </c>
      <c r="P95" s="30"/>
      <c r="Q95" s="116"/>
      <c r="R95" s="30">
        <v>7.0000000000000007E-2</v>
      </c>
      <c r="S95" s="116">
        <v>1.0045000000000002</v>
      </c>
      <c r="T95" s="117">
        <v>0.49</v>
      </c>
      <c r="U95" s="39">
        <v>400</v>
      </c>
      <c r="V95" s="32">
        <v>172</v>
      </c>
      <c r="W95" s="33">
        <v>0</v>
      </c>
      <c r="X95" s="32"/>
      <c r="Y95" s="32"/>
      <c r="Z95" s="32"/>
      <c r="AA95" s="34"/>
      <c r="AB95" s="35">
        <f t="shared" si="10"/>
        <v>572</v>
      </c>
      <c r="AC95" s="75">
        <f t="shared" si="11"/>
        <v>39200</v>
      </c>
      <c r="AD95" s="78">
        <f t="shared" si="12"/>
        <v>16856</v>
      </c>
      <c r="AE95" s="72">
        <f t="shared" si="13"/>
        <v>56056</v>
      </c>
      <c r="AF95" s="75">
        <f t="shared" si="14"/>
        <v>7284.8999999999987</v>
      </c>
      <c r="AG95" s="78">
        <f t="shared" si="15"/>
        <v>3132.5069999999996</v>
      </c>
      <c r="AH95" s="72">
        <f t="shared" si="16"/>
        <v>10417.406999999999</v>
      </c>
      <c r="AI95" s="75">
        <f t="shared" si="17"/>
        <v>5740</v>
      </c>
      <c r="AJ95" s="78">
        <f t="shared" si="18"/>
        <v>2468.1999999999998</v>
      </c>
      <c r="AK95" s="72">
        <f t="shared" si="19"/>
        <v>8208.2000000000007</v>
      </c>
    </row>
    <row r="96" spans="1:37" ht="15.95" customHeight="1">
      <c r="A96" s="25" t="s">
        <v>948</v>
      </c>
      <c r="B96" s="25" t="s">
        <v>949</v>
      </c>
      <c r="C96" s="26" t="s">
        <v>347</v>
      </c>
      <c r="D96" s="26" t="s">
        <v>213</v>
      </c>
      <c r="E96" s="26" t="s">
        <v>214</v>
      </c>
      <c r="F96" s="26" t="s">
        <v>996</v>
      </c>
      <c r="G96" s="26" t="s">
        <v>240</v>
      </c>
      <c r="H96" s="27" t="s">
        <v>95</v>
      </c>
      <c r="I96" s="26" t="s">
        <v>27</v>
      </c>
      <c r="J96" s="28" t="s">
        <v>502</v>
      </c>
      <c r="K96" s="123">
        <v>88</v>
      </c>
      <c r="L96" s="29">
        <v>18.397499999999997</v>
      </c>
      <c r="M96" s="110">
        <v>14.5</v>
      </c>
      <c r="N96" s="30">
        <v>0.16500000000000001</v>
      </c>
      <c r="O96" s="116">
        <v>2.3925000000000001</v>
      </c>
      <c r="P96" s="30"/>
      <c r="Q96" s="116"/>
      <c r="R96" s="30">
        <v>7.0000000000000007E-2</v>
      </c>
      <c r="S96" s="116">
        <v>1.0150000000000001</v>
      </c>
      <c r="T96" s="117">
        <v>0.49</v>
      </c>
      <c r="U96" s="39">
        <v>350</v>
      </c>
      <c r="V96" s="32">
        <v>149</v>
      </c>
      <c r="W96" s="33">
        <v>0</v>
      </c>
      <c r="X96" s="32"/>
      <c r="Y96" s="32"/>
      <c r="Z96" s="32"/>
      <c r="AA96" s="34"/>
      <c r="AB96" s="35">
        <f t="shared" si="10"/>
        <v>499</v>
      </c>
      <c r="AC96" s="75">
        <f t="shared" si="11"/>
        <v>30800</v>
      </c>
      <c r="AD96" s="78">
        <f t="shared" si="12"/>
        <v>13112</v>
      </c>
      <c r="AE96" s="72">
        <f t="shared" si="13"/>
        <v>43912</v>
      </c>
      <c r="AF96" s="75">
        <f t="shared" si="14"/>
        <v>6439.1249999999991</v>
      </c>
      <c r="AG96" s="78">
        <f t="shared" si="15"/>
        <v>2741.2274999999995</v>
      </c>
      <c r="AH96" s="72">
        <f t="shared" si="16"/>
        <v>9180.3524999999991</v>
      </c>
      <c r="AI96" s="75">
        <f t="shared" si="17"/>
        <v>5075</v>
      </c>
      <c r="AJ96" s="78">
        <f t="shared" si="18"/>
        <v>2160.5</v>
      </c>
      <c r="AK96" s="72">
        <f t="shared" si="19"/>
        <v>7235.5</v>
      </c>
    </row>
    <row r="97" spans="1:37" ht="15.95" customHeight="1">
      <c r="A97" s="25" t="s">
        <v>948</v>
      </c>
      <c r="B97" s="25" t="s">
        <v>949</v>
      </c>
      <c r="C97" s="26" t="s">
        <v>643</v>
      </c>
      <c r="D97" s="26" t="s">
        <v>213</v>
      </c>
      <c r="E97" s="26" t="s">
        <v>214</v>
      </c>
      <c r="F97" s="41" t="s">
        <v>995</v>
      </c>
      <c r="G97" s="26" t="s">
        <v>240</v>
      </c>
      <c r="H97" s="44" t="s">
        <v>95</v>
      </c>
      <c r="I97" s="26" t="s">
        <v>27</v>
      </c>
      <c r="J97" s="28" t="s">
        <v>41</v>
      </c>
      <c r="K97" s="123">
        <v>98</v>
      </c>
      <c r="L97" s="29">
        <v>18.212249999999997</v>
      </c>
      <c r="M97" s="110">
        <v>14.35</v>
      </c>
      <c r="N97" s="30">
        <v>0.16500000000000001</v>
      </c>
      <c r="O97" s="116">
        <v>2.36775</v>
      </c>
      <c r="P97" s="30"/>
      <c r="Q97" s="116"/>
      <c r="R97" s="30">
        <v>7.0000000000000007E-2</v>
      </c>
      <c r="S97" s="116">
        <v>1.0045000000000002</v>
      </c>
      <c r="T97" s="117">
        <v>0.49</v>
      </c>
      <c r="U97" s="39">
        <v>500</v>
      </c>
      <c r="V97" s="32">
        <v>130</v>
      </c>
      <c r="W97" s="33">
        <v>0</v>
      </c>
      <c r="X97" s="32"/>
      <c r="Y97" s="32"/>
      <c r="Z97" s="32"/>
      <c r="AA97" s="34"/>
      <c r="AB97" s="35">
        <f t="shared" si="10"/>
        <v>630</v>
      </c>
      <c r="AC97" s="75">
        <f t="shared" si="11"/>
        <v>49000</v>
      </c>
      <c r="AD97" s="78">
        <f t="shared" si="12"/>
        <v>12740</v>
      </c>
      <c r="AE97" s="72">
        <f t="shared" si="13"/>
        <v>61740</v>
      </c>
      <c r="AF97" s="75">
        <f t="shared" si="14"/>
        <v>9106.1249999999982</v>
      </c>
      <c r="AG97" s="78">
        <f t="shared" si="15"/>
        <v>2367.5924999999997</v>
      </c>
      <c r="AH97" s="72">
        <f t="shared" si="16"/>
        <v>11473.717499999999</v>
      </c>
      <c r="AI97" s="75">
        <f t="shared" si="17"/>
        <v>7175</v>
      </c>
      <c r="AJ97" s="78">
        <f t="shared" si="18"/>
        <v>1865.5</v>
      </c>
      <c r="AK97" s="72">
        <f t="shared" si="19"/>
        <v>9040.5</v>
      </c>
    </row>
    <row r="98" spans="1:37" ht="15.95" customHeight="1">
      <c r="A98" s="25" t="s">
        <v>948</v>
      </c>
      <c r="B98" s="25" t="s">
        <v>949</v>
      </c>
      <c r="C98" s="26" t="s">
        <v>347</v>
      </c>
      <c r="D98" s="26" t="s">
        <v>213</v>
      </c>
      <c r="E98" s="26" t="s">
        <v>214</v>
      </c>
      <c r="F98" s="41" t="s">
        <v>996</v>
      </c>
      <c r="G98" s="26" t="s">
        <v>240</v>
      </c>
      <c r="H98" s="44" t="s">
        <v>95</v>
      </c>
      <c r="I98" s="26" t="s">
        <v>27</v>
      </c>
      <c r="J98" s="28" t="s">
        <v>502</v>
      </c>
      <c r="K98" s="123">
        <v>88</v>
      </c>
      <c r="L98" s="29">
        <v>18.397499999999997</v>
      </c>
      <c r="M98" s="110">
        <v>14.5</v>
      </c>
      <c r="N98" s="30">
        <v>0.16500000000000001</v>
      </c>
      <c r="O98" s="116">
        <v>2.3925000000000001</v>
      </c>
      <c r="P98" s="30"/>
      <c r="Q98" s="116"/>
      <c r="R98" s="30">
        <v>7.0000000000000007E-2</v>
      </c>
      <c r="S98" s="116">
        <v>1.0150000000000001</v>
      </c>
      <c r="T98" s="117">
        <v>0.49</v>
      </c>
      <c r="U98" s="39">
        <v>400</v>
      </c>
      <c r="V98" s="32">
        <v>130</v>
      </c>
      <c r="W98" s="33">
        <v>0</v>
      </c>
      <c r="X98" s="32"/>
      <c r="Y98" s="32"/>
      <c r="Z98" s="32"/>
      <c r="AA98" s="34"/>
      <c r="AB98" s="35">
        <f t="shared" si="10"/>
        <v>530</v>
      </c>
      <c r="AC98" s="75">
        <f t="shared" si="11"/>
        <v>35200</v>
      </c>
      <c r="AD98" s="78">
        <f t="shared" si="12"/>
        <v>11440</v>
      </c>
      <c r="AE98" s="72">
        <f t="shared" si="13"/>
        <v>46640</v>
      </c>
      <c r="AF98" s="75">
        <f t="shared" si="14"/>
        <v>7358.9999999999991</v>
      </c>
      <c r="AG98" s="78">
        <f t="shared" si="15"/>
        <v>2391.6749999999997</v>
      </c>
      <c r="AH98" s="72">
        <f t="shared" si="16"/>
        <v>9750.6749999999993</v>
      </c>
      <c r="AI98" s="75">
        <f t="shared" si="17"/>
        <v>5800</v>
      </c>
      <c r="AJ98" s="78">
        <f t="shared" si="18"/>
        <v>1885</v>
      </c>
      <c r="AK98" s="72">
        <f t="shared" si="19"/>
        <v>7685</v>
      </c>
    </row>
    <row r="99" spans="1:37" ht="15.95" customHeight="1">
      <c r="A99" s="25" t="s">
        <v>948</v>
      </c>
      <c r="B99" s="25" t="s">
        <v>949</v>
      </c>
      <c r="C99" s="26" t="s">
        <v>24</v>
      </c>
      <c r="D99" s="26" t="s">
        <v>213</v>
      </c>
      <c r="E99" s="26" t="s">
        <v>214</v>
      </c>
      <c r="F99" s="41" t="s">
        <v>997</v>
      </c>
      <c r="G99" s="26" t="s">
        <v>225</v>
      </c>
      <c r="H99" s="44" t="s">
        <v>234</v>
      </c>
      <c r="I99" s="26" t="s">
        <v>27</v>
      </c>
      <c r="J99" s="28" t="s">
        <v>227</v>
      </c>
      <c r="K99" s="123">
        <v>48</v>
      </c>
      <c r="L99" s="29">
        <v>6.9737499999999999</v>
      </c>
      <c r="M99" s="110">
        <v>5.25</v>
      </c>
      <c r="N99" s="30">
        <v>0.16500000000000001</v>
      </c>
      <c r="O99" s="116">
        <v>0.86625000000000008</v>
      </c>
      <c r="P99" s="30"/>
      <c r="Q99" s="116"/>
      <c r="R99" s="30">
        <v>7.0000000000000007E-2</v>
      </c>
      <c r="S99" s="116">
        <v>0.36750000000000005</v>
      </c>
      <c r="T99" s="117">
        <v>0.49</v>
      </c>
      <c r="U99" s="39">
        <v>500</v>
      </c>
      <c r="V99" s="32">
        <v>143</v>
      </c>
      <c r="W99" s="33">
        <v>0</v>
      </c>
      <c r="X99" s="32">
        <v>100</v>
      </c>
      <c r="Y99" s="32"/>
      <c r="Z99" s="32"/>
      <c r="AA99" s="34">
        <v>10</v>
      </c>
      <c r="AB99" s="35">
        <f t="shared" si="10"/>
        <v>753</v>
      </c>
      <c r="AC99" s="75">
        <f t="shared" si="11"/>
        <v>24000</v>
      </c>
      <c r="AD99" s="78">
        <f t="shared" si="12"/>
        <v>12144</v>
      </c>
      <c r="AE99" s="72">
        <f t="shared" si="13"/>
        <v>36144</v>
      </c>
      <c r="AF99" s="75">
        <f t="shared" si="14"/>
        <v>3486.875</v>
      </c>
      <c r="AG99" s="78">
        <f t="shared" si="15"/>
        <v>1574.7462500000001</v>
      </c>
      <c r="AH99" s="72">
        <f t="shared" si="16"/>
        <v>5061.6212500000001</v>
      </c>
      <c r="AI99" s="75">
        <f t="shared" si="17"/>
        <v>2625</v>
      </c>
      <c r="AJ99" s="78">
        <f t="shared" si="18"/>
        <v>1328.25</v>
      </c>
      <c r="AK99" s="72">
        <f t="shared" si="19"/>
        <v>3953.25</v>
      </c>
    </row>
    <row r="100" spans="1:37" ht="15.95" customHeight="1">
      <c r="A100" s="25" t="s">
        <v>948</v>
      </c>
      <c r="B100" s="25" t="s">
        <v>949</v>
      </c>
      <c r="C100" s="26" t="s">
        <v>24</v>
      </c>
      <c r="D100" s="26" t="s">
        <v>213</v>
      </c>
      <c r="E100" s="26" t="s">
        <v>214</v>
      </c>
      <c r="F100" s="41" t="s">
        <v>997</v>
      </c>
      <c r="G100" s="26" t="s">
        <v>225</v>
      </c>
      <c r="H100" s="44" t="s">
        <v>234</v>
      </c>
      <c r="I100" s="26" t="s">
        <v>27</v>
      </c>
      <c r="J100" s="28" t="s">
        <v>227</v>
      </c>
      <c r="K100" s="123">
        <v>48</v>
      </c>
      <c r="L100" s="29">
        <v>6.9737499999999999</v>
      </c>
      <c r="M100" s="110">
        <v>5.25</v>
      </c>
      <c r="N100" s="30">
        <v>0.16500000000000001</v>
      </c>
      <c r="O100" s="116">
        <v>0.86625000000000008</v>
      </c>
      <c r="P100" s="30"/>
      <c r="Q100" s="116"/>
      <c r="R100" s="30">
        <v>7.0000000000000007E-2</v>
      </c>
      <c r="S100" s="116">
        <v>0.36750000000000005</v>
      </c>
      <c r="T100" s="117">
        <v>0.49</v>
      </c>
      <c r="U100" s="39">
        <v>400</v>
      </c>
      <c r="V100" s="32">
        <v>165</v>
      </c>
      <c r="W100" s="33">
        <v>0</v>
      </c>
      <c r="X100" s="32"/>
      <c r="Y100" s="32"/>
      <c r="Z100" s="32"/>
      <c r="AA100" s="34"/>
      <c r="AB100" s="35">
        <f t="shared" si="10"/>
        <v>565</v>
      </c>
      <c r="AC100" s="75">
        <f t="shared" si="11"/>
        <v>19200</v>
      </c>
      <c r="AD100" s="78">
        <f t="shared" si="12"/>
        <v>7920</v>
      </c>
      <c r="AE100" s="72">
        <f t="shared" si="13"/>
        <v>27120</v>
      </c>
      <c r="AF100" s="75">
        <f t="shared" si="14"/>
        <v>2789.5</v>
      </c>
      <c r="AG100" s="78">
        <f t="shared" si="15"/>
        <v>1150.66875</v>
      </c>
      <c r="AH100" s="72">
        <f t="shared" si="16"/>
        <v>3940.1687499999998</v>
      </c>
      <c r="AI100" s="75">
        <f t="shared" si="17"/>
        <v>2100</v>
      </c>
      <c r="AJ100" s="78">
        <f t="shared" si="18"/>
        <v>866.25</v>
      </c>
      <c r="AK100" s="72">
        <f t="shared" si="19"/>
        <v>2966.25</v>
      </c>
    </row>
    <row r="101" spans="1:37" ht="15.95" customHeight="1">
      <c r="A101" s="25" t="s">
        <v>948</v>
      </c>
      <c r="B101" s="25" t="s">
        <v>949</v>
      </c>
      <c r="C101" s="26" t="s">
        <v>24</v>
      </c>
      <c r="D101" s="26" t="s">
        <v>213</v>
      </c>
      <c r="E101" s="26" t="s">
        <v>214</v>
      </c>
      <c r="F101" s="26" t="s">
        <v>997</v>
      </c>
      <c r="G101" s="26" t="s">
        <v>225</v>
      </c>
      <c r="H101" s="44" t="s">
        <v>234</v>
      </c>
      <c r="I101" s="26" t="s">
        <v>27</v>
      </c>
      <c r="J101" s="45" t="s">
        <v>417</v>
      </c>
      <c r="K101" s="123">
        <v>48</v>
      </c>
      <c r="L101" s="29">
        <v>6.9737499999999999</v>
      </c>
      <c r="M101" s="110">
        <v>5.25</v>
      </c>
      <c r="N101" s="30">
        <v>0.16500000000000001</v>
      </c>
      <c r="O101" s="116">
        <v>0.86625000000000008</v>
      </c>
      <c r="P101" s="30"/>
      <c r="Q101" s="116"/>
      <c r="R101" s="30">
        <v>7.0000000000000007E-2</v>
      </c>
      <c r="S101" s="116">
        <v>0.36750000000000005</v>
      </c>
      <c r="T101" s="117">
        <v>0.49</v>
      </c>
      <c r="U101" s="39">
        <v>500</v>
      </c>
      <c r="V101" s="32">
        <v>243</v>
      </c>
      <c r="W101" s="33">
        <v>0</v>
      </c>
      <c r="X101" s="32">
        <v>100</v>
      </c>
      <c r="Y101" s="32"/>
      <c r="Z101" s="32"/>
      <c r="AA101" s="34">
        <v>10</v>
      </c>
      <c r="AB101" s="35">
        <f t="shared" si="10"/>
        <v>853</v>
      </c>
      <c r="AC101" s="75">
        <f t="shared" si="11"/>
        <v>24000</v>
      </c>
      <c r="AD101" s="78">
        <f t="shared" si="12"/>
        <v>16944</v>
      </c>
      <c r="AE101" s="72">
        <f t="shared" si="13"/>
        <v>40944</v>
      </c>
      <c r="AF101" s="75">
        <f t="shared" si="14"/>
        <v>3486.875</v>
      </c>
      <c r="AG101" s="78">
        <f t="shared" si="15"/>
        <v>2272.1212500000001</v>
      </c>
      <c r="AH101" s="72">
        <f t="shared" si="16"/>
        <v>5758.9962500000001</v>
      </c>
      <c r="AI101" s="75">
        <f t="shared" si="17"/>
        <v>2625</v>
      </c>
      <c r="AJ101" s="78">
        <f t="shared" si="18"/>
        <v>1853.25</v>
      </c>
      <c r="AK101" s="72">
        <f t="shared" si="19"/>
        <v>4478.25</v>
      </c>
    </row>
    <row r="102" spans="1:37" ht="15.95" customHeight="1">
      <c r="A102" s="25" t="s">
        <v>948</v>
      </c>
      <c r="B102" s="25" t="s">
        <v>949</v>
      </c>
      <c r="C102" s="26" t="s">
        <v>24</v>
      </c>
      <c r="D102" s="26" t="s">
        <v>213</v>
      </c>
      <c r="E102" s="26" t="s">
        <v>214</v>
      </c>
      <c r="F102" s="26" t="s">
        <v>997</v>
      </c>
      <c r="G102" s="26" t="s">
        <v>225</v>
      </c>
      <c r="H102" s="27" t="s">
        <v>511</v>
      </c>
      <c r="I102" s="26" t="s">
        <v>27</v>
      </c>
      <c r="J102" s="28" t="s">
        <v>227</v>
      </c>
      <c r="K102" s="123">
        <v>48</v>
      </c>
      <c r="L102" s="29">
        <v>6.9737499999999999</v>
      </c>
      <c r="M102" s="110">
        <v>5.25</v>
      </c>
      <c r="N102" s="30">
        <v>0.16500000000000001</v>
      </c>
      <c r="O102" s="116">
        <v>0.86625000000000008</v>
      </c>
      <c r="P102" s="30"/>
      <c r="Q102" s="116"/>
      <c r="R102" s="30">
        <v>7.0000000000000007E-2</v>
      </c>
      <c r="S102" s="116">
        <v>0.36750000000000005</v>
      </c>
      <c r="T102" s="117">
        <v>0.49</v>
      </c>
      <c r="U102" s="39">
        <v>400</v>
      </c>
      <c r="V102" s="32">
        <v>153</v>
      </c>
      <c r="W102" s="33">
        <v>0</v>
      </c>
      <c r="X102" s="32"/>
      <c r="Y102" s="32"/>
      <c r="Z102" s="32"/>
      <c r="AA102" s="34"/>
      <c r="AB102" s="35">
        <f t="shared" si="10"/>
        <v>553</v>
      </c>
      <c r="AC102" s="75">
        <f t="shared" si="11"/>
        <v>19200</v>
      </c>
      <c r="AD102" s="78">
        <f t="shared" si="12"/>
        <v>7344</v>
      </c>
      <c r="AE102" s="72">
        <f t="shared" si="13"/>
        <v>26544</v>
      </c>
      <c r="AF102" s="75">
        <f t="shared" si="14"/>
        <v>2789.5</v>
      </c>
      <c r="AG102" s="78">
        <f t="shared" si="15"/>
        <v>1066.9837499999999</v>
      </c>
      <c r="AH102" s="72">
        <f t="shared" si="16"/>
        <v>3856.4837499999999</v>
      </c>
      <c r="AI102" s="75">
        <f t="shared" si="17"/>
        <v>2100</v>
      </c>
      <c r="AJ102" s="78">
        <f t="shared" si="18"/>
        <v>803.25</v>
      </c>
      <c r="AK102" s="72">
        <f t="shared" si="19"/>
        <v>2903.25</v>
      </c>
    </row>
    <row r="103" spans="1:37" ht="15.95" customHeight="1">
      <c r="A103" s="25" t="s">
        <v>948</v>
      </c>
      <c r="B103" s="25" t="s">
        <v>949</v>
      </c>
      <c r="C103" s="26" t="s">
        <v>44</v>
      </c>
      <c r="D103" s="26" t="s">
        <v>213</v>
      </c>
      <c r="E103" s="26" t="s">
        <v>214</v>
      </c>
      <c r="F103" s="26" t="s">
        <v>998</v>
      </c>
      <c r="G103" s="26" t="s">
        <v>351</v>
      </c>
      <c r="H103" s="27" t="s">
        <v>994</v>
      </c>
      <c r="I103" s="26" t="s">
        <v>27</v>
      </c>
      <c r="J103" s="28" t="s">
        <v>578</v>
      </c>
      <c r="K103" s="123">
        <v>78</v>
      </c>
      <c r="L103" s="29">
        <v>10.182550000000001</v>
      </c>
      <c r="M103" s="110">
        <v>7.65</v>
      </c>
      <c r="N103" s="30">
        <v>0.19700000000000001</v>
      </c>
      <c r="O103" s="116">
        <v>1.5070500000000002</v>
      </c>
      <c r="P103" s="30"/>
      <c r="Q103" s="116"/>
      <c r="R103" s="30">
        <v>7.0000000000000007E-2</v>
      </c>
      <c r="S103" s="116">
        <v>0.53550000000000009</v>
      </c>
      <c r="T103" s="117">
        <v>0.49</v>
      </c>
      <c r="U103" s="39">
        <v>400</v>
      </c>
      <c r="V103" s="32"/>
      <c r="W103" s="33">
        <v>100</v>
      </c>
      <c r="X103" s="32"/>
      <c r="Y103" s="32"/>
      <c r="Z103" s="32"/>
      <c r="AA103" s="34"/>
      <c r="AB103" s="35">
        <f t="shared" si="10"/>
        <v>500</v>
      </c>
      <c r="AC103" s="75">
        <f t="shared" si="11"/>
        <v>31200</v>
      </c>
      <c r="AD103" s="78">
        <f t="shared" si="12"/>
        <v>7800</v>
      </c>
      <c r="AE103" s="72">
        <f t="shared" si="13"/>
        <v>39000</v>
      </c>
      <c r="AF103" s="75">
        <f t="shared" si="14"/>
        <v>4073.0200000000004</v>
      </c>
      <c r="AG103" s="78">
        <f t="shared" si="15"/>
        <v>1018.2550000000001</v>
      </c>
      <c r="AH103" s="72">
        <f t="shared" si="16"/>
        <v>5091.2750000000005</v>
      </c>
      <c r="AI103" s="75">
        <f t="shared" si="17"/>
        <v>3060</v>
      </c>
      <c r="AJ103" s="78">
        <f t="shared" si="18"/>
        <v>765</v>
      </c>
      <c r="AK103" s="72">
        <f t="shared" si="19"/>
        <v>3825</v>
      </c>
    </row>
    <row r="104" spans="1:37" ht="15.95" customHeight="1">
      <c r="A104" s="25" t="s">
        <v>948</v>
      </c>
      <c r="B104" s="25" t="s">
        <v>949</v>
      </c>
      <c r="C104" s="26" t="s">
        <v>44</v>
      </c>
      <c r="D104" s="26" t="s">
        <v>419</v>
      </c>
      <c r="E104" s="26" t="s">
        <v>214</v>
      </c>
      <c r="F104" s="26" t="s">
        <v>998</v>
      </c>
      <c r="G104" s="26" t="s">
        <v>351</v>
      </c>
      <c r="H104" s="27" t="s">
        <v>994</v>
      </c>
      <c r="I104" s="26" t="s">
        <v>27</v>
      </c>
      <c r="J104" s="37" t="s">
        <v>578</v>
      </c>
      <c r="K104" s="123">
        <v>78</v>
      </c>
      <c r="L104" s="29">
        <v>10.182550000000001</v>
      </c>
      <c r="M104" s="110">
        <v>7.65</v>
      </c>
      <c r="N104" s="30">
        <v>0.19700000000000001</v>
      </c>
      <c r="O104" s="116">
        <v>1.5070500000000002</v>
      </c>
      <c r="P104" s="30"/>
      <c r="Q104" s="116"/>
      <c r="R104" s="30">
        <v>7.0000000000000007E-2</v>
      </c>
      <c r="S104" s="116">
        <v>0.53550000000000009</v>
      </c>
      <c r="T104" s="117">
        <v>0.49</v>
      </c>
      <c r="U104" s="39">
        <v>450</v>
      </c>
      <c r="V104" s="32"/>
      <c r="W104" s="33">
        <v>52</v>
      </c>
      <c r="X104" s="32"/>
      <c r="Y104" s="32"/>
      <c r="Z104" s="32"/>
      <c r="AA104" s="34"/>
      <c r="AB104" s="35">
        <f t="shared" si="10"/>
        <v>502</v>
      </c>
      <c r="AC104" s="75">
        <f t="shared" si="11"/>
        <v>35100</v>
      </c>
      <c r="AD104" s="78">
        <f t="shared" si="12"/>
        <v>4056</v>
      </c>
      <c r="AE104" s="72">
        <f t="shared" si="13"/>
        <v>39156</v>
      </c>
      <c r="AF104" s="75">
        <f t="shared" si="14"/>
        <v>4582.1475</v>
      </c>
      <c r="AG104" s="78">
        <f t="shared" si="15"/>
        <v>529.49260000000004</v>
      </c>
      <c r="AH104" s="72">
        <f t="shared" si="16"/>
        <v>5111.6401000000005</v>
      </c>
      <c r="AI104" s="75">
        <f t="shared" si="17"/>
        <v>3442.5</v>
      </c>
      <c r="AJ104" s="78">
        <f t="shared" si="18"/>
        <v>397.8</v>
      </c>
      <c r="AK104" s="72">
        <f t="shared" si="19"/>
        <v>3840.3</v>
      </c>
    </row>
    <row r="105" spans="1:37" ht="15.95" customHeight="1">
      <c r="A105" s="25" t="s">
        <v>948</v>
      </c>
      <c r="B105" s="25" t="s">
        <v>949</v>
      </c>
      <c r="C105" s="26" t="s">
        <v>44</v>
      </c>
      <c r="D105" s="26" t="s">
        <v>213</v>
      </c>
      <c r="E105" s="26" t="s">
        <v>214</v>
      </c>
      <c r="F105" s="26" t="s">
        <v>998</v>
      </c>
      <c r="G105" s="26" t="s">
        <v>351</v>
      </c>
      <c r="H105" s="27" t="s">
        <v>994</v>
      </c>
      <c r="I105" s="26" t="s">
        <v>27</v>
      </c>
      <c r="J105" s="37" t="s">
        <v>578</v>
      </c>
      <c r="K105" s="123">
        <v>78</v>
      </c>
      <c r="L105" s="29">
        <v>10.182550000000001</v>
      </c>
      <c r="M105" s="110">
        <v>7.65</v>
      </c>
      <c r="N105" s="30">
        <v>0.19700000000000001</v>
      </c>
      <c r="O105" s="116">
        <v>1.5070500000000002</v>
      </c>
      <c r="P105" s="30"/>
      <c r="Q105" s="116"/>
      <c r="R105" s="30">
        <v>7.0000000000000007E-2</v>
      </c>
      <c r="S105" s="116">
        <v>0.53550000000000009</v>
      </c>
      <c r="T105" s="117">
        <v>0.49</v>
      </c>
      <c r="U105" s="39">
        <v>450</v>
      </c>
      <c r="V105" s="32"/>
      <c r="W105" s="33">
        <v>52</v>
      </c>
      <c r="X105" s="32"/>
      <c r="Y105" s="32"/>
      <c r="Z105" s="32"/>
      <c r="AA105" s="34"/>
      <c r="AB105" s="35">
        <f t="shared" si="10"/>
        <v>502</v>
      </c>
      <c r="AC105" s="75">
        <f t="shared" si="11"/>
        <v>35100</v>
      </c>
      <c r="AD105" s="78">
        <f t="shared" si="12"/>
        <v>4056</v>
      </c>
      <c r="AE105" s="72">
        <f t="shared" si="13"/>
        <v>39156</v>
      </c>
      <c r="AF105" s="75">
        <f t="shared" si="14"/>
        <v>4582.1475</v>
      </c>
      <c r="AG105" s="78">
        <f t="shared" si="15"/>
        <v>529.49260000000004</v>
      </c>
      <c r="AH105" s="72">
        <f t="shared" si="16"/>
        <v>5111.6401000000005</v>
      </c>
      <c r="AI105" s="75">
        <f t="shared" si="17"/>
        <v>3442.5</v>
      </c>
      <c r="AJ105" s="78">
        <f t="shared" si="18"/>
        <v>397.8</v>
      </c>
      <c r="AK105" s="72">
        <f t="shared" si="19"/>
        <v>3840.3</v>
      </c>
    </row>
    <row r="106" spans="1:37" ht="15.95" customHeight="1">
      <c r="A106" s="25" t="s">
        <v>948</v>
      </c>
      <c r="B106" s="25" t="s">
        <v>949</v>
      </c>
      <c r="C106" s="26" t="s">
        <v>29</v>
      </c>
      <c r="D106" s="26" t="s">
        <v>213</v>
      </c>
      <c r="E106" s="26" t="s">
        <v>214</v>
      </c>
      <c r="F106" s="26" t="s">
        <v>999</v>
      </c>
      <c r="G106" s="26" t="s">
        <v>240</v>
      </c>
      <c r="H106" s="27" t="s">
        <v>95</v>
      </c>
      <c r="I106" s="26" t="s">
        <v>27</v>
      </c>
      <c r="J106" s="37" t="s">
        <v>174</v>
      </c>
      <c r="K106" s="123">
        <v>78</v>
      </c>
      <c r="L106" s="29">
        <v>14.6465</v>
      </c>
      <c r="M106" s="110">
        <v>11.5</v>
      </c>
      <c r="N106" s="30">
        <v>0.161</v>
      </c>
      <c r="O106" s="116">
        <v>1.8515000000000001</v>
      </c>
      <c r="P106" s="30"/>
      <c r="Q106" s="116"/>
      <c r="R106" s="30">
        <v>7.0000000000000007E-2</v>
      </c>
      <c r="S106" s="116">
        <v>0.80500000000000005</v>
      </c>
      <c r="T106" s="117">
        <v>0.49</v>
      </c>
      <c r="U106" s="39">
        <v>400</v>
      </c>
      <c r="V106" s="32">
        <v>178</v>
      </c>
      <c r="W106" s="33">
        <v>0</v>
      </c>
      <c r="X106" s="32"/>
      <c r="Y106" s="32"/>
      <c r="Z106" s="32"/>
      <c r="AA106" s="34"/>
      <c r="AB106" s="35">
        <f t="shared" si="10"/>
        <v>578</v>
      </c>
      <c r="AC106" s="75">
        <f t="shared" si="11"/>
        <v>31200</v>
      </c>
      <c r="AD106" s="78">
        <f t="shared" si="12"/>
        <v>13884</v>
      </c>
      <c r="AE106" s="72">
        <f t="shared" si="13"/>
        <v>45084</v>
      </c>
      <c r="AF106" s="75">
        <f t="shared" si="14"/>
        <v>5858.5999999999995</v>
      </c>
      <c r="AG106" s="78">
        <f t="shared" si="15"/>
        <v>2607.0769999999998</v>
      </c>
      <c r="AH106" s="72">
        <f t="shared" si="16"/>
        <v>8465.6769999999997</v>
      </c>
      <c r="AI106" s="75">
        <f t="shared" si="17"/>
        <v>4600</v>
      </c>
      <c r="AJ106" s="78">
        <f t="shared" si="18"/>
        <v>2047</v>
      </c>
      <c r="AK106" s="72">
        <f t="shared" si="19"/>
        <v>6647</v>
      </c>
    </row>
    <row r="107" spans="1:37" ht="15.95" customHeight="1">
      <c r="A107" s="25" t="s">
        <v>948</v>
      </c>
      <c r="B107" s="25" t="s">
        <v>949</v>
      </c>
      <c r="C107" s="26" t="s">
        <v>29</v>
      </c>
      <c r="D107" s="26" t="s">
        <v>213</v>
      </c>
      <c r="E107" s="26" t="s">
        <v>214</v>
      </c>
      <c r="F107" s="26" t="s">
        <v>999</v>
      </c>
      <c r="G107" s="26" t="s">
        <v>240</v>
      </c>
      <c r="H107" s="27" t="s">
        <v>95</v>
      </c>
      <c r="I107" s="26" t="s">
        <v>27</v>
      </c>
      <c r="J107" s="37" t="s">
        <v>174</v>
      </c>
      <c r="K107" s="123">
        <v>78</v>
      </c>
      <c r="L107" s="29">
        <v>14.6465</v>
      </c>
      <c r="M107" s="110">
        <v>11.5</v>
      </c>
      <c r="N107" s="30">
        <v>0.161</v>
      </c>
      <c r="O107" s="116">
        <v>1.8515000000000001</v>
      </c>
      <c r="P107" s="30"/>
      <c r="Q107" s="116"/>
      <c r="R107" s="30">
        <v>7.0000000000000007E-2</v>
      </c>
      <c r="S107" s="116">
        <v>0.80500000000000005</v>
      </c>
      <c r="T107" s="117">
        <v>0.49</v>
      </c>
      <c r="U107" s="39">
        <v>400</v>
      </c>
      <c r="V107" s="32">
        <v>162</v>
      </c>
      <c r="W107" s="33">
        <v>0</v>
      </c>
      <c r="X107" s="32"/>
      <c r="Y107" s="32"/>
      <c r="Z107" s="32"/>
      <c r="AA107" s="34"/>
      <c r="AB107" s="35">
        <f t="shared" si="10"/>
        <v>562</v>
      </c>
      <c r="AC107" s="75">
        <f t="shared" si="11"/>
        <v>31200</v>
      </c>
      <c r="AD107" s="78">
        <f t="shared" si="12"/>
        <v>12636</v>
      </c>
      <c r="AE107" s="72">
        <f t="shared" si="13"/>
        <v>43836</v>
      </c>
      <c r="AF107" s="75">
        <f t="shared" si="14"/>
        <v>5858.5999999999995</v>
      </c>
      <c r="AG107" s="78">
        <f t="shared" si="15"/>
        <v>2372.7329999999997</v>
      </c>
      <c r="AH107" s="72">
        <f t="shared" si="16"/>
        <v>8231.3329999999987</v>
      </c>
      <c r="AI107" s="75">
        <f t="shared" si="17"/>
        <v>4600</v>
      </c>
      <c r="AJ107" s="78">
        <f t="shared" si="18"/>
        <v>1863</v>
      </c>
      <c r="AK107" s="72">
        <f t="shared" si="19"/>
        <v>6463</v>
      </c>
    </row>
    <row r="108" spans="1:37" ht="15.95" customHeight="1">
      <c r="A108" s="25" t="s">
        <v>948</v>
      </c>
      <c r="B108" s="25" t="s">
        <v>949</v>
      </c>
      <c r="C108" s="26" t="s">
        <v>29</v>
      </c>
      <c r="D108" s="26" t="s">
        <v>213</v>
      </c>
      <c r="E108" s="26" t="s">
        <v>214</v>
      </c>
      <c r="F108" s="26" t="s">
        <v>999</v>
      </c>
      <c r="G108" s="26" t="s">
        <v>240</v>
      </c>
      <c r="H108" s="27" t="s">
        <v>95</v>
      </c>
      <c r="I108" s="26" t="s">
        <v>27</v>
      </c>
      <c r="J108" s="28" t="s">
        <v>174</v>
      </c>
      <c r="K108" s="123">
        <v>78</v>
      </c>
      <c r="L108" s="29">
        <v>14.6465</v>
      </c>
      <c r="M108" s="110">
        <v>11.5</v>
      </c>
      <c r="N108" s="30">
        <v>0.161</v>
      </c>
      <c r="O108" s="116">
        <v>1.8515000000000001</v>
      </c>
      <c r="P108" s="30"/>
      <c r="Q108" s="116"/>
      <c r="R108" s="30">
        <v>7.0000000000000007E-2</v>
      </c>
      <c r="S108" s="116">
        <v>0.80500000000000005</v>
      </c>
      <c r="T108" s="117">
        <v>0.49</v>
      </c>
      <c r="U108" s="39">
        <v>350</v>
      </c>
      <c r="V108" s="32">
        <v>154</v>
      </c>
      <c r="W108" s="33">
        <v>0</v>
      </c>
      <c r="X108" s="32"/>
      <c r="Y108" s="32"/>
      <c r="Z108" s="32"/>
      <c r="AA108" s="34"/>
      <c r="AB108" s="35">
        <f t="shared" si="10"/>
        <v>504</v>
      </c>
      <c r="AC108" s="75">
        <f t="shared" si="11"/>
        <v>27300</v>
      </c>
      <c r="AD108" s="78">
        <f t="shared" si="12"/>
        <v>12012</v>
      </c>
      <c r="AE108" s="72">
        <f t="shared" si="13"/>
        <v>39312</v>
      </c>
      <c r="AF108" s="75">
        <f t="shared" si="14"/>
        <v>5126.2749999999996</v>
      </c>
      <c r="AG108" s="78">
        <f t="shared" si="15"/>
        <v>2255.5610000000001</v>
      </c>
      <c r="AH108" s="72">
        <f t="shared" si="16"/>
        <v>7381.8359999999993</v>
      </c>
      <c r="AI108" s="75">
        <f t="shared" si="17"/>
        <v>4025</v>
      </c>
      <c r="AJ108" s="78">
        <f t="shared" si="18"/>
        <v>1771</v>
      </c>
      <c r="AK108" s="72">
        <f t="shared" si="19"/>
        <v>5796</v>
      </c>
    </row>
    <row r="109" spans="1:37" ht="15.95" customHeight="1">
      <c r="A109" s="25" t="s">
        <v>948</v>
      </c>
      <c r="B109" s="25" t="s">
        <v>949</v>
      </c>
      <c r="C109" s="26" t="s">
        <v>76</v>
      </c>
      <c r="D109" s="26" t="s">
        <v>213</v>
      </c>
      <c r="E109" s="26" t="s">
        <v>214</v>
      </c>
      <c r="F109" s="26" t="s">
        <v>1000</v>
      </c>
      <c r="G109" s="26" t="s">
        <v>240</v>
      </c>
      <c r="H109" s="27" t="s">
        <v>95</v>
      </c>
      <c r="I109" s="26" t="s">
        <v>27</v>
      </c>
      <c r="J109" s="28" t="s">
        <v>222</v>
      </c>
      <c r="K109" s="123">
        <v>125</v>
      </c>
      <c r="L109" s="29">
        <v>25.498749999999998</v>
      </c>
      <c r="M109" s="110">
        <v>20.25</v>
      </c>
      <c r="N109" s="30">
        <v>0.16500000000000001</v>
      </c>
      <c r="O109" s="116">
        <v>3.3412500000000001</v>
      </c>
      <c r="P109" s="30"/>
      <c r="Q109" s="116"/>
      <c r="R109" s="30">
        <v>7.0000000000000007E-2</v>
      </c>
      <c r="S109" s="116">
        <v>1.4175000000000002</v>
      </c>
      <c r="T109" s="117">
        <v>0.49</v>
      </c>
      <c r="U109" s="39">
        <v>350</v>
      </c>
      <c r="V109" s="32">
        <v>142</v>
      </c>
      <c r="W109" s="33">
        <v>0</v>
      </c>
      <c r="X109" s="32"/>
      <c r="Y109" s="32"/>
      <c r="Z109" s="32"/>
      <c r="AA109" s="34"/>
      <c r="AB109" s="35">
        <f t="shared" si="10"/>
        <v>492</v>
      </c>
      <c r="AC109" s="75">
        <f t="shared" si="11"/>
        <v>43750</v>
      </c>
      <c r="AD109" s="78">
        <f t="shared" si="12"/>
        <v>17750</v>
      </c>
      <c r="AE109" s="72">
        <f t="shared" si="13"/>
        <v>61500</v>
      </c>
      <c r="AF109" s="75">
        <f t="shared" si="14"/>
        <v>8924.5625</v>
      </c>
      <c r="AG109" s="78">
        <f t="shared" si="15"/>
        <v>3620.8224999999998</v>
      </c>
      <c r="AH109" s="72">
        <f t="shared" si="16"/>
        <v>12545.385</v>
      </c>
      <c r="AI109" s="75">
        <f t="shared" si="17"/>
        <v>7087.5</v>
      </c>
      <c r="AJ109" s="78">
        <f t="shared" si="18"/>
        <v>2875.5</v>
      </c>
      <c r="AK109" s="72">
        <f t="shared" si="19"/>
        <v>9963</v>
      </c>
    </row>
    <row r="110" spans="1:37" ht="15.95" customHeight="1">
      <c r="A110" s="25" t="s">
        <v>948</v>
      </c>
      <c r="B110" s="25" t="s">
        <v>949</v>
      </c>
      <c r="C110" s="26" t="s">
        <v>347</v>
      </c>
      <c r="D110" s="26" t="s">
        <v>213</v>
      </c>
      <c r="E110" s="26" t="s">
        <v>214</v>
      </c>
      <c r="F110" s="26" t="s">
        <v>1001</v>
      </c>
      <c r="G110" s="26" t="s">
        <v>240</v>
      </c>
      <c r="H110" s="27" t="s">
        <v>95</v>
      </c>
      <c r="I110" s="26" t="s">
        <v>27</v>
      </c>
      <c r="J110" s="28" t="s">
        <v>502</v>
      </c>
      <c r="K110" s="123">
        <v>98</v>
      </c>
      <c r="L110" s="29">
        <v>18.397499999999997</v>
      </c>
      <c r="M110" s="110">
        <v>14.5</v>
      </c>
      <c r="N110" s="30">
        <v>0.16500000000000001</v>
      </c>
      <c r="O110" s="116">
        <v>2.3925000000000001</v>
      </c>
      <c r="P110" s="30"/>
      <c r="Q110" s="116"/>
      <c r="R110" s="30">
        <v>7.0000000000000007E-2</v>
      </c>
      <c r="S110" s="116">
        <v>1.0150000000000001</v>
      </c>
      <c r="T110" s="117">
        <v>0.49</v>
      </c>
      <c r="U110" s="39">
        <v>350</v>
      </c>
      <c r="V110" s="32">
        <v>142</v>
      </c>
      <c r="W110" s="33">
        <v>0</v>
      </c>
      <c r="X110" s="32"/>
      <c r="Y110" s="32"/>
      <c r="Z110" s="32"/>
      <c r="AA110" s="34"/>
      <c r="AB110" s="35">
        <f t="shared" si="10"/>
        <v>492</v>
      </c>
      <c r="AC110" s="75">
        <f t="shared" si="11"/>
        <v>34300</v>
      </c>
      <c r="AD110" s="78">
        <f t="shared" si="12"/>
        <v>13916</v>
      </c>
      <c r="AE110" s="72">
        <f t="shared" si="13"/>
        <v>48216</v>
      </c>
      <c r="AF110" s="75">
        <f t="shared" si="14"/>
        <v>6439.1249999999991</v>
      </c>
      <c r="AG110" s="78">
        <f t="shared" si="15"/>
        <v>2612.4449999999997</v>
      </c>
      <c r="AH110" s="72">
        <f t="shared" si="16"/>
        <v>9051.57</v>
      </c>
      <c r="AI110" s="75">
        <f t="shared" si="17"/>
        <v>5075</v>
      </c>
      <c r="AJ110" s="78">
        <f t="shared" si="18"/>
        <v>2059</v>
      </c>
      <c r="AK110" s="72">
        <f t="shared" si="19"/>
        <v>7134</v>
      </c>
    </row>
    <row r="111" spans="1:37" ht="15.95" customHeight="1">
      <c r="A111" s="25" t="s">
        <v>948</v>
      </c>
      <c r="B111" s="25" t="s">
        <v>949</v>
      </c>
      <c r="C111" s="26" t="s">
        <v>76</v>
      </c>
      <c r="D111" s="26" t="s">
        <v>213</v>
      </c>
      <c r="E111" s="26" t="s">
        <v>214</v>
      </c>
      <c r="F111" s="26" t="s">
        <v>1000</v>
      </c>
      <c r="G111" s="26" t="s">
        <v>240</v>
      </c>
      <c r="H111" s="27" t="s">
        <v>95</v>
      </c>
      <c r="I111" s="26" t="s">
        <v>27</v>
      </c>
      <c r="J111" s="28" t="s">
        <v>222</v>
      </c>
      <c r="K111" s="123">
        <v>125</v>
      </c>
      <c r="L111" s="29">
        <v>25.498749999999998</v>
      </c>
      <c r="M111" s="110">
        <v>20.25</v>
      </c>
      <c r="N111" s="30">
        <v>0.16500000000000001</v>
      </c>
      <c r="O111" s="116">
        <v>3.3412500000000001</v>
      </c>
      <c r="P111" s="30"/>
      <c r="Q111" s="116"/>
      <c r="R111" s="30">
        <v>7.0000000000000007E-2</v>
      </c>
      <c r="S111" s="116">
        <v>1.4175000000000002</v>
      </c>
      <c r="T111" s="117">
        <v>0.49</v>
      </c>
      <c r="U111" s="39">
        <v>300</v>
      </c>
      <c r="V111" s="32">
        <v>175</v>
      </c>
      <c r="W111" s="33">
        <v>24</v>
      </c>
      <c r="X111" s="32"/>
      <c r="Y111" s="32"/>
      <c r="Z111" s="32"/>
      <c r="AA111" s="34"/>
      <c r="AB111" s="35">
        <f t="shared" si="10"/>
        <v>499</v>
      </c>
      <c r="AC111" s="75">
        <f t="shared" si="11"/>
        <v>37500</v>
      </c>
      <c r="AD111" s="78">
        <f t="shared" si="12"/>
        <v>24875</v>
      </c>
      <c r="AE111" s="72">
        <f t="shared" si="13"/>
        <v>62375</v>
      </c>
      <c r="AF111" s="75">
        <f t="shared" si="14"/>
        <v>7649.6249999999991</v>
      </c>
      <c r="AG111" s="78">
        <f t="shared" si="15"/>
        <v>5074.2512499999993</v>
      </c>
      <c r="AH111" s="72">
        <f t="shared" si="16"/>
        <v>12723.876249999998</v>
      </c>
      <c r="AI111" s="75">
        <f t="shared" si="17"/>
        <v>6075</v>
      </c>
      <c r="AJ111" s="78">
        <f t="shared" si="18"/>
        <v>4029.75</v>
      </c>
      <c r="AK111" s="72">
        <f t="shared" si="19"/>
        <v>10104.75</v>
      </c>
    </row>
    <row r="112" spans="1:37" ht="15.95" customHeight="1">
      <c r="A112" s="25" t="s">
        <v>948</v>
      </c>
      <c r="B112" s="25" t="s">
        <v>949</v>
      </c>
      <c r="C112" s="26" t="s">
        <v>347</v>
      </c>
      <c r="D112" s="26" t="s">
        <v>213</v>
      </c>
      <c r="E112" s="26" t="s">
        <v>214</v>
      </c>
      <c r="F112" s="26" t="s">
        <v>1001</v>
      </c>
      <c r="G112" s="26" t="s">
        <v>240</v>
      </c>
      <c r="H112" s="44" t="s">
        <v>95</v>
      </c>
      <c r="I112" s="26" t="s">
        <v>27</v>
      </c>
      <c r="J112" s="28" t="s">
        <v>502</v>
      </c>
      <c r="K112" s="123">
        <v>98</v>
      </c>
      <c r="L112" s="29">
        <v>18.397499999999997</v>
      </c>
      <c r="M112" s="110">
        <v>14.5</v>
      </c>
      <c r="N112" s="30">
        <v>0.16500000000000001</v>
      </c>
      <c r="O112" s="116">
        <v>2.3925000000000001</v>
      </c>
      <c r="P112" s="30"/>
      <c r="Q112" s="116"/>
      <c r="R112" s="30">
        <v>7.0000000000000007E-2</v>
      </c>
      <c r="S112" s="116">
        <v>1.0150000000000001</v>
      </c>
      <c r="T112" s="117">
        <v>0.49</v>
      </c>
      <c r="U112" s="39">
        <v>300</v>
      </c>
      <c r="V112" s="32">
        <v>175</v>
      </c>
      <c r="W112" s="33">
        <v>24</v>
      </c>
      <c r="X112" s="32"/>
      <c r="Y112" s="32"/>
      <c r="Z112" s="32"/>
      <c r="AA112" s="34"/>
      <c r="AB112" s="35">
        <f t="shared" si="10"/>
        <v>499</v>
      </c>
      <c r="AC112" s="75">
        <f t="shared" si="11"/>
        <v>29400</v>
      </c>
      <c r="AD112" s="78">
        <f t="shared" si="12"/>
        <v>19502</v>
      </c>
      <c r="AE112" s="72">
        <f t="shared" si="13"/>
        <v>48902</v>
      </c>
      <c r="AF112" s="75">
        <f t="shared" si="14"/>
        <v>5519.2499999999991</v>
      </c>
      <c r="AG112" s="78">
        <f t="shared" si="15"/>
        <v>3661.1024999999995</v>
      </c>
      <c r="AH112" s="72">
        <f t="shared" si="16"/>
        <v>9180.3524999999991</v>
      </c>
      <c r="AI112" s="75">
        <f t="shared" si="17"/>
        <v>4350</v>
      </c>
      <c r="AJ112" s="78">
        <f t="shared" si="18"/>
        <v>2885.5</v>
      </c>
      <c r="AK112" s="72">
        <f t="shared" si="19"/>
        <v>7235.5</v>
      </c>
    </row>
    <row r="113" spans="1:37" ht="15.95" customHeight="1">
      <c r="A113" s="25" t="s">
        <v>948</v>
      </c>
      <c r="B113" s="25" t="s">
        <v>949</v>
      </c>
      <c r="C113" s="26" t="s">
        <v>24</v>
      </c>
      <c r="D113" s="26" t="s">
        <v>213</v>
      </c>
      <c r="E113" s="26" t="s">
        <v>214</v>
      </c>
      <c r="F113" s="26" t="s">
        <v>1002</v>
      </c>
      <c r="G113" s="26" t="s">
        <v>351</v>
      </c>
      <c r="H113" s="44" t="s">
        <v>994</v>
      </c>
      <c r="I113" s="26" t="s">
        <v>27</v>
      </c>
      <c r="J113" s="28" t="s">
        <v>227</v>
      </c>
      <c r="K113" s="123">
        <v>48</v>
      </c>
      <c r="L113" s="29">
        <v>7.2824999999999998</v>
      </c>
      <c r="M113" s="110">
        <v>5.5</v>
      </c>
      <c r="N113" s="30">
        <v>0.16500000000000001</v>
      </c>
      <c r="O113" s="116">
        <v>0.90750000000000008</v>
      </c>
      <c r="P113" s="30"/>
      <c r="Q113" s="116"/>
      <c r="R113" s="30">
        <v>7.0000000000000007E-2</v>
      </c>
      <c r="S113" s="116">
        <v>0.38500000000000001</v>
      </c>
      <c r="T113" s="117">
        <v>0.49</v>
      </c>
      <c r="U113" s="39">
        <v>600</v>
      </c>
      <c r="V113" s="32">
        <v>303</v>
      </c>
      <c r="W113" s="33">
        <v>0</v>
      </c>
      <c r="X113" s="32"/>
      <c r="Y113" s="32"/>
      <c r="Z113" s="32"/>
      <c r="AA113" s="34">
        <v>10</v>
      </c>
      <c r="AB113" s="35">
        <f t="shared" si="10"/>
        <v>913</v>
      </c>
      <c r="AC113" s="75">
        <f t="shared" si="11"/>
        <v>28800</v>
      </c>
      <c r="AD113" s="78">
        <f t="shared" si="12"/>
        <v>15024</v>
      </c>
      <c r="AE113" s="72">
        <f t="shared" si="13"/>
        <v>43824</v>
      </c>
      <c r="AF113" s="75">
        <f t="shared" si="14"/>
        <v>4369.5</v>
      </c>
      <c r="AG113" s="78">
        <f t="shared" si="15"/>
        <v>2261.5974999999999</v>
      </c>
      <c r="AH113" s="72">
        <f t="shared" si="16"/>
        <v>6631.0974999999999</v>
      </c>
      <c r="AI113" s="75">
        <f t="shared" si="17"/>
        <v>3300</v>
      </c>
      <c r="AJ113" s="78">
        <f t="shared" si="18"/>
        <v>1721.5</v>
      </c>
      <c r="AK113" s="72">
        <f t="shared" si="19"/>
        <v>5021.5</v>
      </c>
    </row>
    <row r="114" spans="1:37" ht="15.95" customHeight="1">
      <c r="A114" s="25" t="s">
        <v>948</v>
      </c>
      <c r="B114" s="25" t="s">
        <v>949</v>
      </c>
      <c r="C114" s="26" t="s">
        <v>24</v>
      </c>
      <c r="D114" s="26" t="s">
        <v>213</v>
      </c>
      <c r="E114" s="26" t="s">
        <v>214</v>
      </c>
      <c r="F114" s="26" t="s">
        <v>1002</v>
      </c>
      <c r="G114" s="26" t="s">
        <v>351</v>
      </c>
      <c r="H114" s="44" t="s">
        <v>994</v>
      </c>
      <c r="I114" s="26" t="s">
        <v>27</v>
      </c>
      <c r="J114" s="28" t="s">
        <v>227</v>
      </c>
      <c r="K114" s="123">
        <v>48</v>
      </c>
      <c r="L114" s="29">
        <v>7.2824999999999998</v>
      </c>
      <c r="M114" s="110">
        <v>5.5</v>
      </c>
      <c r="N114" s="30">
        <v>0.16500000000000001</v>
      </c>
      <c r="O114" s="116">
        <v>0.90750000000000008</v>
      </c>
      <c r="P114" s="30"/>
      <c r="Q114" s="116"/>
      <c r="R114" s="30">
        <v>7.0000000000000007E-2</v>
      </c>
      <c r="S114" s="116">
        <v>0.38500000000000001</v>
      </c>
      <c r="T114" s="117">
        <v>0.49</v>
      </c>
      <c r="U114" s="39">
        <v>500</v>
      </c>
      <c r="V114" s="32">
        <v>180</v>
      </c>
      <c r="W114" s="33">
        <v>0</v>
      </c>
      <c r="X114" s="32"/>
      <c r="Y114" s="32"/>
      <c r="Z114" s="32"/>
      <c r="AA114" s="34"/>
      <c r="AB114" s="35">
        <f t="shared" si="10"/>
        <v>680</v>
      </c>
      <c r="AC114" s="75">
        <f t="shared" si="11"/>
        <v>24000</v>
      </c>
      <c r="AD114" s="78">
        <f t="shared" si="12"/>
        <v>8640</v>
      </c>
      <c r="AE114" s="72">
        <f t="shared" si="13"/>
        <v>32640</v>
      </c>
      <c r="AF114" s="75">
        <f t="shared" si="14"/>
        <v>3641.25</v>
      </c>
      <c r="AG114" s="78">
        <f t="shared" si="15"/>
        <v>1310.85</v>
      </c>
      <c r="AH114" s="72">
        <f t="shared" si="16"/>
        <v>4952.1000000000004</v>
      </c>
      <c r="AI114" s="75">
        <f t="shared" si="17"/>
        <v>2750</v>
      </c>
      <c r="AJ114" s="78">
        <f t="shared" si="18"/>
        <v>990</v>
      </c>
      <c r="AK114" s="72">
        <f t="shared" si="19"/>
        <v>3740</v>
      </c>
    </row>
    <row r="115" spans="1:37" ht="15.95" customHeight="1">
      <c r="A115" s="25" t="s">
        <v>948</v>
      </c>
      <c r="B115" s="25" t="s">
        <v>949</v>
      </c>
      <c r="C115" s="26" t="s">
        <v>24</v>
      </c>
      <c r="D115" s="26" t="s">
        <v>213</v>
      </c>
      <c r="E115" s="26" t="s">
        <v>214</v>
      </c>
      <c r="F115" s="26" t="s">
        <v>1002</v>
      </c>
      <c r="G115" s="26" t="s">
        <v>351</v>
      </c>
      <c r="H115" s="44" t="s">
        <v>994</v>
      </c>
      <c r="I115" s="26" t="s">
        <v>27</v>
      </c>
      <c r="J115" s="28" t="s">
        <v>227</v>
      </c>
      <c r="K115" s="123">
        <v>48</v>
      </c>
      <c r="L115" s="29">
        <v>7.2824999999999998</v>
      </c>
      <c r="M115" s="110">
        <v>5.5</v>
      </c>
      <c r="N115" s="30">
        <v>0.16500000000000001</v>
      </c>
      <c r="O115" s="116">
        <v>0.90750000000000008</v>
      </c>
      <c r="P115" s="30"/>
      <c r="Q115" s="116"/>
      <c r="R115" s="30">
        <v>7.0000000000000007E-2</v>
      </c>
      <c r="S115" s="116">
        <v>0.38500000000000001</v>
      </c>
      <c r="T115" s="117">
        <v>0.49</v>
      </c>
      <c r="U115" s="39">
        <v>600</v>
      </c>
      <c r="V115" s="32">
        <v>225</v>
      </c>
      <c r="W115" s="33">
        <v>0</v>
      </c>
      <c r="X115" s="32"/>
      <c r="Y115" s="32"/>
      <c r="Z115" s="32"/>
      <c r="AA115" s="34">
        <v>10</v>
      </c>
      <c r="AB115" s="35">
        <f t="shared" si="10"/>
        <v>835</v>
      </c>
      <c r="AC115" s="75">
        <f t="shared" si="11"/>
        <v>28800</v>
      </c>
      <c r="AD115" s="78">
        <f t="shared" si="12"/>
        <v>11280</v>
      </c>
      <c r="AE115" s="72">
        <f t="shared" si="13"/>
        <v>40080</v>
      </c>
      <c r="AF115" s="75">
        <f t="shared" si="14"/>
        <v>4369.5</v>
      </c>
      <c r="AG115" s="78">
        <f t="shared" si="15"/>
        <v>1693.5625</v>
      </c>
      <c r="AH115" s="72">
        <f t="shared" si="16"/>
        <v>6063.0625</v>
      </c>
      <c r="AI115" s="75">
        <f t="shared" si="17"/>
        <v>3300</v>
      </c>
      <c r="AJ115" s="78">
        <f t="shared" si="18"/>
        <v>1292.5</v>
      </c>
      <c r="AK115" s="72">
        <f t="shared" si="19"/>
        <v>4592.5</v>
      </c>
    </row>
    <row r="116" spans="1:37" ht="15.95" customHeight="1">
      <c r="A116" s="25" t="s">
        <v>961</v>
      </c>
      <c r="B116" s="25" t="s">
        <v>949</v>
      </c>
      <c r="C116" s="26" t="s">
        <v>24</v>
      </c>
      <c r="D116" s="26" t="s">
        <v>213</v>
      </c>
      <c r="E116" s="26" t="s">
        <v>214</v>
      </c>
      <c r="F116" s="26" t="s">
        <v>1002</v>
      </c>
      <c r="G116" s="26" t="s">
        <v>351</v>
      </c>
      <c r="H116" s="27" t="s">
        <v>994</v>
      </c>
      <c r="I116" s="26" t="s">
        <v>27</v>
      </c>
      <c r="J116" s="28" t="s">
        <v>227</v>
      </c>
      <c r="K116" s="125">
        <v>48</v>
      </c>
      <c r="L116" s="29">
        <v>7.2824999999999998</v>
      </c>
      <c r="M116" s="110">
        <v>5.5</v>
      </c>
      <c r="N116" s="30">
        <v>0.16500000000000001</v>
      </c>
      <c r="O116" s="116">
        <v>0.90750000000000008</v>
      </c>
      <c r="P116" s="30"/>
      <c r="Q116" s="116"/>
      <c r="R116" s="30">
        <v>7.0000000000000007E-2</v>
      </c>
      <c r="S116" s="116">
        <v>0.38500000000000001</v>
      </c>
      <c r="T116" s="117">
        <v>0.49</v>
      </c>
      <c r="U116" s="39">
        <v>300</v>
      </c>
      <c r="V116" s="32"/>
      <c r="W116" s="33">
        <v>0</v>
      </c>
      <c r="X116" s="32"/>
      <c r="Y116" s="32"/>
      <c r="Z116" s="32"/>
      <c r="AA116" s="34"/>
      <c r="AB116" s="35">
        <f t="shared" si="10"/>
        <v>300</v>
      </c>
      <c r="AC116" s="75">
        <f t="shared" si="11"/>
        <v>14400</v>
      </c>
      <c r="AD116" s="78">
        <f t="shared" si="12"/>
        <v>0</v>
      </c>
      <c r="AE116" s="72">
        <f t="shared" si="13"/>
        <v>14400</v>
      </c>
      <c r="AF116" s="75">
        <f t="shared" si="14"/>
        <v>2184.75</v>
      </c>
      <c r="AG116" s="78">
        <f t="shared" si="15"/>
        <v>0</v>
      </c>
      <c r="AH116" s="72">
        <f t="shared" si="16"/>
        <v>2184.75</v>
      </c>
      <c r="AI116" s="75">
        <f t="shared" si="17"/>
        <v>1650</v>
      </c>
      <c r="AJ116" s="78">
        <f t="shared" si="18"/>
        <v>0</v>
      </c>
      <c r="AK116" s="72">
        <f t="shared" si="19"/>
        <v>1650</v>
      </c>
    </row>
    <row r="117" spans="1:37" ht="15.95" customHeight="1">
      <c r="A117" s="25" t="s">
        <v>961</v>
      </c>
      <c r="B117" s="25" t="s">
        <v>949</v>
      </c>
      <c r="C117" s="26" t="s">
        <v>24</v>
      </c>
      <c r="D117" s="26" t="s">
        <v>213</v>
      </c>
      <c r="E117" s="26" t="s">
        <v>214</v>
      </c>
      <c r="F117" s="26" t="s">
        <v>1002</v>
      </c>
      <c r="G117" s="26" t="s">
        <v>351</v>
      </c>
      <c r="H117" s="27" t="s">
        <v>994</v>
      </c>
      <c r="I117" s="26" t="s">
        <v>27</v>
      </c>
      <c r="J117" s="28" t="s">
        <v>227</v>
      </c>
      <c r="K117" s="125">
        <v>48</v>
      </c>
      <c r="L117" s="29">
        <v>7.2824999999999998</v>
      </c>
      <c r="M117" s="110">
        <v>5.5</v>
      </c>
      <c r="N117" s="30">
        <v>0.16500000000000001</v>
      </c>
      <c r="O117" s="116">
        <v>0.90750000000000008</v>
      </c>
      <c r="P117" s="30"/>
      <c r="Q117" s="116"/>
      <c r="R117" s="30">
        <v>7.0000000000000007E-2</v>
      </c>
      <c r="S117" s="116">
        <v>0.38500000000000001</v>
      </c>
      <c r="T117" s="117">
        <v>0.49</v>
      </c>
      <c r="U117" s="39">
        <v>300</v>
      </c>
      <c r="V117" s="32"/>
      <c r="W117" s="33">
        <v>0</v>
      </c>
      <c r="X117" s="32"/>
      <c r="Y117" s="32"/>
      <c r="Z117" s="32"/>
      <c r="AA117" s="34"/>
      <c r="AB117" s="35">
        <f t="shared" si="10"/>
        <v>300</v>
      </c>
      <c r="AC117" s="75">
        <f t="shared" si="11"/>
        <v>14400</v>
      </c>
      <c r="AD117" s="78">
        <f t="shared" si="12"/>
        <v>0</v>
      </c>
      <c r="AE117" s="72">
        <f t="shared" si="13"/>
        <v>14400</v>
      </c>
      <c r="AF117" s="75">
        <f t="shared" si="14"/>
        <v>2184.75</v>
      </c>
      <c r="AG117" s="78">
        <f t="shared" si="15"/>
        <v>0</v>
      </c>
      <c r="AH117" s="72">
        <f t="shared" si="16"/>
        <v>2184.75</v>
      </c>
      <c r="AI117" s="75">
        <f t="shared" si="17"/>
        <v>1650</v>
      </c>
      <c r="AJ117" s="78">
        <f t="shared" si="18"/>
        <v>0</v>
      </c>
      <c r="AK117" s="72">
        <f t="shared" si="19"/>
        <v>1650</v>
      </c>
    </row>
    <row r="118" spans="1:37" ht="15.95" customHeight="1">
      <c r="A118" s="25" t="s">
        <v>961</v>
      </c>
      <c r="B118" s="25" t="s">
        <v>949</v>
      </c>
      <c r="C118" s="26" t="s">
        <v>24</v>
      </c>
      <c r="D118" s="26" t="s">
        <v>213</v>
      </c>
      <c r="E118" s="26" t="s">
        <v>214</v>
      </c>
      <c r="F118" s="26" t="s">
        <v>1002</v>
      </c>
      <c r="G118" s="26" t="s">
        <v>351</v>
      </c>
      <c r="H118" s="27" t="s">
        <v>994</v>
      </c>
      <c r="I118" s="26" t="s">
        <v>27</v>
      </c>
      <c r="J118" s="28" t="s">
        <v>227</v>
      </c>
      <c r="K118" s="125">
        <v>48</v>
      </c>
      <c r="L118" s="29">
        <v>7.2824999999999998</v>
      </c>
      <c r="M118" s="110">
        <v>5.5</v>
      </c>
      <c r="N118" s="30">
        <v>0.16500000000000001</v>
      </c>
      <c r="O118" s="116">
        <v>0.90750000000000008</v>
      </c>
      <c r="P118" s="30"/>
      <c r="Q118" s="116"/>
      <c r="R118" s="30">
        <v>7.0000000000000007E-2</v>
      </c>
      <c r="S118" s="116">
        <v>0.38500000000000001</v>
      </c>
      <c r="T118" s="117">
        <v>0.49</v>
      </c>
      <c r="U118" s="39">
        <v>300</v>
      </c>
      <c r="V118" s="32"/>
      <c r="W118" s="33">
        <v>0</v>
      </c>
      <c r="X118" s="32"/>
      <c r="Y118" s="32"/>
      <c r="Z118" s="32"/>
      <c r="AA118" s="34"/>
      <c r="AB118" s="35">
        <f t="shared" si="10"/>
        <v>300</v>
      </c>
      <c r="AC118" s="75">
        <f t="shared" si="11"/>
        <v>14400</v>
      </c>
      <c r="AD118" s="78">
        <f t="shared" si="12"/>
        <v>0</v>
      </c>
      <c r="AE118" s="72">
        <f t="shared" si="13"/>
        <v>14400</v>
      </c>
      <c r="AF118" s="75">
        <f t="shared" si="14"/>
        <v>2184.75</v>
      </c>
      <c r="AG118" s="78">
        <f t="shared" si="15"/>
        <v>0</v>
      </c>
      <c r="AH118" s="72">
        <f t="shared" si="16"/>
        <v>2184.75</v>
      </c>
      <c r="AI118" s="75">
        <f t="shared" si="17"/>
        <v>1650</v>
      </c>
      <c r="AJ118" s="78">
        <f t="shared" si="18"/>
        <v>0</v>
      </c>
      <c r="AK118" s="72">
        <f t="shared" si="19"/>
        <v>1650</v>
      </c>
    </row>
    <row r="119" spans="1:37" ht="15.95" customHeight="1">
      <c r="A119" s="25" t="s">
        <v>948</v>
      </c>
      <c r="B119" s="25" t="s">
        <v>949</v>
      </c>
      <c r="C119" s="26" t="s">
        <v>48</v>
      </c>
      <c r="D119" s="26" t="s">
        <v>213</v>
      </c>
      <c r="E119" s="26" t="s">
        <v>214</v>
      </c>
      <c r="F119" s="26" t="s">
        <v>1003</v>
      </c>
      <c r="G119" s="26" t="s">
        <v>240</v>
      </c>
      <c r="H119" s="27" t="s">
        <v>95</v>
      </c>
      <c r="I119" s="26" t="s">
        <v>27</v>
      </c>
      <c r="J119" s="28" t="s">
        <v>41</v>
      </c>
      <c r="K119" s="125">
        <v>110</v>
      </c>
      <c r="L119" s="29">
        <v>18.397499999999997</v>
      </c>
      <c r="M119" s="110">
        <v>14.5</v>
      </c>
      <c r="N119" s="30">
        <v>0.16500000000000001</v>
      </c>
      <c r="O119" s="116">
        <v>2.3925000000000001</v>
      </c>
      <c r="P119" s="30"/>
      <c r="Q119" s="116"/>
      <c r="R119" s="30">
        <v>7.0000000000000007E-2</v>
      </c>
      <c r="S119" s="116">
        <v>1.0150000000000001</v>
      </c>
      <c r="T119" s="117">
        <v>0.49</v>
      </c>
      <c r="U119" s="39">
        <v>300</v>
      </c>
      <c r="V119" s="32"/>
      <c r="W119" s="33">
        <v>199</v>
      </c>
      <c r="X119" s="32"/>
      <c r="Y119" s="32"/>
      <c r="Z119" s="32"/>
      <c r="AA119" s="34"/>
      <c r="AB119" s="35">
        <f t="shared" si="10"/>
        <v>499</v>
      </c>
      <c r="AC119" s="75">
        <f t="shared" si="11"/>
        <v>33000</v>
      </c>
      <c r="AD119" s="78">
        <f t="shared" si="12"/>
        <v>21890</v>
      </c>
      <c r="AE119" s="72">
        <f t="shared" si="13"/>
        <v>54890</v>
      </c>
      <c r="AF119" s="75">
        <f t="shared" si="14"/>
        <v>5519.2499999999991</v>
      </c>
      <c r="AG119" s="78">
        <f t="shared" si="15"/>
        <v>3661.1024999999995</v>
      </c>
      <c r="AH119" s="72">
        <f t="shared" si="16"/>
        <v>9180.3524999999991</v>
      </c>
      <c r="AI119" s="75">
        <f t="shared" si="17"/>
        <v>4350</v>
      </c>
      <c r="AJ119" s="78">
        <f t="shared" si="18"/>
        <v>2885.5</v>
      </c>
      <c r="AK119" s="72">
        <f t="shared" si="19"/>
        <v>7235.5</v>
      </c>
    </row>
    <row r="120" spans="1:37" ht="15.95" customHeight="1">
      <c r="A120" s="25" t="s">
        <v>948</v>
      </c>
      <c r="B120" s="25" t="s">
        <v>949</v>
      </c>
      <c r="C120" s="26" t="s">
        <v>48</v>
      </c>
      <c r="D120" s="26" t="s">
        <v>213</v>
      </c>
      <c r="E120" s="26" t="s">
        <v>214</v>
      </c>
      <c r="F120" s="26" t="s">
        <v>1003</v>
      </c>
      <c r="G120" s="26" t="s">
        <v>240</v>
      </c>
      <c r="H120" s="27" t="s">
        <v>95</v>
      </c>
      <c r="I120" s="26" t="s">
        <v>27</v>
      </c>
      <c r="J120" s="28" t="s">
        <v>41</v>
      </c>
      <c r="K120" s="125">
        <v>110</v>
      </c>
      <c r="L120" s="29">
        <v>18.397499999999997</v>
      </c>
      <c r="M120" s="110">
        <v>14.5</v>
      </c>
      <c r="N120" s="30">
        <v>0.16500000000000001</v>
      </c>
      <c r="O120" s="116">
        <v>2.3925000000000001</v>
      </c>
      <c r="P120" s="30"/>
      <c r="Q120" s="116"/>
      <c r="R120" s="30">
        <v>7.0000000000000007E-2</v>
      </c>
      <c r="S120" s="116">
        <v>1.0150000000000001</v>
      </c>
      <c r="T120" s="117">
        <v>0.49</v>
      </c>
      <c r="U120" s="39">
        <v>400</v>
      </c>
      <c r="V120" s="32">
        <v>99</v>
      </c>
      <c r="W120" s="33">
        <v>0</v>
      </c>
      <c r="X120" s="32"/>
      <c r="Y120" s="32"/>
      <c r="Z120" s="32"/>
      <c r="AA120" s="34"/>
      <c r="AB120" s="35">
        <f t="shared" si="10"/>
        <v>499</v>
      </c>
      <c r="AC120" s="75">
        <f t="shared" si="11"/>
        <v>44000</v>
      </c>
      <c r="AD120" s="78">
        <f t="shared" si="12"/>
        <v>10890</v>
      </c>
      <c r="AE120" s="72">
        <f t="shared" si="13"/>
        <v>54890</v>
      </c>
      <c r="AF120" s="75">
        <f t="shared" si="14"/>
        <v>7358.9999999999991</v>
      </c>
      <c r="AG120" s="78">
        <f t="shared" si="15"/>
        <v>1821.3524999999997</v>
      </c>
      <c r="AH120" s="72">
        <f t="shared" si="16"/>
        <v>9180.3524999999991</v>
      </c>
      <c r="AI120" s="75">
        <f t="shared" si="17"/>
        <v>5800</v>
      </c>
      <c r="AJ120" s="78">
        <f t="shared" si="18"/>
        <v>1435.5</v>
      </c>
      <c r="AK120" s="72">
        <f t="shared" si="19"/>
        <v>7235.5</v>
      </c>
    </row>
    <row r="121" spans="1:37" ht="15.95" customHeight="1">
      <c r="A121" s="25" t="s">
        <v>948</v>
      </c>
      <c r="B121" s="25" t="s">
        <v>949</v>
      </c>
      <c r="C121" s="26" t="s">
        <v>48</v>
      </c>
      <c r="D121" s="26" t="s">
        <v>213</v>
      </c>
      <c r="E121" s="26" t="s">
        <v>214</v>
      </c>
      <c r="F121" s="26" t="s">
        <v>1003</v>
      </c>
      <c r="G121" s="26" t="s">
        <v>240</v>
      </c>
      <c r="H121" s="27" t="s">
        <v>95</v>
      </c>
      <c r="I121" s="26" t="s">
        <v>27</v>
      </c>
      <c r="J121" s="28" t="s">
        <v>41</v>
      </c>
      <c r="K121" s="125">
        <v>110</v>
      </c>
      <c r="L121" s="29">
        <v>18.397499999999997</v>
      </c>
      <c r="M121" s="110">
        <v>14.5</v>
      </c>
      <c r="N121" s="30">
        <v>0.16500000000000001</v>
      </c>
      <c r="O121" s="116">
        <v>2.3925000000000001</v>
      </c>
      <c r="P121" s="30"/>
      <c r="Q121" s="116"/>
      <c r="R121" s="30">
        <v>7.0000000000000007E-2</v>
      </c>
      <c r="S121" s="116">
        <v>1.0150000000000001</v>
      </c>
      <c r="T121" s="117">
        <v>0.49</v>
      </c>
      <c r="U121" s="39">
        <v>300</v>
      </c>
      <c r="V121" s="32">
        <v>100</v>
      </c>
      <c r="W121" s="33">
        <v>101</v>
      </c>
      <c r="X121" s="32"/>
      <c r="Y121" s="32"/>
      <c r="Z121" s="32"/>
      <c r="AA121" s="34"/>
      <c r="AB121" s="35">
        <f t="shared" si="10"/>
        <v>501</v>
      </c>
      <c r="AC121" s="75">
        <f t="shared" si="11"/>
        <v>33000</v>
      </c>
      <c r="AD121" s="78">
        <f t="shared" si="12"/>
        <v>22110</v>
      </c>
      <c r="AE121" s="72">
        <f t="shared" si="13"/>
        <v>55110</v>
      </c>
      <c r="AF121" s="75">
        <f t="shared" si="14"/>
        <v>5519.2499999999991</v>
      </c>
      <c r="AG121" s="78">
        <f t="shared" si="15"/>
        <v>3697.8974999999996</v>
      </c>
      <c r="AH121" s="72">
        <f t="shared" si="16"/>
        <v>9217.1474999999991</v>
      </c>
      <c r="AI121" s="75">
        <f t="shared" si="17"/>
        <v>4350</v>
      </c>
      <c r="AJ121" s="78">
        <f t="shared" si="18"/>
        <v>2914.5</v>
      </c>
      <c r="AK121" s="72">
        <f t="shared" si="19"/>
        <v>7264.5</v>
      </c>
    </row>
    <row r="122" spans="1:37" ht="15.95" customHeight="1">
      <c r="A122" s="25" t="s">
        <v>948</v>
      </c>
      <c r="B122" s="25" t="s">
        <v>949</v>
      </c>
      <c r="C122" s="26" t="s">
        <v>982</v>
      </c>
      <c r="D122" s="26" t="s">
        <v>213</v>
      </c>
      <c r="E122" s="26" t="s">
        <v>214</v>
      </c>
      <c r="F122" s="26" t="s">
        <v>1004</v>
      </c>
      <c r="G122" s="26" t="s">
        <v>240</v>
      </c>
      <c r="H122" s="27" t="s">
        <v>95</v>
      </c>
      <c r="I122" s="26" t="s">
        <v>27</v>
      </c>
      <c r="J122" s="28" t="s">
        <v>174</v>
      </c>
      <c r="K122" s="123">
        <v>78</v>
      </c>
      <c r="L122" s="29">
        <v>15.569750000000001</v>
      </c>
      <c r="M122" s="110">
        <v>12.25</v>
      </c>
      <c r="N122" s="30">
        <v>0.161</v>
      </c>
      <c r="O122" s="116">
        <v>1.9722500000000001</v>
      </c>
      <c r="P122" s="30"/>
      <c r="Q122" s="116"/>
      <c r="R122" s="30">
        <v>7.0000000000000007E-2</v>
      </c>
      <c r="S122" s="116">
        <v>0.85750000000000004</v>
      </c>
      <c r="T122" s="117">
        <v>0.49</v>
      </c>
      <c r="U122" s="39">
        <v>300</v>
      </c>
      <c r="V122" s="32">
        <v>181</v>
      </c>
      <c r="W122" s="33">
        <v>20</v>
      </c>
      <c r="X122" s="32"/>
      <c r="Y122" s="32"/>
      <c r="Z122" s="32"/>
      <c r="AA122" s="34"/>
      <c r="AB122" s="35">
        <f t="shared" si="10"/>
        <v>501</v>
      </c>
      <c r="AC122" s="75">
        <f t="shared" si="11"/>
        <v>23400</v>
      </c>
      <c r="AD122" s="78">
        <f t="shared" si="12"/>
        <v>15678</v>
      </c>
      <c r="AE122" s="72">
        <f t="shared" si="13"/>
        <v>39078</v>
      </c>
      <c r="AF122" s="75">
        <f t="shared" si="14"/>
        <v>4670.9250000000002</v>
      </c>
      <c r="AG122" s="78">
        <f t="shared" si="15"/>
        <v>3129.5197500000004</v>
      </c>
      <c r="AH122" s="72">
        <f t="shared" si="16"/>
        <v>7800.4447500000006</v>
      </c>
      <c r="AI122" s="75">
        <f t="shared" si="17"/>
        <v>3675</v>
      </c>
      <c r="AJ122" s="78">
        <f t="shared" si="18"/>
        <v>2462.25</v>
      </c>
      <c r="AK122" s="72">
        <f t="shared" si="19"/>
        <v>6137.25</v>
      </c>
    </row>
    <row r="123" spans="1:37" ht="15.95" customHeight="1">
      <c r="A123" s="25" t="s">
        <v>948</v>
      </c>
      <c r="B123" s="25" t="s">
        <v>949</v>
      </c>
      <c r="C123" s="26" t="s">
        <v>982</v>
      </c>
      <c r="D123" s="26" t="s">
        <v>213</v>
      </c>
      <c r="E123" s="26" t="s">
        <v>214</v>
      </c>
      <c r="F123" s="26" t="s">
        <v>1004</v>
      </c>
      <c r="G123" s="26" t="s">
        <v>240</v>
      </c>
      <c r="H123" s="27" t="s">
        <v>95</v>
      </c>
      <c r="I123" s="26" t="s">
        <v>27</v>
      </c>
      <c r="J123" s="28" t="s">
        <v>174</v>
      </c>
      <c r="K123" s="123">
        <v>78</v>
      </c>
      <c r="L123" s="29">
        <v>15.569750000000001</v>
      </c>
      <c r="M123" s="110">
        <v>12.25</v>
      </c>
      <c r="N123" s="30">
        <v>0.161</v>
      </c>
      <c r="O123" s="116">
        <v>1.9722500000000001</v>
      </c>
      <c r="P123" s="30"/>
      <c r="Q123" s="116"/>
      <c r="R123" s="30">
        <v>7.0000000000000007E-2</v>
      </c>
      <c r="S123" s="116">
        <v>0.85750000000000004</v>
      </c>
      <c r="T123" s="117">
        <v>0.49</v>
      </c>
      <c r="U123" s="39">
        <v>300</v>
      </c>
      <c r="V123" s="32">
        <v>188</v>
      </c>
      <c r="W123" s="33">
        <v>12</v>
      </c>
      <c r="X123" s="32"/>
      <c r="Y123" s="32"/>
      <c r="Z123" s="32"/>
      <c r="AA123" s="34"/>
      <c r="AB123" s="35">
        <f t="shared" si="10"/>
        <v>500</v>
      </c>
      <c r="AC123" s="75">
        <f t="shared" si="11"/>
        <v>23400</v>
      </c>
      <c r="AD123" s="78">
        <f t="shared" si="12"/>
        <v>15600</v>
      </c>
      <c r="AE123" s="72">
        <f t="shared" si="13"/>
        <v>39000</v>
      </c>
      <c r="AF123" s="75">
        <f t="shared" si="14"/>
        <v>4670.9250000000002</v>
      </c>
      <c r="AG123" s="78">
        <f t="shared" si="15"/>
        <v>3113.9500000000003</v>
      </c>
      <c r="AH123" s="72">
        <f t="shared" si="16"/>
        <v>7784.875</v>
      </c>
      <c r="AI123" s="75">
        <f t="shared" si="17"/>
        <v>3675</v>
      </c>
      <c r="AJ123" s="78">
        <f t="shared" si="18"/>
        <v>2450</v>
      </c>
      <c r="AK123" s="72">
        <f t="shared" si="19"/>
        <v>6125</v>
      </c>
    </row>
    <row r="124" spans="1:37" ht="15.95" customHeight="1">
      <c r="A124" s="25" t="s">
        <v>948</v>
      </c>
      <c r="B124" s="25" t="s">
        <v>949</v>
      </c>
      <c r="C124" s="26" t="s">
        <v>982</v>
      </c>
      <c r="D124" s="26" t="s">
        <v>213</v>
      </c>
      <c r="E124" s="26" t="s">
        <v>214</v>
      </c>
      <c r="F124" s="26" t="s">
        <v>1004</v>
      </c>
      <c r="G124" s="26" t="s">
        <v>240</v>
      </c>
      <c r="H124" s="27" t="s">
        <v>95</v>
      </c>
      <c r="I124" s="26" t="s">
        <v>27</v>
      </c>
      <c r="J124" s="28" t="s">
        <v>174</v>
      </c>
      <c r="K124" s="123">
        <v>78</v>
      </c>
      <c r="L124" s="29">
        <v>15.569750000000001</v>
      </c>
      <c r="M124" s="110">
        <v>12.25</v>
      </c>
      <c r="N124" s="30">
        <v>0.161</v>
      </c>
      <c r="O124" s="116">
        <v>1.9722500000000001</v>
      </c>
      <c r="P124" s="30"/>
      <c r="Q124" s="116"/>
      <c r="R124" s="30">
        <v>7.0000000000000007E-2</v>
      </c>
      <c r="S124" s="116">
        <v>0.85750000000000004</v>
      </c>
      <c r="T124" s="117">
        <v>0.49</v>
      </c>
      <c r="U124" s="39">
        <v>300</v>
      </c>
      <c r="V124" s="32">
        <v>251</v>
      </c>
      <c r="W124" s="33">
        <v>0</v>
      </c>
      <c r="X124" s="32"/>
      <c r="Y124" s="32"/>
      <c r="Z124" s="32"/>
      <c r="AA124" s="34"/>
      <c r="AB124" s="35">
        <f t="shared" si="10"/>
        <v>551</v>
      </c>
      <c r="AC124" s="75">
        <f t="shared" si="11"/>
        <v>23400</v>
      </c>
      <c r="AD124" s="78">
        <f t="shared" si="12"/>
        <v>19578</v>
      </c>
      <c r="AE124" s="72">
        <f t="shared" si="13"/>
        <v>42978</v>
      </c>
      <c r="AF124" s="75">
        <f t="shared" si="14"/>
        <v>4670.9250000000002</v>
      </c>
      <c r="AG124" s="78">
        <f t="shared" si="15"/>
        <v>3908.0072500000001</v>
      </c>
      <c r="AH124" s="72">
        <f t="shared" si="16"/>
        <v>8578.9322499999998</v>
      </c>
      <c r="AI124" s="75">
        <f t="shared" si="17"/>
        <v>3675</v>
      </c>
      <c r="AJ124" s="78">
        <f t="shared" si="18"/>
        <v>3074.75</v>
      </c>
      <c r="AK124" s="72">
        <f t="shared" si="19"/>
        <v>6749.75</v>
      </c>
    </row>
    <row r="125" spans="1:37" ht="15.95" customHeight="1">
      <c r="A125" s="25" t="s">
        <v>948</v>
      </c>
      <c r="B125" s="25" t="s">
        <v>949</v>
      </c>
      <c r="C125" s="26" t="s">
        <v>24</v>
      </c>
      <c r="D125" s="26" t="s">
        <v>213</v>
      </c>
      <c r="E125" s="26" t="s">
        <v>214</v>
      </c>
      <c r="F125" s="26" t="s">
        <v>1005</v>
      </c>
      <c r="G125" s="26" t="s">
        <v>225</v>
      </c>
      <c r="H125" s="27" t="s">
        <v>234</v>
      </c>
      <c r="I125" s="26" t="s">
        <v>27</v>
      </c>
      <c r="J125" s="28" t="s">
        <v>227</v>
      </c>
      <c r="K125" s="123">
        <v>48</v>
      </c>
      <c r="L125" s="29">
        <v>7.9</v>
      </c>
      <c r="M125" s="110">
        <v>6</v>
      </c>
      <c r="N125" s="30">
        <v>0.16500000000000001</v>
      </c>
      <c r="O125" s="116">
        <v>0.99</v>
      </c>
      <c r="P125" s="30"/>
      <c r="Q125" s="116"/>
      <c r="R125" s="30">
        <v>7.0000000000000007E-2</v>
      </c>
      <c r="S125" s="116">
        <v>0.42000000000000004</v>
      </c>
      <c r="T125" s="117">
        <v>0.49</v>
      </c>
      <c r="U125" s="39">
        <v>350</v>
      </c>
      <c r="V125" s="32">
        <v>179</v>
      </c>
      <c r="W125" s="33">
        <v>0</v>
      </c>
      <c r="X125" s="32"/>
      <c r="Y125" s="32"/>
      <c r="Z125" s="32"/>
      <c r="AA125" s="34"/>
      <c r="AB125" s="35">
        <f t="shared" si="10"/>
        <v>529</v>
      </c>
      <c r="AC125" s="75">
        <f t="shared" si="11"/>
        <v>16800</v>
      </c>
      <c r="AD125" s="78">
        <f t="shared" si="12"/>
        <v>8592</v>
      </c>
      <c r="AE125" s="72">
        <f t="shared" si="13"/>
        <v>25392</v>
      </c>
      <c r="AF125" s="75">
        <f t="shared" si="14"/>
        <v>2765</v>
      </c>
      <c r="AG125" s="78">
        <f t="shared" si="15"/>
        <v>1414.1000000000001</v>
      </c>
      <c r="AH125" s="72">
        <f t="shared" si="16"/>
        <v>4179.1000000000004</v>
      </c>
      <c r="AI125" s="75">
        <f t="shared" si="17"/>
        <v>2100</v>
      </c>
      <c r="AJ125" s="78">
        <f t="shared" si="18"/>
        <v>1074</v>
      </c>
      <c r="AK125" s="72">
        <f t="shared" si="19"/>
        <v>3174</v>
      </c>
    </row>
    <row r="126" spans="1:37" ht="15.95" customHeight="1">
      <c r="A126" s="25" t="s">
        <v>948</v>
      </c>
      <c r="B126" s="25" t="s">
        <v>949</v>
      </c>
      <c r="C126" s="26" t="s">
        <v>24</v>
      </c>
      <c r="D126" s="26" t="s">
        <v>213</v>
      </c>
      <c r="E126" s="26" t="s">
        <v>214</v>
      </c>
      <c r="F126" s="26" t="s">
        <v>1005</v>
      </c>
      <c r="G126" s="26" t="s">
        <v>225</v>
      </c>
      <c r="H126" s="27" t="s">
        <v>234</v>
      </c>
      <c r="I126" s="26" t="s">
        <v>27</v>
      </c>
      <c r="J126" s="28" t="s">
        <v>227</v>
      </c>
      <c r="K126" s="123">
        <v>48</v>
      </c>
      <c r="L126" s="29">
        <v>7.9</v>
      </c>
      <c r="M126" s="110">
        <v>6</v>
      </c>
      <c r="N126" s="30">
        <v>0.16500000000000001</v>
      </c>
      <c r="O126" s="116">
        <v>0.99</v>
      </c>
      <c r="P126" s="30"/>
      <c r="Q126" s="116"/>
      <c r="R126" s="30">
        <v>7.0000000000000007E-2</v>
      </c>
      <c r="S126" s="116">
        <v>0.42000000000000004</v>
      </c>
      <c r="T126" s="117">
        <v>0.49</v>
      </c>
      <c r="U126" s="39">
        <v>400</v>
      </c>
      <c r="V126" s="32">
        <v>174</v>
      </c>
      <c r="W126" s="33">
        <v>0</v>
      </c>
      <c r="X126" s="32"/>
      <c r="Y126" s="32"/>
      <c r="Z126" s="32"/>
      <c r="AA126" s="34"/>
      <c r="AB126" s="35">
        <f t="shared" si="10"/>
        <v>574</v>
      </c>
      <c r="AC126" s="75">
        <f t="shared" si="11"/>
        <v>19200</v>
      </c>
      <c r="AD126" s="78">
        <f t="shared" si="12"/>
        <v>8352</v>
      </c>
      <c r="AE126" s="72">
        <f t="shared" si="13"/>
        <v>27552</v>
      </c>
      <c r="AF126" s="75">
        <f t="shared" si="14"/>
        <v>3160</v>
      </c>
      <c r="AG126" s="78">
        <f t="shared" si="15"/>
        <v>1374.6000000000001</v>
      </c>
      <c r="AH126" s="72">
        <f t="shared" si="16"/>
        <v>4534.6000000000004</v>
      </c>
      <c r="AI126" s="75">
        <f t="shared" si="17"/>
        <v>2400</v>
      </c>
      <c r="AJ126" s="78">
        <f t="shared" si="18"/>
        <v>1044</v>
      </c>
      <c r="AK126" s="72">
        <f t="shared" si="19"/>
        <v>3444</v>
      </c>
    </row>
    <row r="127" spans="1:37" ht="15.95" customHeight="1">
      <c r="A127" s="25" t="s">
        <v>948</v>
      </c>
      <c r="B127" s="25" t="s">
        <v>949</v>
      </c>
      <c r="C127" s="26" t="s">
        <v>24</v>
      </c>
      <c r="D127" s="26" t="s">
        <v>213</v>
      </c>
      <c r="E127" s="26" t="s">
        <v>214</v>
      </c>
      <c r="F127" s="26" t="s">
        <v>1005</v>
      </c>
      <c r="G127" s="26" t="s">
        <v>225</v>
      </c>
      <c r="H127" s="27" t="s">
        <v>234</v>
      </c>
      <c r="I127" s="26" t="s">
        <v>27</v>
      </c>
      <c r="J127" s="28" t="s">
        <v>227</v>
      </c>
      <c r="K127" s="123">
        <v>48</v>
      </c>
      <c r="L127" s="29">
        <v>7.9</v>
      </c>
      <c r="M127" s="110">
        <v>6</v>
      </c>
      <c r="N127" s="30">
        <v>0.16500000000000001</v>
      </c>
      <c r="O127" s="116">
        <v>0.99</v>
      </c>
      <c r="P127" s="30"/>
      <c r="Q127" s="116"/>
      <c r="R127" s="30">
        <v>7.0000000000000007E-2</v>
      </c>
      <c r="S127" s="116">
        <v>0.42000000000000004</v>
      </c>
      <c r="T127" s="117">
        <v>0.49</v>
      </c>
      <c r="U127" s="39">
        <v>350</v>
      </c>
      <c r="V127" s="32">
        <v>256</v>
      </c>
      <c r="W127" s="33">
        <v>0</v>
      </c>
      <c r="X127" s="32"/>
      <c r="Y127" s="32"/>
      <c r="Z127" s="32"/>
      <c r="AA127" s="34"/>
      <c r="AB127" s="35">
        <f t="shared" si="10"/>
        <v>606</v>
      </c>
      <c r="AC127" s="75">
        <f t="shared" si="11"/>
        <v>16800</v>
      </c>
      <c r="AD127" s="78">
        <f t="shared" si="12"/>
        <v>12288</v>
      </c>
      <c r="AE127" s="72">
        <f t="shared" si="13"/>
        <v>29088</v>
      </c>
      <c r="AF127" s="75">
        <f t="shared" si="14"/>
        <v>2765</v>
      </c>
      <c r="AG127" s="78">
        <f t="shared" si="15"/>
        <v>2022.4</v>
      </c>
      <c r="AH127" s="72">
        <f t="shared" si="16"/>
        <v>4787.3999999999996</v>
      </c>
      <c r="AI127" s="75">
        <f t="shared" si="17"/>
        <v>2100</v>
      </c>
      <c r="AJ127" s="78">
        <f t="shared" si="18"/>
        <v>1536</v>
      </c>
      <c r="AK127" s="72">
        <f t="shared" si="19"/>
        <v>3636</v>
      </c>
    </row>
    <row r="128" spans="1:37" ht="15.95" customHeight="1">
      <c r="A128" s="25" t="s">
        <v>948</v>
      </c>
      <c r="B128" s="25" t="s">
        <v>949</v>
      </c>
      <c r="C128" s="26" t="s">
        <v>44</v>
      </c>
      <c r="D128" s="26" t="s">
        <v>213</v>
      </c>
      <c r="E128" s="26" t="s">
        <v>214</v>
      </c>
      <c r="F128" s="26" t="s">
        <v>1006</v>
      </c>
      <c r="G128" s="26" t="s">
        <v>351</v>
      </c>
      <c r="H128" s="27" t="s">
        <v>994</v>
      </c>
      <c r="I128" s="26" t="s">
        <v>27</v>
      </c>
      <c r="J128" s="28" t="s">
        <v>578</v>
      </c>
      <c r="K128" s="123">
        <v>58</v>
      </c>
      <c r="L128" s="29">
        <v>9.4856999999999996</v>
      </c>
      <c r="M128" s="110">
        <v>7.1</v>
      </c>
      <c r="N128" s="30">
        <v>0.19700000000000001</v>
      </c>
      <c r="O128" s="116">
        <v>1.3987000000000001</v>
      </c>
      <c r="P128" s="30"/>
      <c r="Q128" s="116"/>
      <c r="R128" s="30">
        <v>7.0000000000000007E-2</v>
      </c>
      <c r="S128" s="116">
        <v>0.497</v>
      </c>
      <c r="T128" s="117">
        <v>0.49</v>
      </c>
      <c r="U128" s="39">
        <v>400</v>
      </c>
      <c r="V128" s="32">
        <v>100</v>
      </c>
      <c r="W128" s="33">
        <v>0</v>
      </c>
      <c r="X128" s="32"/>
      <c r="Y128" s="32"/>
      <c r="Z128" s="32"/>
      <c r="AA128" s="34">
        <v>30</v>
      </c>
      <c r="AB128" s="35">
        <f t="shared" si="10"/>
        <v>530</v>
      </c>
      <c r="AC128" s="75">
        <f t="shared" si="11"/>
        <v>23200</v>
      </c>
      <c r="AD128" s="78">
        <f t="shared" si="12"/>
        <v>7540</v>
      </c>
      <c r="AE128" s="72">
        <f t="shared" si="13"/>
        <v>30740</v>
      </c>
      <c r="AF128" s="75">
        <f t="shared" si="14"/>
        <v>3794.2799999999997</v>
      </c>
      <c r="AG128" s="78">
        <f t="shared" si="15"/>
        <v>1161.57</v>
      </c>
      <c r="AH128" s="72">
        <f t="shared" si="16"/>
        <v>4955.8499999999995</v>
      </c>
      <c r="AI128" s="75">
        <f t="shared" si="17"/>
        <v>2840</v>
      </c>
      <c r="AJ128" s="78">
        <f t="shared" si="18"/>
        <v>923</v>
      </c>
      <c r="AK128" s="72">
        <f t="shared" si="19"/>
        <v>3763</v>
      </c>
    </row>
    <row r="129" spans="1:37" ht="15.95" customHeight="1">
      <c r="A129" s="25" t="s">
        <v>948</v>
      </c>
      <c r="B129" s="25" t="s">
        <v>949</v>
      </c>
      <c r="C129" s="26" t="s">
        <v>44</v>
      </c>
      <c r="D129" s="26" t="s">
        <v>213</v>
      </c>
      <c r="E129" s="26" t="s">
        <v>214</v>
      </c>
      <c r="F129" s="26" t="s">
        <v>1006</v>
      </c>
      <c r="G129" s="26" t="s">
        <v>351</v>
      </c>
      <c r="H129" s="27" t="s">
        <v>994</v>
      </c>
      <c r="I129" s="26" t="s">
        <v>27</v>
      </c>
      <c r="J129" s="28" t="s">
        <v>578</v>
      </c>
      <c r="K129" s="123">
        <v>58</v>
      </c>
      <c r="L129" s="29">
        <v>9.4856999999999996</v>
      </c>
      <c r="M129" s="110">
        <v>7.1</v>
      </c>
      <c r="N129" s="30">
        <v>0.19700000000000001</v>
      </c>
      <c r="O129" s="116">
        <v>1.3987000000000001</v>
      </c>
      <c r="P129" s="30"/>
      <c r="Q129" s="116"/>
      <c r="R129" s="30">
        <v>7.0000000000000007E-2</v>
      </c>
      <c r="S129" s="116">
        <v>0.497</v>
      </c>
      <c r="T129" s="117">
        <v>0.49</v>
      </c>
      <c r="U129" s="39">
        <v>400</v>
      </c>
      <c r="V129" s="32">
        <v>100</v>
      </c>
      <c r="W129" s="33">
        <v>0</v>
      </c>
      <c r="X129" s="32"/>
      <c r="Y129" s="32"/>
      <c r="Z129" s="32"/>
      <c r="AA129" s="34">
        <v>10</v>
      </c>
      <c r="AB129" s="35">
        <f t="shared" si="10"/>
        <v>510</v>
      </c>
      <c r="AC129" s="75">
        <f t="shared" si="11"/>
        <v>23200</v>
      </c>
      <c r="AD129" s="78">
        <f t="shared" si="12"/>
        <v>6380</v>
      </c>
      <c r="AE129" s="72">
        <f t="shared" si="13"/>
        <v>29580</v>
      </c>
      <c r="AF129" s="75">
        <f t="shared" si="14"/>
        <v>3794.2799999999997</v>
      </c>
      <c r="AG129" s="78">
        <f t="shared" si="15"/>
        <v>1019.5699999999999</v>
      </c>
      <c r="AH129" s="72">
        <f t="shared" si="16"/>
        <v>4813.8499999999995</v>
      </c>
      <c r="AI129" s="75">
        <f t="shared" si="17"/>
        <v>2840</v>
      </c>
      <c r="AJ129" s="78">
        <f t="shared" si="18"/>
        <v>781</v>
      </c>
      <c r="AK129" s="72">
        <f t="shared" si="19"/>
        <v>3621</v>
      </c>
    </row>
    <row r="130" spans="1:37" ht="15.95" customHeight="1">
      <c r="A130" s="25" t="s">
        <v>948</v>
      </c>
      <c r="B130" s="25" t="s">
        <v>949</v>
      </c>
      <c r="C130" s="26" t="s">
        <v>44</v>
      </c>
      <c r="D130" s="26" t="s">
        <v>213</v>
      </c>
      <c r="E130" s="26" t="s">
        <v>214</v>
      </c>
      <c r="F130" s="26" t="s">
        <v>1006</v>
      </c>
      <c r="G130" s="26" t="s">
        <v>351</v>
      </c>
      <c r="H130" s="27" t="s">
        <v>994</v>
      </c>
      <c r="I130" s="26" t="s">
        <v>27</v>
      </c>
      <c r="J130" s="28" t="s">
        <v>578</v>
      </c>
      <c r="K130" s="123">
        <v>58</v>
      </c>
      <c r="L130" s="29">
        <v>9.4856999999999996</v>
      </c>
      <c r="M130" s="110">
        <v>7.1</v>
      </c>
      <c r="N130" s="30">
        <v>0.19700000000000001</v>
      </c>
      <c r="O130" s="116">
        <v>1.3987000000000001</v>
      </c>
      <c r="P130" s="30"/>
      <c r="Q130" s="116"/>
      <c r="R130" s="30">
        <v>7.0000000000000007E-2</v>
      </c>
      <c r="S130" s="116">
        <v>0.497</v>
      </c>
      <c r="T130" s="117">
        <v>0.49</v>
      </c>
      <c r="U130" s="39">
        <v>500</v>
      </c>
      <c r="V130" s="32">
        <v>17</v>
      </c>
      <c r="W130" s="33">
        <v>0</v>
      </c>
      <c r="X130" s="32"/>
      <c r="Y130" s="32"/>
      <c r="Z130" s="32"/>
      <c r="AA130" s="34">
        <v>10</v>
      </c>
      <c r="AB130" s="35">
        <f t="shared" si="10"/>
        <v>527</v>
      </c>
      <c r="AC130" s="75">
        <f t="shared" si="11"/>
        <v>29000</v>
      </c>
      <c r="AD130" s="78">
        <f t="shared" si="12"/>
        <v>1566</v>
      </c>
      <c r="AE130" s="72">
        <f t="shared" si="13"/>
        <v>30566</v>
      </c>
      <c r="AF130" s="75">
        <f t="shared" si="14"/>
        <v>4742.8499999999995</v>
      </c>
      <c r="AG130" s="78">
        <f t="shared" si="15"/>
        <v>232.2569</v>
      </c>
      <c r="AH130" s="72">
        <f t="shared" si="16"/>
        <v>4975.1068999999998</v>
      </c>
      <c r="AI130" s="75">
        <f t="shared" si="17"/>
        <v>3550</v>
      </c>
      <c r="AJ130" s="78">
        <f t="shared" si="18"/>
        <v>191.7</v>
      </c>
      <c r="AK130" s="72">
        <f t="shared" si="19"/>
        <v>3741.7</v>
      </c>
    </row>
    <row r="131" spans="1:37" ht="15.95" customHeight="1">
      <c r="A131" s="25" t="s">
        <v>948</v>
      </c>
      <c r="B131" s="25" t="s">
        <v>949</v>
      </c>
      <c r="C131" s="26" t="s">
        <v>44</v>
      </c>
      <c r="D131" s="26" t="s">
        <v>213</v>
      </c>
      <c r="E131" s="26" t="s">
        <v>214</v>
      </c>
      <c r="F131" s="26" t="s">
        <v>1006</v>
      </c>
      <c r="G131" s="26" t="s">
        <v>351</v>
      </c>
      <c r="H131" s="27" t="s">
        <v>994</v>
      </c>
      <c r="I131" s="26" t="s">
        <v>27</v>
      </c>
      <c r="J131" s="28" t="s">
        <v>578</v>
      </c>
      <c r="K131" s="123">
        <v>58</v>
      </c>
      <c r="L131" s="29">
        <v>9.4856999999999996</v>
      </c>
      <c r="M131" s="110">
        <v>7.1</v>
      </c>
      <c r="N131" s="30">
        <v>0.19700000000000001</v>
      </c>
      <c r="O131" s="116">
        <v>1.3987000000000001</v>
      </c>
      <c r="P131" s="30"/>
      <c r="Q131" s="116"/>
      <c r="R131" s="30">
        <v>7.0000000000000007E-2</v>
      </c>
      <c r="S131" s="116">
        <v>0.497</v>
      </c>
      <c r="T131" s="117">
        <v>0.49</v>
      </c>
      <c r="U131" s="39">
        <v>400</v>
      </c>
      <c r="V131" s="32">
        <v>99</v>
      </c>
      <c r="W131" s="33">
        <v>0</v>
      </c>
      <c r="X131" s="32"/>
      <c r="Y131" s="32"/>
      <c r="Z131" s="32"/>
      <c r="AA131" s="34">
        <v>10</v>
      </c>
      <c r="AB131" s="35">
        <f t="shared" si="10"/>
        <v>509</v>
      </c>
      <c r="AC131" s="75">
        <f t="shared" si="11"/>
        <v>23200</v>
      </c>
      <c r="AD131" s="78">
        <f t="shared" si="12"/>
        <v>6322</v>
      </c>
      <c r="AE131" s="72">
        <f t="shared" si="13"/>
        <v>29522</v>
      </c>
      <c r="AF131" s="75">
        <f t="shared" si="14"/>
        <v>3794.2799999999997</v>
      </c>
      <c r="AG131" s="78">
        <f t="shared" si="15"/>
        <v>1010.0843</v>
      </c>
      <c r="AH131" s="72">
        <f t="shared" si="16"/>
        <v>4804.3642999999993</v>
      </c>
      <c r="AI131" s="75">
        <f t="shared" si="17"/>
        <v>2840</v>
      </c>
      <c r="AJ131" s="78">
        <f t="shared" si="18"/>
        <v>773.9</v>
      </c>
      <c r="AK131" s="72">
        <f t="shared" si="19"/>
        <v>3613.9</v>
      </c>
    </row>
    <row r="132" spans="1:37" ht="15.95" customHeight="1">
      <c r="A132" s="25" t="s">
        <v>948</v>
      </c>
      <c r="B132" s="25" t="s">
        <v>949</v>
      </c>
      <c r="C132" s="26" t="s">
        <v>44</v>
      </c>
      <c r="D132" s="26" t="s">
        <v>213</v>
      </c>
      <c r="E132" s="26" t="s">
        <v>214</v>
      </c>
      <c r="F132" s="26" t="s">
        <v>1006</v>
      </c>
      <c r="G132" s="26" t="s">
        <v>351</v>
      </c>
      <c r="H132" s="27" t="s">
        <v>994</v>
      </c>
      <c r="I132" s="26" t="s">
        <v>27</v>
      </c>
      <c r="J132" s="28" t="s">
        <v>578</v>
      </c>
      <c r="K132" s="123">
        <v>58</v>
      </c>
      <c r="L132" s="29">
        <v>9.4856999999999996</v>
      </c>
      <c r="M132" s="110">
        <v>7.1</v>
      </c>
      <c r="N132" s="30">
        <v>0.19700000000000001</v>
      </c>
      <c r="O132" s="116">
        <v>1.3987000000000001</v>
      </c>
      <c r="P132" s="30"/>
      <c r="Q132" s="116"/>
      <c r="R132" s="30">
        <v>7.0000000000000007E-2</v>
      </c>
      <c r="S132" s="116">
        <v>0.497</v>
      </c>
      <c r="T132" s="117">
        <v>0.49</v>
      </c>
      <c r="U132" s="39">
        <v>400</v>
      </c>
      <c r="V132" s="32">
        <v>100</v>
      </c>
      <c r="W132" s="33">
        <v>0</v>
      </c>
      <c r="X132" s="32"/>
      <c r="Y132" s="32"/>
      <c r="Z132" s="32"/>
      <c r="AA132" s="34">
        <v>20</v>
      </c>
      <c r="AB132" s="35">
        <f t="shared" si="10"/>
        <v>520</v>
      </c>
      <c r="AC132" s="75">
        <f t="shared" si="11"/>
        <v>23200</v>
      </c>
      <c r="AD132" s="78">
        <f t="shared" si="12"/>
        <v>6960</v>
      </c>
      <c r="AE132" s="72">
        <f t="shared" si="13"/>
        <v>30160</v>
      </c>
      <c r="AF132" s="75">
        <f t="shared" si="14"/>
        <v>3794.2799999999997</v>
      </c>
      <c r="AG132" s="78">
        <f t="shared" si="15"/>
        <v>1090.57</v>
      </c>
      <c r="AH132" s="72">
        <f t="shared" si="16"/>
        <v>4884.8499999999995</v>
      </c>
      <c r="AI132" s="75">
        <f t="shared" si="17"/>
        <v>2840</v>
      </c>
      <c r="AJ132" s="78">
        <f t="shared" si="18"/>
        <v>852</v>
      </c>
      <c r="AK132" s="72">
        <f t="shared" si="19"/>
        <v>3692</v>
      </c>
    </row>
    <row r="133" spans="1:37" ht="15.95" customHeight="1">
      <c r="A133" s="25" t="s">
        <v>948</v>
      </c>
      <c r="B133" s="25" t="s">
        <v>949</v>
      </c>
      <c r="C133" s="26" t="s">
        <v>24</v>
      </c>
      <c r="D133" s="26" t="s">
        <v>213</v>
      </c>
      <c r="E133" s="26" t="s">
        <v>214</v>
      </c>
      <c r="F133" s="26" t="s">
        <v>1007</v>
      </c>
      <c r="G133" s="26" t="s">
        <v>225</v>
      </c>
      <c r="H133" s="27" t="s">
        <v>234</v>
      </c>
      <c r="I133" s="26" t="s">
        <v>27</v>
      </c>
      <c r="J133" s="28" t="s">
        <v>227</v>
      </c>
      <c r="K133" s="123">
        <v>42</v>
      </c>
      <c r="L133" s="29">
        <v>6.9737499999999999</v>
      </c>
      <c r="M133" s="110">
        <v>5.25</v>
      </c>
      <c r="N133" s="30">
        <v>0.16500000000000001</v>
      </c>
      <c r="O133" s="116">
        <v>0.86625000000000008</v>
      </c>
      <c r="P133" s="30"/>
      <c r="Q133" s="116"/>
      <c r="R133" s="30">
        <v>7.0000000000000007E-2</v>
      </c>
      <c r="S133" s="116">
        <v>0.36750000000000005</v>
      </c>
      <c r="T133" s="117">
        <v>0.49</v>
      </c>
      <c r="U133" s="39">
        <v>600</v>
      </c>
      <c r="V133" s="32"/>
      <c r="W133" s="33">
        <v>0</v>
      </c>
      <c r="X133" s="32"/>
      <c r="Y133" s="32"/>
      <c r="Z133" s="32"/>
      <c r="AA133" s="34"/>
      <c r="AB133" s="35">
        <f t="shared" ref="AB133:AB196" si="20">SUM(U133:AA133)</f>
        <v>600</v>
      </c>
      <c r="AC133" s="75">
        <f t="shared" ref="AC133:AC196" si="21">$K133*U133</f>
        <v>25200</v>
      </c>
      <c r="AD133" s="78">
        <f t="shared" ref="AD133:AD196" si="22">$K133*SUM(V133:AA133)</f>
        <v>0</v>
      </c>
      <c r="AE133" s="72">
        <f t="shared" ref="AE133:AE196" si="23">SUM(AC133:AD133)</f>
        <v>25200</v>
      </c>
      <c r="AF133" s="75">
        <f t="shared" ref="AF133:AF196" si="24">$L133*U133</f>
        <v>4184.25</v>
      </c>
      <c r="AG133" s="78">
        <f t="shared" ref="AG133:AG196" si="25">$L133*SUM(V133:W133)+M133*SUM(X133:AA133)</f>
        <v>0</v>
      </c>
      <c r="AH133" s="72">
        <f t="shared" ref="AH133:AH196" si="26">SUM(AF133:AG133)</f>
        <v>4184.25</v>
      </c>
      <c r="AI133" s="75">
        <f t="shared" ref="AI133:AI196" si="27">$M133*U133</f>
        <v>3150</v>
      </c>
      <c r="AJ133" s="78">
        <f t="shared" ref="AJ133:AJ196" si="28">$M133*SUM(V133:AA133)</f>
        <v>0</v>
      </c>
      <c r="AK133" s="72">
        <f t="shared" ref="AK133:AK196" si="29">SUM(AI133:AJ133)</f>
        <v>3150</v>
      </c>
    </row>
    <row r="134" spans="1:37" ht="15.95" customHeight="1">
      <c r="A134" s="25" t="s">
        <v>948</v>
      </c>
      <c r="B134" s="25" t="s">
        <v>949</v>
      </c>
      <c r="C134" s="26" t="s">
        <v>24</v>
      </c>
      <c r="D134" s="26" t="s">
        <v>213</v>
      </c>
      <c r="E134" s="26" t="s">
        <v>214</v>
      </c>
      <c r="F134" s="26" t="s">
        <v>1007</v>
      </c>
      <c r="G134" s="26" t="s">
        <v>225</v>
      </c>
      <c r="H134" s="27" t="s">
        <v>234</v>
      </c>
      <c r="I134" s="26" t="s">
        <v>27</v>
      </c>
      <c r="J134" s="28" t="s">
        <v>227</v>
      </c>
      <c r="K134" s="125">
        <v>42</v>
      </c>
      <c r="L134" s="29">
        <v>6.9737499999999999</v>
      </c>
      <c r="M134" s="110">
        <v>5.25</v>
      </c>
      <c r="N134" s="30">
        <v>0.16500000000000001</v>
      </c>
      <c r="O134" s="116">
        <v>0.86625000000000008</v>
      </c>
      <c r="P134" s="30"/>
      <c r="Q134" s="116"/>
      <c r="R134" s="30">
        <v>7.0000000000000007E-2</v>
      </c>
      <c r="S134" s="116">
        <v>0.36750000000000005</v>
      </c>
      <c r="T134" s="117">
        <v>0.49</v>
      </c>
      <c r="U134" s="39">
        <v>500</v>
      </c>
      <c r="V134" s="32"/>
      <c r="W134" s="33">
        <v>0</v>
      </c>
      <c r="X134" s="32"/>
      <c r="Y134" s="32"/>
      <c r="Z134" s="32"/>
      <c r="AA134" s="34"/>
      <c r="AB134" s="35">
        <f t="shared" si="20"/>
        <v>500</v>
      </c>
      <c r="AC134" s="75">
        <f t="shared" si="21"/>
        <v>21000</v>
      </c>
      <c r="AD134" s="78">
        <f t="shared" si="22"/>
        <v>0</v>
      </c>
      <c r="AE134" s="72">
        <f t="shared" si="23"/>
        <v>21000</v>
      </c>
      <c r="AF134" s="75">
        <f t="shared" si="24"/>
        <v>3486.875</v>
      </c>
      <c r="AG134" s="78">
        <f t="shared" si="25"/>
        <v>0</v>
      </c>
      <c r="AH134" s="72">
        <f t="shared" si="26"/>
        <v>3486.875</v>
      </c>
      <c r="AI134" s="75">
        <f t="shared" si="27"/>
        <v>2625</v>
      </c>
      <c r="AJ134" s="78">
        <f t="shared" si="28"/>
        <v>0</v>
      </c>
      <c r="AK134" s="72">
        <f t="shared" si="29"/>
        <v>2625</v>
      </c>
    </row>
    <row r="135" spans="1:37" ht="15.95" customHeight="1">
      <c r="A135" s="25" t="s">
        <v>948</v>
      </c>
      <c r="B135" s="25" t="s">
        <v>949</v>
      </c>
      <c r="C135" s="26" t="s">
        <v>24</v>
      </c>
      <c r="D135" s="26" t="s">
        <v>213</v>
      </c>
      <c r="E135" s="26" t="s">
        <v>214</v>
      </c>
      <c r="F135" s="26" t="s">
        <v>1007</v>
      </c>
      <c r="G135" s="26" t="s">
        <v>225</v>
      </c>
      <c r="H135" s="27" t="s">
        <v>234</v>
      </c>
      <c r="I135" s="26" t="s">
        <v>27</v>
      </c>
      <c r="J135" s="28" t="s">
        <v>227</v>
      </c>
      <c r="K135" s="125">
        <v>42</v>
      </c>
      <c r="L135" s="29">
        <v>6.9737499999999999</v>
      </c>
      <c r="M135" s="110">
        <v>5.25</v>
      </c>
      <c r="N135" s="30">
        <v>0.16500000000000001</v>
      </c>
      <c r="O135" s="116">
        <v>0.86625000000000008</v>
      </c>
      <c r="P135" s="30"/>
      <c r="Q135" s="116"/>
      <c r="R135" s="30">
        <v>7.0000000000000007E-2</v>
      </c>
      <c r="S135" s="116">
        <v>0.36750000000000005</v>
      </c>
      <c r="T135" s="117">
        <v>0.49</v>
      </c>
      <c r="U135" s="39">
        <v>500</v>
      </c>
      <c r="V135" s="32"/>
      <c r="W135" s="33">
        <v>0</v>
      </c>
      <c r="X135" s="32"/>
      <c r="Y135" s="32"/>
      <c r="Z135" s="32"/>
      <c r="AA135" s="34"/>
      <c r="AB135" s="35">
        <f t="shared" si="20"/>
        <v>500</v>
      </c>
      <c r="AC135" s="75">
        <f t="shared" si="21"/>
        <v>21000</v>
      </c>
      <c r="AD135" s="78">
        <f t="shared" si="22"/>
        <v>0</v>
      </c>
      <c r="AE135" s="72">
        <f t="shared" si="23"/>
        <v>21000</v>
      </c>
      <c r="AF135" s="75">
        <f t="shared" si="24"/>
        <v>3486.875</v>
      </c>
      <c r="AG135" s="78">
        <f t="shared" si="25"/>
        <v>0</v>
      </c>
      <c r="AH135" s="72">
        <f t="shared" si="26"/>
        <v>3486.875</v>
      </c>
      <c r="AI135" s="75">
        <f t="shared" si="27"/>
        <v>2625</v>
      </c>
      <c r="AJ135" s="78">
        <f t="shared" si="28"/>
        <v>0</v>
      </c>
      <c r="AK135" s="72">
        <f t="shared" si="29"/>
        <v>2625</v>
      </c>
    </row>
    <row r="136" spans="1:37" ht="15.95" customHeight="1">
      <c r="A136" s="25" t="s">
        <v>961</v>
      </c>
      <c r="B136" s="25" t="s">
        <v>949</v>
      </c>
      <c r="C136" s="26" t="s">
        <v>24</v>
      </c>
      <c r="D136" s="26" t="s">
        <v>213</v>
      </c>
      <c r="E136" s="26" t="s">
        <v>214</v>
      </c>
      <c r="F136" s="26" t="s">
        <v>1007</v>
      </c>
      <c r="G136" s="26" t="s">
        <v>225</v>
      </c>
      <c r="H136" s="27" t="s">
        <v>511</v>
      </c>
      <c r="I136" s="26" t="s">
        <v>27</v>
      </c>
      <c r="J136" s="28" t="s">
        <v>227</v>
      </c>
      <c r="K136" s="123">
        <v>42</v>
      </c>
      <c r="L136" s="29">
        <v>6.9737499999999999</v>
      </c>
      <c r="M136" s="110">
        <v>5.25</v>
      </c>
      <c r="N136" s="30">
        <v>0.16500000000000001</v>
      </c>
      <c r="O136" s="116">
        <v>0.86625000000000008</v>
      </c>
      <c r="P136" s="30"/>
      <c r="Q136" s="116"/>
      <c r="R136" s="30">
        <v>7.0000000000000007E-2</v>
      </c>
      <c r="S136" s="116">
        <v>0.36750000000000005</v>
      </c>
      <c r="T136" s="117">
        <v>0.49</v>
      </c>
      <c r="U136" s="39">
        <v>500</v>
      </c>
      <c r="V136" s="32"/>
      <c r="W136" s="33">
        <v>0</v>
      </c>
      <c r="X136" s="32"/>
      <c r="Y136" s="32"/>
      <c r="Z136" s="32"/>
      <c r="AA136" s="34"/>
      <c r="AB136" s="35">
        <f t="shared" si="20"/>
        <v>500</v>
      </c>
      <c r="AC136" s="75">
        <f t="shared" si="21"/>
        <v>21000</v>
      </c>
      <c r="AD136" s="78">
        <f t="shared" si="22"/>
        <v>0</v>
      </c>
      <c r="AE136" s="72">
        <f t="shared" si="23"/>
        <v>21000</v>
      </c>
      <c r="AF136" s="75">
        <f t="shared" si="24"/>
        <v>3486.875</v>
      </c>
      <c r="AG136" s="78">
        <f t="shared" si="25"/>
        <v>0</v>
      </c>
      <c r="AH136" s="72">
        <f t="shared" si="26"/>
        <v>3486.875</v>
      </c>
      <c r="AI136" s="75">
        <f t="shared" si="27"/>
        <v>2625</v>
      </c>
      <c r="AJ136" s="78">
        <f t="shared" si="28"/>
        <v>0</v>
      </c>
      <c r="AK136" s="72">
        <f t="shared" si="29"/>
        <v>2625</v>
      </c>
    </row>
    <row r="137" spans="1:37" ht="15.95" customHeight="1">
      <c r="A137" s="25" t="s">
        <v>961</v>
      </c>
      <c r="B137" s="25" t="s">
        <v>949</v>
      </c>
      <c r="C137" s="26" t="s">
        <v>24</v>
      </c>
      <c r="D137" s="26" t="s">
        <v>213</v>
      </c>
      <c r="E137" s="26" t="s">
        <v>214</v>
      </c>
      <c r="F137" s="26" t="s">
        <v>1007</v>
      </c>
      <c r="G137" s="26" t="s">
        <v>225</v>
      </c>
      <c r="H137" s="27" t="s">
        <v>511</v>
      </c>
      <c r="I137" s="26" t="s">
        <v>27</v>
      </c>
      <c r="J137" s="28" t="s">
        <v>227</v>
      </c>
      <c r="K137" s="123">
        <v>42</v>
      </c>
      <c r="L137" s="29">
        <v>6.9737499999999999</v>
      </c>
      <c r="M137" s="110">
        <v>5.25</v>
      </c>
      <c r="N137" s="30">
        <v>0.16500000000000001</v>
      </c>
      <c r="O137" s="116">
        <v>0.86625000000000008</v>
      </c>
      <c r="P137" s="30"/>
      <c r="Q137" s="116"/>
      <c r="R137" s="30">
        <v>7.0000000000000007E-2</v>
      </c>
      <c r="S137" s="116">
        <v>0.36750000000000005</v>
      </c>
      <c r="T137" s="117">
        <v>0.49</v>
      </c>
      <c r="U137" s="39">
        <v>500</v>
      </c>
      <c r="V137" s="32"/>
      <c r="W137" s="33">
        <v>0</v>
      </c>
      <c r="X137" s="32"/>
      <c r="Y137" s="32"/>
      <c r="Z137" s="32"/>
      <c r="AA137" s="34"/>
      <c r="AB137" s="35">
        <f t="shared" si="20"/>
        <v>500</v>
      </c>
      <c r="AC137" s="75">
        <f t="shared" si="21"/>
        <v>21000</v>
      </c>
      <c r="AD137" s="78">
        <f t="shared" si="22"/>
        <v>0</v>
      </c>
      <c r="AE137" s="72">
        <f t="shared" si="23"/>
        <v>21000</v>
      </c>
      <c r="AF137" s="75">
        <f t="shared" si="24"/>
        <v>3486.875</v>
      </c>
      <c r="AG137" s="78">
        <f t="shared" si="25"/>
        <v>0</v>
      </c>
      <c r="AH137" s="72">
        <f t="shared" si="26"/>
        <v>3486.875</v>
      </c>
      <c r="AI137" s="75">
        <f t="shared" si="27"/>
        <v>2625</v>
      </c>
      <c r="AJ137" s="78">
        <f t="shared" si="28"/>
        <v>0</v>
      </c>
      <c r="AK137" s="72">
        <f t="shared" si="29"/>
        <v>2625</v>
      </c>
    </row>
    <row r="138" spans="1:37" ht="15.95" customHeight="1">
      <c r="A138" s="25" t="s">
        <v>961</v>
      </c>
      <c r="B138" s="25" t="s">
        <v>949</v>
      </c>
      <c r="C138" s="26" t="s">
        <v>24</v>
      </c>
      <c r="D138" s="26" t="s">
        <v>213</v>
      </c>
      <c r="E138" s="26" t="s">
        <v>214</v>
      </c>
      <c r="F138" s="26" t="s">
        <v>1007</v>
      </c>
      <c r="G138" s="26" t="s">
        <v>225</v>
      </c>
      <c r="H138" s="27" t="s">
        <v>511</v>
      </c>
      <c r="I138" s="26" t="s">
        <v>27</v>
      </c>
      <c r="J138" s="28" t="s">
        <v>227</v>
      </c>
      <c r="K138" s="123">
        <v>42</v>
      </c>
      <c r="L138" s="29">
        <v>6.9737499999999999</v>
      </c>
      <c r="M138" s="111">
        <v>5.25</v>
      </c>
      <c r="N138" s="30">
        <v>0.16500000000000001</v>
      </c>
      <c r="O138" s="116">
        <v>0.86625000000000008</v>
      </c>
      <c r="P138" s="30"/>
      <c r="Q138" s="116"/>
      <c r="R138" s="30">
        <v>7.0000000000000007E-2</v>
      </c>
      <c r="S138" s="116">
        <v>0.36750000000000005</v>
      </c>
      <c r="T138" s="117">
        <v>0.49</v>
      </c>
      <c r="U138" s="39">
        <v>500</v>
      </c>
      <c r="V138" s="32"/>
      <c r="W138" s="33">
        <v>0</v>
      </c>
      <c r="X138" s="32"/>
      <c r="Y138" s="32"/>
      <c r="Z138" s="32"/>
      <c r="AA138" s="34"/>
      <c r="AB138" s="35">
        <f t="shared" si="20"/>
        <v>500</v>
      </c>
      <c r="AC138" s="75">
        <f t="shared" si="21"/>
        <v>21000</v>
      </c>
      <c r="AD138" s="78">
        <f t="shared" si="22"/>
        <v>0</v>
      </c>
      <c r="AE138" s="72">
        <f t="shared" si="23"/>
        <v>21000</v>
      </c>
      <c r="AF138" s="75">
        <f t="shared" si="24"/>
        <v>3486.875</v>
      </c>
      <c r="AG138" s="78">
        <f t="shared" si="25"/>
        <v>0</v>
      </c>
      <c r="AH138" s="72">
        <f t="shared" si="26"/>
        <v>3486.875</v>
      </c>
      <c r="AI138" s="75">
        <f t="shared" si="27"/>
        <v>2625</v>
      </c>
      <c r="AJ138" s="78">
        <f t="shared" si="28"/>
        <v>0</v>
      </c>
      <c r="AK138" s="72">
        <f t="shared" si="29"/>
        <v>2625</v>
      </c>
    </row>
    <row r="139" spans="1:37" ht="15.95" customHeight="1">
      <c r="A139" s="25" t="s">
        <v>948</v>
      </c>
      <c r="B139" s="25" t="s">
        <v>949</v>
      </c>
      <c r="C139" s="26" t="s">
        <v>24</v>
      </c>
      <c r="D139" s="26" t="s">
        <v>213</v>
      </c>
      <c r="E139" s="26" t="s">
        <v>214</v>
      </c>
      <c r="F139" s="26" t="s">
        <v>1008</v>
      </c>
      <c r="G139" s="26" t="s">
        <v>225</v>
      </c>
      <c r="H139" s="27" t="s">
        <v>511</v>
      </c>
      <c r="I139" s="26" t="s">
        <v>27</v>
      </c>
      <c r="J139" s="28" t="s">
        <v>227</v>
      </c>
      <c r="K139" s="123">
        <v>42</v>
      </c>
      <c r="L139" s="29">
        <v>6.9737499999999999</v>
      </c>
      <c r="M139" s="110">
        <v>5.25</v>
      </c>
      <c r="N139" s="30">
        <v>0.16500000000000001</v>
      </c>
      <c r="O139" s="116">
        <v>0.86625000000000008</v>
      </c>
      <c r="P139" s="30"/>
      <c r="Q139" s="116"/>
      <c r="R139" s="30">
        <v>7.0000000000000007E-2</v>
      </c>
      <c r="S139" s="116">
        <v>0.36750000000000005</v>
      </c>
      <c r="T139" s="117">
        <v>0.49</v>
      </c>
      <c r="U139" s="39">
        <v>600</v>
      </c>
      <c r="V139" s="32"/>
      <c r="W139" s="33">
        <v>0</v>
      </c>
      <c r="X139" s="32"/>
      <c r="Y139" s="32"/>
      <c r="Z139" s="32"/>
      <c r="AA139" s="34"/>
      <c r="AB139" s="35">
        <f t="shared" si="20"/>
        <v>600</v>
      </c>
      <c r="AC139" s="75">
        <f t="shared" si="21"/>
        <v>25200</v>
      </c>
      <c r="AD139" s="78">
        <f t="shared" si="22"/>
        <v>0</v>
      </c>
      <c r="AE139" s="72">
        <f t="shared" si="23"/>
        <v>25200</v>
      </c>
      <c r="AF139" s="75">
        <f t="shared" si="24"/>
        <v>4184.25</v>
      </c>
      <c r="AG139" s="78">
        <f t="shared" si="25"/>
        <v>0</v>
      </c>
      <c r="AH139" s="72">
        <f t="shared" si="26"/>
        <v>4184.25</v>
      </c>
      <c r="AI139" s="75">
        <f t="shared" si="27"/>
        <v>3150</v>
      </c>
      <c r="AJ139" s="78">
        <f t="shared" si="28"/>
        <v>0</v>
      </c>
      <c r="AK139" s="72">
        <f t="shared" si="29"/>
        <v>3150</v>
      </c>
    </row>
    <row r="140" spans="1:37" ht="15.95" customHeight="1">
      <c r="A140" s="25" t="s">
        <v>948</v>
      </c>
      <c r="B140" s="25" t="s">
        <v>949</v>
      </c>
      <c r="C140" s="26" t="s">
        <v>24</v>
      </c>
      <c r="D140" s="26" t="s">
        <v>213</v>
      </c>
      <c r="E140" s="26" t="s">
        <v>214</v>
      </c>
      <c r="F140" s="26" t="s">
        <v>1008</v>
      </c>
      <c r="G140" s="26" t="s">
        <v>225</v>
      </c>
      <c r="H140" s="27" t="s">
        <v>511</v>
      </c>
      <c r="I140" s="26" t="s">
        <v>27</v>
      </c>
      <c r="J140" s="28" t="s">
        <v>227</v>
      </c>
      <c r="K140" s="123">
        <v>42</v>
      </c>
      <c r="L140" s="29">
        <v>6.9737499999999999</v>
      </c>
      <c r="M140" s="110">
        <v>5.25</v>
      </c>
      <c r="N140" s="30">
        <v>0.16500000000000001</v>
      </c>
      <c r="O140" s="116">
        <v>0.86625000000000008</v>
      </c>
      <c r="P140" s="30"/>
      <c r="Q140" s="116"/>
      <c r="R140" s="30">
        <v>7.0000000000000007E-2</v>
      </c>
      <c r="S140" s="116">
        <v>0.36750000000000005</v>
      </c>
      <c r="T140" s="117">
        <v>0.49</v>
      </c>
      <c r="U140" s="39">
        <v>600</v>
      </c>
      <c r="V140" s="32"/>
      <c r="W140" s="33">
        <v>0</v>
      </c>
      <c r="X140" s="32"/>
      <c r="Y140" s="32"/>
      <c r="Z140" s="32"/>
      <c r="AA140" s="34"/>
      <c r="AB140" s="35">
        <f t="shared" si="20"/>
        <v>600</v>
      </c>
      <c r="AC140" s="75">
        <f t="shared" si="21"/>
        <v>25200</v>
      </c>
      <c r="AD140" s="78">
        <f t="shared" si="22"/>
        <v>0</v>
      </c>
      <c r="AE140" s="72">
        <f t="shared" si="23"/>
        <v>25200</v>
      </c>
      <c r="AF140" s="75">
        <f t="shared" si="24"/>
        <v>4184.25</v>
      </c>
      <c r="AG140" s="78">
        <f t="shared" si="25"/>
        <v>0</v>
      </c>
      <c r="AH140" s="72">
        <f t="shared" si="26"/>
        <v>4184.25</v>
      </c>
      <c r="AI140" s="75">
        <f t="shared" si="27"/>
        <v>3150</v>
      </c>
      <c r="AJ140" s="78">
        <f t="shared" si="28"/>
        <v>0</v>
      </c>
      <c r="AK140" s="72">
        <f t="shared" si="29"/>
        <v>3150</v>
      </c>
    </row>
    <row r="141" spans="1:37" ht="15.95" customHeight="1">
      <c r="A141" s="25" t="s">
        <v>961</v>
      </c>
      <c r="B141" s="25" t="s">
        <v>949</v>
      </c>
      <c r="C141" s="26" t="s">
        <v>24</v>
      </c>
      <c r="D141" s="26" t="s">
        <v>213</v>
      </c>
      <c r="E141" s="26" t="s">
        <v>214</v>
      </c>
      <c r="F141" s="26" t="s">
        <v>1008</v>
      </c>
      <c r="G141" s="26" t="s">
        <v>225</v>
      </c>
      <c r="H141" s="27" t="s">
        <v>511</v>
      </c>
      <c r="I141" s="26" t="s">
        <v>27</v>
      </c>
      <c r="J141" s="28" t="s">
        <v>227</v>
      </c>
      <c r="K141" s="123">
        <v>42</v>
      </c>
      <c r="L141" s="29">
        <v>6.9737499999999999</v>
      </c>
      <c r="M141" s="110">
        <v>5.25</v>
      </c>
      <c r="N141" s="30">
        <v>0.16500000000000001</v>
      </c>
      <c r="O141" s="116">
        <v>0.86625000000000008</v>
      </c>
      <c r="P141" s="30"/>
      <c r="Q141" s="116"/>
      <c r="R141" s="30">
        <v>7.0000000000000007E-2</v>
      </c>
      <c r="S141" s="116">
        <v>0.36750000000000005</v>
      </c>
      <c r="T141" s="117">
        <v>0.49</v>
      </c>
      <c r="U141" s="39">
        <v>500</v>
      </c>
      <c r="V141" s="32"/>
      <c r="W141" s="33">
        <v>0</v>
      </c>
      <c r="X141" s="32"/>
      <c r="Y141" s="32"/>
      <c r="Z141" s="32"/>
      <c r="AA141" s="34"/>
      <c r="AB141" s="35">
        <f t="shared" si="20"/>
        <v>500</v>
      </c>
      <c r="AC141" s="75">
        <f t="shared" si="21"/>
        <v>21000</v>
      </c>
      <c r="AD141" s="78">
        <f t="shared" si="22"/>
        <v>0</v>
      </c>
      <c r="AE141" s="72">
        <f t="shared" si="23"/>
        <v>21000</v>
      </c>
      <c r="AF141" s="75">
        <f t="shared" si="24"/>
        <v>3486.875</v>
      </c>
      <c r="AG141" s="78">
        <f t="shared" si="25"/>
        <v>0</v>
      </c>
      <c r="AH141" s="72">
        <f t="shared" si="26"/>
        <v>3486.875</v>
      </c>
      <c r="AI141" s="75">
        <f t="shared" si="27"/>
        <v>2625</v>
      </c>
      <c r="AJ141" s="78">
        <f t="shared" si="28"/>
        <v>0</v>
      </c>
      <c r="AK141" s="72">
        <f t="shared" si="29"/>
        <v>2625</v>
      </c>
    </row>
    <row r="142" spans="1:37" ht="15.95" customHeight="1">
      <c r="A142" s="25" t="s">
        <v>961</v>
      </c>
      <c r="B142" s="25" t="s">
        <v>949</v>
      </c>
      <c r="C142" s="26" t="s">
        <v>24</v>
      </c>
      <c r="D142" s="26" t="s">
        <v>213</v>
      </c>
      <c r="E142" s="26" t="s">
        <v>214</v>
      </c>
      <c r="F142" s="26" t="s">
        <v>1008</v>
      </c>
      <c r="G142" s="26" t="s">
        <v>225</v>
      </c>
      <c r="H142" s="27" t="s">
        <v>511</v>
      </c>
      <c r="I142" s="26" t="s">
        <v>27</v>
      </c>
      <c r="J142" s="28" t="s">
        <v>227</v>
      </c>
      <c r="K142" s="123">
        <v>42</v>
      </c>
      <c r="L142" s="29">
        <v>6.9737499999999999</v>
      </c>
      <c r="M142" s="110">
        <v>5.25</v>
      </c>
      <c r="N142" s="30">
        <v>0.16500000000000001</v>
      </c>
      <c r="O142" s="116">
        <v>0.86625000000000008</v>
      </c>
      <c r="P142" s="30"/>
      <c r="Q142" s="116"/>
      <c r="R142" s="30">
        <v>7.0000000000000007E-2</v>
      </c>
      <c r="S142" s="116">
        <v>0.36750000000000005</v>
      </c>
      <c r="T142" s="117">
        <v>0.49</v>
      </c>
      <c r="U142" s="39">
        <v>500</v>
      </c>
      <c r="V142" s="32"/>
      <c r="W142" s="33">
        <v>0</v>
      </c>
      <c r="X142" s="32"/>
      <c r="Y142" s="32"/>
      <c r="Z142" s="32"/>
      <c r="AA142" s="34"/>
      <c r="AB142" s="35">
        <f t="shared" si="20"/>
        <v>500</v>
      </c>
      <c r="AC142" s="75">
        <f t="shared" si="21"/>
        <v>21000</v>
      </c>
      <c r="AD142" s="78">
        <f t="shared" si="22"/>
        <v>0</v>
      </c>
      <c r="AE142" s="72">
        <f t="shared" si="23"/>
        <v>21000</v>
      </c>
      <c r="AF142" s="75">
        <f t="shared" si="24"/>
        <v>3486.875</v>
      </c>
      <c r="AG142" s="78">
        <f t="shared" si="25"/>
        <v>0</v>
      </c>
      <c r="AH142" s="72">
        <f t="shared" si="26"/>
        <v>3486.875</v>
      </c>
      <c r="AI142" s="75">
        <f t="shared" si="27"/>
        <v>2625</v>
      </c>
      <c r="AJ142" s="78">
        <f t="shared" si="28"/>
        <v>0</v>
      </c>
      <c r="AK142" s="72">
        <f t="shared" si="29"/>
        <v>2625</v>
      </c>
    </row>
    <row r="143" spans="1:37" ht="15.95" customHeight="1">
      <c r="A143" s="25" t="s">
        <v>948</v>
      </c>
      <c r="B143" s="25" t="s">
        <v>949</v>
      </c>
      <c r="C143" s="26" t="s">
        <v>24</v>
      </c>
      <c r="D143" s="26" t="s">
        <v>213</v>
      </c>
      <c r="E143" s="26" t="s">
        <v>214</v>
      </c>
      <c r="F143" s="26" t="s">
        <v>1008</v>
      </c>
      <c r="G143" s="26" t="s">
        <v>225</v>
      </c>
      <c r="H143" s="27" t="s">
        <v>511</v>
      </c>
      <c r="I143" s="26" t="s">
        <v>27</v>
      </c>
      <c r="J143" s="28" t="s">
        <v>227</v>
      </c>
      <c r="K143" s="123">
        <v>42</v>
      </c>
      <c r="L143" s="29">
        <v>6.9737499999999999</v>
      </c>
      <c r="M143" s="110">
        <v>5.25</v>
      </c>
      <c r="N143" s="30">
        <v>0.16500000000000001</v>
      </c>
      <c r="O143" s="116">
        <v>0.86625000000000008</v>
      </c>
      <c r="P143" s="30"/>
      <c r="Q143" s="116"/>
      <c r="R143" s="30">
        <v>7.0000000000000007E-2</v>
      </c>
      <c r="S143" s="116">
        <v>0.36750000000000005</v>
      </c>
      <c r="T143" s="117">
        <v>0.49</v>
      </c>
      <c r="U143" s="39">
        <v>500</v>
      </c>
      <c r="V143" s="32"/>
      <c r="W143" s="33">
        <v>0</v>
      </c>
      <c r="X143" s="32"/>
      <c r="Y143" s="32"/>
      <c r="Z143" s="32"/>
      <c r="AA143" s="34"/>
      <c r="AB143" s="35">
        <f t="shared" si="20"/>
        <v>500</v>
      </c>
      <c r="AC143" s="75">
        <f t="shared" si="21"/>
        <v>21000</v>
      </c>
      <c r="AD143" s="78">
        <f t="shared" si="22"/>
        <v>0</v>
      </c>
      <c r="AE143" s="72">
        <f t="shared" si="23"/>
        <v>21000</v>
      </c>
      <c r="AF143" s="75">
        <f t="shared" si="24"/>
        <v>3486.875</v>
      </c>
      <c r="AG143" s="78">
        <f t="shared" si="25"/>
        <v>0</v>
      </c>
      <c r="AH143" s="72">
        <f t="shared" si="26"/>
        <v>3486.875</v>
      </c>
      <c r="AI143" s="75">
        <f t="shared" si="27"/>
        <v>2625</v>
      </c>
      <c r="AJ143" s="78">
        <f t="shared" si="28"/>
        <v>0</v>
      </c>
      <c r="AK143" s="72">
        <f t="shared" si="29"/>
        <v>2625</v>
      </c>
    </row>
    <row r="144" spans="1:37" ht="15.95" customHeight="1">
      <c r="A144" s="25" t="s">
        <v>948</v>
      </c>
      <c r="B144" s="25" t="s">
        <v>949</v>
      </c>
      <c r="C144" s="26" t="s">
        <v>24</v>
      </c>
      <c r="D144" s="26" t="s">
        <v>213</v>
      </c>
      <c r="E144" s="26" t="s">
        <v>214</v>
      </c>
      <c r="F144" s="26" t="s">
        <v>1009</v>
      </c>
      <c r="G144" s="26" t="s">
        <v>225</v>
      </c>
      <c r="H144" s="27" t="s">
        <v>511</v>
      </c>
      <c r="I144" s="26" t="s">
        <v>27</v>
      </c>
      <c r="J144" s="28" t="s">
        <v>227</v>
      </c>
      <c r="K144" s="123">
        <v>42</v>
      </c>
      <c r="L144" s="29">
        <v>6.9737499999999999</v>
      </c>
      <c r="M144" s="110">
        <v>5.25</v>
      </c>
      <c r="N144" s="30">
        <v>0.16500000000000001</v>
      </c>
      <c r="O144" s="116">
        <v>0.86625000000000008</v>
      </c>
      <c r="P144" s="30"/>
      <c r="Q144" s="116"/>
      <c r="R144" s="30">
        <v>7.0000000000000007E-2</v>
      </c>
      <c r="S144" s="116">
        <v>0.36750000000000005</v>
      </c>
      <c r="T144" s="117">
        <v>0.49</v>
      </c>
      <c r="U144" s="39">
        <v>500</v>
      </c>
      <c r="V144" s="32"/>
      <c r="W144" s="33">
        <v>0</v>
      </c>
      <c r="X144" s="32"/>
      <c r="Y144" s="32"/>
      <c r="Z144" s="32"/>
      <c r="AA144" s="34"/>
      <c r="AB144" s="35">
        <f t="shared" si="20"/>
        <v>500</v>
      </c>
      <c r="AC144" s="75">
        <f t="shared" si="21"/>
        <v>21000</v>
      </c>
      <c r="AD144" s="78">
        <f t="shared" si="22"/>
        <v>0</v>
      </c>
      <c r="AE144" s="72">
        <f t="shared" si="23"/>
        <v>21000</v>
      </c>
      <c r="AF144" s="75">
        <f t="shared" si="24"/>
        <v>3486.875</v>
      </c>
      <c r="AG144" s="78">
        <f t="shared" si="25"/>
        <v>0</v>
      </c>
      <c r="AH144" s="72">
        <f t="shared" si="26"/>
        <v>3486.875</v>
      </c>
      <c r="AI144" s="75">
        <f t="shared" si="27"/>
        <v>2625</v>
      </c>
      <c r="AJ144" s="78">
        <f t="shared" si="28"/>
        <v>0</v>
      </c>
      <c r="AK144" s="72">
        <f t="shared" si="29"/>
        <v>2625</v>
      </c>
    </row>
    <row r="145" spans="1:37" ht="15.95" customHeight="1">
      <c r="A145" s="25" t="s">
        <v>948</v>
      </c>
      <c r="B145" s="25" t="s">
        <v>949</v>
      </c>
      <c r="C145" s="26" t="s">
        <v>24</v>
      </c>
      <c r="D145" s="26" t="s">
        <v>213</v>
      </c>
      <c r="E145" s="26" t="s">
        <v>214</v>
      </c>
      <c r="F145" s="26" t="s">
        <v>1009</v>
      </c>
      <c r="G145" s="26" t="s">
        <v>225</v>
      </c>
      <c r="H145" s="27" t="s">
        <v>511</v>
      </c>
      <c r="I145" s="26" t="s">
        <v>27</v>
      </c>
      <c r="J145" s="28" t="s">
        <v>227</v>
      </c>
      <c r="K145" s="123">
        <v>42</v>
      </c>
      <c r="L145" s="29">
        <v>6.9737499999999999</v>
      </c>
      <c r="M145" s="110">
        <v>5.25</v>
      </c>
      <c r="N145" s="30">
        <v>0.16500000000000001</v>
      </c>
      <c r="O145" s="116">
        <v>0.86625000000000008</v>
      </c>
      <c r="P145" s="30"/>
      <c r="Q145" s="116"/>
      <c r="R145" s="30">
        <v>7.0000000000000007E-2</v>
      </c>
      <c r="S145" s="116">
        <v>0.36750000000000005</v>
      </c>
      <c r="T145" s="117">
        <v>0.49</v>
      </c>
      <c r="U145" s="39">
        <v>500</v>
      </c>
      <c r="V145" s="32"/>
      <c r="W145" s="33">
        <v>0</v>
      </c>
      <c r="X145" s="32"/>
      <c r="Y145" s="32"/>
      <c r="Z145" s="32"/>
      <c r="AA145" s="34"/>
      <c r="AB145" s="35">
        <f t="shared" si="20"/>
        <v>500</v>
      </c>
      <c r="AC145" s="75">
        <f t="shared" si="21"/>
        <v>21000</v>
      </c>
      <c r="AD145" s="78">
        <f t="shared" si="22"/>
        <v>0</v>
      </c>
      <c r="AE145" s="72">
        <f t="shared" si="23"/>
        <v>21000</v>
      </c>
      <c r="AF145" s="75">
        <f t="shared" si="24"/>
        <v>3486.875</v>
      </c>
      <c r="AG145" s="78">
        <f t="shared" si="25"/>
        <v>0</v>
      </c>
      <c r="AH145" s="72">
        <f t="shared" si="26"/>
        <v>3486.875</v>
      </c>
      <c r="AI145" s="75">
        <f t="shared" si="27"/>
        <v>2625</v>
      </c>
      <c r="AJ145" s="78">
        <f t="shared" si="28"/>
        <v>0</v>
      </c>
      <c r="AK145" s="72">
        <f t="shared" si="29"/>
        <v>2625</v>
      </c>
    </row>
    <row r="146" spans="1:37" ht="15.95" customHeight="1">
      <c r="A146" s="25" t="s">
        <v>961</v>
      </c>
      <c r="B146" s="25" t="s">
        <v>949</v>
      </c>
      <c r="C146" s="26" t="s">
        <v>24</v>
      </c>
      <c r="D146" s="26" t="s">
        <v>213</v>
      </c>
      <c r="E146" s="26" t="s">
        <v>214</v>
      </c>
      <c r="F146" s="26" t="s">
        <v>1008</v>
      </c>
      <c r="G146" s="26" t="s">
        <v>225</v>
      </c>
      <c r="H146" s="44" t="s">
        <v>234</v>
      </c>
      <c r="I146" s="26" t="s">
        <v>27</v>
      </c>
      <c r="J146" s="28" t="s">
        <v>227</v>
      </c>
      <c r="K146" s="125">
        <v>42</v>
      </c>
      <c r="L146" s="29">
        <v>6.9737499999999999</v>
      </c>
      <c r="M146" s="110">
        <v>5.25</v>
      </c>
      <c r="N146" s="30">
        <v>0.16500000000000001</v>
      </c>
      <c r="O146" s="116">
        <v>0.86625000000000008</v>
      </c>
      <c r="P146" s="30"/>
      <c r="Q146" s="116"/>
      <c r="R146" s="30">
        <v>7.0000000000000007E-2</v>
      </c>
      <c r="S146" s="116">
        <v>0.36750000000000005</v>
      </c>
      <c r="T146" s="117">
        <v>0.49</v>
      </c>
      <c r="U146" s="39">
        <v>500</v>
      </c>
      <c r="V146" s="32"/>
      <c r="W146" s="33">
        <v>0</v>
      </c>
      <c r="X146" s="32"/>
      <c r="Y146" s="32"/>
      <c r="Z146" s="32"/>
      <c r="AA146" s="34"/>
      <c r="AB146" s="35">
        <f t="shared" si="20"/>
        <v>500</v>
      </c>
      <c r="AC146" s="75">
        <f t="shared" si="21"/>
        <v>21000</v>
      </c>
      <c r="AD146" s="78">
        <f t="shared" si="22"/>
        <v>0</v>
      </c>
      <c r="AE146" s="72">
        <f t="shared" si="23"/>
        <v>21000</v>
      </c>
      <c r="AF146" s="75">
        <f t="shared" si="24"/>
        <v>3486.875</v>
      </c>
      <c r="AG146" s="78">
        <f t="shared" si="25"/>
        <v>0</v>
      </c>
      <c r="AH146" s="72">
        <f t="shared" si="26"/>
        <v>3486.875</v>
      </c>
      <c r="AI146" s="75">
        <f t="shared" si="27"/>
        <v>2625</v>
      </c>
      <c r="AJ146" s="78">
        <f t="shared" si="28"/>
        <v>0</v>
      </c>
      <c r="AK146" s="72">
        <f t="shared" si="29"/>
        <v>2625</v>
      </c>
    </row>
    <row r="147" spans="1:37" ht="15.95" customHeight="1">
      <c r="A147" s="25" t="s">
        <v>961</v>
      </c>
      <c r="B147" s="25" t="s">
        <v>949</v>
      </c>
      <c r="C147" s="26" t="s">
        <v>24</v>
      </c>
      <c r="D147" s="26" t="s">
        <v>213</v>
      </c>
      <c r="E147" s="26" t="s">
        <v>214</v>
      </c>
      <c r="F147" s="26" t="s">
        <v>1009</v>
      </c>
      <c r="G147" s="26" t="s">
        <v>225</v>
      </c>
      <c r="H147" s="44" t="s">
        <v>234</v>
      </c>
      <c r="I147" s="26" t="s">
        <v>27</v>
      </c>
      <c r="J147" s="28" t="s">
        <v>227</v>
      </c>
      <c r="K147" s="125">
        <v>42</v>
      </c>
      <c r="L147" s="29">
        <v>6.9737499999999999</v>
      </c>
      <c r="M147" s="110">
        <v>5.25</v>
      </c>
      <c r="N147" s="30">
        <v>0.16500000000000001</v>
      </c>
      <c r="O147" s="116">
        <v>0.86625000000000008</v>
      </c>
      <c r="P147" s="30"/>
      <c r="Q147" s="116"/>
      <c r="R147" s="30">
        <v>7.0000000000000007E-2</v>
      </c>
      <c r="S147" s="116">
        <v>0.36750000000000005</v>
      </c>
      <c r="T147" s="117">
        <v>0.49</v>
      </c>
      <c r="U147" s="39">
        <v>400</v>
      </c>
      <c r="V147" s="32"/>
      <c r="W147" s="33">
        <v>0</v>
      </c>
      <c r="X147" s="32"/>
      <c r="Y147" s="32"/>
      <c r="Z147" s="32"/>
      <c r="AA147" s="34"/>
      <c r="AB147" s="35">
        <f t="shared" si="20"/>
        <v>400</v>
      </c>
      <c r="AC147" s="75">
        <f t="shared" si="21"/>
        <v>16800</v>
      </c>
      <c r="AD147" s="78">
        <f t="shared" si="22"/>
        <v>0</v>
      </c>
      <c r="AE147" s="72">
        <f t="shared" si="23"/>
        <v>16800</v>
      </c>
      <c r="AF147" s="75">
        <f t="shared" si="24"/>
        <v>2789.5</v>
      </c>
      <c r="AG147" s="78">
        <f t="shared" si="25"/>
        <v>0</v>
      </c>
      <c r="AH147" s="72">
        <f t="shared" si="26"/>
        <v>2789.5</v>
      </c>
      <c r="AI147" s="75">
        <f t="shared" si="27"/>
        <v>2100</v>
      </c>
      <c r="AJ147" s="78">
        <f t="shared" si="28"/>
        <v>0</v>
      </c>
      <c r="AK147" s="72">
        <f t="shared" si="29"/>
        <v>2100</v>
      </c>
    </row>
    <row r="148" spans="1:37" ht="15.95" customHeight="1">
      <c r="A148" s="25" t="s">
        <v>961</v>
      </c>
      <c r="B148" s="25" t="s">
        <v>949</v>
      </c>
      <c r="C148" s="26" t="s">
        <v>24</v>
      </c>
      <c r="D148" s="26" t="s">
        <v>213</v>
      </c>
      <c r="E148" s="26" t="s">
        <v>214</v>
      </c>
      <c r="F148" s="26" t="s">
        <v>1009</v>
      </c>
      <c r="G148" s="26" t="s">
        <v>225</v>
      </c>
      <c r="H148" s="44" t="s">
        <v>234</v>
      </c>
      <c r="I148" s="26" t="s">
        <v>27</v>
      </c>
      <c r="J148" s="28" t="s">
        <v>227</v>
      </c>
      <c r="K148" s="123">
        <v>42</v>
      </c>
      <c r="L148" s="29">
        <v>6.9737499999999999</v>
      </c>
      <c r="M148" s="110">
        <v>5.25</v>
      </c>
      <c r="N148" s="30">
        <v>0.16500000000000001</v>
      </c>
      <c r="O148" s="116">
        <v>0.86625000000000008</v>
      </c>
      <c r="P148" s="30"/>
      <c r="Q148" s="116"/>
      <c r="R148" s="30">
        <v>7.0000000000000007E-2</v>
      </c>
      <c r="S148" s="116">
        <v>0.36750000000000005</v>
      </c>
      <c r="T148" s="117">
        <v>0.49</v>
      </c>
      <c r="U148" s="39">
        <v>400</v>
      </c>
      <c r="V148" s="32"/>
      <c r="W148" s="33">
        <v>0</v>
      </c>
      <c r="X148" s="32"/>
      <c r="Y148" s="32"/>
      <c r="Z148" s="32"/>
      <c r="AA148" s="34"/>
      <c r="AB148" s="35">
        <f t="shared" si="20"/>
        <v>400</v>
      </c>
      <c r="AC148" s="75">
        <f t="shared" si="21"/>
        <v>16800</v>
      </c>
      <c r="AD148" s="78">
        <f t="shared" si="22"/>
        <v>0</v>
      </c>
      <c r="AE148" s="72">
        <f t="shared" si="23"/>
        <v>16800</v>
      </c>
      <c r="AF148" s="75">
        <f t="shared" si="24"/>
        <v>2789.5</v>
      </c>
      <c r="AG148" s="78">
        <f t="shared" si="25"/>
        <v>0</v>
      </c>
      <c r="AH148" s="72">
        <f t="shared" si="26"/>
        <v>2789.5</v>
      </c>
      <c r="AI148" s="75">
        <f t="shared" si="27"/>
        <v>2100</v>
      </c>
      <c r="AJ148" s="78">
        <f t="shared" si="28"/>
        <v>0</v>
      </c>
      <c r="AK148" s="72">
        <f t="shared" si="29"/>
        <v>2100</v>
      </c>
    </row>
    <row r="149" spans="1:37" ht="15.95" customHeight="1">
      <c r="A149" s="25" t="s">
        <v>948</v>
      </c>
      <c r="B149" s="25" t="s">
        <v>949</v>
      </c>
      <c r="C149" s="26" t="s">
        <v>1010</v>
      </c>
      <c r="D149" s="26" t="s">
        <v>213</v>
      </c>
      <c r="E149" s="26" t="s">
        <v>214</v>
      </c>
      <c r="F149" s="26" t="s">
        <v>1011</v>
      </c>
      <c r="G149" s="26" t="s">
        <v>1012</v>
      </c>
      <c r="H149" s="44" t="s">
        <v>727</v>
      </c>
      <c r="I149" s="26" t="s">
        <v>27</v>
      </c>
      <c r="J149" s="28" t="s">
        <v>578</v>
      </c>
      <c r="K149" s="123">
        <v>68</v>
      </c>
      <c r="L149" s="29">
        <v>15.694000000000001</v>
      </c>
      <c r="M149" s="110">
        <v>12</v>
      </c>
      <c r="N149" s="30">
        <v>0.19700000000000001</v>
      </c>
      <c r="O149" s="116">
        <v>2.3639999999999999</v>
      </c>
      <c r="P149" s="30"/>
      <c r="Q149" s="116"/>
      <c r="R149" s="30">
        <v>7.0000000000000007E-2</v>
      </c>
      <c r="S149" s="116">
        <v>0.84000000000000008</v>
      </c>
      <c r="T149" s="117">
        <v>0.49</v>
      </c>
      <c r="U149" s="39">
        <v>600</v>
      </c>
      <c r="V149" s="32">
        <v>290</v>
      </c>
      <c r="W149" s="33">
        <v>0</v>
      </c>
      <c r="X149" s="32"/>
      <c r="Y149" s="32"/>
      <c r="Z149" s="32"/>
      <c r="AA149" s="34">
        <v>30</v>
      </c>
      <c r="AB149" s="35">
        <f t="shared" si="20"/>
        <v>920</v>
      </c>
      <c r="AC149" s="75">
        <f t="shared" si="21"/>
        <v>40800</v>
      </c>
      <c r="AD149" s="78">
        <f t="shared" si="22"/>
        <v>21760</v>
      </c>
      <c r="AE149" s="72">
        <f t="shared" si="23"/>
        <v>62560</v>
      </c>
      <c r="AF149" s="75">
        <f t="shared" si="24"/>
        <v>9416.4</v>
      </c>
      <c r="AG149" s="78">
        <f t="shared" si="25"/>
        <v>4911.26</v>
      </c>
      <c r="AH149" s="72">
        <f t="shared" si="26"/>
        <v>14327.66</v>
      </c>
      <c r="AI149" s="75">
        <f t="shared" si="27"/>
        <v>7200</v>
      </c>
      <c r="AJ149" s="78">
        <f t="shared" si="28"/>
        <v>3840</v>
      </c>
      <c r="AK149" s="72">
        <f t="shared" si="29"/>
        <v>11040</v>
      </c>
    </row>
    <row r="150" spans="1:37" ht="15.95" customHeight="1">
      <c r="A150" s="25" t="s">
        <v>948</v>
      </c>
      <c r="B150" s="25" t="s">
        <v>949</v>
      </c>
      <c r="C150" s="26" t="s">
        <v>44</v>
      </c>
      <c r="D150" s="26" t="s">
        <v>213</v>
      </c>
      <c r="E150" s="26" t="s">
        <v>214</v>
      </c>
      <c r="F150" s="26" t="s">
        <v>1011</v>
      </c>
      <c r="G150" s="26" t="s">
        <v>1012</v>
      </c>
      <c r="H150" s="44" t="s">
        <v>727</v>
      </c>
      <c r="I150" s="26" t="s">
        <v>27</v>
      </c>
      <c r="J150" s="28" t="s">
        <v>578</v>
      </c>
      <c r="K150" s="123">
        <v>68</v>
      </c>
      <c r="L150" s="29">
        <v>15.694000000000001</v>
      </c>
      <c r="M150" s="110">
        <v>12</v>
      </c>
      <c r="N150" s="30">
        <v>0.19700000000000001</v>
      </c>
      <c r="O150" s="116">
        <v>2.3639999999999999</v>
      </c>
      <c r="P150" s="30"/>
      <c r="Q150" s="116"/>
      <c r="R150" s="30">
        <v>7.0000000000000007E-2</v>
      </c>
      <c r="S150" s="116">
        <v>0.84000000000000008</v>
      </c>
      <c r="T150" s="117">
        <v>0.49</v>
      </c>
      <c r="U150" s="39">
        <v>600</v>
      </c>
      <c r="V150" s="32">
        <v>314</v>
      </c>
      <c r="W150" s="33">
        <v>0</v>
      </c>
      <c r="X150" s="32"/>
      <c r="Y150" s="32"/>
      <c r="Z150" s="32"/>
      <c r="AA150" s="34">
        <v>10</v>
      </c>
      <c r="AB150" s="35">
        <f t="shared" si="20"/>
        <v>924</v>
      </c>
      <c r="AC150" s="75">
        <f t="shared" si="21"/>
        <v>40800</v>
      </c>
      <c r="AD150" s="78">
        <f t="shared" si="22"/>
        <v>22032</v>
      </c>
      <c r="AE150" s="72">
        <f t="shared" si="23"/>
        <v>62832</v>
      </c>
      <c r="AF150" s="75">
        <f t="shared" si="24"/>
        <v>9416.4</v>
      </c>
      <c r="AG150" s="78">
        <f t="shared" si="25"/>
        <v>5047.9160000000002</v>
      </c>
      <c r="AH150" s="72">
        <f t="shared" si="26"/>
        <v>14464.315999999999</v>
      </c>
      <c r="AI150" s="75">
        <f t="shared" si="27"/>
        <v>7200</v>
      </c>
      <c r="AJ150" s="78">
        <f t="shared" si="28"/>
        <v>3888</v>
      </c>
      <c r="AK150" s="72">
        <f t="shared" si="29"/>
        <v>11088</v>
      </c>
    </row>
    <row r="151" spans="1:37" ht="15.95" customHeight="1">
      <c r="A151" s="25" t="s">
        <v>948</v>
      </c>
      <c r="B151" s="25" t="s">
        <v>949</v>
      </c>
      <c r="C151" s="26" t="s">
        <v>44</v>
      </c>
      <c r="D151" s="26" t="s">
        <v>213</v>
      </c>
      <c r="E151" s="26" t="s">
        <v>214</v>
      </c>
      <c r="F151" s="26" t="s">
        <v>1011</v>
      </c>
      <c r="G151" s="26" t="s">
        <v>1012</v>
      </c>
      <c r="H151" s="44" t="s">
        <v>727</v>
      </c>
      <c r="I151" s="26" t="s">
        <v>27</v>
      </c>
      <c r="J151" s="28" t="s">
        <v>578</v>
      </c>
      <c r="K151" s="123">
        <v>68</v>
      </c>
      <c r="L151" s="29">
        <v>15.694000000000001</v>
      </c>
      <c r="M151" s="110">
        <v>12</v>
      </c>
      <c r="N151" s="30">
        <v>0.19700000000000001</v>
      </c>
      <c r="O151" s="116">
        <v>2.3639999999999999</v>
      </c>
      <c r="P151" s="30"/>
      <c r="Q151" s="116"/>
      <c r="R151" s="30">
        <v>7.0000000000000007E-2</v>
      </c>
      <c r="S151" s="116">
        <v>0.84000000000000008</v>
      </c>
      <c r="T151" s="117">
        <v>0.49</v>
      </c>
      <c r="U151" s="39">
        <v>600</v>
      </c>
      <c r="V151" s="32">
        <v>347</v>
      </c>
      <c r="W151" s="33">
        <v>0</v>
      </c>
      <c r="X151" s="32"/>
      <c r="Y151" s="32"/>
      <c r="Z151" s="32"/>
      <c r="AA151" s="34">
        <v>10</v>
      </c>
      <c r="AB151" s="35">
        <f t="shared" si="20"/>
        <v>957</v>
      </c>
      <c r="AC151" s="75">
        <f t="shared" si="21"/>
        <v>40800</v>
      </c>
      <c r="AD151" s="78">
        <f t="shared" si="22"/>
        <v>24276</v>
      </c>
      <c r="AE151" s="72">
        <f t="shared" si="23"/>
        <v>65076</v>
      </c>
      <c r="AF151" s="75">
        <f t="shared" si="24"/>
        <v>9416.4</v>
      </c>
      <c r="AG151" s="78">
        <f t="shared" si="25"/>
        <v>5565.8180000000002</v>
      </c>
      <c r="AH151" s="72">
        <f t="shared" si="26"/>
        <v>14982.218000000001</v>
      </c>
      <c r="AI151" s="75">
        <f t="shared" si="27"/>
        <v>7200</v>
      </c>
      <c r="AJ151" s="78">
        <f t="shared" si="28"/>
        <v>4284</v>
      </c>
      <c r="AK151" s="72">
        <f t="shared" si="29"/>
        <v>11484</v>
      </c>
    </row>
    <row r="152" spans="1:37" ht="15.95" customHeight="1">
      <c r="A152" s="25" t="s">
        <v>966</v>
      </c>
      <c r="B152" s="25" t="s">
        <v>949</v>
      </c>
      <c r="C152" s="26" t="s">
        <v>44</v>
      </c>
      <c r="D152" s="26" t="s">
        <v>213</v>
      </c>
      <c r="E152" s="26" t="s">
        <v>214</v>
      </c>
      <c r="F152" s="26" t="s">
        <v>1011</v>
      </c>
      <c r="G152" s="41" t="s">
        <v>1012</v>
      </c>
      <c r="H152" s="44" t="s">
        <v>727</v>
      </c>
      <c r="I152" s="26" t="s">
        <v>27</v>
      </c>
      <c r="J152" s="28" t="s">
        <v>578</v>
      </c>
      <c r="K152" s="123">
        <v>68</v>
      </c>
      <c r="L152" s="29">
        <v>15.694000000000001</v>
      </c>
      <c r="M152" s="110">
        <v>12</v>
      </c>
      <c r="N152" s="30">
        <v>0.19700000000000001</v>
      </c>
      <c r="O152" s="116">
        <v>2.3639999999999999</v>
      </c>
      <c r="P152" s="30"/>
      <c r="Q152" s="116"/>
      <c r="R152" s="30">
        <v>7.0000000000000007E-2</v>
      </c>
      <c r="S152" s="116">
        <v>0.84000000000000008</v>
      </c>
      <c r="T152" s="117">
        <v>0.49</v>
      </c>
      <c r="U152" s="39">
        <v>800</v>
      </c>
      <c r="V152" s="32"/>
      <c r="W152" s="33">
        <v>0</v>
      </c>
      <c r="X152" s="32"/>
      <c r="Y152" s="32"/>
      <c r="Z152" s="32"/>
      <c r="AA152" s="34"/>
      <c r="AB152" s="35">
        <f t="shared" si="20"/>
        <v>800</v>
      </c>
      <c r="AC152" s="75">
        <f t="shared" si="21"/>
        <v>54400</v>
      </c>
      <c r="AD152" s="78">
        <f t="shared" si="22"/>
        <v>0</v>
      </c>
      <c r="AE152" s="72">
        <f t="shared" si="23"/>
        <v>54400</v>
      </c>
      <c r="AF152" s="75">
        <f t="shared" si="24"/>
        <v>12555.2</v>
      </c>
      <c r="AG152" s="78">
        <f t="shared" si="25"/>
        <v>0</v>
      </c>
      <c r="AH152" s="72">
        <f t="shared" si="26"/>
        <v>12555.2</v>
      </c>
      <c r="AI152" s="75">
        <f t="shared" si="27"/>
        <v>9600</v>
      </c>
      <c r="AJ152" s="78">
        <f t="shared" si="28"/>
        <v>0</v>
      </c>
      <c r="AK152" s="72">
        <f t="shared" si="29"/>
        <v>9600</v>
      </c>
    </row>
    <row r="153" spans="1:37" ht="15.95" customHeight="1">
      <c r="A153" s="25" t="s">
        <v>948</v>
      </c>
      <c r="B153" s="25" t="s">
        <v>949</v>
      </c>
      <c r="C153" s="26" t="s">
        <v>24</v>
      </c>
      <c r="D153" s="26" t="s">
        <v>213</v>
      </c>
      <c r="E153" s="26" t="s">
        <v>214</v>
      </c>
      <c r="F153" s="26" t="s">
        <v>1013</v>
      </c>
      <c r="G153" s="41" t="s">
        <v>225</v>
      </c>
      <c r="H153" s="44" t="s">
        <v>234</v>
      </c>
      <c r="I153" s="26" t="s">
        <v>27</v>
      </c>
      <c r="J153" s="28" t="s">
        <v>227</v>
      </c>
      <c r="K153" s="123">
        <v>48</v>
      </c>
      <c r="L153" s="29">
        <v>10.061250000000001</v>
      </c>
      <c r="M153" s="110">
        <v>7.75</v>
      </c>
      <c r="N153" s="30">
        <v>0.16500000000000001</v>
      </c>
      <c r="O153" s="116">
        <v>1.2787500000000001</v>
      </c>
      <c r="P153" s="30"/>
      <c r="Q153" s="116"/>
      <c r="R153" s="30">
        <v>7.0000000000000007E-2</v>
      </c>
      <c r="S153" s="116">
        <v>0.54250000000000009</v>
      </c>
      <c r="T153" s="117">
        <v>0.49</v>
      </c>
      <c r="U153" s="39">
        <v>900</v>
      </c>
      <c r="V153" s="32">
        <v>372</v>
      </c>
      <c r="W153" s="33">
        <v>0</v>
      </c>
      <c r="X153" s="32"/>
      <c r="Y153" s="32"/>
      <c r="Z153" s="32"/>
      <c r="AA153" s="34">
        <v>20</v>
      </c>
      <c r="AB153" s="35">
        <f t="shared" si="20"/>
        <v>1292</v>
      </c>
      <c r="AC153" s="75">
        <f t="shared" si="21"/>
        <v>43200</v>
      </c>
      <c r="AD153" s="78">
        <f t="shared" si="22"/>
        <v>18816</v>
      </c>
      <c r="AE153" s="72">
        <f t="shared" si="23"/>
        <v>62016</v>
      </c>
      <c r="AF153" s="75">
        <f t="shared" si="24"/>
        <v>9055.1250000000018</v>
      </c>
      <c r="AG153" s="78">
        <f t="shared" si="25"/>
        <v>3897.7850000000003</v>
      </c>
      <c r="AH153" s="72">
        <f t="shared" si="26"/>
        <v>12952.910000000002</v>
      </c>
      <c r="AI153" s="75">
        <f t="shared" si="27"/>
        <v>6975</v>
      </c>
      <c r="AJ153" s="78">
        <f t="shared" si="28"/>
        <v>3038</v>
      </c>
      <c r="AK153" s="72">
        <f t="shared" si="29"/>
        <v>10013</v>
      </c>
    </row>
    <row r="154" spans="1:37" ht="15.95" customHeight="1">
      <c r="A154" s="25" t="s">
        <v>948</v>
      </c>
      <c r="B154" s="25" t="s">
        <v>949</v>
      </c>
      <c r="C154" s="26" t="s">
        <v>24</v>
      </c>
      <c r="D154" s="26" t="s">
        <v>213</v>
      </c>
      <c r="E154" s="26" t="s">
        <v>214</v>
      </c>
      <c r="F154" s="26" t="s">
        <v>1013</v>
      </c>
      <c r="G154" s="41" t="s">
        <v>225</v>
      </c>
      <c r="H154" s="44" t="s">
        <v>234</v>
      </c>
      <c r="I154" s="26" t="s">
        <v>27</v>
      </c>
      <c r="J154" s="28" t="s">
        <v>227</v>
      </c>
      <c r="K154" s="123">
        <v>48</v>
      </c>
      <c r="L154" s="29">
        <v>10.061250000000001</v>
      </c>
      <c r="M154" s="110">
        <v>7.75</v>
      </c>
      <c r="N154" s="30">
        <v>0.16500000000000001</v>
      </c>
      <c r="O154" s="116">
        <v>1.2787500000000001</v>
      </c>
      <c r="P154" s="30"/>
      <c r="Q154" s="116"/>
      <c r="R154" s="30">
        <v>7.0000000000000007E-2</v>
      </c>
      <c r="S154" s="116">
        <v>0.54250000000000009</v>
      </c>
      <c r="T154" s="117">
        <v>0.49</v>
      </c>
      <c r="U154" s="39">
        <v>800</v>
      </c>
      <c r="V154" s="32">
        <v>301</v>
      </c>
      <c r="W154" s="33">
        <v>0</v>
      </c>
      <c r="X154" s="32"/>
      <c r="Y154" s="32"/>
      <c r="Z154" s="32"/>
      <c r="AA154" s="34">
        <v>10</v>
      </c>
      <c r="AB154" s="35">
        <f t="shared" si="20"/>
        <v>1111</v>
      </c>
      <c r="AC154" s="75">
        <f t="shared" si="21"/>
        <v>38400</v>
      </c>
      <c r="AD154" s="78">
        <f t="shared" si="22"/>
        <v>14928</v>
      </c>
      <c r="AE154" s="72">
        <f t="shared" si="23"/>
        <v>53328</v>
      </c>
      <c r="AF154" s="75">
        <f t="shared" si="24"/>
        <v>8049.0000000000009</v>
      </c>
      <c r="AG154" s="78">
        <f t="shared" si="25"/>
        <v>3105.9362500000002</v>
      </c>
      <c r="AH154" s="72">
        <f t="shared" si="26"/>
        <v>11154.936250000001</v>
      </c>
      <c r="AI154" s="75">
        <f t="shared" si="27"/>
        <v>6200</v>
      </c>
      <c r="AJ154" s="78">
        <f t="shared" si="28"/>
        <v>2410.25</v>
      </c>
      <c r="AK154" s="72">
        <f t="shared" si="29"/>
        <v>8610.25</v>
      </c>
    </row>
    <row r="155" spans="1:37" ht="15.95" customHeight="1">
      <c r="A155" s="25" t="s">
        <v>948</v>
      </c>
      <c r="B155" s="25" t="s">
        <v>949</v>
      </c>
      <c r="C155" s="26" t="s">
        <v>24</v>
      </c>
      <c r="D155" s="26" t="s">
        <v>213</v>
      </c>
      <c r="E155" s="26" t="s">
        <v>214</v>
      </c>
      <c r="F155" s="26" t="s">
        <v>1013</v>
      </c>
      <c r="G155" s="41" t="s">
        <v>225</v>
      </c>
      <c r="H155" s="44" t="s">
        <v>234</v>
      </c>
      <c r="I155" s="26" t="s">
        <v>27</v>
      </c>
      <c r="J155" s="28" t="s">
        <v>227</v>
      </c>
      <c r="K155" s="123">
        <v>48</v>
      </c>
      <c r="L155" s="29">
        <v>10.061250000000001</v>
      </c>
      <c r="M155" s="110">
        <v>7.75</v>
      </c>
      <c r="N155" s="30">
        <v>0.16500000000000001</v>
      </c>
      <c r="O155" s="116">
        <v>1.2787500000000001</v>
      </c>
      <c r="P155" s="30"/>
      <c r="Q155" s="116"/>
      <c r="R155" s="30">
        <v>7.0000000000000007E-2</v>
      </c>
      <c r="S155" s="116">
        <v>0.54250000000000009</v>
      </c>
      <c r="T155" s="117">
        <v>0.49</v>
      </c>
      <c r="U155" s="39">
        <v>800</v>
      </c>
      <c r="V155" s="32">
        <v>345</v>
      </c>
      <c r="W155" s="33">
        <v>0</v>
      </c>
      <c r="X155" s="32"/>
      <c r="Y155" s="32"/>
      <c r="Z155" s="32"/>
      <c r="AA155" s="34">
        <v>10</v>
      </c>
      <c r="AB155" s="35">
        <f t="shared" si="20"/>
        <v>1155</v>
      </c>
      <c r="AC155" s="75">
        <f t="shared" si="21"/>
        <v>38400</v>
      </c>
      <c r="AD155" s="78">
        <f t="shared" si="22"/>
        <v>17040</v>
      </c>
      <c r="AE155" s="72">
        <f t="shared" si="23"/>
        <v>55440</v>
      </c>
      <c r="AF155" s="75">
        <f t="shared" si="24"/>
        <v>8049.0000000000009</v>
      </c>
      <c r="AG155" s="78">
        <f t="shared" si="25"/>
        <v>3548.6312500000004</v>
      </c>
      <c r="AH155" s="72">
        <f t="shared" si="26"/>
        <v>11597.631250000002</v>
      </c>
      <c r="AI155" s="75">
        <f t="shared" si="27"/>
        <v>6200</v>
      </c>
      <c r="AJ155" s="78">
        <f t="shared" si="28"/>
        <v>2751.25</v>
      </c>
      <c r="AK155" s="72">
        <f t="shared" si="29"/>
        <v>8951.25</v>
      </c>
    </row>
    <row r="156" spans="1:37" ht="15.95" customHeight="1">
      <c r="A156" s="25" t="s">
        <v>961</v>
      </c>
      <c r="B156" s="25" t="s">
        <v>949</v>
      </c>
      <c r="C156" s="26" t="s">
        <v>24</v>
      </c>
      <c r="D156" s="26" t="s">
        <v>213</v>
      </c>
      <c r="E156" s="26" t="s">
        <v>214</v>
      </c>
      <c r="F156" s="26" t="s">
        <v>1013</v>
      </c>
      <c r="G156" s="41" t="s">
        <v>225</v>
      </c>
      <c r="H156" s="44" t="s">
        <v>234</v>
      </c>
      <c r="I156" s="26" t="s">
        <v>27</v>
      </c>
      <c r="J156" s="28" t="s">
        <v>227</v>
      </c>
      <c r="K156" s="123">
        <v>48</v>
      </c>
      <c r="L156" s="29">
        <v>10.061250000000001</v>
      </c>
      <c r="M156" s="110">
        <v>7.75</v>
      </c>
      <c r="N156" s="30">
        <v>0.16500000000000001</v>
      </c>
      <c r="O156" s="116">
        <v>1.2787500000000001</v>
      </c>
      <c r="P156" s="30"/>
      <c r="Q156" s="116"/>
      <c r="R156" s="30">
        <v>7.0000000000000007E-2</v>
      </c>
      <c r="S156" s="116">
        <v>0.54250000000000009</v>
      </c>
      <c r="T156" s="117">
        <v>0.49</v>
      </c>
      <c r="U156" s="39">
        <v>300</v>
      </c>
      <c r="V156" s="32"/>
      <c r="W156" s="33">
        <v>0</v>
      </c>
      <c r="X156" s="32"/>
      <c r="Y156" s="32"/>
      <c r="Z156" s="32"/>
      <c r="AA156" s="34"/>
      <c r="AB156" s="35">
        <f t="shared" si="20"/>
        <v>300</v>
      </c>
      <c r="AC156" s="75">
        <f t="shared" si="21"/>
        <v>14400</v>
      </c>
      <c r="AD156" s="78">
        <f t="shared" si="22"/>
        <v>0</v>
      </c>
      <c r="AE156" s="72">
        <f t="shared" si="23"/>
        <v>14400</v>
      </c>
      <c r="AF156" s="75">
        <f t="shared" si="24"/>
        <v>3018.3750000000005</v>
      </c>
      <c r="AG156" s="78">
        <f t="shared" si="25"/>
        <v>0</v>
      </c>
      <c r="AH156" s="72">
        <f t="shared" si="26"/>
        <v>3018.3750000000005</v>
      </c>
      <c r="AI156" s="75">
        <f t="shared" si="27"/>
        <v>2325</v>
      </c>
      <c r="AJ156" s="78">
        <f t="shared" si="28"/>
        <v>0</v>
      </c>
      <c r="AK156" s="72">
        <f t="shared" si="29"/>
        <v>2325</v>
      </c>
    </row>
    <row r="157" spans="1:37" ht="15.95" customHeight="1">
      <c r="A157" s="25" t="s">
        <v>961</v>
      </c>
      <c r="B157" s="25" t="s">
        <v>949</v>
      </c>
      <c r="C157" s="26" t="s">
        <v>24</v>
      </c>
      <c r="D157" s="26" t="s">
        <v>213</v>
      </c>
      <c r="E157" s="26" t="s">
        <v>214</v>
      </c>
      <c r="F157" s="26" t="s">
        <v>1013</v>
      </c>
      <c r="G157" s="41" t="s">
        <v>225</v>
      </c>
      <c r="H157" s="44" t="s">
        <v>234</v>
      </c>
      <c r="I157" s="26" t="s">
        <v>27</v>
      </c>
      <c r="J157" s="28" t="s">
        <v>227</v>
      </c>
      <c r="K157" s="123">
        <v>48</v>
      </c>
      <c r="L157" s="29">
        <v>10.061250000000001</v>
      </c>
      <c r="M157" s="110">
        <v>7.75</v>
      </c>
      <c r="N157" s="30">
        <v>0.16500000000000001</v>
      </c>
      <c r="O157" s="116">
        <v>1.2787500000000001</v>
      </c>
      <c r="P157" s="30"/>
      <c r="Q157" s="116"/>
      <c r="R157" s="30">
        <v>7.0000000000000007E-2</v>
      </c>
      <c r="S157" s="116">
        <v>0.54250000000000009</v>
      </c>
      <c r="T157" s="117">
        <v>0.49</v>
      </c>
      <c r="U157" s="39">
        <v>300</v>
      </c>
      <c r="V157" s="32"/>
      <c r="W157" s="33">
        <v>0</v>
      </c>
      <c r="X157" s="32"/>
      <c r="Y157" s="32"/>
      <c r="Z157" s="32"/>
      <c r="AA157" s="34"/>
      <c r="AB157" s="35">
        <f t="shared" si="20"/>
        <v>300</v>
      </c>
      <c r="AC157" s="75">
        <f t="shared" si="21"/>
        <v>14400</v>
      </c>
      <c r="AD157" s="78">
        <f t="shared" si="22"/>
        <v>0</v>
      </c>
      <c r="AE157" s="72">
        <f t="shared" si="23"/>
        <v>14400</v>
      </c>
      <c r="AF157" s="75">
        <f t="shared" si="24"/>
        <v>3018.3750000000005</v>
      </c>
      <c r="AG157" s="78">
        <f t="shared" si="25"/>
        <v>0</v>
      </c>
      <c r="AH157" s="72">
        <f t="shared" si="26"/>
        <v>3018.3750000000005</v>
      </c>
      <c r="AI157" s="75">
        <f t="shared" si="27"/>
        <v>2325</v>
      </c>
      <c r="AJ157" s="78">
        <f t="shared" si="28"/>
        <v>0</v>
      </c>
      <c r="AK157" s="72">
        <f t="shared" si="29"/>
        <v>2325</v>
      </c>
    </row>
    <row r="158" spans="1:37" ht="15.95" customHeight="1">
      <c r="A158" s="25" t="s">
        <v>961</v>
      </c>
      <c r="B158" s="25" t="s">
        <v>949</v>
      </c>
      <c r="C158" s="26" t="s">
        <v>24</v>
      </c>
      <c r="D158" s="26" t="s">
        <v>213</v>
      </c>
      <c r="E158" s="26" t="s">
        <v>214</v>
      </c>
      <c r="F158" s="26" t="s">
        <v>1013</v>
      </c>
      <c r="G158" s="41" t="s">
        <v>225</v>
      </c>
      <c r="H158" s="44" t="s">
        <v>234</v>
      </c>
      <c r="I158" s="26" t="s">
        <v>27</v>
      </c>
      <c r="J158" s="28" t="s">
        <v>227</v>
      </c>
      <c r="K158" s="123">
        <v>48</v>
      </c>
      <c r="L158" s="29">
        <v>10.061250000000001</v>
      </c>
      <c r="M158" s="110">
        <v>7.75</v>
      </c>
      <c r="N158" s="30">
        <v>0.16500000000000001</v>
      </c>
      <c r="O158" s="116">
        <v>1.2787500000000001</v>
      </c>
      <c r="P158" s="30"/>
      <c r="Q158" s="116"/>
      <c r="R158" s="30">
        <v>7.0000000000000007E-2</v>
      </c>
      <c r="S158" s="116">
        <v>0.54250000000000009</v>
      </c>
      <c r="T158" s="117">
        <v>0.49</v>
      </c>
      <c r="U158" s="39">
        <v>300</v>
      </c>
      <c r="V158" s="32"/>
      <c r="W158" s="33">
        <v>0</v>
      </c>
      <c r="X158" s="32"/>
      <c r="Y158" s="32"/>
      <c r="Z158" s="32"/>
      <c r="AA158" s="34"/>
      <c r="AB158" s="35">
        <f t="shared" si="20"/>
        <v>300</v>
      </c>
      <c r="AC158" s="75">
        <f t="shared" si="21"/>
        <v>14400</v>
      </c>
      <c r="AD158" s="78">
        <f t="shared" si="22"/>
        <v>0</v>
      </c>
      <c r="AE158" s="72">
        <f t="shared" si="23"/>
        <v>14400</v>
      </c>
      <c r="AF158" s="75">
        <f t="shared" si="24"/>
        <v>3018.3750000000005</v>
      </c>
      <c r="AG158" s="78">
        <f t="shared" si="25"/>
        <v>0</v>
      </c>
      <c r="AH158" s="72">
        <f t="shared" si="26"/>
        <v>3018.3750000000005</v>
      </c>
      <c r="AI158" s="75">
        <f t="shared" si="27"/>
        <v>2325</v>
      </c>
      <c r="AJ158" s="78">
        <f t="shared" si="28"/>
        <v>0</v>
      </c>
      <c r="AK158" s="72">
        <f t="shared" si="29"/>
        <v>2325</v>
      </c>
    </row>
    <row r="159" spans="1:37" ht="15.95" customHeight="1">
      <c r="A159" s="25" t="s">
        <v>966</v>
      </c>
      <c r="B159" s="25" t="s">
        <v>949</v>
      </c>
      <c r="C159" s="26" t="s">
        <v>24</v>
      </c>
      <c r="D159" s="26" t="s">
        <v>213</v>
      </c>
      <c r="E159" s="26" t="s">
        <v>214</v>
      </c>
      <c r="F159" s="26" t="s">
        <v>1013</v>
      </c>
      <c r="G159" s="41" t="s">
        <v>225</v>
      </c>
      <c r="H159" s="44" t="s">
        <v>234</v>
      </c>
      <c r="I159" s="26" t="s">
        <v>27</v>
      </c>
      <c r="J159" s="28" t="s">
        <v>227</v>
      </c>
      <c r="K159" s="123">
        <v>48</v>
      </c>
      <c r="L159" s="29">
        <v>10.061250000000001</v>
      </c>
      <c r="M159" s="110">
        <v>7.75</v>
      </c>
      <c r="N159" s="30">
        <v>0.16500000000000001</v>
      </c>
      <c r="O159" s="116">
        <v>1.2787500000000001</v>
      </c>
      <c r="P159" s="30"/>
      <c r="Q159" s="116"/>
      <c r="R159" s="30">
        <v>7.0000000000000007E-2</v>
      </c>
      <c r="S159" s="116">
        <v>0.54250000000000009</v>
      </c>
      <c r="T159" s="117">
        <v>0.49</v>
      </c>
      <c r="U159" s="39">
        <v>1000</v>
      </c>
      <c r="V159" s="32"/>
      <c r="W159" s="33">
        <v>0</v>
      </c>
      <c r="X159" s="32"/>
      <c r="Y159" s="32"/>
      <c r="Z159" s="32"/>
      <c r="AA159" s="34"/>
      <c r="AB159" s="35">
        <f t="shared" si="20"/>
        <v>1000</v>
      </c>
      <c r="AC159" s="75">
        <f t="shared" si="21"/>
        <v>48000</v>
      </c>
      <c r="AD159" s="78">
        <f t="shared" si="22"/>
        <v>0</v>
      </c>
      <c r="AE159" s="72">
        <f t="shared" si="23"/>
        <v>48000</v>
      </c>
      <c r="AF159" s="75">
        <f t="shared" si="24"/>
        <v>10061.250000000002</v>
      </c>
      <c r="AG159" s="78">
        <f t="shared" si="25"/>
        <v>0</v>
      </c>
      <c r="AH159" s="72">
        <f t="shared" si="26"/>
        <v>10061.250000000002</v>
      </c>
      <c r="AI159" s="75">
        <f t="shared" si="27"/>
        <v>7750</v>
      </c>
      <c r="AJ159" s="78">
        <f t="shared" si="28"/>
        <v>0</v>
      </c>
      <c r="AK159" s="72">
        <f t="shared" si="29"/>
        <v>7750</v>
      </c>
    </row>
    <row r="160" spans="1:37" ht="15.95" customHeight="1">
      <c r="A160" s="25" t="s">
        <v>948</v>
      </c>
      <c r="B160" s="25" t="s">
        <v>949</v>
      </c>
      <c r="C160" s="26" t="s">
        <v>24</v>
      </c>
      <c r="D160" s="26" t="s">
        <v>213</v>
      </c>
      <c r="E160" s="26" t="s">
        <v>214</v>
      </c>
      <c r="F160" s="26" t="s">
        <v>1014</v>
      </c>
      <c r="G160" s="41" t="s">
        <v>1015</v>
      </c>
      <c r="H160" s="44" t="s">
        <v>1016</v>
      </c>
      <c r="I160" s="26" t="s">
        <v>27</v>
      </c>
      <c r="J160" s="28" t="s">
        <v>28</v>
      </c>
      <c r="K160" s="123">
        <v>42</v>
      </c>
      <c r="L160" s="29">
        <v>8.1349999999999998</v>
      </c>
      <c r="M160" s="110">
        <v>5.5</v>
      </c>
      <c r="N160" s="30">
        <v>0.32</v>
      </c>
      <c r="O160" s="116">
        <v>1.76</v>
      </c>
      <c r="P160" s="30"/>
      <c r="Q160" s="116"/>
      <c r="R160" s="30">
        <v>7.0000000000000007E-2</v>
      </c>
      <c r="S160" s="116">
        <v>0.38500000000000001</v>
      </c>
      <c r="T160" s="117">
        <v>0.49</v>
      </c>
      <c r="U160" s="39">
        <v>600</v>
      </c>
      <c r="V160" s="32">
        <v>154</v>
      </c>
      <c r="W160" s="33">
        <v>0</v>
      </c>
      <c r="X160" s="32">
        <v>70</v>
      </c>
      <c r="Y160" s="32"/>
      <c r="Z160" s="32"/>
      <c r="AA160" s="34">
        <v>30</v>
      </c>
      <c r="AB160" s="35">
        <f t="shared" si="20"/>
        <v>854</v>
      </c>
      <c r="AC160" s="75">
        <f t="shared" si="21"/>
        <v>25200</v>
      </c>
      <c r="AD160" s="78">
        <f t="shared" si="22"/>
        <v>10668</v>
      </c>
      <c r="AE160" s="72">
        <f t="shared" si="23"/>
        <v>35868</v>
      </c>
      <c r="AF160" s="75">
        <f t="shared" si="24"/>
        <v>4881</v>
      </c>
      <c r="AG160" s="78">
        <f t="shared" si="25"/>
        <v>1802.79</v>
      </c>
      <c r="AH160" s="72">
        <f t="shared" si="26"/>
        <v>6683.79</v>
      </c>
      <c r="AI160" s="75">
        <f t="shared" si="27"/>
        <v>3300</v>
      </c>
      <c r="AJ160" s="78">
        <f t="shared" si="28"/>
        <v>1397</v>
      </c>
      <c r="AK160" s="72">
        <f t="shared" si="29"/>
        <v>4697</v>
      </c>
    </row>
    <row r="161" spans="1:37" ht="15.95" customHeight="1">
      <c r="A161" s="25" t="s">
        <v>948</v>
      </c>
      <c r="B161" s="25" t="s">
        <v>949</v>
      </c>
      <c r="C161" s="26" t="s">
        <v>24</v>
      </c>
      <c r="D161" s="26" t="s">
        <v>213</v>
      </c>
      <c r="E161" s="26" t="s">
        <v>214</v>
      </c>
      <c r="F161" s="26" t="s">
        <v>1014</v>
      </c>
      <c r="G161" s="41" t="s">
        <v>1015</v>
      </c>
      <c r="H161" s="44" t="s">
        <v>1016</v>
      </c>
      <c r="I161" s="26" t="s">
        <v>27</v>
      </c>
      <c r="J161" s="28" t="s">
        <v>28</v>
      </c>
      <c r="K161" s="123">
        <v>42</v>
      </c>
      <c r="L161" s="29">
        <v>8.1349999999999998</v>
      </c>
      <c r="M161" s="110">
        <v>5.5</v>
      </c>
      <c r="N161" s="30">
        <v>0.32</v>
      </c>
      <c r="O161" s="116">
        <v>1.76</v>
      </c>
      <c r="P161" s="30"/>
      <c r="Q161" s="116"/>
      <c r="R161" s="30">
        <v>7.0000000000000007E-2</v>
      </c>
      <c r="S161" s="116">
        <v>0.38500000000000001</v>
      </c>
      <c r="T161" s="117">
        <v>0.49</v>
      </c>
      <c r="U161" s="39">
        <v>600</v>
      </c>
      <c r="V161" s="32">
        <v>23</v>
      </c>
      <c r="W161" s="33">
        <v>0</v>
      </c>
      <c r="X161" s="32">
        <v>50</v>
      </c>
      <c r="Y161" s="32"/>
      <c r="Z161" s="32"/>
      <c r="AA161" s="34">
        <v>20</v>
      </c>
      <c r="AB161" s="35">
        <f t="shared" si="20"/>
        <v>693</v>
      </c>
      <c r="AC161" s="75">
        <f t="shared" si="21"/>
        <v>25200</v>
      </c>
      <c r="AD161" s="78">
        <f t="shared" si="22"/>
        <v>3906</v>
      </c>
      <c r="AE161" s="72">
        <f t="shared" si="23"/>
        <v>29106</v>
      </c>
      <c r="AF161" s="75">
        <f t="shared" si="24"/>
        <v>4881</v>
      </c>
      <c r="AG161" s="78">
        <f t="shared" si="25"/>
        <v>572.10500000000002</v>
      </c>
      <c r="AH161" s="72">
        <f t="shared" si="26"/>
        <v>5453.1049999999996</v>
      </c>
      <c r="AI161" s="75">
        <f t="shared" si="27"/>
        <v>3300</v>
      </c>
      <c r="AJ161" s="78">
        <f t="shared" si="28"/>
        <v>511.5</v>
      </c>
      <c r="AK161" s="72">
        <f t="shared" si="29"/>
        <v>3811.5</v>
      </c>
    </row>
    <row r="162" spans="1:37" ht="15.95" customHeight="1">
      <c r="A162" s="25" t="s">
        <v>961</v>
      </c>
      <c r="B162" s="25" t="s">
        <v>949</v>
      </c>
      <c r="C162" s="26" t="s">
        <v>24</v>
      </c>
      <c r="D162" s="26" t="s">
        <v>213</v>
      </c>
      <c r="E162" s="26" t="s">
        <v>214</v>
      </c>
      <c r="F162" s="26" t="s">
        <v>1014</v>
      </c>
      <c r="G162" s="41" t="s">
        <v>1015</v>
      </c>
      <c r="H162" s="44" t="s">
        <v>1016</v>
      </c>
      <c r="I162" s="26" t="s">
        <v>27</v>
      </c>
      <c r="J162" s="28" t="s">
        <v>28</v>
      </c>
      <c r="K162" s="123">
        <v>42</v>
      </c>
      <c r="L162" s="29">
        <v>8.1349999999999998</v>
      </c>
      <c r="M162" s="110">
        <v>5.5</v>
      </c>
      <c r="N162" s="30">
        <v>0.32</v>
      </c>
      <c r="O162" s="116">
        <v>1.76</v>
      </c>
      <c r="P162" s="30"/>
      <c r="Q162" s="116"/>
      <c r="R162" s="30">
        <v>7.0000000000000007E-2</v>
      </c>
      <c r="S162" s="116">
        <v>0.38500000000000001</v>
      </c>
      <c r="T162" s="117">
        <v>0.49</v>
      </c>
      <c r="U162" s="39">
        <v>200</v>
      </c>
      <c r="V162" s="32"/>
      <c r="W162" s="33">
        <v>0</v>
      </c>
      <c r="X162" s="32"/>
      <c r="Y162" s="32"/>
      <c r="Z162" s="32"/>
      <c r="AA162" s="34"/>
      <c r="AB162" s="35">
        <f t="shared" si="20"/>
        <v>200</v>
      </c>
      <c r="AC162" s="75">
        <f t="shared" si="21"/>
        <v>8400</v>
      </c>
      <c r="AD162" s="78">
        <f t="shared" si="22"/>
        <v>0</v>
      </c>
      <c r="AE162" s="72">
        <f t="shared" si="23"/>
        <v>8400</v>
      </c>
      <c r="AF162" s="75">
        <f t="shared" si="24"/>
        <v>1627</v>
      </c>
      <c r="AG162" s="78">
        <f t="shared" si="25"/>
        <v>0</v>
      </c>
      <c r="AH162" s="72">
        <f t="shared" si="26"/>
        <v>1627</v>
      </c>
      <c r="AI162" s="75">
        <f t="shared" si="27"/>
        <v>1100</v>
      </c>
      <c r="AJ162" s="78">
        <f t="shared" si="28"/>
        <v>0</v>
      </c>
      <c r="AK162" s="72">
        <f t="shared" si="29"/>
        <v>1100</v>
      </c>
    </row>
    <row r="163" spans="1:37" ht="15.95" customHeight="1">
      <c r="A163" s="25" t="s">
        <v>961</v>
      </c>
      <c r="B163" s="25" t="s">
        <v>949</v>
      </c>
      <c r="C163" s="26" t="s">
        <v>24</v>
      </c>
      <c r="D163" s="26" t="s">
        <v>213</v>
      </c>
      <c r="E163" s="26" t="s">
        <v>214</v>
      </c>
      <c r="F163" s="26" t="s">
        <v>1014</v>
      </c>
      <c r="G163" s="41" t="s">
        <v>1015</v>
      </c>
      <c r="H163" s="44" t="s">
        <v>1016</v>
      </c>
      <c r="I163" s="26" t="s">
        <v>27</v>
      </c>
      <c r="J163" s="28" t="s">
        <v>28</v>
      </c>
      <c r="K163" s="123">
        <v>42</v>
      </c>
      <c r="L163" s="29">
        <v>8.1349999999999998</v>
      </c>
      <c r="M163" s="110">
        <v>5.5</v>
      </c>
      <c r="N163" s="30">
        <v>0.32</v>
      </c>
      <c r="O163" s="116">
        <v>1.76</v>
      </c>
      <c r="P163" s="30"/>
      <c r="Q163" s="116"/>
      <c r="R163" s="30">
        <v>7.0000000000000007E-2</v>
      </c>
      <c r="S163" s="116">
        <v>0.38500000000000001</v>
      </c>
      <c r="T163" s="117">
        <v>0.49</v>
      </c>
      <c r="U163" s="39">
        <v>200</v>
      </c>
      <c r="V163" s="32"/>
      <c r="W163" s="33">
        <v>0</v>
      </c>
      <c r="X163" s="32"/>
      <c r="Y163" s="32"/>
      <c r="Z163" s="32"/>
      <c r="AA163" s="34"/>
      <c r="AB163" s="35">
        <f t="shared" si="20"/>
        <v>200</v>
      </c>
      <c r="AC163" s="75">
        <f t="shared" si="21"/>
        <v>8400</v>
      </c>
      <c r="AD163" s="78">
        <f t="shared" si="22"/>
        <v>0</v>
      </c>
      <c r="AE163" s="72">
        <f t="shared" si="23"/>
        <v>8400</v>
      </c>
      <c r="AF163" s="75">
        <f t="shared" si="24"/>
        <v>1627</v>
      </c>
      <c r="AG163" s="78">
        <f t="shared" si="25"/>
        <v>0</v>
      </c>
      <c r="AH163" s="72">
        <f t="shared" si="26"/>
        <v>1627</v>
      </c>
      <c r="AI163" s="75">
        <f t="shared" si="27"/>
        <v>1100</v>
      </c>
      <c r="AJ163" s="78">
        <f t="shared" si="28"/>
        <v>0</v>
      </c>
      <c r="AK163" s="72">
        <f t="shared" si="29"/>
        <v>1100</v>
      </c>
    </row>
    <row r="164" spans="1:37" ht="15.95" customHeight="1">
      <c r="A164" s="25" t="s">
        <v>948</v>
      </c>
      <c r="B164" s="25" t="s">
        <v>949</v>
      </c>
      <c r="C164" s="26" t="s">
        <v>24</v>
      </c>
      <c r="D164" s="26" t="s">
        <v>213</v>
      </c>
      <c r="E164" s="26" t="s">
        <v>214</v>
      </c>
      <c r="F164" s="26" t="s">
        <v>1017</v>
      </c>
      <c r="G164" s="41" t="s">
        <v>225</v>
      </c>
      <c r="H164" s="44" t="s">
        <v>234</v>
      </c>
      <c r="I164" s="26" t="s">
        <v>27</v>
      </c>
      <c r="J164" s="28" t="s">
        <v>227</v>
      </c>
      <c r="K164" s="123">
        <v>42</v>
      </c>
      <c r="L164" s="29">
        <v>7.2824999999999998</v>
      </c>
      <c r="M164" s="110">
        <v>5.5</v>
      </c>
      <c r="N164" s="30">
        <v>0.16500000000000001</v>
      </c>
      <c r="O164" s="116">
        <v>0.90750000000000008</v>
      </c>
      <c r="P164" s="30"/>
      <c r="Q164" s="116"/>
      <c r="R164" s="30">
        <v>7.0000000000000007E-2</v>
      </c>
      <c r="S164" s="116">
        <v>0.38500000000000001</v>
      </c>
      <c r="T164" s="117">
        <v>0.49</v>
      </c>
      <c r="U164" s="39">
        <v>400</v>
      </c>
      <c r="V164" s="32">
        <v>194</v>
      </c>
      <c r="W164" s="33">
        <v>0</v>
      </c>
      <c r="X164" s="32"/>
      <c r="Y164" s="32"/>
      <c r="Z164" s="32"/>
      <c r="AA164" s="34"/>
      <c r="AB164" s="35">
        <f t="shared" si="20"/>
        <v>594</v>
      </c>
      <c r="AC164" s="75">
        <f t="shared" si="21"/>
        <v>16800</v>
      </c>
      <c r="AD164" s="78">
        <f t="shared" si="22"/>
        <v>8148</v>
      </c>
      <c r="AE164" s="72">
        <f t="shared" si="23"/>
        <v>24948</v>
      </c>
      <c r="AF164" s="75">
        <f t="shared" si="24"/>
        <v>2913</v>
      </c>
      <c r="AG164" s="78">
        <f t="shared" si="25"/>
        <v>1412.8050000000001</v>
      </c>
      <c r="AH164" s="72">
        <f t="shared" si="26"/>
        <v>4325.8050000000003</v>
      </c>
      <c r="AI164" s="75">
        <f t="shared" si="27"/>
        <v>2200</v>
      </c>
      <c r="AJ164" s="78">
        <f t="shared" si="28"/>
        <v>1067</v>
      </c>
      <c r="AK164" s="72">
        <f t="shared" si="29"/>
        <v>3267</v>
      </c>
    </row>
    <row r="165" spans="1:37" ht="15.95" customHeight="1">
      <c r="A165" s="25" t="s">
        <v>948</v>
      </c>
      <c r="B165" s="25" t="s">
        <v>949</v>
      </c>
      <c r="C165" s="26" t="s">
        <v>24</v>
      </c>
      <c r="D165" s="26" t="s">
        <v>213</v>
      </c>
      <c r="E165" s="26" t="s">
        <v>214</v>
      </c>
      <c r="F165" s="26" t="s">
        <v>1017</v>
      </c>
      <c r="G165" s="41" t="s">
        <v>225</v>
      </c>
      <c r="H165" s="44" t="s">
        <v>234</v>
      </c>
      <c r="I165" s="26" t="s">
        <v>27</v>
      </c>
      <c r="J165" s="28" t="s">
        <v>227</v>
      </c>
      <c r="K165" s="123">
        <v>42</v>
      </c>
      <c r="L165" s="29">
        <v>7.2824999999999998</v>
      </c>
      <c r="M165" s="110">
        <v>5.5</v>
      </c>
      <c r="N165" s="30">
        <v>0.16500000000000001</v>
      </c>
      <c r="O165" s="116">
        <v>0.90750000000000008</v>
      </c>
      <c r="P165" s="30"/>
      <c r="Q165" s="116"/>
      <c r="R165" s="30">
        <v>7.0000000000000007E-2</v>
      </c>
      <c r="S165" s="116">
        <v>0.38500000000000001</v>
      </c>
      <c r="T165" s="117">
        <v>0.49</v>
      </c>
      <c r="U165" s="39">
        <v>350</v>
      </c>
      <c r="V165" s="32">
        <v>175</v>
      </c>
      <c r="W165" s="33">
        <v>0</v>
      </c>
      <c r="X165" s="32"/>
      <c r="Y165" s="32"/>
      <c r="Z165" s="32"/>
      <c r="AA165" s="34"/>
      <c r="AB165" s="35">
        <f t="shared" si="20"/>
        <v>525</v>
      </c>
      <c r="AC165" s="75">
        <f t="shared" si="21"/>
        <v>14700</v>
      </c>
      <c r="AD165" s="78">
        <f t="shared" si="22"/>
        <v>7350</v>
      </c>
      <c r="AE165" s="72">
        <f t="shared" si="23"/>
        <v>22050</v>
      </c>
      <c r="AF165" s="75">
        <f t="shared" si="24"/>
        <v>2548.875</v>
      </c>
      <c r="AG165" s="78">
        <f t="shared" si="25"/>
        <v>1274.4375</v>
      </c>
      <c r="AH165" s="72">
        <f t="shared" si="26"/>
        <v>3823.3125</v>
      </c>
      <c r="AI165" s="75">
        <f t="shared" si="27"/>
        <v>1925</v>
      </c>
      <c r="AJ165" s="78">
        <f t="shared" si="28"/>
        <v>962.5</v>
      </c>
      <c r="AK165" s="72">
        <f t="shared" si="29"/>
        <v>2887.5</v>
      </c>
    </row>
    <row r="166" spans="1:37" ht="15.95" customHeight="1">
      <c r="A166" s="25" t="s">
        <v>948</v>
      </c>
      <c r="B166" s="25" t="s">
        <v>949</v>
      </c>
      <c r="C166" s="26" t="s">
        <v>24</v>
      </c>
      <c r="D166" s="26" t="s">
        <v>213</v>
      </c>
      <c r="E166" s="26" t="s">
        <v>214</v>
      </c>
      <c r="F166" s="26" t="s">
        <v>1018</v>
      </c>
      <c r="G166" s="41" t="s">
        <v>225</v>
      </c>
      <c r="H166" s="44" t="s">
        <v>234</v>
      </c>
      <c r="I166" s="26" t="s">
        <v>27</v>
      </c>
      <c r="J166" s="28" t="s">
        <v>227</v>
      </c>
      <c r="K166" s="123">
        <v>48</v>
      </c>
      <c r="L166" s="29">
        <v>7.3442499999999997</v>
      </c>
      <c r="M166" s="110">
        <v>5.55</v>
      </c>
      <c r="N166" s="30">
        <v>0.16500000000000001</v>
      </c>
      <c r="O166" s="116">
        <v>0.91575000000000006</v>
      </c>
      <c r="P166" s="30"/>
      <c r="Q166" s="116"/>
      <c r="R166" s="30">
        <v>7.0000000000000007E-2</v>
      </c>
      <c r="S166" s="116">
        <v>0.38850000000000001</v>
      </c>
      <c r="T166" s="117">
        <v>0.49</v>
      </c>
      <c r="U166" s="39">
        <v>500</v>
      </c>
      <c r="V166" s="32">
        <v>478</v>
      </c>
      <c r="W166" s="33">
        <v>0</v>
      </c>
      <c r="X166" s="32">
        <v>150</v>
      </c>
      <c r="Y166" s="32"/>
      <c r="Z166" s="32"/>
      <c r="AA166" s="34"/>
      <c r="AB166" s="35">
        <f t="shared" si="20"/>
        <v>1128</v>
      </c>
      <c r="AC166" s="75">
        <f t="shared" si="21"/>
        <v>24000</v>
      </c>
      <c r="AD166" s="78">
        <f t="shared" si="22"/>
        <v>30144</v>
      </c>
      <c r="AE166" s="72">
        <f t="shared" si="23"/>
        <v>54144</v>
      </c>
      <c r="AF166" s="75">
        <f t="shared" si="24"/>
        <v>3672.125</v>
      </c>
      <c r="AG166" s="78">
        <f t="shared" si="25"/>
        <v>4343.0514999999996</v>
      </c>
      <c r="AH166" s="72">
        <f t="shared" si="26"/>
        <v>8015.1764999999996</v>
      </c>
      <c r="AI166" s="75">
        <f t="shared" si="27"/>
        <v>2775</v>
      </c>
      <c r="AJ166" s="78">
        <f t="shared" si="28"/>
        <v>3485.4</v>
      </c>
      <c r="AK166" s="72">
        <f t="shared" si="29"/>
        <v>6260.4</v>
      </c>
    </row>
    <row r="167" spans="1:37" ht="15.95" customHeight="1">
      <c r="A167" s="25" t="s">
        <v>948</v>
      </c>
      <c r="B167" s="25" t="s">
        <v>949</v>
      </c>
      <c r="C167" s="26" t="s">
        <v>24</v>
      </c>
      <c r="D167" s="26" t="s">
        <v>213</v>
      </c>
      <c r="E167" s="26" t="s">
        <v>214</v>
      </c>
      <c r="F167" s="26" t="s">
        <v>1019</v>
      </c>
      <c r="G167" s="41" t="s">
        <v>225</v>
      </c>
      <c r="H167" s="44" t="s">
        <v>234</v>
      </c>
      <c r="I167" s="26" t="s">
        <v>27</v>
      </c>
      <c r="J167" s="28" t="s">
        <v>227</v>
      </c>
      <c r="K167" s="123">
        <v>48</v>
      </c>
      <c r="L167" s="29">
        <v>7.3442499999999997</v>
      </c>
      <c r="M167" s="110">
        <v>5.55</v>
      </c>
      <c r="N167" s="30">
        <v>0.16500000000000001</v>
      </c>
      <c r="O167" s="116">
        <v>0.91575000000000006</v>
      </c>
      <c r="P167" s="30"/>
      <c r="Q167" s="116"/>
      <c r="R167" s="30">
        <v>7.0000000000000007E-2</v>
      </c>
      <c r="S167" s="116">
        <v>0.38850000000000001</v>
      </c>
      <c r="T167" s="117">
        <v>0.49</v>
      </c>
      <c r="U167" s="39">
        <v>500</v>
      </c>
      <c r="V167" s="32">
        <v>22</v>
      </c>
      <c r="W167" s="33">
        <v>0</v>
      </c>
      <c r="X167" s="32"/>
      <c r="Y167" s="32"/>
      <c r="Z167" s="32"/>
      <c r="AA167" s="34"/>
      <c r="AB167" s="35">
        <f t="shared" si="20"/>
        <v>522</v>
      </c>
      <c r="AC167" s="75">
        <f t="shared" si="21"/>
        <v>24000</v>
      </c>
      <c r="AD167" s="78">
        <f t="shared" si="22"/>
        <v>1056</v>
      </c>
      <c r="AE167" s="72">
        <f t="shared" si="23"/>
        <v>25056</v>
      </c>
      <c r="AF167" s="75">
        <f t="shared" si="24"/>
        <v>3672.125</v>
      </c>
      <c r="AG167" s="78">
        <f t="shared" si="25"/>
        <v>161.5735</v>
      </c>
      <c r="AH167" s="72">
        <f t="shared" si="26"/>
        <v>3833.6985</v>
      </c>
      <c r="AI167" s="75">
        <f t="shared" si="27"/>
        <v>2775</v>
      </c>
      <c r="AJ167" s="78">
        <f t="shared" si="28"/>
        <v>122.1</v>
      </c>
      <c r="AK167" s="72">
        <f t="shared" si="29"/>
        <v>2897.1</v>
      </c>
    </row>
    <row r="168" spans="1:37" ht="15.95" customHeight="1">
      <c r="A168" s="25" t="s">
        <v>948</v>
      </c>
      <c r="B168" s="25" t="s">
        <v>949</v>
      </c>
      <c r="C168" s="26" t="s">
        <v>14</v>
      </c>
      <c r="D168" s="26" t="s">
        <v>375</v>
      </c>
      <c r="E168" s="26" t="s">
        <v>16</v>
      </c>
      <c r="F168" s="26" t="s">
        <v>1020</v>
      </c>
      <c r="G168" s="41" t="s">
        <v>1021</v>
      </c>
      <c r="H168" s="44" t="s">
        <v>1022</v>
      </c>
      <c r="I168" s="26" t="s">
        <v>19</v>
      </c>
      <c r="J168" s="28" t="s">
        <v>20</v>
      </c>
      <c r="K168" s="123">
        <v>165</v>
      </c>
      <c r="L168" s="29">
        <v>34.404700000000005</v>
      </c>
      <c r="M168" s="110">
        <v>23.85</v>
      </c>
      <c r="N168" s="30">
        <v>0.27700000000000002</v>
      </c>
      <c r="O168" s="116">
        <v>6.6064500000000006</v>
      </c>
      <c r="P168" s="30">
        <v>7.4999999999999997E-2</v>
      </c>
      <c r="Q168" s="116">
        <v>1.7887500000000001</v>
      </c>
      <c r="R168" s="30">
        <v>7.0000000000000007E-2</v>
      </c>
      <c r="S168" s="116">
        <v>1.6695000000000002</v>
      </c>
      <c r="T168" s="117">
        <v>0.49</v>
      </c>
      <c r="U168" s="39">
        <v>400</v>
      </c>
      <c r="V168" s="32">
        <v>124</v>
      </c>
      <c r="W168" s="33">
        <v>0</v>
      </c>
      <c r="X168" s="32"/>
      <c r="Y168" s="32"/>
      <c r="Z168" s="32"/>
      <c r="AA168" s="34">
        <v>4</v>
      </c>
      <c r="AB168" s="35">
        <f t="shared" si="20"/>
        <v>528</v>
      </c>
      <c r="AC168" s="75">
        <f t="shared" si="21"/>
        <v>66000</v>
      </c>
      <c r="AD168" s="78">
        <f t="shared" si="22"/>
        <v>21120</v>
      </c>
      <c r="AE168" s="72">
        <f t="shared" si="23"/>
        <v>87120</v>
      </c>
      <c r="AF168" s="75">
        <f t="shared" si="24"/>
        <v>13761.880000000003</v>
      </c>
      <c r="AG168" s="78">
        <f t="shared" si="25"/>
        <v>4361.5828000000001</v>
      </c>
      <c r="AH168" s="72">
        <f t="shared" si="26"/>
        <v>18123.462800000001</v>
      </c>
      <c r="AI168" s="75">
        <f t="shared" si="27"/>
        <v>9540</v>
      </c>
      <c r="AJ168" s="78">
        <f t="shared" si="28"/>
        <v>3052.8</v>
      </c>
      <c r="AK168" s="72">
        <f t="shared" si="29"/>
        <v>12592.8</v>
      </c>
    </row>
    <row r="169" spans="1:37" ht="15.95" customHeight="1">
      <c r="A169" s="25" t="s">
        <v>948</v>
      </c>
      <c r="B169" s="25" t="s">
        <v>949</v>
      </c>
      <c r="C169" s="26" t="s">
        <v>21</v>
      </c>
      <c r="D169" s="26" t="s">
        <v>375</v>
      </c>
      <c r="E169" s="26" t="s">
        <v>16</v>
      </c>
      <c r="F169" s="26" t="s">
        <v>1023</v>
      </c>
      <c r="G169" s="41" t="s">
        <v>1021</v>
      </c>
      <c r="H169" s="44" t="s">
        <v>1022</v>
      </c>
      <c r="I169" s="26" t="s">
        <v>19</v>
      </c>
      <c r="J169" s="28" t="s">
        <v>23</v>
      </c>
      <c r="K169" s="123">
        <v>135</v>
      </c>
      <c r="L169" s="29">
        <v>30.322799999999997</v>
      </c>
      <c r="M169" s="110">
        <v>20.95</v>
      </c>
      <c r="N169" s="30">
        <v>0.27900000000000003</v>
      </c>
      <c r="O169" s="116">
        <v>5.8450500000000005</v>
      </c>
      <c r="P169" s="30">
        <v>7.4999999999999997E-2</v>
      </c>
      <c r="Q169" s="116">
        <v>1.5712499999999998</v>
      </c>
      <c r="R169" s="30">
        <v>7.0000000000000007E-2</v>
      </c>
      <c r="S169" s="116">
        <v>1.4665000000000001</v>
      </c>
      <c r="T169" s="117">
        <v>0.49</v>
      </c>
      <c r="U169" s="39">
        <v>350</v>
      </c>
      <c r="V169" s="32">
        <v>130</v>
      </c>
      <c r="W169" s="33">
        <v>52</v>
      </c>
      <c r="X169" s="32"/>
      <c r="Y169" s="32"/>
      <c r="Z169" s="32"/>
      <c r="AA169" s="34">
        <v>4</v>
      </c>
      <c r="AB169" s="35">
        <f t="shared" si="20"/>
        <v>536</v>
      </c>
      <c r="AC169" s="75">
        <f t="shared" si="21"/>
        <v>47250</v>
      </c>
      <c r="AD169" s="78">
        <f t="shared" si="22"/>
        <v>25110</v>
      </c>
      <c r="AE169" s="72">
        <f t="shared" si="23"/>
        <v>72360</v>
      </c>
      <c r="AF169" s="75">
        <f t="shared" si="24"/>
        <v>10612.98</v>
      </c>
      <c r="AG169" s="78">
        <f t="shared" si="25"/>
        <v>5602.5495999999994</v>
      </c>
      <c r="AH169" s="72">
        <f t="shared" si="26"/>
        <v>16215.529599999998</v>
      </c>
      <c r="AI169" s="75">
        <f t="shared" si="27"/>
        <v>7332.5</v>
      </c>
      <c r="AJ169" s="78">
        <f t="shared" si="28"/>
        <v>3896.7</v>
      </c>
      <c r="AK169" s="72">
        <f t="shared" si="29"/>
        <v>11229.2</v>
      </c>
    </row>
    <row r="170" spans="1:37" ht="15.95" customHeight="1">
      <c r="A170" s="25" t="s">
        <v>948</v>
      </c>
      <c r="B170" s="25" t="s">
        <v>949</v>
      </c>
      <c r="C170" s="26" t="s">
        <v>14</v>
      </c>
      <c r="D170" s="26" t="s">
        <v>375</v>
      </c>
      <c r="E170" s="26" t="s">
        <v>16</v>
      </c>
      <c r="F170" s="26" t="s">
        <v>1020</v>
      </c>
      <c r="G170" s="41" t="s">
        <v>1021</v>
      </c>
      <c r="H170" s="44" t="s">
        <v>1022</v>
      </c>
      <c r="I170" s="26" t="s">
        <v>19</v>
      </c>
      <c r="J170" s="28" t="s">
        <v>20</v>
      </c>
      <c r="K170" s="123">
        <v>165</v>
      </c>
      <c r="L170" s="29">
        <v>34.404700000000005</v>
      </c>
      <c r="M170" s="110">
        <v>23.85</v>
      </c>
      <c r="N170" s="30">
        <v>0.27700000000000002</v>
      </c>
      <c r="O170" s="116">
        <v>6.6064500000000006</v>
      </c>
      <c r="P170" s="30">
        <v>7.4999999999999997E-2</v>
      </c>
      <c r="Q170" s="116">
        <v>1.7887500000000001</v>
      </c>
      <c r="R170" s="30">
        <v>7.0000000000000007E-2</v>
      </c>
      <c r="S170" s="116">
        <v>1.6695000000000002</v>
      </c>
      <c r="T170" s="117">
        <v>0.49</v>
      </c>
      <c r="U170" s="39">
        <v>350</v>
      </c>
      <c r="V170" s="32">
        <v>137</v>
      </c>
      <c r="W170" s="33">
        <v>53</v>
      </c>
      <c r="X170" s="32"/>
      <c r="Y170" s="32"/>
      <c r="Z170" s="32"/>
      <c r="AA170" s="34">
        <v>4</v>
      </c>
      <c r="AB170" s="35">
        <f t="shared" si="20"/>
        <v>544</v>
      </c>
      <c r="AC170" s="75">
        <f t="shared" si="21"/>
        <v>57750</v>
      </c>
      <c r="AD170" s="78">
        <f t="shared" si="22"/>
        <v>32010</v>
      </c>
      <c r="AE170" s="72">
        <f t="shared" si="23"/>
        <v>89760</v>
      </c>
      <c r="AF170" s="75">
        <f t="shared" si="24"/>
        <v>12041.645000000002</v>
      </c>
      <c r="AG170" s="78">
        <f t="shared" si="25"/>
        <v>6632.2930000000006</v>
      </c>
      <c r="AH170" s="72">
        <f t="shared" si="26"/>
        <v>18673.938000000002</v>
      </c>
      <c r="AI170" s="75">
        <f t="shared" si="27"/>
        <v>8347.5</v>
      </c>
      <c r="AJ170" s="78">
        <f t="shared" si="28"/>
        <v>4626.9000000000005</v>
      </c>
      <c r="AK170" s="72">
        <f t="shared" si="29"/>
        <v>12974.400000000001</v>
      </c>
    </row>
    <row r="171" spans="1:37" ht="15.95" customHeight="1">
      <c r="A171" s="25" t="s">
        <v>948</v>
      </c>
      <c r="B171" s="25" t="s">
        <v>949</v>
      </c>
      <c r="C171" s="26" t="s">
        <v>21</v>
      </c>
      <c r="D171" s="26" t="s">
        <v>375</v>
      </c>
      <c r="E171" s="26" t="s">
        <v>16</v>
      </c>
      <c r="F171" s="26" t="s">
        <v>1023</v>
      </c>
      <c r="G171" s="41" t="s">
        <v>1021</v>
      </c>
      <c r="H171" s="44" t="s">
        <v>1022</v>
      </c>
      <c r="I171" s="26" t="s">
        <v>19</v>
      </c>
      <c r="J171" s="28" t="s">
        <v>23</v>
      </c>
      <c r="K171" s="123">
        <v>135</v>
      </c>
      <c r="L171" s="29">
        <v>30.322799999999997</v>
      </c>
      <c r="M171" s="110">
        <v>20.95</v>
      </c>
      <c r="N171" s="30">
        <v>0.27900000000000003</v>
      </c>
      <c r="O171" s="116">
        <v>5.8450500000000005</v>
      </c>
      <c r="P171" s="30">
        <v>7.4999999999999997E-2</v>
      </c>
      <c r="Q171" s="116">
        <v>1.5712499999999998</v>
      </c>
      <c r="R171" s="30">
        <v>7.0000000000000007E-2</v>
      </c>
      <c r="S171" s="116">
        <v>1.4665000000000001</v>
      </c>
      <c r="T171" s="117">
        <v>0.49</v>
      </c>
      <c r="U171" s="39">
        <v>300</v>
      </c>
      <c r="V171" s="32">
        <v>127</v>
      </c>
      <c r="W171" s="33">
        <v>100</v>
      </c>
      <c r="X171" s="32"/>
      <c r="Y171" s="32"/>
      <c r="Z171" s="32"/>
      <c r="AA171" s="34">
        <v>4</v>
      </c>
      <c r="AB171" s="35">
        <f t="shared" si="20"/>
        <v>531</v>
      </c>
      <c r="AC171" s="75">
        <f t="shared" si="21"/>
        <v>40500</v>
      </c>
      <c r="AD171" s="78">
        <f t="shared" si="22"/>
        <v>31185</v>
      </c>
      <c r="AE171" s="72">
        <f t="shared" si="23"/>
        <v>71685</v>
      </c>
      <c r="AF171" s="75">
        <f t="shared" si="24"/>
        <v>9096.8399999999983</v>
      </c>
      <c r="AG171" s="78">
        <f t="shared" si="25"/>
        <v>6967.0755999999992</v>
      </c>
      <c r="AH171" s="72">
        <f t="shared" si="26"/>
        <v>16063.915599999997</v>
      </c>
      <c r="AI171" s="75">
        <f t="shared" si="27"/>
        <v>6285</v>
      </c>
      <c r="AJ171" s="78">
        <f t="shared" si="28"/>
        <v>4839.45</v>
      </c>
      <c r="AK171" s="72">
        <f t="shared" si="29"/>
        <v>11124.45</v>
      </c>
    </row>
    <row r="172" spans="1:37" ht="15.95" customHeight="1">
      <c r="A172" s="25" t="s">
        <v>948</v>
      </c>
      <c r="B172" s="25" t="s">
        <v>949</v>
      </c>
      <c r="C172" s="26" t="s">
        <v>24</v>
      </c>
      <c r="D172" s="26" t="s">
        <v>375</v>
      </c>
      <c r="E172" s="26" t="s">
        <v>16</v>
      </c>
      <c r="F172" s="26" t="s">
        <v>1024</v>
      </c>
      <c r="G172" s="41" t="s">
        <v>1025</v>
      </c>
      <c r="H172" s="44" t="s">
        <v>1026</v>
      </c>
      <c r="I172" s="26" t="s">
        <v>27</v>
      </c>
      <c r="J172" s="28" t="s">
        <v>28</v>
      </c>
      <c r="K172" s="123">
        <v>68</v>
      </c>
      <c r="L172" s="29">
        <v>12.942500000000001</v>
      </c>
      <c r="M172" s="110">
        <v>8.5</v>
      </c>
      <c r="N172" s="30">
        <v>0.32</v>
      </c>
      <c r="O172" s="116">
        <v>2.72</v>
      </c>
      <c r="P172" s="30">
        <v>7.4999999999999997E-2</v>
      </c>
      <c r="Q172" s="116">
        <v>0.63749999999999996</v>
      </c>
      <c r="R172" s="30">
        <v>7.0000000000000007E-2</v>
      </c>
      <c r="S172" s="116">
        <v>0.59500000000000008</v>
      </c>
      <c r="T172" s="117">
        <v>0.49</v>
      </c>
      <c r="U172" s="39">
        <v>400</v>
      </c>
      <c r="V172" s="32">
        <v>127</v>
      </c>
      <c r="W172" s="33">
        <v>0</v>
      </c>
      <c r="X172" s="32"/>
      <c r="Y172" s="32"/>
      <c r="Z172" s="32"/>
      <c r="AA172" s="34">
        <v>30</v>
      </c>
      <c r="AB172" s="35">
        <f t="shared" si="20"/>
        <v>557</v>
      </c>
      <c r="AC172" s="75">
        <f t="shared" si="21"/>
        <v>27200</v>
      </c>
      <c r="AD172" s="78">
        <f t="shared" si="22"/>
        <v>10676</v>
      </c>
      <c r="AE172" s="72">
        <f t="shared" si="23"/>
        <v>37876</v>
      </c>
      <c r="AF172" s="75">
        <f t="shared" si="24"/>
        <v>5177</v>
      </c>
      <c r="AG172" s="78">
        <f t="shared" si="25"/>
        <v>1898.6975</v>
      </c>
      <c r="AH172" s="72">
        <f t="shared" si="26"/>
        <v>7075.6975000000002</v>
      </c>
      <c r="AI172" s="75">
        <f t="shared" si="27"/>
        <v>3400</v>
      </c>
      <c r="AJ172" s="78">
        <f t="shared" si="28"/>
        <v>1334.5</v>
      </c>
      <c r="AK172" s="72">
        <f t="shared" si="29"/>
        <v>4734.5</v>
      </c>
    </row>
    <row r="173" spans="1:37" ht="15.95" customHeight="1">
      <c r="A173" s="25" t="s">
        <v>948</v>
      </c>
      <c r="B173" s="25" t="s">
        <v>949</v>
      </c>
      <c r="C173" s="26" t="s">
        <v>24</v>
      </c>
      <c r="D173" s="26" t="s">
        <v>375</v>
      </c>
      <c r="E173" s="26" t="s">
        <v>16</v>
      </c>
      <c r="F173" s="26" t="s">
        <v>1024</v>
      </c>
      <c r="G173" s="41" t="s">
        <v>1025</v>
      </c>
      <c r="H173" s="44" t="s">
        <v>1026</v>
      </c>
      <c r="I173" s="26" t="s">
        <v>27</v>
      </c>
      <c r="J173" s="28" t="s">
        <v>28</v>
      </c>
      <c r="K173" s="123">
        <v>68</v>
      </c>
      <c r="L173" s="29">
        <v>12.942500000000001</v>
      </c>
      <c r="M173" s="110">
        <v>8.5</v>
      </c>
      <c r="N173" s="30">
        <v>0.32</v>
      </c>
      <c r="O173" s="116">
        <v>2.72</v>
      </c>
      <c r="P173" s="30">
        <v>7.4999999999999997E-2</v>
      </c>
      <c r="Q173" s="116">
        <v>0.63749999999999996</v>
      </c>
      <c r="R173" s="30">
        <v>7.0000000000000007E-2</v>
      </c>
      <c r="S173" s="116">
        <v>0.59500000000000008</v>
      </c>
      <c r="T173" s="117">
        <v>0.49</v>
      </c>
      <c r="U173" s="39">
        <v>400</v>
      </c>
      <c r="V173" s="32">
        <v>130</v>
      </c>
      <c r="W173" s="33">
        <v>0</v>
      </c>
      <c r="X173" s="32"/>
      <c r="Y173" s="32"/>
      <c r="Z173" s="32"/>
      <c r="AA173" s="34">
        <v>30</v>
      </c>
      <c r="AB173" s="35">
        <f t="shared" si="20"/>
        <v>560</v>
      </c>
      <c r="AC173" s="75">
        <f t="shared" si="21"/>
        <v>27200</v>
      </c>
      <c r="AD173" s="78">
        <f t="shared" si="22"/>
        <v>10880</v>
      </c>
      <c r="AE173" s="72">
        <f t="shared" si="23"/>
        <v>38080</v>
      </c>
      <c r="AF173" s="75">
        <f t="shared" si="24"/>
        <v>5177</v>
      </c>
      <c r="AG173" s="78">
        <f t="shared" si="25"/>
        <v>1937.5250000000001</v>
      </c>
      <c r="AH173" s="72">
        <f t="shared" si="26"/>
        <v>7114.5249999999996</v>
      </c>
      <c r="AI173" s="75">
        <f t="shared" si="27"/>
        <v>3400</v>
      </c>
      <c r="AJ173" s="78">
        <f t="shared" si="28"/>
        <v>1360</v>
      </c>
      <c r="AK173" s="72">
        <f t="shared" si="29"/>
        <v>4760</v>
      </c>
    </row>
    <row r="174" spans="1:37" ht="15.95" customHeight="1">
      <c r="A174" s="25" t="s">
        <v>948</v>
      </c>
      <c r="B174" s="25" t="s">
        <v>949</v>
      </c>
      <c r="C174" s="26" t="s">
        <v>982</v>
      </c>
      <c r="D174" s="26" t="s">
        <v>375</v>
      </c>
      <c r="E174" s="26" t="s">
        <v>16</v>
      </c>
      <c r="F174" s="26" t="s">
        <v>1027</v>
      </c>
      <c r="G174" s="41" t="s">
        <v>1021</v>
      </c>
      <c r="H174" s="44" t="s">
        <v>1028</v>
      </c>
      <c r="I174" s="26" t="s">
        <v>19</v>
      </c>
      <c r="J174" s="28" t="s">
        <v>31</v>
      </c>
      <c r="K174" s="123">
        <v>98</v>
      </c>
      <c r="L174" s="29">
        <v>23.273999999999997</v>
      </c>
      <c r="M174" s="110">
        <v>16</v>
      </c>
      <c r="N174" s="30">
        <v>0.27900000000000003</v>
      </c>
      <c r="O174" s="116">
        <v>4.4640000000000004</v>
      </c>
      <c r="P174" s="30">
        <v>7.4999999999999997E-2</v>
      </c>
      <c r="Q174" s="116">
        <v>1.2</v>
      </c>
      <c r="R174" s="30">
        <v>7.0000000000000007E-2</v>
      </c>
      <c r="S174" s="116">
        <v>1.1200000000000001</v>
      </c>
      <c r="T174" s="117">
        <v>0.49</v>
      </c>
      <c r="U174" s="39">
        <v>300</v>
      </c>
      <c r="V174" s="32">
        <v>121</v>
      </c>
      <c r="W174" s="33">
        <v>99</v>
      </c>
      <c r="X174" s="32"/>
      <c r="Y174" s="32"/>
      <c r="Z174" s="32"/>
      <c r="AA174" s="34">
        <v>20</v>
      </c>
      <c r="AB174" s="35">
        <f t="shared" si="20"/>
        <v>540</v>
      </c>
      <c r="AC174" s="75">
        <f t="shared" si="21"/>
        <v>29400</v>
      </c>
      <c r="AD174" s="78">
        <f t="shared" si="22"/>
        <v>23520</v>
      </c>
      <c r="AE174" s="72">
        <f t="shared" si="23"/>
        <v>52920</v>
      </c>
      <c r="AF174" s="75">
        <f t="shared" si="24"/>
        <v>6982.1999999999989</v>
      </c>
      <c r="AG174" s="78">
        <f t="shared" si="25"/>
        <v>5440.28</v>
      </c>
      <c r="AH174" s="72">
        <f t="shared" si="26"/>
        <v>12422.48</v>
      </c>
      <c r="AI174" s="75">
        <f t="shared" si="27"/>
        <v>4800</v>
      </c>
      <c r="AJ174" s="78">
        <f t="shared" si="28"/>
        <v>3840</v>
      </c>
      <c r="AK174" s="72">
        <f t="shared" si="29"/>
        <v>8640</v>
      </c>
    </row>
    <row r="175" spans="1:37" ht="15.95" customHeight="1">
      <c r="A175" s="25" t="s">
        <v>948</v>
      </c>
      <c r="B175" s="25" t="s">
        <v>949</v>
      </c>
      <c r="C175" s="26" t="s">
        <v>982</v>
      </c>
      <c r="D175" s="26" t="s">
        <v>375</v>
      </c>
      <c r="E175" s="26" t="s">
        <v>16</v>
      </c>
      <c r="F175" s="26" t="s">
        <v>1027</v>
      </c>
      <c r="G175" s="41" t="s">
        <v>1021</v>
      </c>
      <c r="H175" s="44" t="s">
        <v>1028</v>
      </c>
      <c r="I175" s="26" t="s">
        <v>19</v>
      </c>
      <c r="J175" s="28" t="s">
        <v>31</v>
      </c>
      <c r="K175" s="123">
        <v>98</v>
      </c>
      <c r="L175" s="29">
        <v>23.273999999999997</v>
      </c>
      <c r="M175" s="110">
        <v>16</v>
      </c>
      <c r="N175" s="30">
        <v>0.27900000000000003</v>
      </c>
      <c r="O175" s="116">
        <v>4.4640000000000004</v>
      </c>
      <c r="P175" s="30">
        <v>7.4999999999999997E-2</v>
      </c>
      <c r="Q175" s="116">
        <v>1.2</v>
      </c>
      <c r="R175" s="30">
        <v>7.0000000000000007E-2</v>
      </c>
      <c r="S175" s="116">
        <v>1.1200000000000001</v>
      </c>
      <c r="T175" s="117">
        <v>0.49</v>
      </c>
      <c r="U175" s="39">
        <v>300</v>
      </c>
      <c r="V175" s="32">
        <v>118</v>
      </c>
      <c r="W175" s="33">
        <v>99</v>
      </c>
      <c r="X175" s="32"/>
      <c r="Y175" s="32"/>
      <c r="Z175" s="32"/>
      <c r="AA175" s="34">
        <v>20</v>
      </c>
      <c r="AB175" s="35">
        <f t="shared" si="20"/>
        <v>537</v>
      </c>
      <c r="AC175" s="75">
        <f t="shared" si="21"/>
        <v>29400</v>
      </c>
      <c r="AD175" s="78">
        <f t="shared" si="22"/>
        <v>23226</v>
      </c>
      <c r="AE175" s="72">
        <f t="shared" si="23"/>
        <v>52626</v>
      </c>
      <c r="AF175" s="75">
        <f t="shared" si="24"/>
        <v>6982.1999999999989</v>
      </c>
      <c r="AG175" s="78">
        <f t="shared" si="25"/>
        <v>5370.4579999999996</v>
      </c>
      <c r="AH175" s="72">
        <f t="shared" si="26"/>
        <v>12352.657999999999</v>
      </c>
      <c r="AI175" s="75">
        <f t="shared" si="27"/>
        <v>4800</v>
      </c>
      <c r="AJ175" s="78">
        <f t="shared" si="28"/>
        <v>3792</v>
      </c>
      <c r="AK175" s="72">
        <f t="shared" si="29"/>
        <v>8592</v>
      </c>
    </row>
    <row r="176" spans="1:37" ht="15.95" customHeight="1">
      <c r="A176" s="25" t="s">
        <v>960</v>
      </c>
      <c r="B176" s="25" t="s">
        <v>949</v>
      </c>
      <c r="C176" s="26" t="s">
        <v>14</v>
      </c>
      <c r="D176" s="26" t="s">
        <v>375</v>
      </c>
      <c r="E176" s="26" t="s">
        <v>16</v>
      </c>
      <c r="F176" s="26" t="s">
        <v>199</v>
      </c>
      <c r="G176" s="41"/>
      <c r="H176" s="44" t="s">
        <v>196</v>
      </c>
      <c r="I176" s="26" t="s">
        <v>27</v>
      </c>
      <c r="J176" s="28" t="s">
        <v>41</v>
      </c>
      <c r="K176" s="123">
        <v>165</v>
      </c>
      <c r="L176" s="29">
        <v>35.38015</v>
      </c>
      <c r="M176" s="110">
        <v>24.45</v>
      </c>
      <c r="N176" s="30">
        <v>0.28199999999999997</v>
      </c>
      <c r="O176" s="116">
        <v>6.8948999999999989</v>
      </c>
      <c r="P176" s="30">
        <v>7.4999999999999997E-2</v>
      </c>
      <c r="Q176" s="116">
        <v>1.8337499999999998</v>
      </c>
      <c r="R176" s="30">
        <v>7.0000000000000007E-2</v>
      </c>
      <c r="S176" s="116">
        <v>1.7115</v>
      </c>
      <c r="T176" s="117">
        <v>0.49</v>
      </c>
      <c r="U176" s="39">
        <v>817</v>
      </c>
      <c r="V176" s="32"/>
      <c r="W176" s="33">
        <v>200</v>
      </c>
      <c r="X176" s="32"/>
      <c r="Y176" s="32"/>
      <c r="Z176" s="32"/>
      <c r="AA176" s="34"/>
      <c r="AB176" s="35">
        <f t="shared" si="20"/>
        <v>1017</v>
      </c>
      <c r="AC176" s="75">
        <f t="shared" si="21"/>
        <v>134805</v>
      </c>
      <c r="AD176" s="78">
        <f t="shared" si="22"/>
        <v>33000</v>
      </c>
      <c r="AE176" s="72">
        <f t="shared" si="23"/>
        <v>167805</v>
      </c>
      <c r="AF176" s="75">
        <f t="shared" si="24"/>
        <v>28905.582549999999</v>
      </c>
      <c r="AG176" s="78">
        <f t="shared" si="25"/>
        <v>7076.03</v>
      </c>
      <c r="AH176" s="72">
        <f t="shared" si="26"/>
        <v>35981.612549999998</v>
      </c>
      <c r="AI176" s="75">
        <f t="shared" si="27"/>
        <v>19975.649999999998</v>
      </c>
      <c r="AJ176" s="78">
        <f t="shared" si="28"/>
        <v>4890</v>
      </c>
      <c r="AK176" s="72">
        <f t="shared" si="29"/>
        <v>24865.649999999998</v>
      </c>
    </row>
    <row r="177" spans="1:37" ht="15.95" customHeight="1">
      <c r="A177" s="25" t="s">
        <v>961</v>
      </c>
      <c r="B177" s="25" t="s">
        <v>949</v>
      </c>
      <c r="C177" s="26" t="s">
        <v>21</v>
      </c>
      <c r="D177" s="26" t="s">
        <v>375</v>
      </c>
      <c r="E177" s="26" t="s">
        <v>16</v>
      </c>
      <c r="F177" s="26" t="s">
        <v>200</v>
      </c>
      <c r="G177" s="41"/>
      <c r="H177" s="44" t="s">
        <v>196</v>
      </c>
      <c r="I177" s="26" t="s">
        <v>27</v>
      </c>
      <c r="J177" s="28" t="s">
        <v>43</v>
      </c>
      <c r="K177" s="123">
        <v>135</v>
      </c>
      <c r="L177" s="29">
        <v>26.532749999999997</v>
      </c>
      <c r="M177" s="110">
        <v>18.25</v>
      </c>
      <c r="N177" s="30">
        <v>0.28199999999999997</v>
      </c>
      <c r="O177" s="116">
        <v>5.1464999999999996</v>
      </c>
      <c r="P177" s="30">
        <v>7.4999999999999997E-2</v>
      </c>
      <c r="Q177" s="116">
        <v>1.3687499999999999</v>
      </c>
      <c r="R177" s="30">
        <v>7.0000000000000007E-2</v>
      </c>
      <c r="S177" s="116">
        <v>1.2775000000000001</v>
      </c>
      <c r="T177" s="117">
        <v>0.49</v>
      </c>
      <c r="U177" s="39">
        <v>815</v>
      </c>
      <c r="V177" s="32"/>
      <c r="W177" s="33">
        <v>200</v>
      </c>
      <c r="X177" s="32"/>
      <c r="Y177" s="32"/>
      <c r="Z177" s="32"/>
      <c r="AA177" s="34"/>
      <c r="AB177" s="35">
        <f t="shared" si="20"/>
        <v>1015</v>
      </c>
      <c r="AC177" s="75">
        <f t="shared" si="21"/>
        <v>110025</v>
      </c>
      <c r="AD177" s="78">
        <f t="shared" si="22"/>
        <v>27000</v>
      </c>
      <c r="AE177" s="72">
        <f t="shared" si="23"/>
        <v>137025</v>
      </c>
      <c r="AF177" s="75">
        <f t="shared" si="24"/>
        <v>21624.191249999996</v>
      </c>
      <c r="AG177" s="78">
        <f t="shared" si="25"/>
        <v>5306.5499999999993</v>
      </c>
      <c r="AH177" s="72">
        <f t="shared" si="26"/>
        <v>26930.741249999995</v>
      </c>
      <c r="AI177" s="75">
        <f t="shared" si="27"/>
        <v>14873.75</v>
      </c>
      <c r="AJ177" s="78">
        <f t="shared" si="28"/>
        <v>3650</v>
      </c>
      <c r="AK177" s="72">
        <f t="shared" si="29"/>
        <v>18523.75</v>
      </c>
    </row>
    <row r="178" spans="1:37" ht="15.95" customHeight="1">
      <c r="A178" s="25" t="s">
        <v>948</v>
      </c>
      <c r="B178" s="25" t="s">
        <v>949</v>
      </c>
      <c r="C178" s="26" t="s">
        <v>14</v>
      </c>
      <c r="D178" s="26" t="s">
        <v>375</v>
      </c>
      <c r="E178" s="26" t="s">
        <v>16</v>
      </c>
      <c r="F178" s="26" t="s">
        <v>1029</v>
      </c>
      <c r="G178" s="41" t="s">
        <v>1030</v>
      </c>
      <c r="H178" s="44" t="s">
        <v>739</v>
      </c>
      <c r="I178" s="26" t="s">
        <v>27</v>
      </c>
      <c r="J178" s="28" t="s">
        <v>41</v>
      </c>
      <c r="K178" s="123">
        <v>165</v>
      </c>
      <c r="L178" s="29">
        <v>31.855459999999994</v>
      </c>
      <c r="M178" s="110">
        <v>21.98</v>
      </c>
      <c r="N178" s="30">
        <v>0.28199999999999997</v>
      </c>
      <c r="O178" s="116">
        <v>6.1983599999999992</v>
      </c>
      <c r="P178" s="30">
        <v>7.4999999999999997E-2</v>
      </c>
      <c r="Q178" s="116">
        <v>1.6485000000000001</v>
      </c>
      <c r="R178" s="30">
        <v>7.0000000000000007E-2</v>
      </c>
      <c r="S178" s="116">
        <v>1.5386000000000002</v>
      </c>
      <c r="T178" s="117">
        <v>0.49</v>
      </c>
      <c r="U178" s="39">
        <v>250</v>
      </c>
      <c r="V178" s="32">
        <v>144</v>
      </c>
      <c r="W178" s="33">
        <v>100</v>
      </c>
      <c r="X178" s="32"/>
      <c r="Y178" s="32"/>
      <c r="Z178" s="32"/>
      <c r="AA178" s="34"/>
      <c r="AB178" s="35">
        <f t="shared" si="20"/>
        <v>494</v>
      </c>
      <c r="AC178" s="75">
        <f t="shared" si="21"/>
        <v>41250</v>
      </c>
      <c r="AD178" s="78">
        <f t="shared" si="22"/>
        <v>40260</v>
      </c>
      <c r="AE178" s="72">
        <f t="shared" si="23"/>
        <v>81510</v>
      </c>
      <c r="AF178" s="75">
        <f t="shared" si="24"/>
        <v>7963.864999999998</v>
      </c>
      <c r="AG178" s="78">
        <f t="shared" si="25"/>
        <v>7772.7322399999985</v>
      </c>
      <c r="AH178" s="72">
        <f t="shared" si="26"/>
        <v>15736.597239999996</v>
      </c>
      <c r="AI178" s="75">
        <f t="shared" si="27"/>
        <v>5495</v>
      </c>
      <c r="AJ178" s="78">
        <f t="shared" si="28"/>
        <v>5363.12</v>
      </c>
      <c r="AK178" s="72">
        <f t="shared" si="29"/>
        <v>10858.119999999999</v>
      </c>
    </row>
    <row r="179" spans="1:37" ht="15.95" customHeight="1">
      <c r="A179" s="25" t="s">
        <v>948</v>
      </c>
      <c r="B179" s="25" t="s">
        <v>949</v>
      </c>
      <c r="C179" s="26" t="s">
        <v>21</v>
      </c>
      <c r="D179" s="26" t="s">
        <v>375</v>
      </c>
      <c r="E179" s="26" t="s">
        <v>16</v>
      </c>
      <c r="F179" s="26" t="s">
        <v>1031</v>
      </c>
      <c r="G179" s="41" t="s">
        <v>1030</v>
      </c>
      <c r="H179" s="44" t="s">
        <v>739</v>
      </c>
      <c r="I179" s="26" t="s">
        <v>27</v>
      </c>
      <c r="J179" s="28" t="s">
        <v>43</v>
      </c>
      <c r="K179" s="123">
        <v>135</v>
      </c>
      <c r="L179" s="29">
        <v>27.24625</v>
      </c>
      <c r="M179" s="110">
        <v>18.75</v>
      </c>
      <c r="N179" s="30">
        <v>0.28199999999999997</v>
      </c>
      <c r="O179" s="116">
        <v>5.2874999999999996</v>
      </c>
      <c r="P179" s="30">
        <v>7.4999999999999997E-2</v>
      </c>
      <c r="Q179" s="116">
        <v>1.40625</v>
      </c>
      <c r="R179" s="30">
        <v>7.0000000000000007E-2</v>
      </c>
      <c r="S179" s="116">
        <v>1.3125000000000002</v>
      </c>
      <c r="T179" s="117">
        <v>0.49</v>
      </c>
      <c r="U179" s="39">
        <v>200</v>
      </c>
      <c r="V179" s="32">
        <v>166</v>
      </c>
      <c r="W179" s="33">
        <v>152</v>
      </c>
      <c r="X179" s="32"/>
      <c r="Y179" s="32"/>
      <c r="Z179" s="32"/>
      <c r="AA179" s="34"/>
      <c r="AB179" s="35">
        <f t="shared" si="20"/>
        <v>518</v>
      </c>
      <c r="AC179" s="75">
        <f t="shared" si="21"/>
        <v>27000</v>
      </c>
      <c r="AD179" s="78">
        <f t="shared" si="22"/>
        <v>42930</v>
      </c>
      <c r="AE179" s="72">
        <f t="shared" si="23"/>
        <v>69930</v>
      </c>
      <c r="AF179" s="75">
        <f t="shared" si="24"/>
        <v>5449.25</v>
      </c>
      <c r="AG179" s="78">
        <f t="shared" si="25"/>
        <v>8664.3075000000008</v>
      </c>
      <c r="AH179" s="72">
        <f t="shared" si="26"/>
        <v>14113.557500000001</v>
      </c>
      <c r="AI179" s="75">
        <f t="shared" si="27"/>
        <v>3750</v>
      </c>
      <c r="AJ179" s="78">
        <f t="shared" si="28"/>
        <v>5962.5</v>
      </c>
      <c r="AK179" s="72">
        <f t="shared" si="29"/>
        <v>9712.5</v>
      </c>
    </row>
    <row r="180" spans="1:37" ht="15.95" customHeight="1">
      <c r="A180" s="25" t="s">
        <v>948</v>
      </c>
      <c r="B180" s="25" t="s">
        <v>949</v>
      </c>
      <c r="C180" s="26" t="s">
        <v>14</v>
      </c>
      <c r="D180" s="26" t="s">
        <v>375</v>
      </c>
      <c r="E180" s="26" t="s">
        <v>16</v>
      </c>
      <c r="F180" s="26" t="s">
        <v>1029</v>
      </c>
      <c r="G180" s="41" t="s">
        <v>1030</v>
      </c>
      <c r="H180" s="44" t="s">
        <v>739</v>
      </c>
      <c r="I180" s="26" t="s">
        <v>27</v>
      </c>
      <c r="J180" s="28" t="s">
        <v>41</v>
      </c>
      <c r="K180" s="123">
        <v>165</v>
      </c>
      <c r="L180" s="29">
        <v>31.855459999999994</v>
      </c>
      <c r="M180" s="110">
        <v>21.98</v>
      </c>
      <c r="N180" s="30">
        <v>0.28199999999999997</v>
      </c>
      <c r="O180" s="116">
        <v>6.1983599999999992</v>
      </c>
      <c r="P180" s="30">
        <v>7.4999999999999997E-2</v>
      </c>
      <c r="Q180" s="116">
        <v>1.6485000000000001</v>
      </c>
      <c r="R180" s="30">
        <v>7.0000000000000007E-2</v>
      </c>
      <c r="S180" s="116">
        <v>1.5386000000000002</v>
      </c>
      <c r="T180" s="117">
        <v>0.49</v>
      </c>
      <c r="U180" s="39">
        <v>250</v>
      </c>
      <c r="V180" s="32">
        <v>550</v>
      </c>
      <c r="W180" s="33">
        <v>100</v>
      </c>
      <c r="X180" s="32"/>
      <c r="Y180" s="32"/>
      <c r="Z180" s="32"/>
      <c r="AA180" s="34"/>
      <c r="AB180" s="35">
        <f t="shared" si="20"/>
        <v>900</v>
      </c>
      <c r="AC180" s="75">
        <f t="shared" si="21"/>
        <v>41250</v>
      </c>
      <c r="AD180" s="78">
        <f t="shared" si="22"/>
        <v>107250</v>
      </c>
      <c r="AE180" s="72">
        <f t="shared" si="23"/>
        <v>148500</v>
      </c>
      <c r="AF180" s="75">
        <f t="shared" si="24"/>
        <v>7963.864999999998</v>
      </c>
      <c r="AG180" s="78">
        <f t="shared" si="25"/>
        <v>20706.048999999995</v>
      </c>
      <c r="AH180" s="72">
        <f t="shared" si="26"/>
        <v>28669.913999999993</v>
      </c>
      <c r="AI180" s="75">
        <f t="shared" si="27"/>
        <v>5495</v>
      </c>
      <c r="AJ180" s="78">
        <f t="shared" si="28"/>
        <v>14287</v>
      </c>
      <c r="AK180" s="72">
        <f t="shared" si="29"/>
        <v>19782</v>
      </c>
    </row>
    <row r="181" spans="1:37" ht="15.95" customHeight="1">
      <c r="A181" s="25" t="s">
        <v>948</v>
      </c>
      <c r="B181" s="25" t="s">
        <v>949</v>
      </c>
      <c r="C181" s="26" t="s">
        <v>21</v>
      </c>
      <c r="D181" s="26" t="s">
        <v>375</v>
      </c>
      <c r="E181" s="26" t="s">
        <v>16</v>
      </c>
      <c r="F181" s="26" t="s">
        <v>1031</v>
      </c>
      <c r="G181" s="41" t="s">
        <v>1030</v>
      </c>
      <c r="H181" s="44" t="s">
        <v>739</v>
      </c>
      <c r="I181" s="26" t="s">
        <v>27</v>
      </c>
      <c r="J181" s="28" t="s">
        <v>43</v>
      </c>
      <c r="K181" s="123">
        <v>135</v>
      </c>
      <c r="L181" s="29">
        <v>27.24625</v>
      </c>
      <c r="M181" s="110">
        <v>18.75</v>
      </c>
      <c r="N181" s="30">
        <v>0.28199999999999997</v>
      </c>
      <c r="O181" s="116">
        <v>5.2874999999999996</v>
      </c>
      <c r="P181" s="30">
        <v>7.4999999999999997E-2</v>
      </c>
      <c r="Q181" s="116">
        <v>1.40625</v>
      </c>
      <c r="R181" s="30">
        <v>7.0000000000000007E-2</v>
      </c>
      <c r="S181" s="116">
        <v>1.3125000000000002</v>
      </c>
      <c r="T181" s="117">
        <v>0.49</v>
      </c>
      <c r="U181" s="39">
        <v>200</v>
      </c>
      <c r="V181" s="32">
        <v>566</v>
      </c>
      <c r="W181" s="33">
        <v>100</v>
      </c>
      <c r="X181" s="32"/>
      <c r="Y181" s="32"/>
      <c r="Z181" s="32"/>
      <c r="AA181" s="34"/>
      <c r="AB181" s="35">
        <f t="shared" si="20"/>
        <v>866</v>
      </c>
      <c r="AC181" s="75">
        <f t="shared" si="21"/>
        <v>27000</v>
      </c>
      <c r="AD181" s="78">
        <f t="shared" si="22"/>
        <v>89910</v>
      </c>
      <c r="AE181" s="72">
        <f t="shared" si="23"/>
        <v>116910</v>
      </c>
      <c r="AF181" s="75">
        <f t="shared" si="24"/>
        <v>5449.25</v>
      </c>
      <c r="AG181" s="78">
        <f t="shared" si="25"/>
        <v>18146.002499999999</v>
      </c>
      <c r="AH181" s="72">
        <f t="shared" si="26"/>
        <v>23595.252499999999</v>
      </c>
      <c r="AI181" s="75">
        <f t="shared" si="27"/>
        <v>3750</v>
      </c>
      <c r="AJ181" s="78">
        <f t="shared" si="28"/>
        <v>12487.5</v>
      </c>
      <c r="AK181" s="72">
        <f t="shared" si="29"/>
        <v>16237.5</v>
      </c>
    </row>
    <row r="182" spans="1:37" ht="15.95" customHeight="1">
      <c r="A182" s="25" t="s">
        <v>948</v>
      </c>
      <c r="B182" s="25" t="s">
        <v>949</v>
      </c>
      <c r="C182" s="26" t="s">
        <v>76</v>
      </c>
      <c r="D182" s="26" t="s">
        <v>375</v>
      </c>
      <c r="E182" s="26" t="s">
        <v>16</v>
      </c>
      <c r="F182" s="26" t="s">
        <v>1032</v>
      </c>
      <c r="G182" s="41" t="s">
        <v>1030</v>
      </c>
      <c r="H182" s="44" t="s">
        <v>739</v>
      </c>
      <c r="I182" s="26" t="s">
        <v>27</v>
      </c>
      <c r="J182" s="28" t="s">
        <v>80</v>
      </c>
      <c r="K182" s="123">
        <v>150</v>
      </c>
      <c r="L182" s="29">
        <v>33.452500000000001</v>
      </c>
      <c r="M182" s="110">
        <v>22.5</v>
      </c>
      <c r="N182" s="30">
        <v>0.32</v>
      </c>
      <c r="O182" s="116">
        <v>7.2</v>
      </c>
      <c r="P182" s="30">
        <v>7.4999999999999997E-2</v>
      </c>
      <c r="Q182" s="116">
        <v>1.6875</v>
      </c>
      <c r="R182" s="30">
        <v>7.0000000000000007E-2</v>
      </c>
      <c r="S182" s="116">
        <v>1.5750000000000002</v>
      </c>
      <c r="T182" s="117">
        <v>0.49</v>
      </c>
      <c r="U182" s="39">
        <v>350</v>
      </c>
      <c r="V182" s="32">
        <v>122</v>
      </c>
      <c r="W182" s="33">
        <v>51</v>
      </c>
      <c r="X182" s="32"/>
      <c r="Y182" s="32"/>
      <c r="Z182" s="32"/>
      <c r="AA182" s="34"/>
      <c r="AB182" s="35">
        <f t="shared" si="20"/>
        <v>523</v>
      </c>
      <c r="AC182" s="75">
        <f t="shared" si="21"/>
        <v>52500</v>
      </c>
      <c r="AD182" s="78">
        <f t="shared" si="22"/>
        <v>25950</v>
      </c>
      <c r="AE182" s="72">
        <f t="shared" si="23"/>
        <v>78450</v>
      </c>
      <c r="AF182" s="75">
        <f t="shared" si="24"/>
        <v>11708.375</v>
      </c>
      <c r="AG182" s="78">
        <f t="shared" si="25"/>
        <v>5787.2825000000003</v>
      </c>
      <c r="AH182" s="72">
        <f t="shared" si="26"/>
        <v>17495.657500000001</v>
      </c>
      <c r="AI182" s="75">
        <f t="shared" si="27"/>
        <v>7875</v>
      </c>
      <c r="AJ182" s="78">
        <f t="shared" si="28"/>
        <v>3892.5</v>
      </c>
      <c r="AK182" s="72">
        <f t="shared" si="29"/>
        <v>11767.5</v>
      </c>
    </row>
    <row r="183" spans="1:37" ht="15.95" customHeight="1">
      <c r="A183" s="25" t="s">
        <v>948</v>
      </c>
      <c r="B183" s="25" t="s">
        <v>949</v>
      </c>
      <c r="C183" s="26" t="s">
        <v>76</v>
      </c>
      <c r="D183" s="26" t="s">
        <v>375</v>
      </c>
      <c r="E183" s="26" t="s">
        <v>16</v>
      </c>
      <c r="F183" s="26" t="s">
        <v>1032</v>
      </c>
      <c r="G183" s="41" t="s">
        <v>1030</v>
      </c>
      <c r="H183" s="44" t="s">
        <v>739</v>
      </c>
      <c r="I183" s="26" t="s">
        <v>27</v>
      </c>
      <c r="J183" s="28" t="s">
        <v>80</v>
      </c>
      <c r="K183" s="123">
        <v>150</v>
      </c>
      <c r="L183" s="29">
        <v>33.452500000000001</v>
      </c>
      <c r="M183" s="110">
        <v>22.5</v>
      </c>
      <c r="N183" s="30">
        <v>0.32</v>
      </c>
      <c r="O183" s="116">
        <v>7.2</v>
      </c>
      <c r="P183" s="30">
        <v>7.4999999999999997E-2</v>
      </c>
      <c r="Q183" s="116">
        <v>1.6875</v>
      </c>
      <c r="R183" s="30">
        <v>7.0000000000000007E-2</v>
      </c>
      <c r="S183" s="116">
        <v>1.5750000000000002</v>
      </c>
      <c r="T183" s="117">
        <v>0.49</v>
      </c>
      <c r="U183" s="39">
        <v>300</v>
      </c>
      <c r="V183" s="32">
        <v>150</v>
      </c>
      <c r="W183" s="33">
        <v>48</v>
      </c>
      <c r="X183" s="32"/>
      <c r="Y183" s="32"/>
      <c r="Z183" s="32"/>
      <c r="AA183" s="34"/>
      <c r="AB183" s="35">
        <f t="shared" si="20"/>
        <v>498</v>
      </c>
      <c r="AC183" s="75">
        <f t="shared" si="21"/>
        <v>45000</v>
      </c>
      <c r="AD183" s="78">
        <f t="shared" si="22"/>
        <v>29700</v>
      </c>
      <c r="AE183" s="72">
        <f t="shared" si="23"/>
        <v>74700</v>
      </c>
      <c r="AF183" s="75">
        <f t="shared" si="24"/>
        <v>10035.75</v>
      </c>
      <c r="AG183" s="78">
        <f t="shared" si="25"/>
        <v>6623.5950000000003</v>
      </c>
      <c r="AH183" s="72">
        <f t="shared" si="26"/>
        <v>16659.345000000001</v>
      </c>
      <c r="AI183" s="75">
        <f t="shared" si="27"/>
        <v>6750</v>
      </c>
      <c r="AJ183" s="78">
        <f t="shared" si="28"/>
        <v>4455</v>
      </c>
      <c r="AK183" s="72">
        <f t="shared" si="29"/>
        <v>11205</v>
      </c>
    </row>
    <row r="184" spans="1:37" ht="15.95" customHeight="1">
      <c r="A184" s="25" t="s">
        <v>948</v>
      </c>
      <c r="B184" s="25" t="s">
        <v>949</v>
      </c>
      <c r="C184" s="26" t="s">
        <v>44</v>
      </c>
      <c r="D184" s="26" t="s">
        <v>375</v>
      </c>
      <c r="E184" s="26" t="s">
        <v>16</v>
      </c>
      <c r="F184" s="26" t="s">
        <v>1033</v>
      </c>
      <c r="G184" s="41" t="s">
        <v>1030</v>
      </c>
      <c r="H184" s="44" t="s">
        <v>739</v>
      </c>
      <c r="I184" s="26" t="s">
        <v>27</v>
      </c>
      <c r="J184" s="28" t="s">
        <v>46</v>
      </c>
      <c r="K184" s="123">
        <v>125</v>
      </c>
      <c r="L184" s="29">
        <v>24.44275</v>
      </c>
      <c r="M184" s="110">
        <v>16.350000000000001</v>
      </c>
      <c r="N184" s="30">
        <v>0.32</v>
      </c>
      <c r="O184" s="116">
        <v>5.2320000000000002</v>
      </c>
      <c r="P184" s="30">
        <v>7.4999999999999997E-2</v>
      </c>
      <c r="Q184" s="116">
        <v>1.2262500000000001</v>
      </c>
      <c r="R184" s="30">
        <v>7.0000000000000007E-2</v>
      </c>
      <c r="S184" s="116">
        <v>1.1445000000000003</v>
      </c>
      <c r="T184" s="117">
        <v>0.49</v>
      </c>
      <c r="U184" s="39">
        <v>400</v>
      </c>
      <c r="V184" s="32">
        <v>197</v>
      </c>
      <c r="W184" s="33">
        <v>0</v>
      </c>
      <c r="X184" s="32"/>
      <c r="Y184" s="32"/>
      <c r="Z184" s="32"/>
      <c r="AA184" s="34"/>
      <c r="AB184" s="35">
        <f t="shared" si="20"/>
        <v>597</v>
      </c>
      <c r="AC184" s="75">
        <f t="shared" si="21"/>
        <v>50000</v>
      </c>
      <c r="AD184" s="78">
        <f t="shared" si="22"/>
        <v>24625</v>
      </c>
      <c r="AE184" s="72">
        <f t="shared" si="23"/>
        <v>74625</v>
      </c>
      <c r="AF184" s="75">
        <f t="shared" si="24"/>
        <v>9777.1</v>
      </c>
      <c r="AG184" s="78">
        <f t="shared" si="25"/>
        <v>4815.2217499999997</v>
      </c>
      <c r="AH184" s="72">
        <f t="shared" si="26"/>
        <v>14592.321749999999</v>
      </c>
      <c r="AI184" s="75">
        <f t="shared" si="27"/>
        <v>6540.0000000000009</v>
      </c>
      <c r="AJ184" s="78">
        <f t="shared" si="28"/>
        <v>3220.9500000000003</v>
      </c>
      <c r="AK184" s="72">
        <f t="shared" si="29"/>
        <v>9760.9500000000007</v>
      </c>
    </row>
    <row r="185" spans="1:37" ht="15.95" customHeight="1">
      <c r="A185" s="25" t="s">
        <v>948</v>
      </c>
      <c r="B185" s="25" t="s">
        <v>949</v>
      </c>
      <c r="C185" s="26" t="s">
        <v>24</v>
      </c>
      <c r="D185" s="26" t="s">
        <v>375</v>
      </c>
      <c r="E185" s="26" t="s">
        <v>16</v>
      </c>
      <c r="F185" s="26" t="s">
        <v>1034</v>
      </c>
      <c r="G185" s="41" t="s">
        <v>1030</v>
      </c>
      <c r="H185" s="44" t="s">
        <v>739</v>
      </c>
      <c r="I185" s="26" t="s">
        <v>27</v>
      </c>
      <c r="J185" s="28" t="s">
        <v>28</v>
      </c>
      <c r="K185" s="125">
        <v>88</v>
      </c>
      <c r="L185" s="29">
        <v>13.675000000000001</v>
      </c>
      <c r="M185" s="110">
        <v>9</v>
      </c>
      <c r="N185" s="30">
        <v>0.32</v>
      </c>
      <c r="O185" s="116">
        <v>2.88</v>
      </c>
      <c r="P185" s="30">
        <v>7.4999999999999997E-2</v>
      </c>
      <c r="Q185" s="116">
        <v>0.67499999999999993</v>
      </c>
      <c r="R185" s="30">
        <v>7.0000000000000007E-2</v>
      </c>
      <c r="S185" s="116">
        <v>0.63000000000000012</v>
      </c>
      <c r="T185" s="117">
        <v>0.49</v>
      </c>
      <c r="U185" s="39">
        <v>400</v>
      </c>
      <c r="V185" s="32">
        <v>325</v>
      </c>
      <c r="W185" s="33">
        <v>0</v>
      </c>
      <c r="X185" s="32"/>
      <c r="Y185" s="32"/>
      <c r="Z185" s="32"/>
      <c r="AA185" s="34"/>
      <c r="AB185" s="35">
        <f t="shared" si="20"/>
        <v>725</v>
      </c>
      <c r="AC185" s="75">
        <f t="shared" si="21"/>
        <v>35200</v>
      </c>
      <c r="AD185" s="78">
        <f t="shared" si="22"/>
        <v>28600</v>
      </c>
      <c r="AE185" s="72">
        <f t="shared" si="23"/>
        <v>63800</v>
      </c>
      <c r="AF185" s="75">
        <f t="shared" si="24"/>
        <v>5470</v>
      </c>
      <c r="AG185" s="78">
        <f t="shared" si="25"/>
        <v>4444.375</v>
      </c>
      <c r="AH185" s="72">
        <f t="shared" si="26"/>
        <v>9914.375</v>
      </c>
      <c r="AI185" s="75">
        <f t="shared" si="27"/>
        <v>3600</v>
      </c>
      <c r="AJ185" s="78">
        <f t="shared" si="28"/>
        <v>2925</v>
      </c>
      <c r="AK185" s="72">
        <f t="shared" si="29"/>
        <v>6525</v>
      </c>
    </row>
    <row r="186" spans="1:37" ht="15.95" customHeight="1">
      <c r="A186" s="25" t="s">
        <v>948</v>
      </c>
      <c r="B186" s="25" t="s">
        <v>949</v>
      </c>
      <c r="C186" s="26" t="s">
        <v>982</v>
      </c>
      <c r="D186" s="26" t="s">
        <v>375</v>
      </c>
      <c r="E186" s="26" t="s">
        <v>16</v>
      </c>
      <c r="F186" s="26" t="s">
        <v>1035</v>
      </c>
      <c r="G186" s="41" t="s">
        <v>1030</v>
      </c>
      <c r="H186" s="44" t="s">
        <v>739</v>
      </c>
      <c r="I186" s="26" t="s">
        <v>27</v>
      </c>
      <c r="J186" s="28" t="s">
        <v>35</v>
      </c>
      <c r="K186" s="125">
        <v>88</v>
      </c>
      <c r="L186" s="29">
        <v>18.327499999999997</v>
      </c>
      <c r="M186" s="110">
        <v>12.5</v>
      </c>
      <c r="N186" s="30">
        <v>0.28199999999999997</v>
      </c>
      <c r="O186" s="116">
        <v>3.5249999999999995</v>
      </c>
      <c r="P186" s="30">
        <v>7.4999999999999997E-2</v>
      </c>
      <c r="Q186" s="116">
        <v>0.9375</v>
      </c>
      <c r="R186" s="30">
        <v>7.0000000000000007E-2</v>
      </c>
      <c r="S186" s="116">
        <v>0.87500000000000011</v>
      </c>
      <c r="T186" s="117">
        <v>0.49</v>
      </c>
      <c r="U186" s="39">
        <v>400</v>
      </c>
      <c r="V186" s="32">
        <v>356</v>
      </c>
      <c r="W186" s="33">
        <v>0</v>
      </c>
      <c r="X186" s="32"/>
      <c r="Y186" s="32"/>
      <c r="Z186" s="32"/>
      <c r="AA186" s="34"/>
      <c r="AB186" s="35">
        <f t="shared" si="20"/>
        <v>756</v>
      </c>
      <c r="AC186" s="75">
        <f t="shared" si="21"/>
        <v>35200</v>
      </c>
      <c r="AD186" s="78">
        <f t="shared" si="22"/>
        <v>31328</v>
      </c>
      <c r="AE186" s="72">
        <f t="shared" si="23"/>
        <v>66528</v>
      </c>
      <c r="AF186" s="75">
        <f t="shared" si="24"/>
        <v>7330.9999999999991</v>
      </c>
      <c r="AG186" s="78">
        <f t="shared" si="25"/>
        <v>6524.5899999999992</v>
      </c>
      <c r="AH186" s="72">
        <f t="shared" si="26"/>
        <v>13855.589999999998</v>
      </c>
      <c r="AI186" s="75">
        <f t="shared" si="27"/>
        <v>5000</v>
      </c>
      <c r="AJ186" s="78">
        <f t="shared" si="28"/>
        <v>4450</v>
      </c>
      <c r="AK186" s="72">
        <f t="shared" si="29"/>
        <v>9450</v>
      </c>
    </row>
    <row r="187" spans="1:37" ht="15.95" customHeight="1">
      <c r="A187" s="25" t="s">
        <v>948</v>
      </c>
      <c r="B187" s="25" t="s">
        <v>949</v>
      </c>
      <c r="C187" s="26" t="s">
        <v>14</v>
      </c>
      <c r="D187" s="26" t="s">
        <v>375</v>
      </c>
      <c r="E187" s="26" t="s">
        <v>16</v>
      </c>
      <c r="F187" s="26" t="s">
        <v>1036</v>
      </c>
      <c r="G187" s="41" t="s">
        <v>1030</v>
      </c>
      <c r="H187" s="44" t="s">
        <v>739</v>
      </c>
      <c r="I187" s="26" t="s">
        <v>27</v>
      </c>
      <c r="J187" s="28" t="s">
        <v>41</v>
      </c>
      <c r="K187" s="125">
        <v>175</v>
      </c>
      <c r="L187" s="29">
        <v>33.239649999999997</v>
      </c>
      <c r="M187" s="110">
        <v>22.95</v>
      </c>
      <c r="N187" s="30">
        <v>0.28199999999999997</v>
      </c>
      <c r="O187" s="116">
        <v>6.4718999999999989</v>
      </c>
      <c r="P187" s="30">
        <v>7.4999999999999997E-2</v>
      </c>
      <c r="Q187" s="116">
        <v>1.7212499999999999</v>
      </c>
      <c r="R187" s="30">
        <v>7.0000000000000007E-2</v>
      </c>
      <c r="S187" s="116">
        <v>1.6065</v>
      </c>
      <c r="T187" s="117">
        <v>0.49</v>
      </c>
      <c r="U187" s="39">
        <v>209</v>
      </c>
      <c r="V187" s="32">
        <v>150</v>
      </c>
      <c r="W187" s="33">
        <v>200</v>
      </c>
      <c r="X187" s="32"/>
      <c r="Y187" s="32"/>
      <c r="Z187" s="32"/>
      <c r="AA187" s="34"/>
      <c r="AB187" s="35">
        <f t="shared" si="20"/>
        <v>559</v>
      </c>
      <c r="AC187" s="75">
        <f t="shared" si="21"/>
        <v>36575</v>
      </c>
      <c r="AD187" s="78">
        <f t="shared" si="22"/>
        <v>61250</v>
      </c>
      <c r="AE187" s="72">
        <f t="shared" si="23"/>
        <v>97825</v>
      </c>
      <c r="AF187" s="75">
        <f t="shared" si="24"/>
        <v>6947.0868499999997</v>
      </c>
      <c r="AG187" s="78">
        <f t="shared" si="25"/>
        <v>11633.877499999999</v>
      </c>
      <c r="AH187" s="72">
        <f t="shared" si="26"/>
        <v>18580.964349999998</v>
      </c>
      <c r="AI187" s="75">
        <f t="shared" si="27"/>
        <v>4796.55</v>
      </c>
      <c r="AJ187" s="78">
        <f t="shared" si="28"/>
        <v>8032.5</v>
      </c>
      <c r="AK187" s="72">
        <f t="shared" si="29"/>
        <v>12829.05</v>
      </c>
    </row>
    <row r="188" spans="1:37" ht="15.95" customHeight="1">
      <c r="A188" s="25" t="s">
        <v>948</v>
      </c>
      <c r="B188" s="25" t="s">
        <v>949</v>
      </c>
      <c r="C188" s="26" t="s">
        <v>21</v>
      </c>
      <c r="D188" s="26" t="s">
        <v>375</v>
      </c>
      <c r="E188" s="26" t="s">
        <v>16</v>
      </c>
      <c r="F188" s="26" t="s">
        <v>1037</v>
      </c>
      <c r="G188" s="41" t="s">
        <v>1030</v>
      </c>
      <c r="H188" s="44" t="s">
        <v>739</v>
      </c>
      <c r="I188" s="26" t="s">
        <v>27</v>
      </c>
      <c r="J188" s="28" t="s">
        <v>43</v>
      </c>
      <c r="K188" s="123">
        <v>150</v>
      </c>
      <c r="L188" s="29">
        <v>27.602999999999998</v>
      </c>
      <c r="M188" s="110">
        <v>19</v>
      </c>
      <c r="N188" s="30">
        <v>0.28199999999999997</v>
      </c>
      <c r="O188" s="116">
        <v>5.3579999999999997</v>
      </c>
      <c r="P188" s="30">
        <v>7.4999999999999997E-2</v>
      </c>
      <c r="Q188" s="116">
        <v>1.425</v>
      </c>
      <c r="R188" s="30">
        <v>7.0000000000000007E-2</v>
      </c>
      <c r="S188" s="116">
        <v>1.33</v>
      </c>
      <c r="T188" s="117">
        <v>0.49</v>
      </c>
      <c r="U188" s="39">
        <v>150</v>
      </c>
      <c r="V188" s="32">
        <v>150</v>
      </c>
      <c r="W188" s="33">
        <v>200</v>
      </c>
      <c r="X188" s="32"/>
      <c r="Y188" s="32"/>
      <c r="Z188" s="32"/>
      <c r="AA188" s="34"/>
      <c r="AB188" s="35">
        <f t="shared" si="20"/>
        <v>500</v>
      </c>
      <c r="AC188" s="75">
        <f t="shared" si="21"/>
        <v>22500</v>
      </c>
      <c r="AD188" s="78">
        <f t="shared" si="22"/>
        <v>52500</v>
      </c>
      <c r="AE188" s="72">
        <f t="shared" si="23"/>
        <v>75000</v>
      </c>
      <c r="AF188" s="75">
        <f t="shared" si="24"/>
        <v>4140.45</v>
      </c>
      <c r="AG188" s="78">
        <f t="shared" si="25"/>
        <v>9661.0499999999993</v>
      </c>
      <c r="AH188" s="72">
        <f t="shared" si="26"/>
        <v>13801.5</v>
      </c>
      <c r="AI188" s="75">
        <f t="shared" si="27"/>
        <v>2850</v>
      </c>
      <c r="AJ188" s="78">
        <f t="shared" si="28"/>
        <v>6650</v>
      </c>
      <c r="AK188" s="72">
        <f t="shared" si="29"/>
        <v>9500</v>
      </c>
    </row>
    <row r="189" spans="1:37" ht="15.95" customHeight="1">
      <c r="A189" s="25" t="s">
        <v>948</v>
      </c>
      <c r="B189" s="25" t="s">
        <v>949</v>
      </c>
      <c r="C189" s="26" t="s">
        <v>44</v>
      </c>
      <c r="D189" s="26" t="s">
        <v>375</v>
      </c>
      <c r="E189" s="26" t="s">
        <v>16</v>
      </c>
      <c r="F189" s="26" t="s">
        <v>1033</v>
      </c>
      <c r="G189" s="41" t="s">
        <v>1030</v>
      </c>
      <c r="H189" s="44" t="s">
        <v>739</v>
      </c>
      <c r="I189" s="26" t="s">
        <v>27</v>
      </c>
      <c r="J189" s="28" t="s">
        <v>46</v>
      </c>
      <c r="K189" s="123">
        <v>125</v>
      </c>
      <c r="L189" s="29">
        <v>24.44275</v>
      </c>
      <c r="M189" s="110">
        <v>16.350000000000001</v>
      </c>
      <c r="N189" s="30">
        <v>0.32</v>
      </c>
      <c r="O189" s="116">
        <v>5.2320000000000002</v>
      </c>
      <c r="P189" s="30">
        <v>7.4999999999999997E-2</v>
      </c>
      <c r="Q189" s="116">
        <v>1.2262500000000001</v>
      </c>
      <c r="R189" s="30">
        <v>7.0000000000000007E-2</v>
      </c>
      <c r="S189" s="116">
        <v>1.1445000000000003</v>
      </c>
      <c r="T189" s="117">
        <v>0.49</v>
      </c>
      <c r="U189" s="39">
        <v>400</v>
      </c>
      <c r="V189" s="32">
        <v>241</v>
      </c>
      <c r="W189" s="33">
        <v>0</v>
      </c>
      <c r="X189" s="32"/>
      <c r="Y189" s="32"/>
      <c r="Z189" s="32"/>
      <c r="AA189" s="34"/>
      <c r="AB189" s="35">
        <f t="shared" si="20"/>
        <v>641</v>
      </c>
      <c r="AC189" s="75">
        <f t="shared" si="21"/>
        <v>50000</v>
      </c>
      <c r="AD189" s="78">
        <f t="shared" si="22"/>
        <v>30125</v>
      </c>
      <c r="AE189" s="72">
        <f t="shared" si="23"/>
        <v>80125</v>
      </c>
      <c r="AF189" s="75">
        <f t="shared" si="24"/>
        <v>9777.1</v>
      </c>
      <c r="AG189" s="78">
        <f t="shared" si="25"/>
        <v>5890.7027500000004</v>
      </c>
      <c r="AH189" s="72">
        <f t="shared" si="26"/>
        <v>15667.802750000001</v>
      </c>
      <c r="AI189" s="75">
        <f t="shared" si="27"/>
        <v>6540.0000000000009</v>
      </c>
      <c r="AJ189" s="78">
        <f t="shared" si="28"/>
        <v>3940.3500000000004</v>
      </c>
      <c r="AK189" s="72">
        <f t="shared" si="29"/>
        <v>10480.350000000002</v>
      </c>
    </row>
    <row r="190" spans="1:37" ht="15.95" customHeight="1">
      <c r="A190" s="25" t="s">
        <v>948</v>
      </c>
      <c r="B190" s="25" t="s">
        <v>949</v>
      </c>
      <c r="C190" s="26" t="s">
        <v>24</v>
      </c>
      <c r="D190" s="26" t="s">
        <v>375</v>
      </c>
      <c r="E190" s="26" t="s">
        <v>16</v>
      </c>
      <c r="F190" s="26" t="s">
        <v>1034</v>
      </c>
      <c r="G190" s="41" t="s">
        <v>1030</v>
      </c>
      <c r="H190" s="44" t="s">
        <v>739</v>
      </c>
      <c r="I190" s="26" t="s">
        <v>27</v>
      </c>
      <c r="J190" s="28" t="s">
        <v>28</v>
      </c>
      <c r="K190" s="123">
        <v>88</v>
      </c>
      <c r="L190" s="29">
        <v>13.675000000000001</v>
      </c>
      <c r="M190" s="110">
        <v>9</v>
      </c>
      <c r="N190" s="30">
        <v>0.32</v>
      </c>
      <c r="O190" s="116">
        <v>2.88</v>
      </c>
      <c r="P190" s="30">
        <v>7.4999999999999997E-2</v>
      </c>
      <c r="Q190" s="116">
        <v>0.67499999999999993</v>
      </c>
      <c r="R190" s="30">
        <v>7.0000000000000007E-2</v>
      </c>
      <c r="S190" s="116">
        <v>0.63000000000000012</v>
      </c>
      <c r="T190" s="117">
        <v>0.49</v>
      </c>
      <c r="U190" s="39">
        <v>400</v>
      </c>
      <c r="V190" s="32">
        <v>349</v>
      </c>
      <c r="W190" s="33">
        <v>0</v>
      </c>
      <c r="X190" s="32"/>
      <c r="Y190" s="32"/>
      <c r="Z190" s="32"/>
      <c r="AA190" s="34"/>
      <c r="AB190" s="35">
        <f t="shared" si="20"/>
        <v>749</v>
      </c>
      <c r="AC190" s="75">
        <f t="shared" si="21"/>
        <v>35200</v>
      </c>
      <c r="AD190" s="78">
        <f t="shared" si="22"/>
        <v>30712</v>
      </c>
      <c r="AE190" s="72">
        <f t="shared" si="23"/>
        <v>65912</v>
      </c>
      <c r="AF190" s="75">
        <f t="shared" si="24"/>
        <v>5470</v>
      </c>
      <c r="AG190" s="78">
        <f t="shared" si="25"/>
        <v>4772.5749999999998</v>
      </c>
      <c r="AH190" s="72">
        <f t="shared" si="26"/>
        <v>10242.575000000001</v>
      </c>
      <c r="AI190" s="75">
        <f t="shared" si="27"/>
        <v>3600</v>
      </c>
      <c r="AJ190" s="78">
        <f t="shared" si="28"/>
        <v>3141</v>
      </c>
      <c r="AK190" s="72">
        <f t="shared" si="29"/>
        <v>6741</v>
      </c>
    </row>
    <row r="191" spans="1:37" ht="15.95" customHeight="1">
      <c r="A191" s="25" t="s">
        <v>948</v>
      </c>
      <c r="B191" s="25" t="s">
        <v>949</v>
      </c>
      <c r="C191" s="26" t="s">
        <v>29</v>
      </c>
      <c r="D191" s="26" t="s">
        <v>375</v>
      </c>
      <c r="E191" s="26" t="s">
        <v>16</v>
      </c>
      <c r="F191" s="26" t="s">
        <v>1035</v>
      </c>
      <c r="G191" s="41" t="s">
        <v>1030</v>
      </c>
      <c r="H191" s="44" t="s">
        <v>739</v>
      </c>
      <c r="I191" s="26" t="s">
        <v>27</v>
      </c>
      <c r="J191" s="28" t="s">
        <v>35</v>
      </c>
      <c r="K191" s="123">
        <v>88</v>
      </c>
      <c r="L191" s="29">
        <v>18.327499999999997</v>
      </c>
      <c r="M191" s="110">
        <v>12.5</v>
      </c>
      <c r="N191" s="30">
        <v>0.28199999999999997</v>
      </c>
      <c r="O191" s="116">
        <v>3.5249999999999995</v>
      </c>
      <c r="P191" s="30">
        <v>7.4999999999999997E-2</v>
      </c>
      <c r="Q191" s="116">
        <v>0.9375</v>
      </c>
      <c r="R191" s="30">
        <v>7.0000000000000007E-2</v>
      </c>
      <c r="S191" s="116">
        <v>0.87500000000000011</v>
      </c>
      <c r="T191" s="117">
        <v>0.49</v>
      </c>
      <c r="U191" s="39">
        <v>400</v>
      </c>
      <c r="V191" s="32">
        <v>466</v>
      </c>
      <c r="W191" s="33">
        <v>0</v>
      </c>
      <c r="X191" s="32"/>
      <c r="Y191" s="32"/>
      <c r="Z191" s="32"/>
      <c r="AA191" s="34"/>
      <c r="AB191" s="35">
        <f t="shared" si="20"/>
        <v>866</v>
      </c>
      <c r="AC191" s="75">
        <f t="shared" si="21"/>
        <v>35200</v>
      </c>
      <c r="AD191" s="78">
        <f t="shared" si="22"/>
        <v>41008</v>
      </c>
      <c r="AE191" s="72">
        <f t="shared" si="23"/>
        <v>76208</v>
      </c>
      <c r="AF191" s="75">
        <f t="shared" si="24"/>
        <v>7330.9999999999991</v>
      </c>
      <c r="AG191" s="78">
        <f t="shared" si="25"/>
        <v>8540.614999999998</v>
      </c>
      <c r="AH191" s="72">
        <f t="shared" si="26"/>
        <v>15871.614999999998</v>
      </c>
      <c r="AI191" s="75">
        <f t="shared" si="27"/>
        <v>5000</v>
      </c>
      <c r="AJ191" s="78">
        <f t="shared" si="28"/>
        <v>5825</v>
      </c>
      <c r="AK191" s="72">
        <f t="shared" si="29"/>
        <v>10825</v>
      </c>
    </row>
    <row r="192" spans="1:37" ht="15.95" customHeight="1">
      <c r="A192" s="25" t="s">
        <v>948</v>
      </c>
      <c r="B192" s="25" t="s">
        <v>949</v>
      </c>
      <c r="C192" s="26" t="s">
        <v>14</v>
      </c>
      <c r="D192" s="26" t="s">
        <v>375</v>
      </c>
      <c r="E192" s="26" t="s">
        <v>16</v>
      </c>
      <c r="F192" s="26" t="s">
        <v>1036</v>
      </c>
      <c r="G192" s="41" t="s">
        <v>1030</v>
      </c>
      <c r="H192" s="44" t="s">
        <v>739</v>
      </c>
      <c r="I192" s="26" t="s">
        <v>27</v>
      </c>
      <c r="J192" s="28" t="s">
        <v>41</v>
      </c>
      <c r="K192" s="123">
        <v>175</v>
      </c>
      <c r="L192" s="29">
        <v>33.239649999999997</v>
      </c>
      <c r="M192" s="110">
        <v>22.95</v>
      </c>
      <c r="N192" s="30">
        <v>0.28199999999999997</v>
      </c>
      <c r="O192" s="116">
        <v>6.4718999999999989</v>
      </c>
      <c r="P192" s="30">
        <v>7.4999999999999997E-2</v>
      </c>
      <c r="Q192" s="116">
        <v>1.7212499999999999</v>
      </c>
      <c r="R192" s="30">
        <v>7.0000000000000007E-2</v>
      </c>
      <c r="S192" s="116">
        <v>1.6065</v>
      </c>
      <c r="T192" s="117">
        <v>0.49</v>
      </c>
      <c r="U192" s="39">
        <v>211</v>
      </c>
      <c r="V192" s="32">
        <v>269</v>
      </c>
      <c r="W192" s="33">
        <v>200</v>
      </c>
      <c r="X192" s="32"/>
      <c r="Y192" s="32"/>
      <c r="Z192" s="32"/>
      <c r="AA192" s="34"/>
      <c r="AB192" s="35">
        <f t="shared" si="20"/>
        <v>680</v>
      </c>
      <c r="AC192" s="75">
        <f t="shared" si="21"/>
        <v>36925</v>
      </c>
      <c r="AD192" s="78">
        <f t="shared" si="22"/>
        <v>82075</v>
      </c>
      <c r="AE192" s="72">
        <f t="shared" si="23"/>
        <v>119000</v>
      </c>
      <c r="AF192" s="75">
        <f t="shared" si="24"/>
        <v>7013.5661499999997</v>
      </c>
      <c r="AG192" s="78">
        <f t="shared" si="25"/>
        <v>15589.395849999999</v>
      </c>
      <c r="AH192" s="72">
        <f t="shared" si="26"/>
        <v>22602.962</v>
      </c>
      <c r="AI192" s="75">
        <f t="shared" si="27"/>
        <v>4842.45</v>
      </c>
      <c r="AJ192" s="78">
        <f t="shared" si="28"/>
        <v>10763.55</v>
      </c>
      <c r="AK192" s="72">
        <f t="shared" si="29"/>
        <v>15606</v>
      </c>
    </row>
    <row r="193" spans="1:37" ht="15.95" customHeight="1">
      <c r="A193" s="25" t="s">
        <v>948</v>
      </c>
      <c r="B193" s="25" t="s">
        <v>949</v>
      </c>
      <c r="C193" s="26" t="s">
        <v>21</v>
      </c>
      <c r="D193" s="26" t="s">
        <v>375</v>
      </c>
      <c r="E193" s="26" t="s">
        <v>16</v>
      </c>
      <c r="F193" s="26" t="s">
        <v>1037</v>
      </c>
      <c r="G193" s="41" t="s">
        <v>1030</v>
      </c>
      <c r="H193" s="44" t="s">
        <v>739</v>
      </c>
      <c r="I193" s="26" t="s">
        <v>27</v>
      </c>
      <c r="J193" s="28" t="s">
        <v>43</v>
      </c>
      <c r="K193" s="123">
        <v>150</v>
      </c>
      <c r="L193" s="29">
        <v>27.602999999999998</v>
      </c>
      <c r="M193" s="110">
        <v>19</v>
      </c>
      <c r="N193" s="30">
        <v>0.28199999999999997</v>
      </c>
      <c r="O193" s="116">
        <v>5.3579999999999997</v>
      </c>
      <c r="P193" s="30">
        <v>7.4999999999999997E-2</v>
      </c>
      <c r="Q193" s="116">
        <v>1.425</v>
      </c>
      <c r="R193" s="30">
        <v>7.0000000000000007E-2</v>
      </c>
      <c r="S193" s="116">
        <v>1.33</v>
      </c>
      <c r="T193" s="117">
        <v>0.49</v>
      </c>
      <c r="U193" s="39">
        <v>157</v>
      </c>
      <c r="V193" s="32">
        <v>269</v>
      </c>
      <c r="W193" s="33">
        <v>200</v>
      </c>
      <c r="X193" s="32"/>
      <c r="Y193" s="32"/>
      <c r="Z193" s="32"/>
      <c r="AA193" s="34"/>
      <c r="AB193" s="35">
        <f t="shared" si="20"/>
        <v>626</v>
      </c>
      <c r="AC193" s="75">
        <f t="shared" si="21"/>
        <v>23550</v>
      </c>
      <c r="AD193" s="78">
        <f t="shared" si="22"/>
        <v>70350</v>
      </c>
      <c r="AE193" s="72">
        <f t="shared" si="23"/>
        <v>93900</v>
      </c>
      <c r="AF193" s="75">
        <f t="shared" si="24"/>
        <v>4333.6709999999994</v>
      </c>
      <c r="AG193" s="78">
        <f t="shared" si="25"/>
        <v>12945.806999999999</v>
      </c>
      <c r="AH193" s="72">
        <f t="shared" si="26"/>
        <v>17279.477999999999</v>
      </c>
      <c r="AI193" s="75">
        <f t="shared" si="27"/>
        <v>2983</v>
      </c>
      <c r="AJ193" s="78">
        <f t="shared" si="28"/>
        <v>8911</v>
      </c>
      <c r="AK193" s="72">
        <f t="shared" si="29"/>
        <v>11894</v>
      </c>
    </row>
    <row r="194" spans="1:37" ht="15.95" customHeight="1">
      <c r="A194" s="25" t="s">
        <v>948</v>
      </c>
      <c r="B194" s="25" t="s">
        <v>949</v>
      </c>
      <c r="C194" s="26" t="s">
        <v>24</v>
      </c>
      <c r="D194" s="26" t="s">
        <v>375</v>
      </c>
      <c r="E194" s="26" t="s">
        <v>16</v>
      </c>
      <c r="F194" s="26" t="s">
        <v>1034</v>
      </c>
      <c r="G194" s="41" t="s">
        <v>1030</v>
      </c>
      <c r="H194" s="44" t="s">
        <v>739</v>
      </c>
      <c r="I194" s="26" t="s">
        <v>27</v>
      </c>
      <c r="J194" s="28" t="s">
        <v>28</v>
      </c>
      <c r="K194" s="123">
        <v>88</v>
      </c>
      <c r="L194" s="29">
        <v>13.675000000000001</v>
      </c>
      <c r="M194" s="110">
        <v>9</v>
      </c>
      <c r="N194" s="30">
        <v>0.32</v>
      </c>
      <c r="O194" s="116">
        <v>2.88</v>
      </c>
      <c r="P194" s="30">
        <v>7.4999999999999997E-2</v>
      </c>
      <c r="Q194" s="116">
        <v>0.67499999999999993</v>
      </c>
      <c r="R194" s="30">
        <v>7.0000000000000007E-2</v>
      </c>
      <c r="S194" s="116">
        <v>0.63000000000000012</v>
      </c>
      <c r="T194" s="117">
        <v>0.49</v>
      </c>
      <c r="U194" s="39">
        <v>350</v>
      </c>
      <c r="V194" s="32">
        <v>258</v>
      </c>
      <c r="W194" s="33">
        <v>0</v>
      </c>
      <c r="X194" s="32"/>
      <c r="Y194" s="32"/>
      <c r="Z194" s="32"/>
      <c r="AA194" s="34"/>
      <c r="AB194" s="35">
        <f t="shared" si="20"/>
        <v>608</v>
      </c>
      <c r="AC194" s="75">
        <f t="shared" si="21"/>
        <v>30800</v>
      </c>
      <c r="AD194" s="78">
        <f t="shared" si="22"/>
        <v>22704</v>
      </c>
      <c r="AE194" s="72">
        <f t="shared" si="23"/>
        <v>53504</v>
      </c>
      <c r="AF194" s="75">
        <f t="shared" si="24"/>
        <v>4786.25</v>
      </c>
      <c r="AG194" s="78">
        <f t="shared" si="25"/>
        <v>3528.15</v>
      </c>
      <c r="AH194" s="72">
        <f t="shared" si="26"/>
        <v>8314.4</v>
      </c>
      <c r="AI194" s="75">
        <f t="shared" si="27"/>
        <v>3150</v>
      </c>
      <c r="AJ194" s="78">
        <f t="shared" si="28"/>
        <v>2322</v>
      </c>
      <c r="AK194" s="72">
        <f t="shared" si="29"/>
        <v>5472</v>
      </c>
    </row>
    <row r="195" spans="1:37" ht="15.95" customHeight="1">
      <c r="A195" s="25" t="s">
        <v>948</v>
      </c>
      <c r="B195" s="25" t="s">
        <v>949</v>
      </c>
      <c r="C195" s="26" t="s">
        <v>982</v>
      </c>
      <c r="D195" s="26" t="s">
        <v>375</v>
      </c>
      <c r="E195" s="26" t="s">
        <v>16</v>
      </c>
      <c r="F195" s="26" t="s">
        <v>1035</v>
      </c>
      <c r="G195" s="41" t="s">
        <v>1030</v>
      </c>
      <c r="H195" s="44" t="s">
        <v>739</v>
      </c>
      <c r="I195" s="26" t="s">
        <v>27</v>
      </c>
      <c r="J195" s="28" t="s">
        <v>35</v>
      </c>
      <c r="K195" s="123">
        <v>88</v>
      </c>
      <c r="L195" s="29">
        <v>18.327499999999997</v>
      </c>
      <c r="M195" s="110">
        <v>12.5</v>
      </c>
      <c r="N195" s="30">
        <v>0.28199999999999997</v>
      </c>
      <c r="O195" s="116">
        <v>3.5249999999999995</v>
      </c>
      <c r="P195" s="30">
        <v>7.4999999999999997E-2</v>
      </c>
      <c r="Q195" s="116">
        <v>0.9375</v>
      </c>
      <c r="R195" s="30">
        <v>7.0000000000000007E-2</v>
      </c>
      <c r="S195" s="116">
        <v>0.87500000000000011</v>
      </c>
      <c r="T195" s="117">
        <v>0.49</v>
      </c>
      <c r="U195" s="39">
        <v>350</v>
      </c>
      <c r="V195" s="32">
        <v>306</v>
      </c>
      <c r="W195" s="33">
        <v>0</v>
      </c>
      <c r="X195" s="32"/>
      <c r="Y195" s="32"/>
      <c r="Z195" s="32"/>
      <c r="AA195" s="34"/>
      <c r="AB195" s="35">
        <f t="shared" si="20"/>
        <v>656</v>
      </c>
      <c r="AC195" s="75">
        <f t="shared" si="21"/>
        <v>30800</v>
      </c>
      <c r="AD195" s="78">
        <f t="shared" si="22"/>
        <v>26928</v>
      </c>
      <c r="AE195" s="72">
        <f t="shared" si="23"/>
        <v>57728</v>
      </c>
      <c r="AF195" s="75">
        <f t="shared" si="24"/>
        <v>6414.6249999999991</v>
      </c>
      <c r="AG195" s="78">
        <f t="shared" si="25"/>
        <v>5608.2149999999992</v>
      </c>
      <c r="AH195" s="72">
        <f t="shared" si="26"/>
        <v>12022.839999999998</v>
      </c>
      <c r="AI195" s="75">
        <f t="shared" si="27"/>
        <v>4375</v>
      </c>
      <c r="AJ195" s="78">
        <f t="shared" si="28"/>
        <v>3825</v>
      </c>
      <c r="AK195" s="72">
        <f t="shared" si="29"/>
        <v>8200</v>
      </c>
    </row>
    <row r="196" spans="1:37" ht="15.95" customHeight="1">
      <c r="A196" s="25" t="s">
        <v>948</v>
      </c>
      <c r="B196" s="25" t="s">
        <v>949</v>
      </c>
      <c r="C196" s="26" t="s">
        <v>14</v>
      </c>
      <c r="D196" s="26" t="s">
        <v>375</v>
      </c>
      <c r="E196" s="26" t="s">
        <v>16</v>
      </c>
      <c r="F196" s="26" t="s">
        <v>1038</v>
      </c>
      <c r="G196" s="41" t="s">
        <v>1030</v>
      </c>
      <c r="H196" s="44" t="s">
        <v>739</v>
      </c>
      <c r="I196" s="26" t="s">
        <v>27</v>
      </c>
      <c r="J196" s="28" t="s">
        <v>41</v>
      </c>
      <c r="K196" s="123">
        <v>175</v>
      </c>
      <c r="L196" s="29">
        <v>30.956449999999997</v>
      </c>
      <c r="M196" s="110">
        <v>21.35</v>
      </c>
      <c r="N196" s="30">
        <v>0.28199999999999997</v>
      </c>
      <c r="O196" s="116">
        <v>6.0206999999999997</v>
      </c>
      <c r="P196" s="30">
        <v>7.4999999999999997E-2</v>
      </c>
      <c r="Q196" s="116">
        <v>1.6012500000000001</v>
      </c>
      <c r="R196" s="30">
        <v>7.0000000000000007E-2</v>
      </c>
      <c r="S196" s="116">
        <v>1.4945000000000002</v>
      </c>
      <c r="T196" s="117">
        <v>0.49</v>
      </c>
      <c r="U196" s="39">
        <v>250</v>
      </c>
      <c r="V196" s="32">
        <v>546</v>
      </c>
      <c r="W196" s="33">
        <v>100</v>
      </c>
      <c r="X196" s="32"/>
      <c r="Y196" s="32"/>
      <c r="Z196" s="32"/>
      <c r="AA196" s="34"/>
      <c r="AB196" s="35">
        <f t="shared" si="20"/>
        <v>896</v>
      </c>
      <c r="AC196" s="75">
        <f t="shared" si="21"/>
        <v>43750</v>
      </c>
      <c r="AD196" s="78">
        <f t="shared" si="22"/>
        <v>113050</v>
      </c>
      <c r="AE196" s="72">
        <f t="shared" si="23"/>
        <v>156800</v>
      </c>
      <c r="AF196" s="75">
        <f t="shared" si="24"/>
        <v>7739.1124999999993</v>
      </c>
      <c r="AG196" s="78">
        <f t="shared" si="25"/>
        <v>19997.866699999999</v>
      </c>
      <c r="AH196" s="72">
        <f t="shared" si="26"/>
        <v>27736.979199999998</v>
      </c>
      <c r="AI196" s="75">
        <f t="shared" si="27"/>
        <v>5337.5</v>
      </c>
      <c r="AJ196" s="78">
        <f t="shared" si="28"/>
        <v>13792.1</v>
      </c>
      <c r="AK196" s="72">
        <f t="shared" si="29"/>
        <v>19129.599999999999</v>
      </c>
    </row>
    <row r="197" spans="1:37" ht="15.95" customHeight="1">
      <c r="A197" s="25" t="s">
        <v>948</v>
      </c>
      <c r="B197" s="25" t="s">
        <v>949</v>
      </c>
      <c r="C197" s="26" t="s">
        <v>21</v>
      </c>
      <c r="D197" s="26" t="s">
        <v>375</v>
      </c>
      <c r="E197" s="26" t="s">
        <v>16</v>
      </c>
      <c r="F197" s="26" t="s">
        <v>1039</v>
      </c>
      <c r="G197" s="41" t="s">
        <v>1030</v>
      </c>
      <c r="H197" s="44" t="s">
        <v>739</v>
      </c>
      <c r="I197" s="26" t="s">
        <v>27</v>
      </c>
      <c r="J197" s="28" t="s">
        <v>43</v>
      </c>
      <c r="K197" s="123">
        <v>135</v>
      </c>
      <c r="L197" s="29">
        <v>24.035499999999999</v>
      </c>
      <c r="M197" s="110">
        <v>16.5</v>
      </c>
      <c r="N197" s="30">
        <v>0.28199999999999997</v>
      </c>
      <c r="O197" s="116">
        <v>4.6529999999999996</v>
      </c>
      <c r="P197" s="30">
        <v>7.4999999999999997E-2</v>
      </c>
      <c r="Q197" s="116">
        <v>1.2375</v>
      </c>
      <c r="R197" s="30">
        <v>7.0000000000000007E-2</v>
      </c>
      <c r="S197" s="116">
        <v>1.155</v>
      </c>
      <c r="T197" s="117">
        <v>0.49</v>
      </c>
      <c r="U197" s="39">
        <v>200</v>
      </c>
      <c r="V197" s="32">
        <v>540</v>
      </c>
      <c r="W197" s="33">
        <v>100</v>
      </c>
      <c r="X197" s="32"/>
      <c r="Y197" s="32"/>
      <c r="Z197" s="32"/>
      <c r="AA197" s="34"/>
      <c r="AB197" s="35">
        <f t="shared" ref="AB197:AB260" si="30">SUM(U197:AA197)</f>
        <v>840</v>
      </c>
      <c r="AC197" s="75">
        <f t="shared" ref="AC197:AC260" si="31">$K197*U197</f>
        <v>27000</v>
      </c>
      <c r="AD197" s="78">
        <f t="shared" ref="AD197:AD260" si="32">$K197*SUM(V197:AA197)</f>
        <v>86400</v>
      </c>
      <c r="AE197" s="72">
        <f t="shared" ref="AE197:AE260" si="33">SUM(AC197:AD197)</f>
        <v>113400</v>
      </c>
      <c r="AF197" s="75">
        <f t="shared" ref="AF197:AF260" si="34">$L197*U197</f>
        <v>4807.0999999999995</v>
      </c>
      <c r="AG197" s="78">
        <f t="shared" ref="AG197:AG260" si="35">$L197*SUM(V197:W197)+M197*SUM(X197:AA197)</f>
        <v>15382.72</v>
      </c>
      <c r="AH197" s="72">
        <f t="shared" ref="AH197:AH260" si="36">SUM(AF197:AG197)</f>
        <v>20189.82</v>
      </c>
      <c r="AI197" s="75">
        <f t="shared" ref="AI197:AI260" si="37">$M197*U197</f>
        <v>3300</v>
      </c>
      <c r="AJ197" s="78">
        <f t="shared" ref="AJ197:AJ260" si="38">$M197*SUM(V197:AA197)</f>
        <v>10560</v>
      </c>
      <c r="AK197" s="72">
        <f t="shared" ref="AK197:AK260" si="39">SUM(AI197:AJ197)</f>
        <v>13860</v>
      </c>
    </row>
    <row r="198" spans="1:37" ht="15.95" customHeight="1">
      <c r="A198" s="25" t="s">
        <v>948</v>
      </c>
      <c r="B198" s="25" t="s">
        <v>949</v>
      </c>
      <c r="C198" s="26" t="s">
        <v>44</v>
      </c>
      <c r="D198" s="26" t="s">
        <v>375</v>
      </c>
      <c r="E198" s="26" t="s">
        <v>16</v>
      </c>
      <c r="F198" s="26" t="s">
        <v>1040</v>
      </c>
      <c r="G198" s="41" t="s">
        <v>1030</v>
      </c>
      <c r="H198" s="44" t="s">
        <v>1041</v>
      </c>
      <c r="I198" s="26" t="s">
        <v>27</v>
      </c>
      <c r="J198" s="28" t="s">
        <v>46</v>
      </c>
      <c r="K198" s="123">
        <v>110</v>
      </c>
      <c r="L198" s="29">
        <v>22.391749999999998</v>
      </c>
      <c r="M198" s="110">
        <v>14.95</v>
      </c>
      <c r="N198" s="30">
        <v>0.32</v>
      </c>
      <c r="O198" s="116">
        <v>4.7839999999999998</v>
      </c>
      <c r="P198" s="30">
        <v>7.4999999999999997E-2</v>
      </c>
      <c r="Q198" s="116">
        <v>1.1212499999999999</v>
      </c>
      <c r="R198" s="30">
        <v>7.0000000000000007E-2</v>
      </c>
      <c r="S198" s="116">
        <v>1.0465</v>
      </c>
      <c r="T198" s="117">
        <v>0.49</v>
      </c>
      <c r="U198" s="39">
        <v>300</v>
      </c>
      <c r="V198" s="32">
        <v>134</v>
      </c>
      <c r="W198" s="33">
        <v>67</v>
      </c>
      <c r="X198" s="32"/>
      <c r="Y198" s="32"/>
      <c r="Z198" s="32"/>
      <c r="AA198" s="34"/>
      <c r="AB198" s="35">
        <f t="shared" si="30"/>
        <v>501</v>
      </c>
      <c r="AC198" s="75">
        <f t="shared" si="31"/>
        <v>33000</v>
      </c>
      <c r="AD198" s="78">
        <f t="shared" si="32"/>
        <v>22110</v>
      </c>
      <c r="AE198" s="72">
        <f t="shared" si="33"/>
        <v>55110</v>
      </c>
      <c r="AF198" s="75">
        <f t="shared" si="34"/>
        <v>6717.5249999999996</v>
      </c>
      <c r="AG198" s="78">
        <f t="shared" si="35"/>
        <v>4500.7417499999992</v>
      </c>
      <c r="AH198" s="72">
        <f t="shared" si="36"/>
        <v>11218.266749999999</v>
      </c>
      <c r="AI198" s="75">
        <f t="shared" si="37"/>
        <v>4485</v>
      </c>
      <c r="AJ198" s="78">
        <f t="shared" si="38"/>
        <v>3004.95</v>
      </c>
      <c r="AK198" s="72">
        <f t="shared" si="39"/>
        <v>7489.95</v>
      </c>
    </row>
    <row r="199" spans="1:37" ht="15.95" customHeight="1">
      <c r="A199" s="25" t="s">
        <v>948</v>
      </c>
      <c r="B199" s="25" t="s">
        <v>949</v>
      </c>
      <c r="C199" s="26" t="s">
        <v>14</v>
      </c>
      <c r="D199" s="26" t="s">
        <v>375</v>
      </c>
      <c r="E199" s="26" t="s">
        <v>16</v>
      </c>
      <c r="F199" s="26" t="s">
        <v>1038</v>
      </c>
      <c r="G199" s="41" t="s">
        <v>1030</v>
      </c>
      <c r="H199" s="44" t="s">
        <v>739</v>
      </c>
      <c r="I199" s="26" t="s">
        <v>27</v>
      </c>
      <c r="J199" s="28" t="s">
        <v>41</v>
      </c>
      <c r="K199" s="123">
        <v>175</v>
      </c>
      <c r="L199" s="29">
        <v>30.956449999999997</v>
      </c>
      <c r="M199" s="110">
        <v>21.35</v>
      </c>
      <c r="N199" s="30">
        <v>0.28199999999999997</v>
      </c>
      <c r="O199" s="116">
        <v>6.0206999999999997</v>
      </c>
      <c r="P199" s="30">
        <v>7.4999999999999997E-2</v>
      </c>
      <c r="Q199" s="116">
        <v>1.6012500000000001</v>
      </c>
      <c r="R199" s="30">
        <v>7.0000000000000007E-2</v>
      </c>
      <c r="S199" s="116">
        <v>1.4945000000000002</v>
      </c>
      <c r="T199" s="117">
        <v>0.49</v>
      </c>
      <c r="U199" s="39">
        <v>300</v>
      </c>
      <c r="V199" s="32">
        <v>246</v>
      </c>
      <c r="W199" s="33">
        <v>100</v>
      </c>
      <c r="X199" s="32"/>
      <c r="Y199" s="32"/>
      <c r="Z199" s="32"/>
      <c r="AA199" s="34"/>
      <c r="AB199" s="35">
        <f t="shared" si="30"/>
        <v>646</v>
      </c>
      <c r="AC199" s="75">
        <f t="shared" si="31"/>
        <v>52500</v>
      </c>
      <c r="AD199" s="78">
        <f t="shared" si="32"/>
        <v>60550</v>
      </c>
      <c r="AE199" s="72">
        <f t="shared" si="33"/>
        <v>113050</v>
      </c>
      <c r="AF199" s="75">
        <f t="shared" si="34"/>
        <v>9286.9349999999995</v>
      </c>
      <c r="AG199" s="78">
        <f t="shared" si="35"/>
        <v>10710.931699999999</v>
      </c>
      <c r="AH199" s="72">
        <f t="shared" si="36"/>
        <v>19997.866699999999</v>
      </c>
      <c r="AI199" s="75">
        <f t="shared" si="37"/>
        <v>6405</v>
      </c>
      <c r="AJ199" s="78">
        <f t="shared" si="38"/>
        <v>7387.1</v>
      </c>
      <c r="AK199" s="72">
        <f t="shared" si="39"/>
        <v>13792.1</v>
      </c>
    </row>
    <row r="200" spans="1:37" ht="15.95" customHeight="1">
      <c r="A200" s="25" t="s">
        <v>948</v>
      </c>
      <c r="B200" s="25" t="s">
        <v>949</v>
      </c>
      <c r="C200" s="26" t="s">
        <v>21</v>
      </c>
      <c r="D200" s="26" t="s">
        <v>375</v>
      </c>
      <c r="E200" s="26" t="s">
        <v>16</v>
      </c>
      <c r="F200" s="26" t="s">
        <v>1039</v>
      </c>
      <c r="G200" s="41" t="s">
        <v>1030</v>
      </c>
      <c r="H200" s="44" t="s">
        <v>739</v>
      </c>
      <c r="I200" s="26" t="s">
        <v>27</v>
      </c>
      <c r="J200" s="28" t="s">
        <v>43</v>
      </c>
      <c r="K200" s="123">
        <v>135</v>
      </c>
      <c r="L200" s="29">
        <v>24.035499999999999</v>
      </c>
      <c r="M200" s="110">
        <v>16.5</v>
      </c>
      <c r="N200" s="30">
        <v>0.28199999999999997</v>
      </c>
      <c r="O200" s="116">
        <v>4.6529999999999996</v>
      </c>
      <c r="P200" s="30">
        <v>7.4999999999999997E-2</v>
      </c>
      <c r="Q200" s="116">
        <v>1.2375</v>
      </c>
      <c r="R200" s="30">
        <v>7.0000000000000007E-2</v>
      </c>
      <c r="S200" s="116">
        <v>1.155</v>
      </c>
      <c r="T200" s="117">
        <v>0.49</v>
      </c>
      <c r="U200" s="39">
        <v>250</v>
      </c>
      <c r="V200" s="32">
        <v>251</v>
      </c>
      <c r="W200" s="33">
        <v>100</v>
      </c>
      <c r="X200" s="32"/>
      <c r="Y200" s="32"/>
      <c r="Z200" s="32"/>
      <c r="AA200" s="34"/>
      <c r="AB200" s="35">
        <f t="shared" si="30"/>
        <v>601</v>
      </c>
      <c r="AC200" s="75">
        <f t="shared" si="31"/>
        <v>33750</v>
      </c>
      <c r="AD200" s="78">
        <f t="shared" si="32"/>
        <v>47385</v>
      </c>
      <c r="AE200" s="72">
        <f t="shared" si="33"/>
        <v>81135</v>
      </c>
      <c r="AF200" s="75">
        <f t="shared" si="34"/>
        <v>6008.875</v>
      </c>
      <c r="AG200" s="78">
        <f t="shared" si="35"/>
        <v>8436.4604999999992</v>
      </c>
      <c r="AH200" s="72">
        <f t="shared" si="36"/>
        <v>14445.335499999999</v>
      </c>
      <c r="AI200" s="75">
        <f t="shared" si="37"/>
        <v>4125</v>
      </c>
      <c r="AJ200" s="78">
        <f t="shared" si="38"/>
        <v>5791.5</v>
      </c>
      <c r="AK200" s="72">
        <f t="shared" si="39"/>
        <v>9916.5</v>
      </c>
    </row>
    <row r="201" spans="1:37" ht="15.95" customHeight="1">
      <c r="A201" s="25" t="s">
        <v>948</v>
      </c>
      <c r="B201" s="25" t="s">
        <v>949</v>
      </c>
      <c r="C201" s="26" t="s">
        <v>44</v>
      </c>
      <c r="D201" s="26" t="s">
        <v>375</v>
      </c>
      <c r="E201" s="26" t="s">
        <v>16</v>
      </c>
      <c r="F201" s="26" t="s">
        <v>1040</v>
      </c>
      <c r="G201" s="41" t="s">
        <v>1030</v>
      </c>
      <c r="H201" s="44" t="s">
        <v>1041</v>
      </c>
      <c r="I201" s="26" t="s">
        <v>27</v>
      </c>
      <c r="J201" s="28" t="s">
        <v>46</v>
      </c>
      <c r="K201" s="123">
        <v>110</v>
      </c>
      <c r="L201" s="29">
        <v>22.391749999999998</v>
      </c>
      <c r="M201" s="110">
        <v>14.95</v>
      </c>
      <c r="N201" s="30">
        <v>0.32</v>
      </c>
      <c r="O201" s="116">
        <v>4.7839999999999998</v>
      </c>
      <c r="P201" s="30">
        <v>7.4999999999999997E-2</v>
      </c>
      <c r="Q201" s="116">
        <v>1.1212499999999999</v>
      </c>
      <c r="R201" s="30">
        <v>7.0000000000000007E-2</v>
      </c>
      <c r="S201" s="116">
        <v>1.0465</v>
      </c>
      <c r="T201" s="117">
        <v>0.49</v>
      </c>
      <c r="U201" s="39">
        <v>400</v>
      </c>
      <c r="V201" s="32">
        <v>163</v>
      </c>
      <c r="W201" s="33">
        <v>0</v>
      </c>
      <c r="X201" s="32"/>
      <c r="Y201" s="32"/>
      <c r="Z201" s="32"/>
      <c r="AA201" s="34"/>
      <c r="AB201" s="35">
        <f t="shared" si="30"/>
        <v>563</v>
      </c>
      <c r="AC201" s="75">
        <f t="shared" si="31"/>
        <v>44000</v>
      </c>
      <c r="AD201" s="78">
        <f t="shared" si="32"/>
        <v>17930</v>
      </c>
      <c r="AE201" s="72">
        <f t="shared" si="33"/>
        <v>61930</v>
      </c>
      <c r="AF201" s="75">
        <f t="shared" si="34"/>
        <v>8956.6999999999989</v>
      </c>
      <c r="AG201" s="78">
        <f t="shared" si="35"/>
        <v>3649.8552499999996</v>
      </c>
      <c r="AH201" s="72">
        <f t="shared" si="36"/>
        <v>12606.555249999998</v>
      </c>
      <c r="AI201" s="75">
        <f t="shared" si="37"/>
        <v>5980</v>
      </c>
      <c r="AJ201" s="78">
        <f t="shared" si="38"/>
        <v>2436.85</v>
      </c>
      <c r="AK201" s="72">
        <f t="shared" si="39"/>
        <v>8416.85</v>
      </c>
    </row>
    <row r="202" spans="1:37" ht="15.95" customHeight="1">
      <c r="A202" s="25" t="s">
        <v>948</v>
      </c>
      <c r="B202" s="25" t="s">
        <v>949</v>
      </c>
      <c r="C202" s="26" t="s">
        <v>14</v>
      </c>
      <c r="D202" s="26" t="s">
        <v>375</v>
      </c>
      <c r="E202" s="26" t="s">
        <v>16</v>
      </c>
      <c r="F202" s="26" t="s">
        <v>1038</v>
      </c>
      <c r="G202" s="41" t="s">
        <v>1030</v>
      </c>
      <c r="H202" s="44" t="s">
        <v>1041</v>
      </c>
      <c r="I202" s="26" t="s">
        <v>27</v>
      </c>
      <c r="J202" s="28" t="s">
        <v>41</v>
      </c>
      <c r="K202" s="123">
        <v>175</v>
      </c>
      <c r="L202" s="29">
        <v>30.956449999999997</v>
      </c>
      <c r="M202" s="110">
        <v>21.35</v>
      </c>
      <c r="N202" s="30">
        <v>0.28199999999999997</v>
      </c>
      <c r="O202" s="116">
        <v>6.0206999999999997</v>
      </c>
      <c r="P202" s="30">
        <v>7.4999999999999997E-2</v>
      </c>
      <c r="Q202" s="116">
        <v>1.6012500000000001</v>
      </c>
      <c r="R202" s="30">
        <v>7.0000000000000007E-2</v>
      </c>
      <c r="S202" s="116">
        <v>1.4945000000000002</v>
      </c>
      <c r="T202" s="117">
        <v>0.49</v>
      </c>
      <c r="U202" s="39">
        <v>300</v>
      </c>
      <c r="V202" s="32">
        <v>260</v>
      </c>
      <c r="W202" s="33">
        <v>100</v>
      </c>
      <c r="X202" s="32"/>
      <c r="Y202" s="32"/>
      <c r="Z202" s="32"/>
      <c r="AA202" s="34"/>
      <c r="AB202" s="35">
        <f t="shared" si="30"/>
        <v>660</v>
      </c>
      <c r="AC202" s="75">
        <f t="shared" si="31"/>
        <v>52500</v>
      </c>
      <c r="AD202" s="78">
        <f t="shared" si="32"/>
        <v>63000</v>
      </c>
      <c r="AE202" s="72">
        <f t="shared" si="33"/>
        <v>115500</v>
      </c>
      <c r="AF202" s="75">
        <f t="shared" si="34"/>
        <v>9286.9349999999995</v>
      </c>
      <c r="AG202" s="78">
        <f t="shared" si="35"/>
        <v>11144.321999999998</v>
      </c>
      <c r="AH202" s="72">
        <f t="shared" si="36"/>
        <v>20431.256999999998</v>
      </c>
      <c r="AI202" s="75">
        <f t="shared" si="37"/>
        <v>6405</v>
      </c>
      <c r="AJ202" s="78">
        <f t="shared" si="38"/>
        <v>7686.0000000000009</v>
      </c>
      <c r="AK202" s="72">
        <f t="shared" si="39"/>
        <v>14091</v>
      </c>
    </row>
    <row r="203" spans="1:37" ht="15.95" customHeight="1">
      <c r="A203" s="25" t="s">
        <v>948</v>
      </c>
      <c r="B203" s="25" t="s">
        <v>949</v>
      </c>
      <c r="C203" s="26" t="s">
        <v>21</v>
      </c>
      <c r="D203" s="26" t="s">
        <v>375</v>
      </c>
      <c r="E203" s="26" t="s">
        <v>16</v>
      </c>
      <c r="F203" s="26" t="s">
        <v>1039</v>
      </c>
      <c r="G203" s="41" t="s">
        <v>1030</v>
      </c>
      <c r="H203" s="44" t="s">
        <v>1041</v>
      </c>
      <c r="I203" s="26" t="s">
        <v>27</v>
      </c>
      <c r="J203" s="28" t="s">
        <v>43</v>
      </c>
      <c r="K203" s="123">
        <v>135</v>
      </c>
      <c r="L203" s="29">
        <v>24.035499999999999</v>
      </c>
      <c r="M203" s="110">
        <v>16.5</v>
      </c>
      <c r="N203" s="30">
        <v>0.28199999999999997</v>
      </c>
      <c r="O203" s="116">
        <v>4.6529999999999996</v>
      </c>
      <c r="P203" s="30">
        <v>7.4999999999999997E-2</v>
      </c>
      <c r="Q203" s="116">
        <v>1.2375</v>
      </c>
      <c r="R203" s="30">
        <v>7.0000000000000007E-2</v>
      </c>
      <c r="S203" s="116">
        <v>1.155</v>
      </c>
      <c r="T203" s="117">
        <v>0.49</v>
      </c>
      <c r="U203" s="39">
        <v>250</v>
      </c>
      <c r="V203" s="32">
        <v>254</v>
      </c>
      <c r="W203" s="33">
        <v>100</v>
      </c>
      <c r="X203" s="32"/>
      <c r="Y203" s="32"/>
      <c r="Z203" s="32"/>
      <c r="AA203" s="34"/>
      <c r="AB203" s="35">
        <f t="shared" si="30"/>
        <v>604</v>
      </c>
      <c r="AC203" s="75">
        <f t="shared" si="31"/>
        <v>33750</v>
      </c>
      <c r="AD203" s="78">
        <f t="shared" si="32"/>
        <v>47790</v>
      </c>
      <c r="AE203" s="72">
        <f t="shared" si="33"/>
        <v>81540</v>
      </c>
      <c r="AF203" s="75">
        <f t="shared" si="34"/>
        <v>6008.875</v>
      </c>
      <c r="AG203" s="78">
        <f t="shared" si="35"/>
        <v>8508.5669999999991</v>
      </c>
      <c r="AH203" s="72">
        <f t="shared" si="36"/>
        <v>14517.441999999999</v>
      </c>
      <c r="AI203" s="75">
        <f t="shared" si="37"/>
        <v>4125</v>
      </c>
      <c r="AJ203" s="78">
        <f t="shared" si="38"/>
        <v>5841</v>
      </c>
      <c r="AK203" s="72">
        <f t="shared" si="39"/>
        <v>9966</v>
      </c>
    </row>
    <row r="204" spans="1:37" ht="15.95" customHeight="1">
      <c r="A204" s="25" t="s">
        <v>948</v>
      </c>
      <c r="B204" s="25" t="s">
        <v>949</v>
      </c>
      <c r="C204" s="26" t="s">
        <v>55</v>
      </c>
      <c r="D204" s="26" t="s">
        <v>375</v>
      </c>
      <c r="E204" s="26" t="s">
        <v>16</v>
      </c>
      <c r="F204" s="26" t="s">
        <v>1042</v>
      </c>
      <c r="G204" s="41" t="s">
        <v>1030</v>
      </c>
      <c r="H204" s="44" t="s">
        <v>1041</v>
      </c>
      <c r="I204" s="26" t="s">
        <v>27</v>
      </c>
      <c r="J204" s="28" t="s">
        <v>1043</v>
      </c>
      <c r="K204" s="123">
        <v>110</v>
      </c>
      <c r="L204" s="29">
        <v>20.926749999999998</v>
      </c>
      <c r="M204" s="110">
        <v>13.95</v>
      </c>
      <c r="N204" s="30">
        <v>0.32</v>
      </c>
      <c r="O204" s="116">
        <v>4.4639999999999995</v>
      </c>
      <c r="P204" s="30">
        <v>7.4999999999999997E-2</v>
      </c>
      <c r="Q204" s="116">
        <v>1.0462499999999999</v>
      </c>
      <c r="R204" s="30">
        <v>7.0000000000000007E-2</v>
      </c>
      <c r="S204" s="116">
        <v>0.97650000000000003</v>
      </c>
      <c r="T204" s="117">
        <v>0.49</v>
      </c>
      <c r="U204" s="39">
        <v>400</v>
      </c>
      <c r="V204" s="32">
        <v>83</v>
      </c>
      <c r="W204" s="33">
        <v>51</v>
      </c>
      <c r="X204" s="32"/>
      <c r="Y204" s="32"/>
      <c r="Z204" s="32"/>
      <c r="AA204" s="34"/>
      <c r="AB204" s="35">
        <f t="shared" si="30"/>
        <v>534</v>
      </c>
      <c r="AC204" s="75">
        <f t="shared" si="31"/>
        <v>44000</v>
      </c>
      <c r="AD204" s="78">
        <f t="shared" si="32"/>
        <v>14740</v>
      </c>
      <c r="AE204" s="72">
        <f t="shared" si="33"/>
        <v>58740</v>
      </c>
      <c r="AF204" s="75">
        <f t="shared" si="34"/>
        <v>8370.6999999999989</v>
      </c>
      <c r="AG204" s="78">
        <f t="shared" si="35"/>
        <v>2804.1844999999998</v>
      </c>
      <c r="AH204" s="72">
        <f t="shared" si="36"/>
        <v>11174.884499999998</v>
      </c>
      <c r="AI204" s="75">
        <f t="shared" si="37"/>
        <v>5580</v>
      </c>
      <c r="AJ204" s="78">
        <f t="shared" si="38"/>
        <v>1869.3</v>
      </c>
      <c r="AK204" s="72">
        <f t="shared" si="39"/>
        <v>7449.3</v>
      </c>
    </row>
    <row r="205" spans="1:37" ht="15.95" customHeight="1">
      <c r="A205" s="25" t="s">
        <v>948</v>
      </c>
      <c r="B205" s="25" t="s">
        <v>949</v>
      </c>
      <c r="C205" s="26" t="s">
        <v>982</v>
      </c>
      <c r="D205" s="26" t="s">
        <v>375</v>
      </c>
      <c r="E205" s="26" t="s">
        <v>16</v>
      </c>
      <c r="F205" s="26" t="s">
        <v>1044</v>
      </c>
      <c r="G205" s="41" t="s">
        <v>1030</v>
      </c>
      <c r="H205" s="44" t="s">
        <v>1041</v>
      </c>
      <c r="I205" s="26" t="s">
        <v>27</v>
      </c>
      <c r="J205" s="28" t="s">
        <v>35</v>
      </c>
      <c r="K205" s="123">
        <v>88</v>
      </c>
      <c r="L205" s="29">
        <v>19.754499999999997</v>
      </c>
      <c r="M205" s="110">
        <v>13.5</v>
      </c>
      <c r="N205" s="30">
        <v>0.28199999999999997</v>
      </c>
      <c r="O205" s="116">
        <v>3.8069999999999995</v>
      </c>
      <c r="P205" s="30">
        <v>7.4999999999999997E-2</v>
      </c>
      <c r="Q205" s="116">
        <v>1.0125</v>
      </c>
      <c r="R205" s="30">
        <v>7.0000000000000007E-2</v>
      </c>
      <c r="S205" s="116">
        <v>0.94500000000000006</v>
      </c>
      <c r="T205" s="117">
        <v>0.49</v>
      </c>
      <c r="U205" s="39">
        <v>400</v>
      </c>
      <c r="V205" s="32">
        <v>84</v>
      </c>
      <c r="W205" s="33">
        <v>52</v>
      </c>
      <c r="X205" s="32"/>
      <c r="Y205" s="32"/>
      <c r="Z205" s="32"/>
      <c r="AA205" s="34"/>
      <c r="AB205" s="35">
        <f t="shared" si="30"/>
        <v>536</v>
      </c>
      <c r="AC205" s="75">
        <f t="shared" si="31"/>
        <v>35200</v>
      </c>
      <c r="AD205" s="78">
        <f t="shared" si="32"/>
        <v>11968</v>
      </c>
      <c r="AE205" s="72">
        <f t="shared" si="33"/>
        <v>47168</v>
      </c>
      <c r="AF205" s="75">
        <f t="shared" si="34"/>
        <v>7901.7999999999984</v>
      </c>
      <c r="AG205" s="78">
        <f t="shared" si="35"/>
        <v>2686.6119999999996</v>
      </c>
      <c r="AH205" s="72">
        <f t="shared" si="36"/>
        <v>10588.411999999998</v>
      </c>
      <c r="AI205" s="75">
        <f t="shared" si="37"/>
        <v>5400</v>
      </c>
      <c r="AJ205" s="78">
        <f t="shared" si="38"/>
        <v>1836</v>
      </c>
      <c r="AK205" s="72">
        <f t="shared" si="39"/>
        <v>7236</v>
      </c>
    </row>
    <row r="206" spans="1:37" ht="15.95" customHeight="1">
      <c r="A206" s="25" t="s">
        <v>948</v>
      </c>
      <c r="B206" s="25" t="s">
        <v>949</v>
      </c>
      <c r="C206" s="26" t="s">
        <v>21</v>
      </c>
      <c r="D206" s="26" t="s">
        <v>375</v>
      </c>
      <c r="E206" s="26" t="s">
        <v>16</v>
      </c>
      <c r="F206" s="26" t="s">
        <v>1045</v>
      </c>
      <c r="G206" s="26" t="s">
        <v>161</v>
      </c>
      <c r="H206" s="27" t="s">
        <v>1046</v>
      </c>
      <c r="I206" s="26" t="s">
        <v>27</v>
      </c>
      <c r="J206" s="28" t="s">
        <v>41</v>
      </c>
      <c r="K206" s="123">
        <v>150</v>
      </c>
      <c r="L206" s="29">
        <v>30.956449999999997</v>
      </c>
      <c r="M206" s="110">
        <v>21.35</v>
      </c>
      <c r="N206" s="30">
        <v>0.28199999999999997</v>
      </c>
      <c r="O206" s="116">
        <v>6.0206999999999997</v>
      </c>
      <c r="P206" s="30">
        <v>7.4999999999999997E-2</v>
      </c>
      <c r="Q206" s="116">
        <v>1.6012500000000001</v>
      </c>
      <c r="R206" s="30">
        <v>7.0000000000000007E-2</v>
      </c>
      <c r="S206" s="116">
        <v>1.4945000000000002</v>
      </c>
      <c r="T206" s="117">
        <v>0.49</v>
      </c>
      <c r="U206" s="39">
        <v>600</v>
      </c>
      <c r="V206" s="32">
        <v>224</v>
      </c>
      <c r="W206" s="33">
        <v>0</v>
      </c>
      <c r="X206" s="32"/>
      <c r="Y206" s="32"/>
      <c r="Z206" s="32"/>
      <c r="AA206" s="34"/>
      <c r="AB206" s="35">
        <f t="shared" si="30"/>
        <v>824</v>
      </c>
      <c r="AC206" s="75">
        <f t="shared" si="31"/>
        <v>90000</v>
      </c>
      <c r="AD206" s="78">
        <f t="shared" si="32"/>
        <v>33600</v>
      </c>
      <c r="AE206" s="72">
        <f t="shared" si="33"/>
        <v>123600</v>
      </c>
      <c r="AF206" s="75">
        <f t="shared" si="34"/>
        <v>18573.87</v>
      </c>
      <c r="AG206" s="78">
        <f t="shared" si="35"/>
        <v>6934.2447999999995</v>
      </c>
      <c r="AH206" s="72">
        <f t="shared" si="36"/>
        <v>25508.114799999999</v>
      </c>
      <c r="AI206" s="75">
        <f t="shared" si="37"/>
        <v>12810</v>
      </c>
      <c r="AJ206" s="78">
        <f t="shared" si="38"/>
        <v>4782.4000000000005</v>
      </c>
      <c r="AK206" s="72">
        <f t="shared" si="39"/>
        <v>17592.400000000001</v>
      </c>
    </row>
    <row r="207" spans="1:37" ht="15.95" customHeight="1">
      <c r="A207" s="25" t="s">
        <v>948</v>
      </c>
      <c r="B207" s="25" t="s">
        <v>949</v>
      </c>
      <c r="C207" s="26" t="s">
        <v>21</v>
      </c>
      <c r="D207" s="26" t="s">
        <v>375</v>
      </c>
      <c r="E207" s="26" t="s">
        <v>16</v>
      </c>
      <c r="F207" s="26" t="s">
        <v>1047</v>
      </c>
      <c r="G207" s="26" t="s">
        <v>161</v>
      </c>
      <c r="H207" s="27" t="s">
        <v>1046</v>
      </c>
      <c r="I207" s="26" t="s">
        <v>27</v>
      </c>
      <c r="J207" s="28" t="s">
        <v>43</v>
      </c>
      <c r="K207" s="123">
        <v>125</v>
      </c>
      <c r="L207" s="29">
        <v>23.321999999999999</v>
      </c>
      <c r="M207" s="110">
        <v>16</v>
      </c>
      <c r="N207" s="30">
        <v>0.28199999999999997</v>
      </c>
      <c r="O207" s="116">
        <v>4.5119999999999996</v>
      </c>
      <c r="P207" s="30">
        <v>7.4999999999999997E-2</v>
      </c>
      <c r="Q207" s="116">
        <v>1.2</v>
      </c>
      <c r="R207" s="30">
        <v>7.0000000000000007E-2</v>
      </c>
      <c r="S207" s="116">
        <v>1.1200000000000001</v>
      </c>
      <c r="T207" s="117">
        <v>0.49</v>
      </c>
      <c r="U207" s="39">
        <v>500</v>
      </c>
      <c r="V207" s="32">
        <v>224</v>
      </c>
      <c r="W207" s="33">
        <v>0</v>
      </c>
      <c r="X207" s="32"/>
      <c r="Y207" s="32"/>
      <c r="Z207" s="32"/>
      <c r="AA207" s="34"/>
      <c r="AB207" s="35">
        <f t="shared" si="30"/>
        <v>724</v>
      </c>
      <c r="AC207" s="75">
        <f t="shared" si="31"/>
        <v>62500</v>
      </c>
      <c r="AD207" s="78">
        <f t="shared" si="32"/>
        <v>28000</v>
      </c>
      <c r="AE207" s="72">
        <f t="shared" si="33"/>
        <v>90500</v>
      </c>
      <c r="AF207" s="75">
        <f t="shared" si="34"/>
        <v>11661</v>
      </c>
      <c r="AG207" s="78">
        <f t="shared" si="35"/>
        <v>5224.1279999999997</v>
      </c>
      <c r="AH207" s="72">
        <f t="shared" si="36"/>
        <v>16885.128000000001</v>
      </c>
      <c r="AI207" s="75">
        <f t="shared" si="37"/>
        <v>8000</v>
      </c>
      <c r="AJ207" s="78">
        <f t="shared" si="38"/>
        <v>3584</v>
      </c>
      <c r="AK207" s="72">
        <f t="shared" si="39"/>
        <v>11584</v>
      </c>
    </row>
    <row r="208" spans="1:37" ht="15.95" customHeight="1">
      <c r="A208" s="25" t="s">
        <v>961</v>
      </c>
      <c r="B208" s="25" t="s">
        <v>949</v>
      </c>
      <c r="C208" s="26" t="s">
        <v>21</v>
      </c>
      <c r="D208" s="26" t="s">
        <v>375</v>
      </c>
      <c r="E208" s="26" t="s">
        <v>16</v>
      </c>
      <c r="F208" s="26" t="s">
        <v>1045</v>
      </c>
      <c r="G208" s="26" t="s">
        <v>161</v>
      </c>
      <c r="H208" s="27" t="s">
        <v>1048</v>
      </c>
      <c r="I208" s="26" t="s">
        <v>27</v>
      </c>
      <c r="J208" s="37" t="s">
        <v>41</v>
      </c>
      <c r="K208" s="123">
        <v>150</v>
      </c>
      <c r="L208" s="29">
        <v>30.956449999999997</v>
      </c>
      <c r="M208" s="110">
        <v>21.35</v>
      </c>
      <c r="N208" s="30">
        <v>0.28199999999999997</v>
      </c>
      <c r="O208" s="116">
        <v>6.0206999999999997</v>
      </c>
      <c r="P208" s="30">
        <v>7.4999999999999997E-2</v>
      </c>
      <c r="Q208" s="116">
        <v>1.6012500000000001</v>
      </c>
      <c r="R208" s="30">
        <v>7.0000000000000007E-2</v>
      </c>
      <c r="S208" s="116">
        <v>1.4945000000000002</v>
      </c>
      <c r="T208" s="117">
        <v>0.49</v>
      </c>
      <c r="U208" s="39">
        <v>500</v>
      </c>
      <c r="V208" s="32"/>
      <c r="W208" s="33">
        <v>0</v>
      </c>
      <c r="X208" s="32"/>
      <c r="Y208" s="32"/>
      <c r="Z208" s="32"/>
      <c r="AA208" s="34"/>
      <c r="AB208" s="35">
        <f t="shared" si="30"/>
        <v>500</v>
      </c>
      <c r="AC208" s="75">
        <f t="shared" si="31"/>
        <v>75000</v>
      </c>
      <c r="AD208" s="78">
        <f t="shared" si="32"/>
        <v>0</v>
      </c>
      <c r="AE208" s="72">
        <f t="shared" si="33"/>
        <v>75000</v>
      </c>
      <c r="AF208" s="75">
        <f t="shared" si="34"/>
        <v>15478.224999999999</v>
      </c>
      <c r="AG208" s="78">
        <f t="shared" si="35"/>
        <v>0</v>
      </c>
      <c r="AH208" s="72">
        <f t="shared" si="36"/>
        <v>15478.224999999999</v>
      </c>
      <c r="AI208" s="75">
        <f t="shared" si="37"/>
        <v>10675</v>
      </c>
      <c r="AJ208" s="78">
        <f t="shared" si="38"/>
        <v>0</v>
      </c>
      <c r="AK208" s="72">
        <f t="shared" si="39"/>
        <v>10675</v>
      </c>
    </row>
    <row r="209" spans="1:37" ht="15.95" customHeight="1">
      <c r="A209" s="25" t="s">
        <v>961</v>
      </c>
      <c r="B209" s="25" t="s">
        <v>949</v>
      </c>
      <c r="C209" s="26" t="s">
        <v>21</v>
      </c>
      <c r="D209" s="26" t="s">
        <v>375</v>
      </c>
      <c r="E209" s="26" t="s">
        <v>16</v>
      </c>
      <c r="F209" s="26" t="s">
        <v>1047</v>
      </c>
      <c r="G209" s="26" t="s">
        <v>161</v>
      </c>
      <c r="H209" s="27" t="s">
        <v>1048</v>
      </c>
      <c r="I209" s="26" t="s">
        <v>27</v>
      </c>
      <c r="J209" s="37" t="s">
        <v>43</v>
      </c>
      <c r="K209" s="123">
        <v>125</v>
      </c>
      <c r="L209" s="29">
        <v>23.321999999999999</v>
      </c>
      <c r="M209" s="110">
        <v>16</v>
      </c>
      <c r="N209" s="30">
        <v>0.28199999999999997</v>
      </c>
      <c r="O209" s="116">
        <v>4.5119999999999996</v>
      </c>
      <c r="P209" s="30">
        <v>7.4999999999999997E-2</v>
      </c>
      <c r="Q209" s="116">
        <v>1.2</v>
      </c>
      <c r="R209" s="30">
        <v>7.0000000000000007E-2</v>
      </c>
      <c r="S209" s="116">
        <v>1.1200000000000001</v>
      </c>
      <c r="T209" s="117">
        <v>0.49</v>
      </c>
      <c r="U209" s="39">
        <v>300</v>
      </c>
      <c r="V209" s="32"/>
      <c r="W209" s="33">
        <v>0</v>
      </c>
      <c r="X209" s="32"/>
      <c r="Y209" s="32"/>
      <c r="Z209" s="32"/>
      <c r="AA209" s="34"/>
      <c r="AB209" s="35">
        <f t="shared" si="30"/>
        <v>300</v>
      </c>
      <c r="AC209" s="75">
        <f t="shared" si="31"/>
        <v>37500</v>
      </c>
      <c r="AD209" s="78">
        <f t="shared" si="32"/>
        <v>0</v>
      </c>
      <c r="AE209" s="72">
        <f t="shared" si="33"/>
        <v>37500</v>
      </c>
      <c r="AF209" s="75">
        <f t="shared" si="34"/>
        <v>6996.5999999999995</v>
      </c>
      <c r="AG209" s="78">
        <f t="shared" si="35"/>
        <v>0</v>
      </c>
      <c r="AH209" s="72">
        <f t="shared" si="36"/>
        <v>6996.5999999999995</v>
      </c>
      <c r="AI209" s="75">
        <f t="shared" si="37"/>
        <v>4800</v>
      </c>
      <c r="AJ209" s="78">
        <f t="shared" si="38"/>
        <v>0</v>
      </c>
      <c r="AK209" s="72">
        <f t="shared" si="39"/>
        <v>4800</v>
      </c>
    </row>
    <row r="210" spans="1:37" ht="15.95" customHeight="1">
      <c r="A210" s="25" t="s">
        <v>948</v>
      </c>
      <c r="B210" s="25" t="s">
        <v>949</v>
      </c>
      <c r="C210" s="26" t="s">
        <v>14</v>
      </c>
      <c r="D210" s="26" t="s">
        <v>375</v>
      </c>
      <c r="E210" s="26" t="s">
        <v>16</v>
      </c>
      <c r="F210" s="26" t="s">
        <v>1045</v>
      </c>
      <c r="G210" s="26" t="s">
        <v>161</v>
      </c>
      <c r="H210" s="27" t="s">
        <v>1048</v>
      </c>
      <c r="I210" s="26" t="s">
        <v>27</v>
      </c>
      <c r="J210" s="28" t="s">
        <v>41</v>
      </c>
      <c r="K210" s="123">
        <v>150</v>
      </c>
      <c r="L210" s="29">
        <v>30.956449999999997</v>
      </c>
      <c r="M210" s="110">
        <v>21.35</v>
      </c>
      <c r="N210" s="30">
        <v>0.28199999999999997</v>
      </c>
      <c r="O210" s="116">
        <v>6.0206999999999997</v>
      </c>
      <c r="P210" s="30">
        <v>7.4999999999999997E-2</v>
      </c>
      <c r="Q210" s="116">
        <v>1.6012500000000001</v>
      </c>
      <c r="R210" s="30">
        <v>7.0000000000000007E-2</v>
      </c>
      <c r="S210" s="116">
        <v>1.4945000000000002</v>
      </c>
      <c r="T210" s="117">
        <v>0.49</v>
      </c>
      <c r="U210" s="39">
        <v>600</v>
      </c>
      <c r="V210" s="32">
        <v>325</v>
      </c>
      <c r="W210" s="33">
        <v>0</v>
      </c>
      <c r="X210" s="32"/>
      <c r="Y210" s="32"/>
      <c r="Z210" s="32"/>
      <c r="AA210" s="34"/>
      <c r="AB210" s="35">
        <f t="shared" si="30"/>
        <v>925</v>
      </c>
      <c r="AC210" s="75">
        <f t="shared" si="31"/>
        <v>90000</v>
      </c>
      <c r="AD210" s="78">
        <f t="shared" si="32"/>
        <v>48750</v>
      </c>
      <c r="AE210" s="72">
        <f t="shared" si="33"/>
        <v>138750</v>
      </c>
      <c r="AF210" s="75">
        <f t="shared" si="34"/>
        <v>18573.87</v>
      </c>
      <c r="AG210" s="78">
        <f t="shared" si="35"/>
        <v>10060.846249999999</v>
      </c>
      <c r="AH210" s="72">
        <f t="shared" si="36"/>
        <v>28634.716249999998</v>
      </c>
      <c r="AI210" s="75">
        <f t="shared" si="37"/>
        <v>12810</v>
      </c>
      <c r="AJ210" s="78">
        <f t="shared" si="38"/>
        <v>6938.7500000000009</v>
      </c>
      <c r="AK210" s="72">
        <f t="shared" si="39"/>
        <v>19748.75</v>
      </c>
    </row>
    <row r="211" spans="1:37" ht="15.95" customHeight="1">
      <c r="A211" s="25" t="s">
        <v>948</v>
      </c>
      <c r="B211" s="25" t="s">
        <v>949</v>
      </c>
      <c r="C211" s="26" t="s">
        <v>21</v>
      </c>
      <c r="D211" s="26" t="s">
        <v>375</v>
      </c>
      <c r="E211" s="26" t="s">
        <v>16</v>
      </c>
      <c r="F211" s="26" t="s">
        <v>1047</v>
      </c>
      <c r="G211" s="26" t="s">
        <v>161</v>
      </c>
      <c r="H211" s="27" t="s">
        <v>1048</v>
      </c>
      <c r="I211" s="26" t="s">
        <v>27</v>
      </c>
      <c r="J211" s="28" t="s">
        <v>43</v>
      </c>
      <c r="K211" s="123">
        <v>125</v>
      </c>
      <c r="L211" s="29">
        <v>23.321999999999999</v>
      </c>
      <c r="M211" s="110">
        <v>16</v>
      </c>
      <c r="N211" s="30">
        <v>0.28199999999999997</v>
      </c>
      <c r="O211" s="116">
        <v>4.5119999999999996</v>
      </c>
      <c r="P211" s="30">
        <v>7.4999999999999997E-2</v>
      </c>
      <c r="Q211" s="116">
        <v>1.2</v>
      </c>
      <c r="R211" s="30">
        <v>7.0000000000000007E-2</v>
      </c>
      <c r="S211" s="116">
        <v>1.1200000000000001</v>
      </c>
      <c r="T211" s="117">
        <v>0.49</v>
      </c>
      <c r="U211" s="39">
        <v>500</v>
      </c>
      <c r="V211" s="32">
        <v>325</v>
      </c>
      <c r="W211" s="33">
        <v>0</v>
      </c>
      <c r="X211" s="32"/>
      <c r="Y211" s="32"/>
      <c r="Z211" s="32"/>
      <c r="AA211" s="34"/>
      <c r="AB211" s="35">
        <f t="shared" si="30"/>
        <v>825</v>
      </c>
      <c r="AC211" s="75">
        <f t="shared" si="31"/>
        <v>62500</v>
      </c>
      <c r="AD211" s="78">
        <f t="shared" si="32"/>
        <v>40625</v>
      </c>
      <c r="AE211" s="72">
        <f t="shared" si="33"/>
        <v>103125</v>
      </c>
      <c r="AF211" s="75">
        <f t="shared" si="34"/>
        <v>11661</v>
      </c>
      <c r="AG211" s="78">
        <f t="shared" si="35"/>
        <v>7579.65</v>
      </c>
      <c r="AH211" s="72">
        <f t="shared" si="36"/>
        <v>19240.650000000001</v>
      </c>
      <c r="AI211" s="75">
        <f t="shared" si="37"/>
        <v>8000</v>
      </c>
      <c r="AJ211" s="78">
        <f t="shared" si="38"/>
        <v>5200</v>
      </c>
      <c r="AK211" s="72">
        <f t="shared" si="39"/>
        <v>13200</v>
      </c>
    </row>
    <row r="212" spans="1:37" ht="15.95" customHeight="1">
      <c r="A212" s="25" t="s">
        <v>961</v>
      </c>
      <c r="B212" s="25" t="s">
        <v>949</v>
      </c>
      <c r="C212" s="26" t="s">
        <v>14</v>
      </c>
      <c r="D212" s="26" t="s">
        <v>375</v>
      </c>
      <c r="E212" s="26" t="s">
        <v>16</v>
      </c>
      <c r="F212" s="26" t="s">
        <v>1045</v>
      </c>
      <c r="G212" s="26" t="s">
        <v>161</v>
      </c>
      <c r="H212" s="27" t="s">
        <v>1046</v>
      </c>
      <c r="I212" s="26" t="s">
        <v>27</v>
      </c>
      <c r="J212" s="28" t="s">
        <v>41</v>
      </c>
      <c r="K212" s="123">
        <v>150</v>
      </c>
      <c r="L212" s="29">
        <v>30.956449999999997</v>
      </c>
      <c r="M212" s="110">
        <v>21.35</v>
      </c>
      <c r="N212" s="30">
        <v>0.28199999999999997</v>
      </c>
      <c r="O212" s="116">
        <v>6.0206999999999997</v>
      </c>
      <c r="P212" s="30">
        <v>7.4999999999999997E-2</v>
      </c>
      <c r="Q212" s="116">
        <v>1.6012500000000001</v>
      </c>
      <c r="R212" s="30">
        <v>7.0000000000000007E-2</v>
      </c>
      <c r="S212" s="116">
        <v>1.4945000000000002</v>
      </c>
      <c r="T212" s="117">
        <v>0.49</v>
      </c>
      <c r="U212" s="39">
        <v>500</v>
      </c>
      <c r="V212" s="32"/>
      <c r="W212" s="33">
        <v>0</v>
      </c>
      <c r="X212" s="32"/>
      <c r="Y212" s="32"/>
      <c r="Z212" s="32"/>
      <c r="AA212" s="34"/>
      <c r="AB212" s="35">
        <f t="shared" si="30"/>
        <v>500</v>
      </c>
      <c r="AC212" s="75">
        <f t="shared" si="31"/>
        <v>75000</v>
      </c>
      <c r="AD212" s="78">
        <f t="shared" si="32"/>
        <v>0</v>
      </c>
      <c r="AE212" s="72">
        <f t="shared" si="33"/>
        <v>75000</v>
      </c>
      <c r="AF212" s="75">
        <f t="shared" si="34"/>
        <v>15478.224999999999</v>
      </c>
      <c r="AG212" s="78">
        <f t="shared" si="35"/>
        <v>0</v>
      </c>
      <c r="AH212" s="72">
        <f t="shared" si="36"/>
        <v>15478.224999999999</v>
      </c>
      <c r="AI212" s="75">
        <f t="shared" si="37"/>
        <v>10675</v>
      </c>
      <c r="AJ212" s="78">
        <f t="shared" si="38"/>
        <v>0</v>
      </c>
      <c r="AK212" s="72">
        <f t="shared" si="39"/>
        <v>10675</v>
      </c>
    </row>
    <row r="213" spans="1:37" ht="15.95" customHeight="1">
      <c r="A213" s="25" t="s">
        <v>961</v>
      </c>
      <c r="B213" s="25" t="s">
        <v>949</v>
      </c>
      <c r="C213" s="26" t="s">
        <v>21</v>
      </c>
      <c r="D213" s="26" t="s">
        <v>375</v>
      </c>
      <c r="E213" s="26" t="s">
        <v>16</v>
      </c>
      <c r="F213" s="26" t="s">
        <v>1047</v>
      </c>
      <c r="G213" s="26" t="s">
        <v>161</v>
      </c>
      <c r="H213" s="27" t="s">
        <v>1046</v>
      </c>
      <c r="I213" s="26" t="s">
        <v>27</v>
      </c>
      <c r="J213" s="28" t="s">
        <v>43</v>
      </c>
      <c r="K213" s="123">
        <v>125</v>
      </c>
      <c r="L213" s="29">
        <v>23.321999999999999</v>
      </c>
      <c r="M213" s="110">
        <v>16</v>
      </c>
      <c r="N213" s="30">
        <v>0.28199999999999997</v>
      </c>
      <c r="O213" s="116">
        <v>4.5119999999999996</v>
      </c>
      <c r="P213" s="30">
        <v>7.4999999999999997E-2</v>
      </c>
      <c r="Q213" s="116">
        <v>1.2</v>
      </c>
      <c r="R213" s="30">
        <v>7.0000000000000007E-2</v>
      </c>
      <c r="S213" s="116">
        <v>1.1200000000000001</v>
      </c>
      <c r="T213" s="117">
        <v>0.49</v>
      </c>
      <c r="U213" s="39">
        <v>300</v>
      </c>
      <c r="V213" s="32"/>
      <c r="W213" s="33">
        <v>0</v>
      </c>
      <c r="X213" s="32"/>
      <c r="Y213" s="32"/>
      <c r="Z213" s="32"/>
      <c r="AA213" s="34"/>
      <c r="AB213" s="35">
        <f t="shared" si="30"/>
        <v>300</v>
      </c>
      <c r="AC213" s="75">
        <f t="shared" si="31"/>
        <v>37500</v>
      </c>
      <c r="AD213" s="78">
        <f t="shared" si="32"/>
        <v>0</v>
      </c>
      <c r="AE213" s="72">
        <f t="shared" si="33"/>
        <v>37500</v>
      </c>
      <c r="AF213" s="75">
        <f t="shared" si="34"/>
        <v>6996.5999999999995</v>
      </c>
      <c r="AG213" s="78">
        <f t="shared" si="35"/>
        <v>0</v>
      </c>
      <c r="AH213" s="72">
        <f t="shared" si="36"/>
        <v>6996.5999999999995</v>
      </c>
      <c r="AI213" s="75">
        <f t="shared" si="37"/>
        <v>4800</v>
      </c>
      <c r="AJ213" s="78">
        <f t="shared" si="38"/>
        <v>0</v>
      </c>
      <c r="AK213" s="72">
        <f t="shared" si="39"/>
        <v>4800</v>
      </c>
    </row>
    <row r="214" spans="1:37" ht="15.95" customHeight="1">
      <c r="A214" s="25" t="s">
        <v>966</v>
      </c>
      <c r="B214" s="25" t="s">
        <v>949</v>
      </c>
      <c r="C214" s="26" t="s">
        <v>21</v>
      </c>
      <c r="D214" s="26" t="s">
        <v>375</v>
      </c>
      <c r="E214" s="26" t="s">
        <v>16</v>
      </c>
      <c r="F214" s="26" t="s">
        <v>1045</v>
      </c>
      <c r="G214" s="26" t="s">
        <v>161</v>
      </c>
      <c r="H214" s="27" t="s">
        <v>1048</v>
      </c>
      <c r="I214" s="26" t="s">
        <v>27</v>
      </c>
      <c r="J214" s="28" t="s">
        <v>41</v>
      </c>
      <c r="K214" s="123">
        <v>150</v>
      </c>
      <c r="L214" s="29">
        <v>30.956449999999997</v>
      </c>
      <c r="M214" s="110">
        <v>21.35</v>
      </c>
      <c r="N214" s="30">
        <v>0.28199999999999997</v>
      </c>
      <c r="O214" s="116">
        <v>6.0206999999999997</v>
      </c>
      <c r="P214" s="30">
        <v>7.4999999999999997E-2</v>
      </c>
      <c r="Q214" s="116">
        <v>1.6012500000000001</v>
      </c>
      <c r="R214" s="30">
        <v>7.0000000000000007E-2</v>
      </c>
      <c r="S214" s="116">
        <v>1.4945000000000002</v>
      </c>
      <c r="T214" s="117">
        <v>0.49</v>
      </c>
      <c r="U214" s="39">
        <v>1000</v>
      </c>
      <c r="V214" s="32"/>
      <c r="W214" s="33">
        <v>0</v>
      </c>
      <c r="X214" s="32"/>
      <c r="Y214" s="32"/>
      <c r="Z214" s="32"/>
      <c r="AA214" s="34"/>
      <c r="AB214" s="35">
        <f t="shared" si="30"/>
        <v>1000</v>
      </c>
      <c r="AC214" s="75">
        <f t="shared" si="31"/>
        <v>150000</v>
      </c>
      <c r="AD214" s="78">
        <f t="shared" si="32"/>
        <v>0</v>
      </c>
      <c r="AE214" s="72">
        <f t="shared" si="33"/>
        <v>150000</v>
      </c>
      <c r="AF214" s="75">
        <f t="shared" si="34"/>
        <v>30956.449999999997</v>
      </c>
      <c r="AG214" s="78">
        <f t="shared" si="35"/>
        <v>0</v>
      </c>
      <c r="AH214" s="72">
        <f t="shared" si="36"/>
        <v>30956.449999999997</v>
      </c>
      <c r="AI214" s="75">
        <f t="shared" si="37"/>
        <v>21350</v>
      </c>
      <c r="AJ214" s="78">
        <f t="shared" si="38"/>
        <v>0</v>
      </c>
      <c r="AK214" s="72">
        <f t="shared" si="39"/>
        <v>21350</v>
      </c>
    </row>
    <row r="215" spans="1:37" ht="15.95" customHeight="1">
      <c r="A215" s="25" t="s">
        <v>966</v>
      </c>
      <c r="B215" s="25" t="s">
        <v>949</v>
      </c>
      <c r="C215" s="26" t="s">
        <v>21</v>
      </c>
      <c r="D215" s="26" t="s">
        <v>375</v>
      </c>
      <c r="E215" s="26" t="s">
        <v>16</v>
      </c>
      <c r="F215" s="26" t="s">
        <v>1047</v>
      </c>
      <c r="G215" s="26" t="s">
        <v>161</v>
      </c>
      <c r="H215" s="27" t="s">
        <v>1048</v>
      </c>
      <c r="I215" s="26" t="s">
        <v>27</v>
      </c>
      <c r="J215" s="28" t="s">
        <v>43</v>
      </c>
      <c r="K215" s="123">
        <v>125</v>
      </c>
      <c r="L215" s="29">
        <v>23.321999999999999</v>
      </c>
      <c r="M215" s="110">
        <v>16</v>
      </c>
      <c r="N215" s="30">
        <v>0.28199999999999997</v>
      </c>
      <c r="O215" s="116">
        <v>4.5119999999999996</v>
      </c>
      <c r="P215" s="30">
        <v>7.4999999999999997E-2</v>
      </c>
      <c r="Q215" s="116">
        <v>1.2</v>
      </c>
      <c r="R215" s="30">
        <v>7.0000000000000007E-2</v>
      </c>
      <c r="S215" s="116">
        <v>1.1200000000000001</v>
      </c>
      <c r="T215" s="117">
        <v>0.49</v>
      </c>
      <c r="U215" s="39">
        <v>1000</v>
      </c>
      <c r="V215" s="32"/>
      <c r="W215" s="33">
        <v>0</v>
      </c>
      <c r="X215" s="32"/>
      <c r="Y215" s="32"/>
      <c r="Z215" s="32"/>
      <c r="AA215" s="34"/>
      <c r="AB215" s="35">
        <f t="shared" si="30"/>
        <v>1000</v>
      </c>
      <c r="AC215" s="75">
        <f t="shared" si="31"/>
        <v>125000</v>
      </c>
      <c r="AD215" s="78">
        <f t="shared" si="32"/>
        <v>0</v>
      </c>
      <c r="AE215" s="72">
        <f t="shared" si="33"/>
        <v>125000</v>
      </c>
      <c r="AF215" s="75">
        <f t="shared" si="34"/>
        <v>23322</v>
      </c>
      <c r="AG215" s="78">
        <f t="shared" si="35"/>
        <v>0</v>
      </c>
      <c r="AH215" s="72">
        <f t="shared" si="36"/>
        <v>23322</v>
      </c>
      <c r="AI215" s="75">
        <f t="shared" si="37"/>
        <v>16000</v>
      </c>
      <c r="AJ215" s="78">
        <f t="shared" si="38"/>
        <v>0</v>
      </c>
      <c r="AK215" s="72">
        <f t="shared" si="39"/>
        <v>16000</v>
      </c>
    </row>
    <row r="216" spans="1:37" ht="15.95" customHeight="1">
      <c r="A216" s="25" t="s">
        <v>966</v>
      </c>
      <c r="B216" s="25" t="s">
        <v>949</v>
      </c>
      <c r="C216" s="26" t="s">
        <v>21</v>
      </c>
      <c r="D216" s="26" t="s">
        <v>375</v>
      </c>
      <c r="E216" s="26" t="s">
        <v>16</v>
      </c>
      <c r="F216" s="26" t="s">
        <v>1045</v>
      </c>
      <c r="G216" s="26" t="s">
        <v>161</v>
      </c>
      <c r="H216" s="27" t="s">
        <v>1046</v>
      </c>
      <c r="I216" s="26" t="s">
        <v>27</v>
      </c>
      <c r="J216" s="28" t="s">
        <v>41</v>
      </c>
      <c r="K216" s="123">
        <v>150</v>
      </c>
      <c r="L216" s="29">
        <v>30.956449999999997</v>
      </c>
      <c r="M216" s="110">
        <v>21.35</v>
      </c>
      <c r="N216" s="30">
        <v>0.28199999999999997</v>
      </c>
      <c r="O216" s="116">
        <v>6.0206999999999997</v>
      </c>
      <c r="P216" s="30">
        <v>7.4999999999999997E-2</v>
      </c>
      <c r="Q216" s="116">
        <v>1.6012500000000001</v>
      </c>
      <c r="R216" s="30">
        <v>7.0000000000000007E-2</v>
      </c>
      <c r="S216" s="116">
        <v>1.4945000000000002</v>
      </c>
      <c r="T216" s="117">
        <v>0.49</v>
      </c>
      <c r="U216" s="39">
        <v>1200</v>
      </c>
      <c r="V216" s="32"/>
      <c r="W216" s="33">
        <v>0</v>
      </c>
      <c r="X216" s="32"/>
      <c r="Y216" s="32"/>
      <c r="Z216" s="32"/>
      <c r="AA216" s="34"/>
      <c r="AB216" s="35">
        <f t="shared" si="30"/>
        <v>1200</v>
      </c>
      <c r="AC216" s="75">
        <f t="shared" si="31"/>
        <v>180000</v>
      </c>
      <c r="AD216" s="78">
        <f t="shared" si="32"/>
        <v>0</v>
      </c>
      <c r="AE216" s="72">
        <f t="shared" si="33"/>
        <v>180000</v>
      </c>
      <c r="AF216" s="75">
        <f t="shared" si="34"/>
        <v>37147.74</v>
      </c>
      <c r="AG216" s="78">
        <f t="shared" si="35"/>
        <v>0</v>
      </c>
      <c r="AH216" s="72">
        <f t="shared" si="36"/>
        <v>37147.74</v>
      </c>
      <c r="AI216" s="75">
        <f t="shared" si="37"/>
        <v>25620</v>
      </c>
      <c r="AJ216" s="78">
        <f t="shared" si="38"/>
        <v>0</v>
      </c>
      <c r="AK216" s="72">
        <f t="shared" si="39"/>
        <v>25620</v>
      </c>
    </row>
    <row r="217" spans="1:37" ht="15.95" customHeight="1">
      <c r="A217" s="25" t="s">
        <v>966</v>
      </c>
      <c r="B217" s="25" t="s">
        <v>949</v>
      </c>
      <c r="C217" s="26" t="s">
        <v>21</v>
      </c>
      <c r="D217" s="26" t="s">
        <v>375</v>
      </c>
      <c r="E217" s="26" t="s">
        <v>16</v>
      </c>
      <c r="F217" s="26" t="s">
        <v>1047</v>
      </c>
      <c r="G217" s="26" t="s">
        <v>161</v>
      </c>
      <c r="H217" s="27" t="s">
        <v>1046</v>
      </c>
      <c r="I217" s="26" t="s">
        <v>27</v>
      </c>
      <c r="J217" s="28" t="s">
        <v>43</v>
      </c>
      <c r="K217" s="123">
        <v>125</v>
      </c>
      <c r="L217" s="29">
        <v>23.321999999999999</v>
      </c>
      <c r="M217" s="110">
        <v>16</v>
      </c>
      <c r="N217" s="30">
        <v>0.28199999999999997</v>
      </c>
      <c r="O217" s="116">
        <v>4.5119999999999996</v>
      </c>
      <c r="P217" s="30">
        <v>7.4999999999999997E-2</v>
      </c>
      <c r="Q217" s="116">
        <v>1.2</v>
      </c>
      <c r="R217" s="30">
        <v>7.0000000000000007E-2</v>
      </c>
      <c r="S217" s="116">
        <v>1.1200000000000001</v>
      </c>
      <c r="T217" s="117">
        <v>0.49</v>
      </c>
      <c r="U217" s="39">
        <v>1200</v>
      </c>
      <c r="V217" s="32"/>
      <c r="W217" s="33">
        <v>0</v>
      </c>
      <c r="X217" s="32"/>
      <c r="Y217" s="32"/>
      <c r="Z217" s="32"/>
      <c r="AA217" s="34"/>
      <c r="AB217" s="35">
        <f t="shared" si="30"/>
        <v>1200</v>
      </c>
      <c r="AC217" s="75">
        <f t="shared" si="31"/>
        <v>150000</v>
      </c>
      <c r="AD217" s="78">
        <f t="shared" si="32"/>
        <v>0</v>
      </c>
      <c r="AE217" s="72">
        <f t="shared" si="33"/>
        <v>150000</v>
      </c>
      <c r="AF217" s="75">
        <f t="shared" si="34"/>
        <v>27986.399999999998</v>
      </c>
      <c r="AG217" s="78">
        <f t="shared" si="35"/>
        <v>0</v>
      </c>
      <c r="AH217" s="72">
        <f t="shared" si="36"/>
        <v>27986.399999999998</v>
      </c>
      <c r="AI217" s="75">
        <f t="shared" si="37"/>
        <v>19200</v>
      </c>
      <c r="AJ217" s="78">
        <f t="shared" si="38"/>
        <v>0</v>
      </c>
      <c r="AK217" s="72">
        <f t="shared" si="39"/>
        <v>19200</v>
      </c>
    </row>
    <row r="218" spans="1:37" ht="15.95" customHeight="1">
      <c r="A218" s="25" t="s">
        <v>948</v>
      </c>
      <c r="B218" s="25" t="s">
        <v>949</v>
      </c>
      <c r="C218" s="26" t="s">
        <v>14</v>
      </c>
      <c r="D218" s="26" t="s">
        <v>375</v>
      </c>
      <c r="E218" s="26" t="s">
        <v>16</v>
      </c>
      <c r="F218" s="26" t="s">
        <v>1049</v>
      </c>
      <c r="G218" s="26" t="s">
        <v>1050</v>
      </c>
      <c r="H218" s="27" t="s">
        <v>1051</v>
      </c>
      <c r="I218" s="26" t="s">
        <v>19</v>
      </c>
      <c r="J218" s="28" t="s">
        <v>20</v>
      </c>
      <c r="K218" s="123">
        <v>175</v>
      </c>
      <c r="L218" s="29">
        <v>41.728000000000002</v>
      </c>
      <c r="M218" s="110">
        <v>29</v>
      </c>
      <c r="N218" s="30">
        <v>0.27700000000000002</v>
      </c>
      <c r="O218" s="116">
        <v>8.0330000000000013</v>
      </c>
      <c r="P218" s="30">
        <v>7.4999999999999997E-2</v>
      </c>
      <c r="Q218" s="116">
        <v>2.1749999999999998</v>
      </c>
      <c r="R218" s="30">
        <v>7.0000000000000007E-2</v>
      </c>
      <c r="S218" s="116">
        <v>2.0300000000000002</v>
      </c>
      <c r="T218" s="117">
        <v>0.49</v>
      </c>
      <c r="U218" s="39">
        <v>350</v>
      </c>
      <c r="V218" s="32">
        <v>713</v>
      </c>
      <c r="W218" s="33">
        <v>0</v>
      </c>
      <c r="X218" s="32"/>
      <c r="Y218" s="32"/>
      <c r="Z218" s="32"/>
      <c r="AA218" s="34">
        <v>12</v>
      </c>
      <c r="AB218" s="35">
        <f t="shared" si="30"/>
        <v>1075</v>
      </c>
      <c r="AC218" s="75">
        <f t="shared" si="31"/>
        <v>61250</v>
      </c>
      <c r="AD218" s="78">
        <f t="shared" si="32"/>
        <v>126875</v>
      </c>
      <c r="AE218" s="72">
        <f t="shared" si="33"/>
        <v>188125</v>
      </c>
      <c r="AF218" s="75">
        <f t="shared" si="34"/>
        <v>14604.800000000001</v>
      </c>
      <c r="AG218" s="78">
        <f t="shared" si="35"/>
        <v>30100.064000000002</v>
      </c>
      <c r="AH218" s="72">
        <f t="shared" si="36"/>
        <v>44704.864000000001</v>
      </c>
      <c r="AI218" s="75">
        <f t="shared" si="37"/>
        <v>10150</v>
      </c>
      <c r="AJ218" s="78">
        <f t="shared" si="38"/>
        <v>21025</v>
      </c>
      <c r="AK218" s="72">
        <f t="shared" si="39"/>
        <v>31175</v>
      </c>
    </row>
    <row r="219" spans="1:37" ht="15.95" customHeight="1">
      <c r="A219" s="25" t="s">
        <v>948</v>
      </c>
      <c r="B219" s="25" t="s">
        <v>949</v>
      </c>
      <c r="C219" s="26" t="s">
        <v>21</v>
      </c>
      <c r="D219" s="26" t="s">
        <v>375</v>
      </c>
      <c r="E219" s="26" t="s">
        <v>16</v>
      </c>
      <c r="F219" s="26" t="s">
        <v>1052</v>
      </c>
      <c r="G219" s="26" t="s">
        <v>1050</v>
      </c>
      <c r="H219" s="27" t="s">
        <v>1051</v>
      </c>
      <c r="I219" s="26" t="s">
        <v>19</v>
      </c>
      <c r="J219" s="28" t="s">
        <v>23</v>
      </c>
      <c r="K219" s="123">
        <v>150</v>
      </c>
      <c r="L219" s="29">
        <v>33.242000000000004</v>
      </c>
      <c r="M219" s="110">
        <v>23</v>
      </c>
      <c r="N219" s="30">
        <v>0.27900000000000003</v>
      </c>
      <c r="O219" s="116">
        <v>6.4170000000000007</v>
      </c>
      <c r="P219" s="30">
        <v>7.4999999999999997E-2</v>
      </c>
      <c r="Q219" s="116">
        <v>1.7249999999999999</v>
      </c>
      <c r="R219" s="30">
        <v>7.0000000000000007E-2</v>
      </c>
      <c r="S219" s="116">
        <v>1.61</v>
      </c>
      <c r="T219" s="117">
        <v>0.49</v>
      </c>
      <c r="U219" s="39">
        <v>300</v>
      </c>
      <c r="V219" s="32">
        <v>654</v>
      </c>
      <c r="W219" s="33">
        <v>0</v>
      </c>
      <c r="X219" s="32"/>
      <c r="Y219" s="32"/>
      <c r="Z219" s="32"/>
      <c r="AA219" s="34">
        <v>12</v>
      </c>
      <c r="AB219" s="35">
        <f t="shared" si="30"/>
        <v>966</v>
      </c>
      <c r="AC219" s="75">
        <f t="shared" si="31"/>
        <v>45000</v>
      </c>
      <c r="AD219" s="78">
        <f t="shared" si="32"/>
        <v>99900</v>
      </c>
      <c r="AE219" s="72">
        <f t="shared" si="33"/>
        <v>144900</v>
      </c>
      <c r="AF219" s="75">
        <f t="shared" si="34"/>
        <v>9972.6000000000022</v>
      </c>
      <c r="AG219" s="78">
        <f t="shared" si="35"/>
        <v>22016.268000000004</v>
      </c>
      <c r="AH219" s="72">
        <f t="shared" si="36"/>
        <v>31988.868000000006</v>
      </c>
      <c r="AI219" s="75">
        <f t="shared" si="37"/>
        <v>6900</v>
      </c>
      <c r="AJ219" s="78">
        <f t="shared" si="38"/>
        <v>15318</v>
      </c>
      <c r="AK219" s="72">
        <f t="shared" si="39"/>
        <v>22218</v>
      </c>
    </row>
    <row r="220" spans="1:37" ht="15.95" customHeight="1">
      <c r="A220" s="25" t="s">
        <v>948</v>
      </c>
      <c r="B220" s="25" t="s">
        <v>949</v>
      </c>
      <c r="C220" s="26" t="s">
        <v>14</v>
      </c>
      <c r="D220" s="26" t="s">
        <v>375</v>
      </c>
      <c r="E220" s="26" t="s">
        <v>16</v>
      </c>
      <c r="F220" s="26" t="s">
        <v>1053</v>
      </c>
      <c r="G220" s="26" t="s">
        <v>1054</v>
      </c>
      <c r="H220" s="27" t="s">
        <v>1055</v>
      </c>
      <c r="I220" s="26" t="s">
        <v>27</v>
      </c>
      <c r="J220" s="28" t="s">
        <v>41</v>
      </c>
      <c r="K220" s="123">
        <v>175</v>
      </c>
      <c r="L220" s="29">
        <v>36.093649999999997</v>
      </c>
      <c r="M220" s="110">
        <v>24.95</v>
      </c>
      <c r="N220" s="30">
        <v>0.28199999999999997</v>
      </c>
      <c r="O220" s="116">
        <v>7.0358999999999989</v>
      </c>
      <c r="P220" s="30">
        <v>7.4999999999999997E-2</v>
      </c>
      <c r="Q220" s="116">
        <v>1.8712499999999999</v>
      </c>
      <c r="R220" s="30">
        <v>7.0000000000000007E-2</v>
      </c>
      <c r="S220" s="116">
        <v>1.7465000000000002</v>
      </c>
      <c r="T220" s="117">
        <v>0.49</v>
      </c>
      <c r="U220" s="39">
        <v>400</v>
      </c>
      <c r="V220" s="32">
        <v>345</v>
      </c>
      <c r="W220" s="33">
        <v>0</v>
      </c>
      <c r="X220" s="32"/>
      <c r="Y220" s="32"/>
      <c r="Z220" s="32"/>
      <c r="AA220" s="34"/>
      <c r="AB220" s="35">
        <f t="shared" si="30"/>
        <v>745</v>
      </c>
      <c r="AC220" s="75">
        <f t="shared" si="31"/>
        <v>70000</v>
      </c>
      <c r="AD220" s="78">
        <f t="shared" si="32"/>
        <v>60375</v>
      </c>
      <c r="AE220" s="72">
        <f t="shared" si="33"/>
        <v>130375</v>
      </c>
      <c r="AF220" s="75">
        <f t="shared" si="34"/>
        <v>14437.46</v>
      </c>
      <c r="AG220" s="78">
        <f t="shared" si="35"/>
        <v>12452.309249999998</v>
      </c>
      <c r="AH220" s="72">
        <f t="shared" si="36"/>
        <v>26889.769249999998</v>
      </c>
      <c r="AI220" s="75">
        <f t="shared" si="37"/>
        <v>9980</v>
      </c>
      <c r="AJ220" s="78">
        <f t="shared" si="38"/>
        <v>8607.75</v>
      </c>
      <c r="AK220" s="72">
        <f t="shared" si="39"/>
        <v>18587.75</v>
      </c>
    </row>
    <row r="221" spans="1:37" ht="15.95" customHeight="1">
      <c r="A221" s="25" t="s">
        <v>948</v>
      </c>
      <c r="B221" s="25" t="s">
        <v>949</v>
      </c>
      <c r="C221" s="26" t="s">
        <v>21</v>
      </c>
      <c r="D221" s="26" t="s">
        <v>375</v>
      </c>
      <c r="E221" s="26" t="s">
        <v>16</v>
      </c>
      <c r="F221" s="26" t="s">
        <v>1056</v>
      </c>
      <c r="G221" s="26" t="s">
        <v>216</v>
      </c>
      <c r="H221" s="27" t="s">
        <v>1055</v>
      </c>
      <c r="I221" s="26" t="s">
        <v>27</v>
      </c>
      <c r="J221" s="28" t="s">
        <v>43</v>
      </c>
      <c r="K221" s="123">
        <v>150</v>
      </c>
      <c r="L221" s="29">
        <v>30.456999999999997</v>
      </c>
      <c r="M221" s="110">
        <v>21</v>
      </c>
      <c r="N221" s="30">
        <v>0.28199999999999997</v>
      </c>
      <c r="O221" s="116">
        <v>5.9219999999999997</v>
      </c>
      <c r="P221" s="30">
        <v>7.4999999999999997E-2</v>
      </c>
      <c r="Q221" s="116">
        <v>1.575</v>
      </c>
      <c r="R221" s="30">
        <v>7.0000000000000007E-2</v>
      </c>
      <c r="S221" s="116">
        <v>1.4700000000000002</v>
      </c>
      <c r="T221" s="117">
        <v>0.49</v>
      </c>
      <c r="U221" s="39">
        <v>350</v>
      </c>
      <c r="V221" s="32">
        <v>340</v>
      </c>
      <c r="W221" s="33">
        <v>0</v>
      </c>
      <c r="X221" s="32"/>
      <c r="Y221" s="32"/>
      <c r="Z221" s="32"/>
      <c r="AA221" s="34"/>
      <c r="AB221" s="35">
        <f t="shared" si="30"/>
        <v>690</v>
      </c>
      <c r="AC221" s="75">
        <f t="shared" si="31"/>
        <v>52500</v>
      </c>
      <c r="AD221" s="78">
        <f t="shared" si="32"/>
        <v>51000</v>
      </c>
      <c r="AE221" s="72">
        <f t="shared" si="33"/>
        <v>103500</v>
      </c>
      <c r="AF221" s="75">
        <f t="shared" si="34"/>
        <v>10659.949999999999</v>
      </c>
      <c r="AG221" s="78">
        <f t="shared" si="35"/>
        <v>10355.379999999999</v>
      </c>
      <c r="AH221" s="72">
        <f t="shared" si="36"/>
        <v>21015.329999999998</v>
      </c>
      <c r="AI221" s="75">
        <f t="shared" si="37"/>
        <v>7350</v>
      </c>
      <c r="AJ221" s="78">
        <f t="shared" si="38"/>
        <v>7140</v>
      </c>
      <c r="AK221" s="72">
        <f t="shared" si="39"/>
        <v>14490</v>
      </c>
    </row>
    <row r="222" spans="1:37" ht="15.95" customHeight="1">
      <c r="A222" s="25" t="s">
        <v>948</v>
      </c>
      <c r="B222" s="25" t="s">
        <v>949</v>
      </c>
      <c r="C222" s="26" t="s">
        <v>14</v>
      </c>
      <c r="D222" s="26" t="s">
        <v>375</v>
      </c>
      <c r="E222" s="26" t="s">
        <v>16</v>
      </c>
      <c r="F222" s="26" t="s">
        <v>1053</v>
      </c>
      <c r="G222" s="26" t="s">
        <v>216</v>
      </c>
      <c r="H222" s="27" t="s">
        <v>1057</v>
      </c>
      <c r="I222" s="26" t="s">
        <v>27</v>
      </c>
      <c r="J222" s="37" t="s">
        <v>41</v>
      </c>
      <c r="K222" s="123">
        <v>175</v>
      </c>
      <c r="L222" s="29">
        <v>36.093649999999997</v>
      </c>
      <c r="M222" s="110">
        <v>24.95</v>
      </c>
      <c r="N222" s="30">
        <v>0.28199999999999997</v>
      </c>
      <c r="O222" s="116">
        <v>7.0358999999999989</v>
      </c>
      <c r="P222" s="30">
        <v>7.4999999999999997E-2</v>
      </c>
      <c r="Q222" s="116">
        <v>1.8712499999999999</v>
      </c>
      <c r="R222" s="30">
        <v>7.0000000000000007E-2</v>
      </c>
      <c r="S222" s="116">
        <v>1.7465000000000002</v>
      </c>
      <c r="T222" s="117">
        <v>0.49</v>
      </c>
      <c r="U222" s="39">
        <v>300</v>
      </c>
      <c r="V222" s="32">
        <v>186</v>
      </c>
      <c r="W222" s="33">
        <v>21</v>
      </c>
      <c r="X222" s="32"/>
      <c r="Y222" s="32"/>
      <c r="Z222" s="32"/>
      <c r="AA222" s="34"/>
      <c r="AB222" s="35">
        <f t="shared" si="30"/>
        <v>507</v>
      </c>
      <c r="AC222" s="75">
        <f t="shared" si="31"/>
        <v>52500</v>
      </c>
      <c r="AD222" s="78">
        <f t="shared" si="32"/>
        <v>36225</v>
      </c>
      <c r="AE222" s="72">
        <f t="shared" si="33"/>
        <v>88725</v>
      </c>
      <c r="AF222" s="75">
        <f t="shared" si="34"/>
        <v>10828.094999999999</v>
      </c>
      <c r="AG222" s="78">
        <f t="shared" si="35"/>
        <v>7471.3855499999991</v>
      </c>
      <c r="AH222" s="72">
        <f t="shared" si="36"/>
        <v>18299.48055</v>
      </c>
      <c r="AI222" s="75">
        <f t="shared" si="37"/>
        <v>7485</v>
      </c>
      <c r="AJ222" s="78">
        <f t="shared" si="38"/>
        <v>5164.6499999999996</v>
      </c>
      <c r="AK222" s="72">
        <f t="shared" si="39"/>
        <v>12649.65</v>
      </c>
    </row>
    <row r="223" spans="1:37" ht="15.95" customHeight="1">
      <c r="A223" s="25" t="s">
        <v>948</v>
      </c>
      <c r="B223" s="25" t="s">
        <v>949</v>
      </c>
      <c r="C223" s="26" t="s">
        <v>21</v>
      </c>
      <c r="D223" s="26" t="s">
        <v>375</v>
      </c>
      <c r="E223" s="26" t="s">
        <v>16</v>
      </c>
      <c r="F223" s="26" t="s">
        <v>1056</v>
      </c>
      <c r="G223" s="26" t="s">
        <v>216</v>
      </c>
      <c r="H223" s="27" t="s">
        <v>1057</v>
      </c>
      <c r="I223" s="26" t="s">
        <v>27</v>
      </c>
      <c r="J223" s="37" t="s">
        <v>43</v>
      </c>
      <c r="K223" s="123">
        <v>150</v>
      </c>
      <c r="L223" s="29">
        <v>30.456999999999997</v>
      </c>
      <c r="M223" s="110">
        <v>21</v>
      </c>
      <c r="N223" s="30">
        <v>0.28199999999999997</v>
      </c>
      <c r="O223" s="116">
        <v>5.9219999999999997</v>
      </c>
      <c r="P223" s="30">
        <v>7.4999999999999997E-2</v>
      </c>
      <c r="Q223" s="116">
        <v>1.575</v>
      </c>
      <c r="R223" s="30">
        <v>7.0000000000000007E-2</v>
      </c>
      <c r="S223" s="116">
        <v>1.4700000000000002</v>
      </c>
      <c r="T223" s="117">
        <v>0.49</v>
      </c>
      <c r="U223" s="39">
        <v>250</v>
      </c>
      <c r="V223" s="32">
        <v>186</v>
      </c>
      <c r="W223" s="33">
        <v>70</v>
      </c>
      <c r="X223" s="32"/>
      <c r="Y223" s="32"/>
      <c r="Z223" s="32"/>
      <c r="AA223" s="34"/>
      <c r="AB223" s="35">
        <f t="shared" si="30"/>
        <v>506</v>
      </c>
      <c r="AC223" s="75">
        <f t="shared" si="31"/>
        <v>37500</v>
      </c>
      <c r="AD223" s="78">
        <f t="shared" si="32"/>
        <v>38400</v>
      </c>
      <c r="AE223" s="72">
        <f t="shared" si="33"/>
        <v>75900</v>
      </c>
      <c r="AF223" s="75">
        <f t="shared" si="34"/>
        <v>7614.2499999999991</v>
      </c>
      <c r="AG223" s="78">
        <f t="shared" si="35"/>
        <v>7796.9919999999993</v>
      </c>
      <c r="AH223" s="72">
        <f t="shared" si="36"/>
        <v>15411.241999999998</v>
      </c>
      <c r="AI223" s="75">
        <f t="shared" si="37"/>
        <v>5250</v>
      </c>
      <c r="AJ223" s="78">
        <f t="shared" si="38"/>
        <v>5376</v>
      </c>
      <c r="AK223" s="72">
        <f t="shared" si="39"/>
        <v>10626</v>
      </c>
    </row>
    <row r="224" spans="1:37" ht="15.95" customHeight="1">
      <c r="A224" s="25" t="s">
        <v>948</v>
      </c>
      <c r="B224" s="25" t="s">
        <v>949</v>
      </c>
      <c r="C224" s="26" t="s">
        <v>14</v>
      </c>
      <c r="D224" s="26" t="s">
        <v>375</v>
      </c>
      <c r="E224" s="26" t="s">
        <v>16</v>
      </c>
      <c r="F224" s="26" t="s">
        <v>1058</v>
      </c>
      <c r="G224" s="26" t="s">
        <v>150</v>
      </c>
      <c r="H224" s="27" t="s">
        <v>1059</v>
      </c>
      <c r="I224" s="26" t="s">
        <v>27</v>
      </c>
      <c r="J224" s="37" t="s">
        <v>41</v>
      </c>
      <c r="K224" s="123">
        <v>125</v>
      </c>
      <c r="L224" s="29">
        <v>24.748999999999999</v>
      </c>
      <c r="M224" s="110">
        <v>17</v>
      </c>
      <c r="N224" s="30">
        <v>0.28199999999999997</v>
      </c>
      <c r="O224" s="116">
        <v>4.7939999999999996</v>
      </c>
      <c r="P224" s="30">
        <v>7.4999999999999997E-2</v>
      </c>
      <c r="Q224" s="116">
        <v>1.2749999999999999</v>
      </c>
      <c r="R224" s="30">
        <v>7.0000000000000007E-2</v>
      </c>
      <c r="S224" s="116">
        <v>1.1900000000000002</v>
      </c>
      <c r="T224" s="117">
        <v>0.49</v>
      </c>
      <c r="U224" s="39">
        <v>500</v>
      </c>
      <c r="V224" s="32">
        <v>345</v>
      </c>
      <c r="W224" s="33">
        <v>0</v>
      </c>
      <c r="X224" s="32"/>
      <c r="Y224" s="32"/>
      <c r="Z224" s="32"/>
      <c r="AA224" s="34">
        <v>12</v>
      </c>
      <c r="AB224" s="35">
        <f t="shared" si="30"/>
        <v>857</v>
      </c>
      <c r="AC224" s="75">
        <f t="shared" si="31"/>
        <v>62500</v>
      </c>
      <c r="AD224" s="78">
        <f t="shared" si="32"/>
        <v>44625</v>
      </c>
      <c r="AE224" s="72">
        <f t="shared" si="33"/>
        <v>107125</v>
      </c>
      <c r="AF224" s="75">
        <f t="shared" si="34"/>
        <v>12374.5</v>
      </c>
      <c r="AG224" s="78">
        <f t="shared" si="35"/>
        <v>8742.4049999999988</v>
      </c>
      <c r="AH224" s="72">
        <f t="shared" si="36"/>
        <v>21116.904999999999</v>
      </c>
      <c r="AI224" s="75">
        <f t="shared" si="37"/>
        <v>8500</v>
      </c>
      <c r="AJ224" s="78">
        <f t="shared" si="38"/>
        <v>6069</v>
      </c>
      <c r="AK224" s="72">
        <f t="shared" si="39"/>
        <v>14569</v>
      </c>
    </row>
    <row r="225" spans="1:37" ht="15.95" customHeight="1">
      <c r="A225" s="25" t="s">
        <v>948</v>
      </c>
      <c r="B225" s="25" t="s">
        <v>949</v>
      </c>
      <c r="C225" s="26" t="s">
        <v>982</v>
      </c>
      <c r="D225" s="26" t="s">
        <v>375</v>
      </c>
      <c r="E225" s="26" t="s">
        <v>16</v>
      </c>
      <c r="F225" s="26" t="s">
        <v>1060</v>
      </c>
      <c r="G225" s="26" t="s">
        <v>150</v>
      </c>
      <c r="H225" s="27" t="s">
        <v>1059</v>
      </c>
      <c r="I225" s="26" t="s">
        <v>27</v>
      </c>
      <c r="J225" s="28" t="s">
        <v>35</v>
      </c>
      <c r="K225" s="123">
        <v>88</v>
      </c>
      <c r="L225" s="29">
        <v>20.43946</v>
      </c>
      <c r="M225" s="110">
        <v>13.98</v>
      </c>
      <c r="N225" s="30">
        <v>0.28199999999999997</v>
      </c>
      <c r="O225" s="116">
        <v>3.9423599999999999</v>
      </c>
      <c r="P225" s="30">
        <v>7.4999999999999997E-2</v>
      </c>
      <c r="Q225" s="116">
        <v>1.0485</v>
      </c>
      <c r="R225" s="30">
        <v>7.0000000000000007E-2</v>
      </c>
      <c r="S225" s="116">
        <v>0.97860000000000014</v>
      </c>
      <c r="T225" s="117">
        <v>0.49</v>
      </c>
      <c r="U225" s="39">
        <v>400</v>
      </c>
      <c r="V225" s="32">
        <v>330</v>
      </c>
      <c r="W225" s="33">
        <v>0</v>
      </c>
      <c r="X225" s="32"/>
      <c r="Y225" s="32"/>
      <c r="Z225" s="32"/>
      <c r="AA225" s="34">
        <v>12</v>
      </c>
      <c r="AB225" s="35">
        <f t="shared" si="30"/>
        <v>742</v>
      </c>
      <c r="AC225" s="75">
        <f t="shared" si="31"/>
        <v>35200</v>
      </c>
      <c r="AD225" s="78">
        <f t="shared" si="32"/>
        <v>30096</v>
      </c>
      <c r="AE225" s="72">
        <f t="shared" si="33"/>
        <v>65296</v>
      </c>
      <c r="AF225" s="75">
        <f t="shared" si="34"/>
        <v>8175.7840000000006</v>
      </c>
      <c r="AG225" s="78">
        <f t="shared" si="35"/>
        <v>6912.7818000000007</v>
      </c>
      <c r="AH225" s="72">
        <f t="shared" si="36"/>
        <v>15088.5658</v>
      </c>
      <c r="AI225" s="75">
        <f t="shared" si="37"/>
        <v>5592</v>
      </c>
      <c r="AJ225" s="78">
        <f t="shared" si="38"/>
        <v>4781.16</v>
      </c>
      <c r="AK225" s="72">
        <f t="shared" si="39"/>
        <v>10373.16</v>
      </c>
    </row>
    <row r="226" spans="1:37" ht="15.95" customHeight="1">
      <c r="A226" s="25" t="s">
        <v>961</v>
      </c>
      <c r="B226" s="25" t="s">
        <v>949</v>
      </c>
      <c r="C226" s="26" t="s">
        <v>14</v>
      </c>
      <c r="D226" s="26" t="s">
        <v>375</v>
      </c>
      <c r="E226" s="26" t="s">
        <v>16</v>
      </c>
      <c r="F226" s="26" t="s">
        <v>1058</v>
      </c>
      <c r="G226" s="26" t="s">
        <v>150</v>
      </c>
      <c r="H226" s="27" t="s">
        <v>1059</v>
      </c>
      <c r="I226" s="26" t="s">
        <v>27</v>
      </c>
      <c r="J226" s="28" t="s">
        <v>41</v>
      </c>
      <c r="K226" s="123">
        <v>125</v>
      </c>
      <c r="L226" s="29">
        <v>24.748999999999999</v>
      </c>
      <c r="M226" s="110">
        <v>17</v>
      </c>
      <c r="N226" s="30">
        <v>0.28199999999999997</v>
      </c>
      <c r="O226" s="116">
        <v>4.7939999999999996</v>
      </c>
      <c r="P226" s="30">
        <v>7.4999999999999997E-2</v>
      </c>
      <c r="Q226" s="116">
        <v>1.2749999999999999</v>
      </c>
      <c r="R226" s="30">
        <v>7.0000000000000007E-2</v>
      </c>
      <c r="S226" s="116">
        <v>1.1900000000000002</v>
      </c>
      <c r="T226" s="117">
        <v>0.49</v>
      </c>
      <c r="U226" s="39">
        <v>300</v>
      </c>
      <c r="V226" s="32"/>
      <c r="W226" s="33">
        <v>0</v>
      </c>
      <c r="X226" s="32"/>
      <c r="Y226" s="32"/>
      <c r="Z226" s="32"/>
      <c r="AA226" s="34"/>
      <c r="AB226" s="35">
        <f t="shared" si="30"/>
        <v>300</v>
      </c>
      <c r="AC226" s="75">
        <f t="shared" si="31"/>
        <v>37500</v>
      </c>
      <c r="AD226" s="78">
        <f t="shared" si="32"/>
        <v>0</v>
      </c>
      <c r="AE226" s="72">
        <f t="shared" si="33"/>
        <v>37500</v>
      </c>
      <c r="AF226" s="75">
        <f t="shared" si="34"/>
        <v>7424.7</v>
      </c>
      <c r="AG226" s="78">
        <f t="shared" si="35"/>
        <v>0</v>
      </c>
      <c r="AH226" s="72">
        <f t="shared" si="36"/>
        <v>7424.7</v>
      </c>
      <c r="AI226" s="75">
        <f t="shared" si="37"/>
        <v>5100</v>
      </c>
      <c r="AJ226" s="78">
        <f t="shared" si="38"/>
        <v>0</v>
      </c>
      <c r="AK226" s="72">
        <f t="shared" si="39"/>
        <v>5100</v>
      </c>
    </row>
    <row r="227" spans="1:37" ht="15.95" customHeight="1">
      <c r="A227" s="25" t="s">
        <v>961</v>
      </c>
      <c r="B227" s="25" t="s">
        <v>949</v>
      </c>
      <c r="C227" s="26" t="s">
        <v>982</v>
      </c>
      <c r="D227" s="26" t="s">
        <v>375</v>
      </c>
      <c r="E227" s="26" t="s">
        <v>16</v>
      </c>
      <c r="F227" s="26" t="s">
        <v>1060</v>
      </c>
      <c r="G227" s="26" t="s">
        <v>150</v>
      </c>
      <c r="H227" s="27" t="s">
        <v>1059</v>
      </c>
      <c r="I227" s="26" t="s">
        <v>27</v>
      </c>
      <c r="J227" s="28" t="s">
        <v>35</v>
      </c>
      <c r="K227" s="123">
        <v>88</v>
      </c>
      <c r="L227" s="29">
        <v>20.43946</v>
      </c>
      <c r="M227" s="110">
        <v>13.98</v>
      </c>
      <c r="N227" s="30">
        <v>0.28199999999999997</v>
      </c>
      <c r="O227" s="116">
        <v>3.9423599999999999</v>
      </c>
      <c r="P227" s="30">
        <v>7.4999999999999997E-2</v>
      </c>
      <c r="Q227" s="116">
        <v>1.0485</v>
      </c>
      <c r="R227" s="30">
        <v>7.0000000000000007E-2</v>
      </c>
      <c r="S227" s="116">
        <v>0.97860000000000014</v>
      </c>
      <c r="T227" s="117">
        <v>0.49</v>
      </c>
      <c r="U227" s="39">
        <v>300</v>
      </c>
      <c r="V227" s="32"/>
      <c r="W227" s="33">
        <v>0</v>
      </c>
      <c r="X227" s="32"/>
      <c r="Y227" s="32"/>
      <c r="Z227" s="32"/>
      <c r="AA227" s="34"/>
      <c r="AB227" s="35">
        <f t="shared" si="30"/>
        <v>300</v>
      </c>
      <c r="AC227" s="75">
        <f t="shared" si="31"/>
        <v>26400</v>
      </c>
      <c r="AD227" s="78">
        <f t="shared" si="32"/>
        <v>0</v>
      </c>
      <c r="AE227" s="72">
        <f t="shared" si="33"/>
        <v>26400</v>
      </c>
      <c r="AF227" s="75">
        <f t="shared" si="34"/>
        <v>6131.8379999999997</v>
      </c>
      <c r="AG227" s="78">
        <f t="shared" si="35"/>
        <v>0</v>
      </c>
      <c r="AH227" s="72">
        <f t="shared" si="36"/>
        <v>6131.8379999999997</v>
      </c>
      <c r="AI227" s="75">
        <f t="shared" si="37"/>
        <v>4194</v>
      </c>
      <c r="AJ227" s="78">
        <f t="shared" si="38"/>
        <v>0</v>
      </c>
      <c r="AK227" s="72">
        <f t="shared" si="39"/>
        <v>4194</v>
      </c>
    </row>
    <row r="228" spans="1:37" ht="15.95" customHeight="1">
      <c r="A228" s="25" t="s">
        <v>948</v>
      </c>
      <c r="B228" s="25" t="s">
        <v>949</v>
      </c>
      <c r="C228" s="26" t="s">
        <v>14</v>
      </c>
      <c r="D228" s="26" t="s">
        <v>375</v>
      </c>
      <c r="E228" s="26" t="s">
        <v>16</v>
      </c>
      <c r="F228" s="26" t="s">
        <v>1058</v>
      </c>
      <c r="G228" s="26" t="s">
        <v>150</v>
      </c>
      <c r="H228" s="27" t="s">
        <v>1059</v>
      </c>
      <c r="I228" s="26" t="s">
        <v>27</v>
      </c>
      <c r="J228" s="28" t="s">
        <v>41</v>
      </c>
      <c r="K228" s="123">
        <v>125</v>
      </c>
      <c r="L228" s="29">
        <v>24.748999999999999</v>
      </c>
      <c r="M228" s="110">
        <v>17</v>
      </c>
      <c r="N228" s="30">
        <v>0.28199999999999997</v>
      </c>
      <c r="O228" s="116">
        <v>4.7939999999999996</v>
      </c>
      <c r="P228" s="30">
        <v>7.4999999999999997E-2</v>
      </c>
      <c r="Q228" s="116">
        <v>1.2749999999999999</v>
      </c>
      <c r="R228" s="30">
        <v>7.0000000000000007E-2</v>
      </c>
      <c r="S228" s="116">
        <v>1.1900000000000002</v>
      </c>
      <c r="T228" s="117">
        <v>0.49</v>
      </c>
      <c r="U228" s="39">
        <v>400</v>
      </c>
      <c r="V228" s="32">
        <v>228</v>
      </c>
      <c r="W228" s="33">
        <v>0</v>
      </c>
      <c r="X228" s="32"/>
      <c r="Y228" s="32"/>
      <c r="Z228" s="32"/>
      <c r="AA228" s="34">
        <v>12</v>
      </c>
      <c r="AB228" s="35">
        <f t="shared" si="30"/>
        <v>640</v>
      </c>
      <c r="AC228" s="75">
        <f t="shared" si="31"/>
        <v>50000</v>
      </c>
      <c r="AD228" s="78">
        <f t="shared" si="32"/>
        <v>30000</v>
      </c>
      <c r="AE228" s="72">
        <f t="shared" si="33"/>
        <v>80000</v>
      </c>
      <c r="AF228" s="75">
        <f t="shared" si="34"/>
        <v>9899.6</v>
      </c>
      <c r="AG228" s="78">
        <f t="shared" si="35"/>
        <v>5846.7719999999999</v>
      </c>
      <c r="AH228" s="72">
        <f t="shared" si="36"/>
        <v>15746.371999999999</v>
      </c>
      <c r="AI228" s="75">
        <f t="shared" si="37"/>
        <v>6800</v>
      </c>
      <c r="AJ228" s="78">
        <f t="shared" si="38"/>
        <v>4080</v>
      </c>
      <c r="AK228" s="72">
        <f t="shared" si="39"/>
        <v>10880</v>
      </c>
    </row>
    <row r="229" spans="1:37" ht="15.95" customHeight="1">
      <c r="A229" s="25" t="s">
        <v>948</v>
      </c>
      <c r="B229" s="25" t="s">
        <v>949</v>
      </c>
      <c r="C229" s="26" t="s">
        <v>982</v>
      </c>
      <c r="D229" s="26" t="s">
        <v>375</v>
      </c>
      <c r="E229" s="26" t="s">
        <v>16</v>
      </c>
      <c r="F229" s="26" t="s">
        <v>1060</v>
      </c>
      <c r="G229" s="26" t="s">
        <v>150</v>
      </c>
      <c r="H229" s="27" t="s">
        <v>1059</v>
      </c>
      <c r="I229" s="26" t="s">
        <v>27</v>
      </c>
      <c r="J229" s="37" t="s">
        <v>35</v>
      </c>
      <c r="K229" s="123">
        <v>88</v>
      </c>
      <c r="L229" s="29">
        <v>20.43946</v>
      </c>
      <c r="M229" s="110">
        <v>13.98</v>
      </c>
      <c r="N229" s="30">
        <v>0.28199999999999997</v>
      </c>
      <c r="O229" s="116">
        <v>3.9423599999999999</v>
      </c>
      <c r="P229" s="30">
        <v>7.4999999999999997E-2</v>
      </c>
      <c r="Q229" s="116">
        <v>1.0485</v>
      </c>
      <c r="R229" s="30">
        <v>7.0000000000000007E-2</v>
      </c>
      <c r="S229" s="116">
        <v>0.97860000000000014</v>
      </c>
      <c r="T229" s="117">
        <v>0.49</v>
      </c>
      <c r="U229" s="39">
        <v>350</v>
      </c>
      <c r="V229" s="32">
        <v>233</v>
      </c>
      <c r="W229" s="33">
        <v>0</v>
      </c>
      <c r="X229" s="32"/>
      <c r="Y229" s="32"/>
      <c r="Z229" s="32"/>
      <c r="AA229" s="34">
        <v>12</v>
      </c>
      <c r="AB229" s="35">
        <f t="shared" si="30"/>
        <v>595</v>
      </c>
      <c r="AC229" s="75">
        <f t="shared" si="31"/>
        <v>30800</v>
      </c>
      <c r="AD229" s="78">
        <f t="shared" si="32"/>
        <v>21560</v>
      </c>
      <c r="AE229" s="72">
        <f t="shared" si="33"/>
        <v>52360</v>
      </c>
      <c r="AF229" s="75">
        <f t="shared" si="34"/>
        <v>7153.8109999999997</v>
      </c>
      <c r="AG229" s="78">
        <f t="shared" si="35"/>
        <v>4930.1541800000005</v>
      </c>
      <c r="AH229" s="72">
        <f t="shared" si="36"/>
        <v>12083.965179999999</v>
      </c>
      <c r="AI229" s="75">
        <f t="shared" si="37"/>
        <v>4893</v>
      </c>
      <c r="AJ229" s="78">
        <f t="shared" si="38"/>
        <v>3425.1</v>
      </c>
      <c r="AK229" s="72">
        <f t="shared" si="39"/>
        <v>8318.1</v>
      </c>
    </row>
    <row r="230" spans="1:37" ht="15.95" customHeight="1">
      <c r="A230" s="25" t="s">
        <v>961</v>
      </c>
      <c r="B230" s="25" t="s">
        <v>949</v>
      </c>
      <c r="C230" s="26" t="s">
        <v>14</v>
      </c>
      <c r="D230" s="26" t="s">
        <v>375</v>
      </c>
      <c r="E230" s="26" t="s">
        <v>16</v>
      </c>
      <c r="F230" s="26" t="s">
        <v>1058</v>
      </c>
      <c r="G230" s="26" t="s">
        <v>150</v>
      </c>
      <c r="H230" s="27" t="s">
        <v>1059</v>
      </c>
      <c r="I230" s="26" t="s">
        <v>27</v>
      </c>
      <c r="J230" s="28" t="s">
        <v>41</v>
      </c>
      <c r="K230" s="123">
        <v>125</v>
      </c>
      <c r="L230" s="29">
        <v>24.748999999999999</v>
      </c>
      <c r="M230" s="110">
        <v>17</v>
      </c>
      <c r="N230" s="30">
        <v>0.28199999999999997</v>
      </c>
      <c r="O230" s="116">
        <v>4.7939999999999996</v>
      </c>
      <c r="P230" s="30">
        <v>7.4999999999999997E-2</v>
      </c>
      <c r="Q230" s="116">
        <v>1.2749999999999999</v>
      </c>
      <c r="R230" s="30">
        <v>7.0000000000000007E-2</v>
      </c>
      <c r="S230" s="116">
        <v>1.1900000000000002</v>
      </c>
      <c r="T230" s="117">
        <v>0.49</v>
      </c>
      <c r="U230" s="39">
        <v>300</v>
      </c>
      <c r="V230" s="32"/>
      <c r="W230" s="33">
        <v>0</v>
      </c>
      <c r="X230" s="32"/>
      <c r="Y230" s="32"/>
      <c r="Z230" s="32"/>
      <c r="AA230" s="34"/>
      <c r="AB230" s="35">
        <f t="shared" si="30"/>
        <v>300</v>
      </c>
      <c r="AC230" s="75">
        <f t="shared" si="31"/>
        <v>37500</v>
      </c>
      <c r="AD230" s="78">
        <f t="shared" si="32"/>
        <v>0</v>
      </c>
      <c r="AE230" s="72">
        <f t="shared" si="33"/>
        <v>37500</v>
      </c>
      <c r="AF230" s="75">
        <f t="shared" si="34"/>
        <v>7424.7</v>
      </c>
      <c r="AG230" s="78">
        <f t="shared" si="35"/>
        <v>0</v>
      </c>
      <c r="AH230" s="72">
        <f t="shared" si="36"/>
        <v>7424.7</v>
      </c>
      <c r="AI230" s="75">
        <f t="shared" si="37"/>
        <v>5100</v>
      </c>
      <c r="AJ230" s="78">
        <f t="shared" si="38"/>
        <v>0</v>
      </c>
      <c r="AK230" s="72">
        <f t="shared" si="39"/>
        <v>5100</v>
      </c>
    </row>
    <row r="231" spans="1:37" ht="15.95" customHeight="1">
      <c r="A231" s="25" t="s">
        <v>961</v>
      </c>
      <c r="B231" s="25" t="s">
        <v>949</v>
      </c>
      <c r="C231" s="26" t="s">
        <v>982</v>
      </c>
      <c r="D231" s="26" t="s">
        <v>375</v>
      </c>
      <c r="E231" s="26" t="s">
        <v>16</v>
      </c>
      <c r="F231" s="26" t="s">
        <v>1060</v>
      </c>
      <c r="G231" s="26" t="s">
        <v>150</v>
      </c>
      <c r="H231" s="27" t="s">
        <v>1059</v>
      </c>
      <c r="I231" s="26" t="s">
        <v>27</v>
      </c>
      <c r="J231" s="28" t="s">
        <v>35</v>
      </c>
      <c r="K231" s="123">
        <v>88</v>
      </c>
      <c r="L231" s="29">
        <v>20.43946</v>
      </c>
      <c r="M231" s="110">
        <v>13.98</v>
      </c>
      <c r="N231" s="30">
        <v>0.28199999999999997</v>
      </c>
      <c r="O231" s="116">
        <v>3.9423599999999999</v>
      </c>
      <c r="P231" s="30">
        <v>7.4999999999999997E-2</v>
      </c>
      <c r="Q231" s="116">
        <v>1.0485</v>
      </c>
      <c r="R231" s="30">
        <v>7.0000000000000007E-2</v>
      </c>
      <c r="S231" s="116">
        <v>0.97860000000000014</v>
      </c>
      <c r="T231" s="117">
        <v>0.49</v>
      </c>
      <c r="U231" s="39">
        <v>300</v>
      </c>
      <c r="V231" s="32"/>
      <c r="W231" s="33">
        <v>0</v>
      </c>
      <c r="X231" s="32"/>
      <c r="Y231" s="32"/>
      <c r="Z231" s="32"/>
      <c r="AA231" s="34"/>
      <c r="AB231" s="35">
        <f t="shared" si="30"/>
        <v>300</v>
      </c>
      <c r="AC231" s="75">
        <f t="shared" si="31"/>
        <v>26400</v>
      </c>
      <c r="AD231" s="78">
        <f t="shared" si="32"/>
        <v>0</v>
      </c>
      <c r="AE231" s="72">
        <f t="shared" si="33"/>
        <v>26400</v>
      </c>
      <c r="AF231" s="75">
        <f t="shared" si="34"/>
        <v>6131.8379999999997</v>
      </c>
      <c r="AG231" s="78">
        <f t="shared" si="35"/>
        <v>0</v>
      </c>
      <c r="AH231" s="72">
        <f t="shared" si="36"/>
        <v>6131.8379999999997</v>
      </c>
      <c r="AI231" s="75">
        <f t="shared" si="37"/>
        <v>4194</v>
      </c>
      <c r="AJ231" s="78">
        <f t="shared" si="38"/>
        <v>0</v>
      </c>
      <c r="AK231" s="72">
        <f t="shared" si="39"/>
        <v>4194</v>
      </c>
    </row>
    <row r="232" spans="1:37" ht="15.95" customHeight="1">
      <c r="A232" s="25" t="s">
        <v>948</v>
      </c>
      <c r="B232" s="25" t="s">
        <v>949</v>
      </c>
      <c r="C232" s="26" t="s">
        <v>164</v>
      </c>
      <c r="D232" s="26" t="s">
        <v>375</v>
      </c>
      <c r="E232" s="26" t="s">
        <v>16</v>
      </c>
      <c r="F232" s="26" t="s">
        <v>1061</v>
      </c>
      <c r="G232" s="26" t="s">
        <v>166</v>
      </c>
      <c r="H232" s="27" t="s">
        <v>1062</v>
      </c>
      <c r="I232" s="26" t="s">
        <v>167</v>
      </c>
      <c r="J232" s="28" t="s">
        <v>46</v>
      </c>
      <c r="K232" s="123">
        <v>195</v>
      </c>
      <c r="L232" s="29">
        <v>41.436749999999996</v>
      </c>
      <c r="M232" s="110">
        <v>27.95</v>
      </c>
      <c r="N232" s="30">
        <v>0.32</v>
      </c>
      <c r="O232" s="116">
        <v>8.9440000000000008</v>
      </c>
      <c r="P232" s="30">
        <v>7.4999999999999997E-2</v>
      </c>
      <c r="Q232" s="116">
        <v>2.0962499999999999</v>
      </c>
      <c r="R232" s="30">
        <v>7.0000000000000007E-2</v>
      </c>
      <c r="S232" s="116">
        <v>1.9565000000000001</v>
      </c>
      <c r="T232" s="117">
        <v>0.49</v>
      </c>
      <c r="U232" s="39">
        <v>150</v>
      </c>
      <c r="V232" s="32">
        <v>169</v>
      </c>
      <c r="W232" s="33">
        <v>100</v>
      </c>
      <c r="X232" s="32"/>
      <c r="Y232" s="32"/>
      <c r="Z232" s="32"/>
      <c r="AA232" s="34"/>
      <c r="AB232" s="35">
        <f t="shared" si="30"/>
        <v>419</v>
      </c>
      <c r="AC232" s="75">
        <f t="shared" si="31"/>
        <v>29250</v>
      </c>
      <c r="AD232" s="78">
        <f t="shared" si="32"/>
        <v>52455</v>
      </c>
      <c r="AE232" s="72">
        <f t="shared" si="33"/>
        <v>81705</v>
      </c>
      <c r="AF232" s="75">
        <f t="shared" si="34"/>
        <v>6215.5124999999998</v>
      </c>
      <c r="AG232" s="78">
        <f t="shared" si="35"/>
        <v>11146.48575</v>
      </c>
      <c r="AH232" s="72">
        <f t="shared" si="36"/>
        <v>17361.998250000001</v>
      </c>
      <c r="AI232" s="75">
        <f t="shared" si="37"/>
        <v>4192.5</v>
      </c>
      <c r="AJ232" s="78">
        <f t="shared" si="38"/>
        <v>7518.55</v>
      </c>
      <c r="AK232" s="72">
        <f t="shared" si="39"/>
        <v>11711.05</v>
      </c>
    </row>
    <row r="233" spans="1:37" ht="15.95" customHeight="1">
      <c r="A233" s="25" t="s">
        <v>948</v>
      </c>
      <c r="B233" s="25" t="s">
        <v>949</v>
      </c>
      <c r="C233" s="26" t="s">
        <v>164</v>
      </c>
      <c r="D233" s="26" t="s">
        <v>375</v>
      </c>
      <c r="E233" s="26" t="s">
        <v>16</v>
      </c>
      <c r="F233" s="26" t="s">
        <v>1063</v>
      </c>
      <c r="G233" s="26" t="s">
        <v>166</v>
      </c>
      <c r="H233" s="27" t="s">
        <v>1062</v>
      </c>
      <c r="I233" s="26" t="s">
        <v>167</v>
      </c>
      <c r="J233" s="28" t="s">
        <v>35</v>
      </c>
      <c r="K233" s="123">
        <v>145</v>
      </c>
      <c r="L233" s="29">
        <v>33.953150000000001</v>
      </c>
      <c r="M233" s="110">
        <v>23.45</v>
      </c>
      <c r="N233" s="30">
        <v>0.28199999999999997</v>
      </c>
      <c r="O233" s="116">
        <v>6.6128999999999989</v>
      </c>
      <c r="P233" s="30">
        <v>7.4999999999999997E-2</v>
      </c>
      <c r="Q233" s="116">
        <v>1.7587499999999998</v>
      </c>
      <c r="R233" s="30">
        <v>7.0000000000000007E-2</v>
      </c>
      <c r="S233" s="116">
        <v>1.6415000000000002</v>
      </c>
      <c r="T233" s="117">
        <v>0.49</v>
      </c>
      <c r="U233" s="39">
        <v>143</v>
      </c>
      <c r="V233" s="32">
        <v>163</v>
      </c>
      <c r="W233" s="33">
        <v>99</v>
      </c>
      <c r="X233" s="32"/>
      <c r="Y233" s="32"/>
      <c r="Z233" s="32"/>
      <c r="AA233" s="34"/>
      <c r="AB233" s="35">
        <f t="shared" si="30"/>
        <v>405</v>
      </c>
      <c r="AC233" s="75">
        <f t="shared" si="31"/>
        <v>20735</v>
      </c>
      <c r="AD233" s="78">
        <f t="shared" si="32"/>
        <v>37990</v>
      </c>
      <c r="AE233" s="72">
        <f t="shared" si="33"/>
        <v>58725</v>
      </c>
      <c r="AF233" s="75">
        <f t="shared" si="34"/>
        <v>4855.3004499999997</v>
      </c>
      <c r="AG233" s="78">
        <f t="shared" si="35"/>
        <v>8895.7253000000001</v>
      </c>
      <c r="AH233" s="72">
        <f t="shared" si="36"/>
        <v>13751.025750000001</v>
      </c>
      <c r="AI233" s="75">
        <f t="shared" si="37"/>
        <v>3353.35</v>
      </c>
      <c r="AJ233" s="78">
        <f t="shared" si="38"/>
        <v>6143.9</v>
      </c>
      <c r="AK233" s="72">
        <f t="shared" si="39"/>
        <v>9497.25</v>
      </c>
    </row>
    <row r="234" spans="1:37" ht="15.95" customHeight="1">
      <c r="A234" s="25" t="s">
        <v>948</v>
      </c>
      <c r="B234" s="25" t="s">
        <v>949</v>
      </c>
      <c r="C234" s="26" t="s">
        <v>164</v>
      </c>
      <c r="D234" s="26" t="s">
        <v>375</v>
      </c>
      <c r="E234" s="26" t="s">
        <v>1064</v>
      </c>
      <c r="F234" s="26" t="s">
        <v>1061</v>
      </c>
      <c r="G234" s="36" t="s">
        <v>166</v>
      </c>
      <c r="H234" s="27" t="s">
        <v>1062</v>
      </c>
      <c r="I234" s="26" t="s">
        <v>167</v>
      </c>
      <c r="J234" s="28" t="s">
        <v>46</v>
      </c>
      <c r="K234" s="123">
        <v>195</v>
      </c>
      <c r="L234" s="29">
        <v>41.436749999999996</v>
      </c>
      <c r="M234" s="110">
        <v>27.95</v>
      </c>
      <c r="N234" s="30">
        <v>0.32</v>
      </c>
      <c r="O234" s="116">
        <v>8.9440000000000008</v>
      </c>
      <c r="P234" s="30">
        <v>7.4999999999999997E-2</v>
      </c>
      <c r="Q234" s="116">
        <v>2.0962499999999999</v>
      </c>
      <c r="R234" s="30">
        <v>7.0000000000000007E-2</v>
      </c>
      <c r="S234" s="116">
        <v>1.9565000000000001</v>
      </c>
      <c r="T234" s="117">
        <v>0.49</v>
      </c>
      <c r="U234" s="39">
        <v>150</v>
      </c>
      <c r="V234" s="32">
        <v>276</v>
      </c>
      <c r="W234" s="33">
        <v>100</v>
      </c>
      <c r="X234" s="32"/>
      <c r="Y234" s="32"/>
      <c r="Z234" s="32"/>
      <c r="AA234" s="34"/>
      <c r="AB234" s="35">
        <f t="shared" si="30"/>
        <v>526</v>
      </c>
      <c r="AC234" s="75">
        <f t="shared" si="31"/>
        <v>29250</v>
      </c>
      <c r="AD234" s="78">
        <f t="shared" si="32"/>
        <v>73320</v>
      </c>
      <c r="AE234" s="72">
        <f t="shared" si="33"/>
        <v>102570</v>
      </c>
      <c r="AF234" s="75">
        <f t="shared" si="34"/>
        <v>6215.5124999999998</v>
      </c>
      <c r="AG234" s="78">
        <f t="shared" si="35"/>
        <v>15580.217999999999</v>
      </c>
      <c r="AH234" s="72">
        <f t="shared" si="36"/>
        <v>21795.730499999998</v>
      </c>
      <c r="AI234" s="75">
        <f t="shared" si="37"/>
        <v>4192.5</v>
      </c>
      <c r="AJ234" s="78">
        <f t="shared" si="38"/>
        <v>10509.199999999999</v>
      </c>
      <c r="AK234" s="72">
        <f t="shared" si="39"/>
        <v>14701.699999999999</v>
      </c>
    </row>
    <row r="235" spans="1:37" ht="15.95" customHeight="1">
      <c r="A235" s="25" t="s">
        <v>948</v>
      </c>
      <c r="B235" s="25" t="s">
        <v>949</v>
      </c>
      <c r="C235" s="26" t="s">
        <v>164</v>
      </c>
      <c r="D235" s="26" t="s">
        <v>375</v>
      </c>
      <c r="E235" s="26" t="s">
        <v>1064</v>
      </c>
      <c r="F235" s="26" t="s">
        <v>1063</v>
      </c>
      <c r="G235" s="36" t="s">
        <v>166</v>
      </c>
      <c r="H235" s="27" t="s">
        <v>1062</v>
      </c>
      <c r="I235" s="26" t="s">
        <v>167</v>
      </c>
      <c r="J235" s="28" t="s">
        <v>35</v>
      </c>
      <c r="K235" s="123">
        <v>145</v>
      </c>
      <c r="L235" s="29">
        <v>33.953150000000001</v>
      </c>
      <c r="M235" s="110">
        <v>23.45</v>
      </c>
      <c r="N235" s="30">
        <v>0.28199999999999997</v>
      </c>
      <c r="O235" s="116">
        <v>6.6128999999999989</v>
      </c>
      <c r="P235" s="30">
        <v>7.4999999999999997E-2</v>
      </c>
      <c r="Q235" s="116">
        <v>1.7587499999999998</v>
      </c>
      <c r="R235" s="30">
        <v>7.0000000000000007E-2</v>
      </c>
      <c r="S235" s="116">
        <v>1.6415000000000002</v>
      </c>
      <c r="T235" s="117">
        <v>0.49</v>
      </c>
      <c r="U235" s="39">
        <v>151</v>
      </c>
      <c r="V235" s="32">
        <v>270</v>
      </c>
      <c r="W235" s="33">
        <v>99</v>
      </c>
      <c r="X235" s="32"/>
      <c r="Y235" s="32"/>
      <c r="Z235" s="32"/>
      <c r="AA235" s="34"/>
      <c r="AB235" s="35">
        <f t="shared" si="30"/>
        <v>520</v>
      </c>
      <c r="AC235" s="75">
        <f t="shared" si="31"/>
        <v>21895</v>
      </c>
      <c r="AD235" s="78">
        <f t="shared" si="32"/>
        <v>53505</v>
      </c>
      <c r="AE235" s="72">
        <f t="shared" si="33"/>
        <v>75400</v>
      </c>
      <c r="AF235" s="75">
        <f t="shared" si="34"/>
        <v>5126.9256500000001</v>
      </c>
      <c r="AG235" s="78">
        <f t="shared" si="35"/>
        <v>12528.71235</v>
      </c>
      <c r="AH235" s="72">
        <f t="shared" si="36"/>
        <v>17655.637999999999</v>
      </c>
      <c r="AI235" s="75">
        <f t="shared" si="37"/>
        <v>3540.95</v>
      </c>
      <c r="AJ235" s="78">
        <f t="shared" si="38"/>
        <v>8653.0499999999993</v>
      </c>
      <c r="AK235" s="72">
        <f t="shared" si="39"/>
        <v>12194</v>
      </c>
    </row>
    <row r="236" spans="1:37" ht="15.95" customHeight="1">
      <c r="A236" s="25" t="s">
        <v>948</v>
      </c>
      <c r="B236" s="25" t="s">
        <v>949</v>
      </c>
      <c r="C236" s="26" t="s">
        <v>164</v>
      </c>
      <c r="D236" s="26" t="s">
        <v>375</v>
      </c>
      <c r="E236" s="26" t="s">
        <v>1064</v>
      </c>
      <c r="F236" s="26" t="s">
        <v>1065</v>
      </c>
      <c r="G236" s="36" t="s">
        <v>166</v>
      </c>
      <c r="H236" s="27" t="s">
        <v>1066</v>
      </c>
      <c r="I236" s="26" t="s">
        <v>167</v>
      </c>
      <c r="J236" s="28" t="s">
        <v>168</v>
      </c>
      <c r="K236" s="123">
        <v>250</v>
      </c>
      <c r="L236" s="29">
        <v>62.723199999999999</v>
      </c>
      <c r="M236" s="110">
        <v>42.48</v>
      </c>
      <c r="N236" s="30">
        <v>0.32</v>
      </c>
      <c r="O236" s="116">
        <v>13.593599999999999</v>
      </c>
      <c r="P236" s="30">
        <v>7.4999999999999997E-2</v>
      </c>
      <c r="Q236" s="116">
        <v>3.1859999999999995</v>
      </c>
      <c r="R236" s="30">
        <v>7.0000000000000007E-2</v>
      </c>
      <c r="S236" s="116">
        <v>2.9736000000000002</v>
      </c>
      <c r="T236" s="117">
        <v>0.49</v>
      </c>
      <c r="U236" s="39">
        <v>200</v>
      </c>
      <c r="V236" s="32"/>
      <c r="W236" s="33">
        <v>0</v>
      </c>
      <c r="X236" s="32"/>
      <c r="Y236" s="32"/>
      <c r="Z236" s="32"/>
      <c r="AA236" s="34"/>
      <c r="AB236" s="35">
        <f t="shared" si="30"/>
        <v>200</v>
      </c>
      <c r="AC236" s="75">
        <f t="shared" si="31"/>
        <v>50000</v>
      </c>
      <c r="AD236" s="78">
        <f t="shared" si="32"/>
        <v>0</v>
      </c>
      <c r="AE236" s="72">
        <f t="shared" si="33"/>
        <v>50000</v>
      </c>
      <c r="AF236" s="75">
        <f t="shared" si="34"/>
        <v>12544.64</v>
      </c>
      <c r="AG236" s="78">
        <f t="shared" si="35"/>
        <v>0</v>
      </c>
      <c r="AH236" s="72">
        <f t="shared" si="36"/>
        <v>12544.64</v>
      </c>
      <c r="AI236" s="75">
        <f t="shared" si="37"/>
        <v>8496</v>
      </c>
      <c r="AJ236" s="78">
        <f t="shared" si="38"/>
        <v>0</v>
      </c>
      <c r="AK236" s="72">
        <f t="shared" si="39"/>
        <v>8496</v>
      </c>
    </row>
    <row r="237" spans="1:37" ht="15.95" customHeight="1">
      <c r="A237" s="25" t="s">
        <v>948</v>
      </c>
      <c r="B237" s="25" t="s">
        <v>949</v>
      </c>
      <c r="C237" s="26" t="s">
        <v>164</v>
      </c>
      <c r="D237" s="26" t="s">
        <v>375</v>
      </c>
      <c r="E237" s="26" t="s">
        <v>1064</v>
      </c>
      <c r="F237" s="26" t="s">
        <v>1067</v>
      </c>
      <c r="G237" s="36" t="s">
        <v>166</v>
      </c>
      <c r="H237" s="27" t="s">
        <v>1066</v>
      </c>
      <c r="I237" s="26" t="s">
        <v>167</v>
      </c>
      <c r="J237" s="28" t="s">
        <v>43</v>
      </c>
      <c r="K237" s="123">
        <v>225</v>
      </c>
      <c r="L237" s="29">
        <v>52.546959999999999</v>
      </c>
      <c r="M237" s="110">
        <v>36.479999999999997</v>
      </c>
      <c r="N237" s="30">
        <v>0.28199999999999997</v>
      </c>
      <c r="O237" s="116">
        <v>10.287359999999998</v>
      </c>
      <c r="P237" s="30">
        <v>7.4999999999999997E-2</v>
      </c>
      <c r="Q237" s="116">
        <v>2.7359999999999998</v>
      </c>
      <c r="R237" s="30">
        <v>7.0000000000000007E-2</v>
      </c>
      <c r="S237" s="116">
        <v>2.5535999999999999</v>
      </c>
      <c r="T237" s="117">
        <v>0.49</v>
      </c>
      <c r="U237" s="39">
        <v>150</v>
      </c>
      <c r="V237" s="32"/>
      <c r="W237" s="33">
        <v>0</v>
      </c>
      <c r="X237" s="32"/>
      <c r="Y237" s="32"/>
      <c r="Z237" s="32"/>
      <c r="AA237" s="34"/>
      <c r="AB237" s="35">
        <f t="shared" si="30"/>
        <v>150</v>
      </c>
      <c r="AC237" s="75">
        <f t="shared" si="31"/>
        <v>33750</v>
      </c>
      <c r="AD237" s="78">
        <f t="shared" si="32"/>
        <v>0</v>
      </c>
      <c r="AE237" s="72">
        <f t="shared" si="33"/>
        <v>33750</v>
      </c>
      <c r="AF237" s="75">
        <f t="shared" si="34"/>
        <v>7882.0439999999999</v>
      </c>
      <c r="AG237" s="78">
        <f t="shared" si="35"/>
        <v>0</v>
      </c>
      <c r="AH237" s="72">
        <f t="shared" si="36"/>
        <v>7882.0439999999999</v>
      </c>
      <c r="AI237" s="75">
        <f t="shared" si="37"/>
        <v>5471.9999999999991</v>
      </c>
      <c r="AJ237" s="78">
        <f t="shared" si="38"/>
        <v>0</v>
      </c>
      <c r="AK237" s="72">
        <f t="shared" si="39"/>
        <v>5471.9999999999991</v>
      </c>
    </row>
    <row r="238" spans="1:37" ht="15.95" customHeight="1">
      <c r="A238" s="25" t="s">
        <v>948</v>
      </c>
      <c r="B238" s="25" t="s">
        <v>949</v>
      </c>
      <c r="C238" s="26" t="s">
        <v>164</v>
      </c>
      <c r="D238" s="26" t="s">
        <v>375</v>
      </c>
      <c r="E238" s="26" t="s">
        <v>1064</v>
      </c>
      <c r="F238" s="26" t="s">
        <v>1065</v>
      </c>
      <c r="G238" s="36" t="s">
        <v>166</v>
      </c>
      <c r="H238" s="27" t="s">
        <v>1066</v>
      </c>
      <c r="I238" s="26" t="s">
        <v>167</v>
      </c>
      <c r="J238" s="28" t="s">
        <v>168</v>
      </c>
      <c r="K238" s="123">
        <v>250</v>
      </c>
      <c r="L238" s="29">
        <v>62.723199999999999</v>
      </c>
      <c r="M238" s="110">
        <v>42.48</v>
      </c>
      <c r="N238" s="30">
        <v>0.32</v>
      </c>
      <c r="O238" s="116">
        <v>13.593599999999999</v>
      </c>
      <c r="P238" s="30">
        <v>7.4999999999999997E-2</v>
      </c>
      <c r="Q238" s="116">
        <v>3.1859999999999995</v>
      </c>
      <c r="R238" s="30">
        <v>7.0000000000000007E-2</v>
      </c>
      <c r="S238" s="116">
        <v>2.9736000000000002</v>
      </c>
      <c r="T238" s="117">
        <v>0.49</v>
      </c>
      <c r="U238" s="39">
        <v>200</v>
      </c>
      <c r="V238" s="32">
        <v>8</v>
      </c>
      <c r="W238" s="33">
        <v>0</v>
      </c>
      <c r="X238" s="32"/>
      <c r="Y238" s="32"/>
      <c r="Z238" s="32"/>
      <c r="AA238" s="34"/>
      <c r="AB238" s="35">
        <f t="shared" si="30"/>
        <v>208</v>
      </c>
      <c r="AC238" s="75">
        <f t="shared" si="31"/>
        <v>50000</v>
      </c>
      <c r="AD238" s="78">
        <f t="shared" si="32"/>
        <v>2000</v>
      </c>
      <c r="AE238" s="72">
        <f t="shared" si="33"/>
        <v>52000</v>
      </c>
      <c r="AF238" s="75">
        <f t="shared" si="34"/>
        <v>12544.64</v>
      </c>
      <c r="AG238" s="78">
        <f t="shared" si="35"/>
        <v>501.78559999999999</v>
      </c>
      <c r="AH238" s="72">
        <f t="shared" si="36"/>
        <v>13046.425599999999</v>
      </c>
      <c r="AI238" s="75">
        <f t="shared" si="37"/>
        <v>8496</v>
      </c>
      <c r="AJ238" s="78">
        <f t="shared" si="38"/>
        <v>339.84</v>
      </c>
      <c r="AK238" s="72">
        <f t="shared" si="39"/>
        <v>8835.84</v>
      </c>
    </row>
    <row r="239" spans="1:37" ht="15.95" customHeight="1">
      <c r="A239" s="25" t="s">
        <v>948</v>
      </c>
      <c r="B239" s="25" t="s">
        <v>949</v>
      </c>
      <c r="C239" s="26" t="s">
        <v>164</v>
      </c>
      <c r="D239" s="26" t="s">
        <v>375</v>
      </c>
      <c r="E239" s="26" t="s">
        <v>16</v>
      </c>
      <c r="F239" s="26" t="s">
        <v>1067</v>
      </c>
      <c r="G239" s="26" t="s">
        <v>166</v>
      </c>
      <c r="H239" s="27" t="s">
        <v>1068</v>
      </c>
      <c r="I239" s="26" t="s">
        <v>167</v>
      </c>
      <c r="J239" s="28" t="s">
        <v>43</v>
      </c>
      <c r="K239" s="123">
        <v>225</v>
      </c>
      <c r="L239" s="29">
        <v>52.546959999999999</v>
      </c>
      <c r="M239" s="110">
        <v>36.479999999999997</v>
      </c>
      <c r="N239" s="30">
        <v>0.28199999999999997</v>
      </c>
      <c r="O239" s="116">
        <v>10.287359999999998</v>
      </c>
      <c r="P239" s="30">
        <v>7.4999999999999997E-2</v>
      </c>
      <c r="Q239" s="116">
        <v>2.7359999999999998</v>
      </c>
      <c r="R239" s="30">
        <v>7.0000000000000007E-2</v>
      </c>
      <c r="S239" s="116">
        <v>2.5535999999999999</v>
      </c>
      <c r="T239" s="117">
        <v>0.49</v>
      </c>
      <c r="U239" s="31">
        <v>150</v>
      </c>
      <c r="V239" s="32">
        <v>8</v>
      </c>
      <c r="W239" s="33">
        <v>0</v>
      </c>
      <c r="X239" s="32"/>
      <c r="Y239" s="32"/>
      <c r="Z239" s="32"/>
      <c r="AA239" s="34"/>
      <c r="AB239" s="35">
        <f t="shared" si="30"/>
        <v>158</v>
      </c>
      <c r="AC239" s="75">
        <f t="shared" si="31"/>
        <v>33750</v>
      </c>
      <c r="AD239" s="78">
        <f t="shared" si="32"/>
        <v>1800</v>
      </c>
      <c r="AE239" s="72">
        <f t="shared" si="33"/>
        <v>35550</v>
      </c>
      <c r="AF239" s="75">
        <f t="shared" si="34"/>
        <v>7882.0439999999999</v>
      </c>
      <c r="AG239" s="78">
        <f t="shared" si="35"/>
        <v>420.37567999999999</v>
      </c>
      <c r="AH239" s="72">
        <f t="shared" si="36"/>
        <v>8302.4196799999991</v>
      </c>
      <c r="AI239" s="75">
        <f t="shared" si="37"/>
        <v>5471.9999999999991</v>
      </c>
      <c r="AJ239" s="78">
        <f t="shared" si="38"/>
        <v>291.83999999999997</v>
      </c>
      <c r="AK239" s="72">
        <f t="shared" si="39"/>
        <v>5763.8399999999992</v>
      </c>
    </row>
    <row r="240" spans="1:37" ht="15.95" customHeight="1">
      <c r="A240" s="25" t="s">
        <v>948</v>
      </c>
      <c r="B240" s="25" t="s">
        <v>949</v>
      </c>
      <c r="C240" s="26" t="s">
        <v>164</v>
      </c>
      <c r="D240" s="26" t="s">
        <v>375</v>
      </c>
      <c r="E240" s="26" t="s">
        <v>16</v>
      </c>
      <c r="F240" s="26" t="s">
        <v>1069</v>
      </c>
      <c r="G240" s="26" t="s">
        <v>1070</v>
      </c>
      <c r="H240" s="27" t="s">
        <v>1071</v>
      </c>
      <c r="I240" s="26" t="s">
        <v>167</v>
      </c>
      <c r="J240" s="28" t="s">
        <v>172</v>
      </c>
      <c r="K240" s="123">
        <v>250</v>
      </c>
      <c r="L240" s="29">
        <v>54.854999999999997</v>
      </c>
      <c r="M240" s="110">
        <v>41.5</v>
      </c>
      <c r="N240" s="30">
        <v>0.16500000000000001</v>
      </c>
      <c r="O240" s="116">
        <v>6.8475000000000001</v>
      </c>
      <c r="P240" s="30">
        <v>7.4999999999999997E-2</v>
      </c>
      <c r="Q240" s="116">
        <v>3.1124999999999998</v>
      </c>
      <c r="R240" s="30">
        <v>7.0000000000000007E-2</v>
      </c>
      <c r="S240" s="116">
        <v>2.9050000000000002</v>
      </c>
      <c r="T240" s="117">
        <v>0.49</v>
      </c>
      <c r="U240" s="31">
        <v>200</v>
      </c>
      <c r="V240" s="32"/>
      <c r="W240" s="33">
        <v>0</v>
      </c>
      <c r="X240" s="32"/>
      <c r="Y240" s="32"/>
      <c r="Z240" s="32"/>
      <c r="AA240" s="34"/>
      <c r="AB240" s="35">
        <f t="shared" si="30"/>
        <v>200</v>
      </c>
      <c r="AC240" s="75">
        <f t="shared" si="31"/>
        <v>50000</v>
      </c>
      <c r="AD240" s="78">
        <f t="shared" si="32"/>
        <v>0</v>
      </c>
      <c r="AE240" s="72">
        <f t="shared" si="33"/>
        <v>50000</v>
      </c>
      <c r="AF240" s="75">
        <f t="shared" si="34"/>
        <v>10971</v>
      </c>
      <c r="AG240" s="78">
        <f t="shared" si="35"/>
        <v>0</v>
      </c>
      <c r="AH240" s="72">
        <f t="shared" si="36"/>
        <v>10971</v>
      </c>
      <c r="AI240" s="75">
        <f t="shared" si="37"/>
        <v>8300</v>
      </c>
      <c r="AJ240" s="78">
        <f t="shared" si="38"/>
        <v>0</v>
      </c>
      <c r="AK240" s="72">
        <f t="shared" si="39"/>
        <v>8300</v>
      </c>
    </row>
    <row r="241" spans="1:37" ht="15.95" customHeight="1">
      <c r="A241" s="25" t="s">
        <v>948</v>
      </c>
      <c r="B241" s="25" t="s">
        <v>949</v>
      </c>
      <c r="C241" s="26" t="s">
        <v>164</v>
      </c>
      <c r="D241" s="26" t="s">
        <v>375</v>
      </c>
      <c r="E241" s="26" t="s">
        <v>16</v>
      </c>
      <c r="F241" s="26" t="s">
        <v>1072</v>
      </c>
      <c r="G241" s="26" t="s">
        <v>166</v>
      </c>
      <c r="H241" s="27" t="s">
        <v>1062</v>
      </c>
      <c r="I241" s="26" t="s">
        <v>167</v>
      </c>
      <c r="J241" s="28" t="s">
        <v>168</v>
      </c>
      <c r="K241" s="123">
        <v>185</v>
      </c>
      <c r="L241" s="29">
        <v>50.080250000000007</v>
      </c>
      <c r="M241" s="110">
        <v>33.85</v>
      </c>
      <c r="N241" s="30">
        <v>0.32</v>
      </c>
      <c r="O241" s="116">
        <v>10.832000000000001</v>
      </c>
      <c r="P241" s="30">
        <v>7.4999999999999997E-2</v>
      </c>
      <c r="Q241" s="116">
        <v>2.5387499999999998</v>
      </c>
      <c r="R241" s="30">
        <v>7.0000000000000007E-2</v>
      </c>
      <c r="S241" s="116">
        <v>2.3695000000000004</v>
      </c>
      <c r="T241" s="117">
        <v>0.49</v>
      </c>
      <c r="U241" s="31">
        <v>200</v>
      </c>
      <c r="V241" s="32">
        <v>3</v>
      </c>
      <c r="W241" s="33">
        <v>0</v>
      </c>
      <c r="X241" s="32"/>
      <c r="Y241" s="32"/>
      <c r="Z241" s="32"/>
      <c r="AA241" s="34"/>
      <c r="AB241" s="35">
        <f t="shared" si="30"/>
        <v>203</v>
      </c>
      <c r="AC241" s="75">
        <f t="shared" si="31"/>
        <v>37000</v>
      </c>
      <c r="AD241" s="78">
        <f t="shared" si="32"/>
        <v>555</v>
      </c>
      <c r="AE241" s="72">
        <f t="shared" si="33"/>
        <v>37555</v>
      </c>
      <c r="AF241" s="75">
        <f t="shared" si="34"/>
        <v>10016.050000000001</v>
      </c>
      <c r="AG241" s="78">
        <f t="shared" si="35"/>
        <v>150.24075000000002</v>
      </c>
      <c r="AH241" s="72">
        <f t="shared" si="36"/>
        <v>10166.290750000002</v>
      </c>
      <c r="AI241" s="75">
        <f t="shared" si="37"/>
        <v>6770</v>
      </c>
      <c r="AJ241" s="78">
        <f t="shared" si="38"/>
        <v>101.55000000000001</v>
      </c>
      <c r="AK241" s="72">
        <f t="shared" si="39"/>
        <v>6871.55</v>
      </c>
    </row>
    <row r="242" spans="1:37" ht="15.95" customHeight="1">
      <c r="A242" s="25" t="s">
        <v>948</v>
      </c>
      <c r="B242" s="25" t="s">
        <v>949</v>
      </c>
      <c r="C242" s="26" t="s">
        <v>164</v>
      </c>
      <c r="D242" s="26" t="s">
        <v>375</v>
      </c>
      <c r="E242" s="26" t="s">
        <v>16</v>
      </c>
      <c r="F242" s="26" t="s">
        <v>1073</v>
      </c>
      <c r="G242" s="26" t="s">
        <v>1074</v>
      </c>
      <c r="H242" s="27" t="s">
        <v>1075</v>
      </c>
      <c r="I242" s="26" t="s">
        <v>167</v>
      </c>
      <c r="J242" s="28" t="s">
        <v>172</v>
      </c>
      <c r="K242" s="123">
        <v>175</v>
      </c>
      <c r="L242" s="29">
        <v>34.222500000000004</v>
      </c>
      <c r="M242" s="110">
        <v>25.75</v>
      </c>
      <c r="N242" s="30">
        <v>0.16500000000000001</v>
      </c>
      <c r="O242" s="116">
        <v>4.2487500000000002</v>
      </c>
      <c r="P242" s="30">
        <v>7.4999999999999997E-2</v>
      </c>
      <c r="Q242" s="116">
        <v>1.9312499999999999</v>
      </c>
      <c r="R242" s="30">
        <v>7.0000000000000007E-2</v>
      </c>
      <c r="S242" s="116">
        <v>1.8025000000000002</v>
      </c>
      <c r="T242" s="117">
        <v>0.49</v>
      </c>
      <c r="U242" s="31">
        <v>600</v>
      </c>
      <c r="V242" s="32">
        <v>735</v>
      </c>
      <c r="W242" s="33">
        <v>0</v>
      </c>
      <c r="X242" s="32"/>
      <c r="Y242" s="32"/>
      <c r="Z242" s="32"/>
      <c r="AA242" s="34"/>
      <c r="AB242" s="35">
        <f t="shared" si="30"/>
        <v>1335</v>
      </c>
      <c r="AC242" s="75">
        <f t="shared" si="31"/>
        <v>105000</v>
      </c>
      <c r="AD242" s="78">
        <f t="shared" si="32"/>
        <v>128625</v>
      </c>
      <c r="AE242" s="72">
        <f t="shared" si="33"/>
        <v>233625</v>
      </c>
      <c r="AF242" s="75">
        <f t="shared" si="34"/>
        <v>20533.500000000004</v>
      </c>
      <c r="AG242" s="78">
        <f t="shared" si="35"/>
        <v>25153.537500000002</v>
      </c>
      <c r="AH242" s="72">
        <f t="shared" si="36"/>
        <v>45687.037500000006</v>
      </c>
      <c r="AI242" s="75">
        <f t="shared" si="37"/>
        <v>15450</v>
      </c>
      <c r="AJ242" s="78">
        <f t="shared" si="38"/>
        <v>18926.25</v>
      </c>
      <c r="AK242" s="72">
        <f t="shared" si="39"/>
        <v>34376.25</v>
      </c>
    </row>
    <row r="243" spans="1:37" ht="15.95" customHeight="1">
      <c r="A243" s="25" t="s">
        <v>948</v>
      </c>
      <c r="B243" s="25" t="s">
        <v>949</v>
      </c>
      <c r="C243" s="26" t="s">
        <v>164</v>
      </c>
      <c r="D243" s="26" t="s">
        <v>375</v>
      </c>
      <c r="E243" s="26" t="s">
        <v>16</v>
      </c>
      <c r="F243" s="26" t="s">
        <v>1076</v>
      </c>
      <c r="G243" s="36" t="s">
        <v>1074</v>
      </c>
      <c r="H243" s="27" t="s">
        <v>1077</v>
      </c>
      <c r="I243" s="26" t="s">
        <v>167</v>
      </c>
      <c r="J243" s="28" t="s">
        <v>174</v>
      </c>
      <c r="K243" s="123">
        <v>150</v>
      </c>
      <c r="L243" s="29">
        <v>32.160500000000006</v>
      </c>
      <c r="M243" s="110">
        <v>24.25</v>
      </c>
      <c r="N243" s="30">
        <v>0.161</v>
      </c>
      <c r="O243" s="116">
        <v>3.9042500000000002</v>
      </c>
      <c r="P243" s="30">
        <v>7.4999999999999997E-2</v>
      </c>
      <c r="Q243" s="116">
        <v>1.8187499999999999</v>
      </c>
      <c r="R243" s="30">
        <v>7.0000000000000007E-2</v>
      </c>
      <c r="S243" s="116">
        <v>1.6975000000000002</v>
      </c>
      <c r="T243" s="117">
        <v>0.49</v>
      </c>
      <c r="U243" s="31">
        <v>600</v>
      </c>
      <c r="V243" s="32">
        <v>714</v>
      </c>
      <c r="W243" s="33">
        <v>0</v>
      </c>
      <c r="X243" s="32"/>
      <c r="Y243" s="32"/>
      <c r="Z243" s="32"/>
      <c r="AA243" s="34"/>
      <c r="AB243" s="35">
        <f t="shared" si="30"/>
        <v>1314</v>
      </c>
      <c r="AC243" s="75">
        <f t="shared" si="31"/>
        <v>90000</v>
      </c>
      <c r="AD243" s="78">
        <f t="shared" si="32"/>
        <v>107100</v>
      </c>
      <c r="AE243" s="72">
        <f t="shared" si="33"/>
        <v>197100</v>
      </c>
      <c r="AF243" s="75">
        <f t="shared" si="34"/>
        <v>19296.300000000003</v>
      </c>
      <c r="AG243" s="78">
        <f t="shared" si="35"/>
        <v>22962.597000000005</v>
      </c>
      <c r="AH243" s="72">
        <f t="shared" si="36"/>
        <v>42258.897000000012</v>
      </c>
      <c r="AI243" s="75">
        <f t="shared" si="37"/>
        <v>14550</v>
      </c>
      <c r="AJ243" s="78">
        <f t="shared" si="38"/>
        <v>17314.5</v>
      </c>
      <c r="AK243" s="72">
        <f t="shared" si="39"/>
        <v>31864.5</v>
      </c>
    </row>
    <row r="244" spans="1:37" ht="15.95" customHeight="1">
      <c r="A244" s="25" t="s">
        <v>961</v>
      </c>
      <c r="B244" s="25" t="s">
        <v>949</v>
      </c>
      <c r="C244" s="26" t="s">
        <v>164</v>
      </c>
      <c r="D244" s="26" t="s">
        <v>375</v>
      </c>
      <c r="E244" s="26" t="s">
        <v>16</v>
      </c>
      <c r="F244" s="26" t="s">
        <v>1073</v>
      </c>
      <c r="G244" s="36" t="s">
        <v>1074</v>
      </c>
      <c r="H244" s="27" t="s">
        <v>1077</v>
      </c>
      <c r="I244" s="26" t="s">
        <v>167</v>
      </c>
      <c r="J244" s="28" t="s">
        <v>172</v>
      </c>
      <c r="K244" s="123">
        <v>175</v>
      </c>
      <c r="L244" s="29">
        <v>34.222500000000004</v>
      </c>
      <c r="M244" s="110">
        <v>25.75</v>
      </c>
      <c r="N244" s="30">
        <v>0.16500000000000001</v>
      </c>
      <c r="O244" s="116">
        <v>4.2487500000000002</v>
      </c>
      <c r="P244" s="30">
        <v>7.4999999999999997E-2</v>
      </c>
      <c r="Q244" s="116">
        <v>1.9312499999999999</v>
      </c>
      <c r="R244" s="30">
        <v>7.0000000000000007E-2</v>
      </c>
      <c r="S244" s="116">
        <v>1.8025000000000002</v>
      </c>
      <c r="T244" s="117">
        <v>0.49</v>
      </c>
      <c r="U244" s="31">
        <v>200</v>
      </c>
      <c r="V244" s="32"/>
      <c r="W244" s="33">
        <v>0</v>
      </c>
      <c r="X244" s="32"/>
      <c r="Y244" s="32"/>
      <c r="Z244" s="32"/>
      <c r="AA244" s="34"/>
      <c r="AB244" s="35">
        <f t="shared" si="30"/>
        <v>200</v>
      </c>
      <c r="AC244" s="75">
        <f t="shared" si="31"/>
        <v>35000</v>
      </c>
      <c r="AD244" s="78">
        <f t="shared" si="32"/>
        <v>0</v>
      </c>
      <c r="AE244" s="72">
        <f t="shared" si="33"/>
        <v>35000</v>
      </c>
      <c r="AF244" s="75">
        <f t="shared" si="34"/>
        <v>6844.5000000000009</v>
      </c>
      <c r="AG244" s="78">
        <f t="shared" si="35"/>
        <v>0</v>
      </c>
      <c r="AH244" s="72">
        <f t="shared" si="36"/>
        <v>6844.5000000000009</v>
      </c>
      <c r="AI244" s="75">
        <f t="shared" si="37"/>
        <v>5150</v>
      </c>
      <c r="AJ244" s="78">
        <f t="shared" si="38"/>
        <v>0</v>
      </c>
      <c r="AK244" s="72">
        <f t="shared" si="39"/>
        <v>5150</v>
      </c>
    </row>
    <row r="245" spans="1:37" ht="15.95" customHeight="1">
      <c r="A245" s="25" t="s">
        <v>961</v>
      </c>
      <c r="B245" s="25" t="s">
        <v>949</v>
      </c>
      <c r="C245" s="26" t="s">
        <v>164</v>
      </c>
      <c r="D245" s="26" t="s">
        <v>375</v>
      </c>
      <c r="E245" s="26" t="s">
        <v>16</v>
      </c>
      <c r="F245" s="26" t="s">
        <v>1076</v>
      </c>
      <c r="G245" s="26" t="s">
        <v>1074</v>
      </c>
      <c r="H245" s="27" t="s">
        <v>1077</v>
      </c>
      <c r="I245" s="26" t="s">
        <v>167</v>
      </c>
      <c r="J245" s="37" t="s">
        <v>174</v>
      </c>
      <c r="K245" s="123">
        <v>150</v>
      </c>
      <c r="L245" s="29">
        <v>32.160500000000006</v>
      </c>
      <c r="M245" s="110">
        <v>24.25</v>
      </c>
      <c r="N245" s="30">
        <v>0.161</v>
      </c>
      <c r="O245" s="116">
        <v>3.9042500000000002</v>
      </c>
      <c r="P245" s="30">
        <v>7.4999999999999997E-2</v>
      </c>
      <c r="Q245" s="116">
        <v>1.8187499999999999</v>
      </c>
      <c r="R245" s="30">
        <v>7.0000000000000007E-2</v>
      </c>
      <c r="S245" s="116">
        <v>1.6975000000000002</v>
      </c>
      <c r="T245" s="117">
        <v>0.49</v>
      </c>
      <c r="U245" s="31">
        <v>200</v>
      </c>
      <c r="V245" s="32"/>
      <c r="W245" s="33">
        <v>0</v>
      </c>
      <c r="X245" s="32"/>
      <c r="Y245" s="32"/>
      <c r="Z245" s="32"/>
      <c r="AA245" s="34"/>
      <c r="AB245" s="35">
        <f t="shared" si="30"/>
        <v>200</v>
      </c>
      <c r="AC245" s="75">
        <f t="shared" si="31"/>
        <v>30000</v>
      </c>
      <c r="AD245" s="78">
        <f t="shared" si="32"/>
        <v>0</v>
      </c>
      <c r="AE245" s="72">
        <f t="shared" si="33"/>
        <v>30000</v>
      </c>
      <c r="AF245" s="75">
        <f t="shared" si="34"/>
        <v>6432.1000000000013</v>
      </c>
      <c r="AG245" s="78">
        <f t="shared" si="35"/>
        <v>0</v>
      </c>
      <c r="AH245" s="72">
        <f t="shared" si="36"/>
        <v>6432.1000000000013</v>
      </c>
      <c r="AI245" s="75">
        <f t="shared" si="37"/>
        <v>4850</v>
      </c>
      <c r="AJ245" s="78">
        <f t="shared" si="38"/>
        <v>0</v>
      </c>
      <c r="AK245" s="72">
        <f t="shared" si="39"/>
        <v>4850</v>
      </c>
    </row>
    <row r="246" spans="1:37" ht="15.95" customHeight="1">
      <c r="A246" s="25" t="s">
        <v>948</v>
      </c>
      <c r="B246" s="25" t="s">
        <v>949</v>
      </c>
      <c r="C246" s="26" t="s">
        <v>164</v>
      </c>
      <c r="D246" s="26" t="s">
        <v>375</v>
      </c>
      <c r="E246" s="26" t="s">
        <v>16</v>
      </c>
      <c r="F246" s="26" t="s">
        <v>1073</v>
      </c>
      <c r="G246" s="26" t="s">
        <v>1074</v>
      </c>
      <c r="H246" s="27" t="s">
        <v>1077</v>
      </c>
      <c r="I246" s="26" t="s">
        <v>167</v>
      </c>
      <c r="J246" s="37" t="s">
        <v>172</v>
      </c>
      <c r="K246" s="123">
        <v>175</v>
      </c>
      <c r="L246" s="29">
        <v>34.222500000000004</v>
      </c>
      <c r="M246" s="110">
        <v>25.75</v>
      </c>
      <c r="N246" s="30">
        <v>0.16500000000000001</v>
      </c>
      <c r="O246" s="116">
        <v>4.2487500000000002</v>
      </c>
      <c r="P246" s="30">
        <v>7.4999999999999997E-2</v>
      </c>
      <c r="Q246" s="116">
        <v>1.9312499999999999</v>
      </c>
      <c r="R246" s="30">
        <v>7.0000000000000007E-2</v>
      </c>
      <c r="S246" s="116">
        <v>1.8025000000000002</v>
      </c>
      <c r="T246" s="117">
        <v>0.49</v>
      </c>
      <c r="U246" s="31">
        <v>500</v>
      </c>
      <c r="V246" s="32">
        <v>202</v>
      </c>
      <c r="W246" s="33">
        <v>0</v>
      </c>
      <c r="X246" s="32"/>
      <c r="Y246" s="32">
        <v>16</v>
      </c>
      <c r="Z246" s="32"/>
      <c r="AA246" s="34"/>
      <c r="AB246" s="35">
        <f t="shared" si="30"/>
        <v>718</v>
      </c>
      <c r="AC246" s="75">
        <f t="shared" si="31"/>
        <v>87500</v>
      </c>
      <c r="AD246" s="78">
        <f t="shared" si="32"/>
        <v>38150</v>
      </c>
      <c r="AE246" s="72">
        <f t="shared" si="33"/>
        <v>125650</v>
      </c>
      <c r="AF246" s="75">
        <f t="shared" si="34"/>
        <v>17111.250000000004</v>
      </c>
      <c r="AG246" s="78">
        <f t="shared" si="35"/>
        <v>7324.9450000000006</v>
      </c>
      <c r="AH246" s="72">
        <f t="shared" si="36"/>
        <v>24436.195000000003</v>
      </c>
      <c r="AI246" s="75">
        <f t="shared" si="37"/>
        <v>12875</v>
      </c>
      <c r="AJ246" s="78">
        <f t="shared" si="38"/>
        <v>5613.5</v>
      </c>
      <c r="AK246" s="72">
        <f t="shared" si="39"/>
        <v>18488.5</v>
      </c>
    </row>
    <row r="247" spans="1:37" ht="15.95" customHeight="1">
      <c r="A247" s="25" t="s">
        <v>948</v>
      </c>
      <c r="B247" s="25" t="s">
        <v>949</v>
      </c>
      <c r="C247" s="26" t="s">
        <v>164</v>
      </c>
      <c r="D247" s="26" t="s">
        <v>375</v>
      </c>
      <c r="E247" s="26" t="s">
        <v>16</v>
      </c>
      <c r="F247" s="26" t="s">
        <v>1076</v>
      </c>
      <c r="G247" s="26" t="s">
        <v>1074</v>
      </c>
      <c r="H247" s="27" t="s">
        <v>1077</v>
      </c>
      <c r="I247" s="26" t="s">
        <v>167</v>
      </c>
      <c r="J247" s="28" t="s">
        <v>174</v>
      </c>
      <c r="K247" s="123">
        <v>150</v>
      </c>
      <c r="L247" s="29">
        <v>32.160500000000006</v>
      </c>
      <c r="M247" s="110">
        <v>24.25</v>
      </c>
      <c r="N247" s="30">
        <v>0.161</v>
      </c>
      <c r="O247" s="116">
        <v>3.9042500000000002</v>
      </c>
      <c r="P247" s="30">
        <v>7.4999999999999997E-2</v>
      </c>
      <c r="Q247" s="116">
        <v>1.8187499999999999</v>
      </c>
      <c r="R247" s="30">
        <v>7.0000000000000007E-2</v>
      </c>
      <c r="S247" s="116">
        <v>1.6975000000000002</v>
      </c>
      <c r="T247" s="117">
        <v>0.49</v>
      </c>
      <c r="U247" s="31">
        <v>500</v>
      </c>
      <c r="V247" s="32">
        <v>202</v>
      </c>
      <c r="W247" s="33">
        <v>0</v>
      </c>
      <c r="X247" s="32"/>
      <c r="Y247" s="32">
        <v>16</v>
      </c>
      <c r="Z247" s="32"/>
      <c r="AA247" s="34"/>
      <c r="AB247" s="35">
        <f t="shared" si="30"/>
        <v>718</v>
      </c>
      <c r="AC247" s="75">
        <f t="shared" si="31"/>
        <v>75000</v>
      </c>
      <c r="AD247" s="78">
        <f t="shared" si="32"/>
        <v>32700</v>
      </c>
      <c r="AE247" s="72">
        <f t="shared" si="33"/>
        <v>107700</v>
      </c>
      <c r="AF247" s="75">
        <f t="shared" si="34"/>
        <v>16080.250000000004</v>
      </c>
      <c r="AG247" s="78">
        <f t="shared" si="35"/>
        <v>6884.4210000000012</v>
      </c>
      <c r="AH247" s="72">
        <f t="shared" si="36"/>
        <v>22964.671000000006</v>
      </c>
      <c r="AI247" s="75">
        <f t="shared" si="37"/>
        <v>12125</v>
      </c>
      <c r="AJ247" s="78">
        <f t="shared" si="38"/>
        <v>5286.5</v>
      </c>
      <c r="AK247" s="72">
        <f t="shared" si="39"/>
        <v>17411.5</v>
      </c>
    </row>
    <row r="248" spans="1:37" ht="15.95" customHeight="1">
      <c r="A248" s="25" t="s">
        <v>966</v>
      </c>
      <c r="B248" s="25" t="s">
        <v>949</v>
      </c>
      <c r="C248" s="26" t="s">
        <v>164</v>
      </c>
      <c r="D248" s="26" t="s">
        <v>375</v>
      </c>
      <c r="E248" s="26" t="s">
        <v>16</v>
      </c>
      <c r="F248" s="26" t="s">
        <v>1073</v>
      </c>
      <c r="G248" s="36" t="s">
        <v>1074</v>
      </c>
      <c r="H248" s="27" t="s">
        <v>1077</v>
      </c>
      <c r="I248" s="26" t="s">
        <v>167</v>
      </c>
      <c r="J248" s="28" t="s">
        <v>172</v>
      </c>
      <c r="K248" s="123">
        <v>175</v>
      </c>
      <c r="L248" s="29">
        <v>34.222500000000004</v>
      </c>
      <c r="M248" s="110">
        <v>25.75</v>
      </c>
      <c r="N248" s="30">
        <v>0.16500000000000001</v>
      </c>
      <c r="O248" s="116">
        <v>4.2487500000000002</v>
      </c>
      <c r="P248" s="30">
        <v>7.4999999999999997E-2</v>
      </c>
      <c r="Q248" s="116">
        <v>1.9312499999999999</v>
      </c>
      <c r="R248" s="30">
        <v>7.0000000000000007E-2</v>
      </c>
      <c r="S248" s="116">
        <v>1.8025000000000002</v>
      </c>
      <c r="T248" s="117">
        <v>0.49</v>
      </c>
      <c r="U248" s="31">
        <v>800</v>
      </c>
      <c r="V248" s="32"/>
      <c r="W248" s="33">
        <v>0</v>
      </c>
      <c r="X248" s="32"/>
      <c r="Y248" s="32"/>
      <c r="Z248" s="32"/>
      <c r="AA248" s="34"/>
      <c r="AB248" s="35">
        <f t="shared" si="30"/>
        <v>800</v>
      </c>
      <c r="AC248" s="75">
        <f t="shared" si="31"/>
        <v>140000</v>
      </c>
      <c r="AD248" s="78">
        <f t="shared" si="32"/>
        <v>0</v>
      </c>
      <c r="AE248" s="72">
        <f t="shared" si="33"/>
        <v>140000</v>
      </c>
      <c r="AF248" s="75">
        <f t="shared" si="34"/>
        <v>27378.000000000004</v>
      </c>
      <c r="AG248" s="78">
        <f t="shared" si="35"/>
        <v>0</v>
      </c>
      <c r="AH248" s="72">
        <f t="shared" si="36"/>
        <v>27378.000000000004</v>
      </c>
      <c r="AI248" s="75">
        <f t="shared" si="37"/>
        <v>20600</v>
      </c>
      <c r="AJ248" s="78">
        <f t="shared" si="38"/>
        <v>0</v>
      </c>
      <c r="AK248" s="72">
        <f t="shared" si="39"/>
        <v>20600</v>
      </c>
    </row>
    <row r="249" spans="1:37" ht="15.95" customHeight="1">
      <c r="A249" s="25" t="s">
        <v>966</v>
      </c>
      <c r="B249" s="25" t="s">
        <v>949</v>
      </c>
      <c r="C249" s="26" t="s">
        <v>164</v>
      </c>
      <c r="D249" s="26" t="s">
        <v>375</v>
      </c>
      <c r="E249" s="26" t="s">
        <v>16</v>
      </c>
      <c r="F249" s="26" t="s">
        <v>1076</v>
      </c>
      <c r="G249" s="36" t="s">
        <v>1074</v>
      </c>
      <c r="H249" s="27" t="s">
        <v>1075</v>
      </c>
      <c r="I249" s="26" t="s">
        <v>167</v>
      </c>
      <c r="J249" s="28" t="s">
        <v>174</v>
      </c>
      <c r="K249" s="123">
        <v>150</v>
      </c>
      <c r="L249" s="29">
        <v>32.160500000000006</v>
      </c>
      <c r="M249" s="110">
        <v>24.25</v>
      </c>
      <c r="N249" s="30">
        <v>0.161</v>
      </c>
      <c r="O249" s="116">
        <v>3.9042500000000002</v>
      </c>
      <c r="P249" s="30">
        <v>7.4999999999999997E-2</v>
      </c>
      <c r="Q249" s="116">
        <v>1.8187499999999999</v>
      </c>
      <c r="R249" s="30">
        <v>7.0000000000000007E-2</v>
      </c>
      <c r="S249" s="116">
        <v>1.6975000000000002</v>
      </c>
      <c r="T249" s="117">
        <v>0.49</v>
      </c>
      <c r="U249" s="31">
        <v>800</v>
      </c>
      <c r="V249" s="32"/>
      <c r="W249" s="33">
        <v>0</v>
      </c>
      <c r="X249" s="32"/>
      <c r="Y249" s="32"/>
      <c r="Z249" s="32"/>
      <c r="AA249" s="34"/>
      <c r="AB249" s="35">
        <f t="shared" si="30"/>
        <v>800</v>
      </c>
      <c r="AC249" s="75">
        <f t="shared" si="31"/>
        <v>120000</v>
      </c>
      <c r="AD249" s="78">
        <f t="shared" si="32"/>
        <v>0</v>
      </c>
      <c r="AE249" s="72">
        <f t="shared" si="33"/>
        <v>120000</v>
      </c>
      <c r="AF249" s="75">
        <f t="shared" si="34"/>
        <v>25728.400000000005</v>
      </c>
      <c r="AG249" s="78">
        <f t="shared" si="35"/>
        <v>0</v>
      </c>
      <c r="AH249" s="72">
        <f t="shared" si="36"/>
        <v>25728.400000000005</v>
      </c>
      <c r="AI249" s="75">
        <f t="shared" si="37"/>
        <v>19400</v>
      </c>
      <c r="AJ249" s="78">
        <f t="shared" si="38"/>
        <v>0</v>
      </c>
      <c r="AK249" s="72">
        <f t="shared" si="39"/>
        <v>19400</v>
      </c>
    </row>
    <row r="250" spans="1:37" ht="15.95" customHeight="1">
      <c r="A250" s="25" t="s">
        <v>961</v>
      </c>
      <c r="B250" s="25" t="s">
        <v>949</v>
      </c>
      <c r="C250" s="26" t="s">
        <v>164</v>
      </c>
      <c r="D250" s="26" t="s">
        <v>375</v>
      </c>
      <c r="E250" s="26" t="s">
        <v>16</v>
      </c>
      <c r="F250" s="26" t="s">
        <v>1078</v>
      </c>
      <c r="G250" s="36" t="s">
        <v>1079</v>
      </c>
      <c r="H250" s="27" t="s">
        <v>538</v>
      </c>
      <c r="I250" s="26" t="s">
        <v>167</v>
      </c>
      <c r="J250" s="28" t="s">
        <v>46</v>
      </c>
      <c r="K250" s="123">
        <v>98</v>
      </c>
      <c r="L250" s="29">
        <v>18.802499999999998</v>
      </c>
      <c r="M250" s="110">
        <v>12.5</v>
      </c>
      <c r="N250" s="30">
        <v>0.32</v>
      </c>
      <c r="O250" s="116">
        <v>4</v>
      </c>
      <c r="P250" s="30">
        <v>7.4999999999999997E-2</v>
      </c>
      <c r="Q250" s="116">
        <v>0.9375</v>
      </c>
      <c r="R250" s="30">
        <v>7.0000000000000007E-2</v>
      </c>
      <c r="S250" s="116">
        <v>0.87500000000000011</v>
      </c>
      <c r="T250" s="117">
        <v>0.49</v>
      </c>
      <c r="U250" s="31">
        <v>800</v>
      </c>
      <c r="V250" s="32"/>
      <c r="W250" s="33">
        <v>0</v>
      </c>
      <c r="X250" s="32"/>
      <c r="Y250" s="32"/>
      <c r="Z250" s="32"/>
      <c r="AA250" s="34"/>
      <c r="AB250" s="35">
        <f t="shared" si="30"/>
        <v>800</v>
      </c>
      <c r="AC250" s="75">
        <f t="shared" si="31"/>
        <v>78400</v>
      </c>
      <c r="AD250" s="78">
        <f t="shared" si="32"/>
        <v>0</v>
      </c>
      <c r="AE250" s="72">
        <f t="shared" si="33"/>
        <v>78400</v>
      </c>
      <c r="AF250" s="75">
        <f t="shared" si="34"/>
        <v>15041.999999999998</v>
      </c>
      <c r="AG250" s="78">
        <f t="shared" si="35"/>
        <v>0</v>
      </c>
      <c r="AH250" s="72">
        <f t="shared" si="36"/>
        <v>15041.999999999998</v>
      </c>
      <c r="AI250" s="75">
        <f t="shared" si="37"/>
        <v>10000</v>
      </c>
      <c r="AJ250" s="78">
        <f t="shared" si="38"/>
        <v>0</v>
      </c>
      <c r="AK250" s="72">
        <f t="shared" si="39"/>
        <v>10000</v>
      </c>
    </row>
    <row r="251" spans="1:37" ht="15.95" customHeight="1">
      <c r="A251" s="25" t="s">
        <v>961</v>
      </c>
      <c r="B251" s="25" t="s">
        <v>949</v>
      </c>
      <c r="C251" s="26" t="s">
        <v>164</v>
      </c>
      <c r="D251" s="26" t="s">
        <v>375</v>
      </c>
      <c r="E251" s="26" t="s">
        <v>16</v>
      </c>
      <c r="F251" s="26" t="s">
        <v>1080</v>
      </c>
      <c r="G251" s="36" t="s">
        <v>1079</v>
      </c>
      <c r="H251" s="27" t="s">
        <v>1081</v>
      </c>
      <c r="I251" s="26" t="s">
        <v>167</v>
      </c>
      <c r="J251" s="28" t="s">
        <v>35</v>
      </c>
      <c r="K251" s="123">
        <v>88</v>
      </c>
      <c r="L251" s="29">
        <v>17.970749999999999</v>
      </c>
      <c r="M251" s="110">
        <v>12.25</v>
      </c>
      <c r="N251" s="30">
        <v>0.28199999999999997</v>
      </c>
      <c r="O251" s="116">
        <v>3.4544999999999995</v>
      </c>
      <c r="P251" s="30">
        <v>7.4999999999999997E-2</v>
      </c>
      <c r="Q251" s="116">
        <v>0.91874999999999996</v>
      </c>
      <c r="R251" s="30">
        <v>7.0000000000000007E-2</v>
      </c>
      <c r="S251" s="116">
        <v>0.85750000000000004</v>
      </c>
      <c r="T251" s="117">
        <v>0.49</v>
      </c>
      <c r="U251" s="31">
        <v>800</v>
      </c>
      <c r="V251" s="32"/>
      <c r="W251" s="33">
        <v>0</v>
      </c>
      <c r="X251" s="32"/>
      <c r="Y251" s="32"/>
      <c r="Z251" s="32"/>
      <c r="AA251" s="34"/>
      <c r="AB251" s="35">
        <f t="shared" si="30"/>
        <v>800</v>
      </c>
      <c r="AC251" s="75">
        <f t="shared" si="31"/>
        <v>70400</v>
      </c>
      <c r="AD251" s="78">
        <f t="shared" si="32"/>
        <v>0</v>
      </c>
      <c r="AE251" s="72">
        <f t="shared" si="33"/>
        <v>70400</v>
      </c>
      <c r="AF251" s="75">
        <f t="shared" si="34"/>
        <v>14376.599999999999</v>
      </c>
      <c r="AG251" s="78">
        <f t="shared" si="35"/>
        <v>0</v>
      </c>
      <c r="AH251" s="72">
        <f t="shared" si="36"/>
        <v>14376.599999999999</v>
      </c>
      <c r="AI251" s="75">
        <f t="shared" si="37"/>
        <v>9800</v>
      </c>
      <c r="AJ251" s="78">
        <f t="shared" si="38"/>
        <v>0</v>
      </c>
      <c r="AK251" s="72">
        <f t="shared" si="39"/>
        <v>9800</v>
      </c>
    </row>
    <row r="252" spans="1:37" ht="15.95" customHeight="1">
      <c r="A252" s="25" t="s">
        <v>966</v>
      </c>
      <c r="B252" s="25" t="s">
        <v>949</v>
      </c>
      <c r="C252" s="26" t="s">
        <v>164</v>
      </c>
      <c r="D252" s="26" t="s">
        <v>375</v>
      </c>
      <c r="E252" s="26" t="s">
        <v>16</v>
      </c>
      <c r="F252" s="26" t="s">
        <v>1082</v>
      </c>
      <c r="G252" s="36" t="s">
        <v>1079</v>
      </c>
      <c r="H252" s="27" t="s">
        <v>538</v>
      </c>
      <c r="I252" s="26" t="s">
        <v>167</v>
      </c>
      <c r="J252" s="28" t="s">
        <v>46</v>
      </c>
      <c r="K252" s="123">
        <v>98</v>
      </c>
      <c r="L252" s="29">
        <v>18.802499999999998</v>
      </c>
      <c r="M252" s="110">
        <v>12.5</v>
      </c>
      <c r="N252" s="30">
        <v>0.32</v>
      </c>
      <c r="O252" s="116">
        <v>4</v>
      </c>
      <c r="P252" s="30">
        <v>7.4999999999999997E-2</v>
      </c>
      <c r="Q252" s="116">
        <v>0.9375</v>
      </c>
      <c r="R252" s="30">
        <v>7.0000000000000007E-2</v>
      </c>
      <c r="S252" s="116">
        <v>0.87500000000000011</v>
      </c>
      <c r="T252" s="117">
        <v>0.49</v>
      </c>
      <c r="U252" s="31">
        <v>800</v>
      </c>
      <c r="V252" s="32"/>
      <c r="W252" s="33">
        <v>0</v>
      </c>
      <c r="X252" s="32"/>
      <c r="Y252" s="32"/>
      <c r="Z252" s="32"/>
      <c r="AA252" s="34"/>
      <c r="AB252" s="35">
        <f t="shared" si="30"/>
        <v>800</v>
      </c>
      <c r="AC252" s="75">
        <f t="shared" si="31"/>
        <v>78400</v>
      </c>
      <c r="AD252" s="78">
        <f t="shared" si="32"/>
        <v>0</v>
      </c>
      <c r="AE252" s="72">
        <f t="shared" si="33"/>
        <v>78400</v>
      </c>
      <c r="AF252" s="75">
        <f t="shared" si="34"/>
        <v>15041.999999999998</v>
      </c>
      <c r="AG252" s="78">
        <f t="shared" si="35"/>
        <v>0</v>
      </c>
      <c r="AH252" s="72">
        <f t="shared" si="36"/>
        <v>15041.999999999998</v>
      </c>
      <c r="AI252" s="75">
        <f t="shared" si="37"/>
        <v>10000</v>
      </c>
      <c r="AJ252" s="78">
        <f t="shared" si="38"/>
        <v>0</v>
      </c>
      <c r="AK252" s="72">
        <f t="shared" si="39"/>
        <v>10000</v>
      </c>
    </row>
    <row r="253" spans="1:37" ht="15.95" customHeight="1">
      <c r="A253" s="25" t="s">
        <v>966</v>
      </c>
      <c r="B253" s="25" t="s">
        <v>949</v>
      </c>
      <c r="C253" s="26" t="s">
        <v>164</v>
      </c>
      <c r="D253" s="26" t="s">
        <v>375</v>
      </c>
      <c r="E253" s="26" t="s">
        <v>16</v>
      </c>
      <c r="F253" s="26" t="s">
        <v>1083</v>
      </c>
      <c r="G253" s="26" t="s">
        <v>1079</v>
      </c>
      <c r="H253" s="27" t="s">
        <v>1081</v>
      </c>
      <c r="I253" s="26" t="s">
        <v>167</v>
      </c>
      <c r="J253" s="28" t="s">
        <v>35</v>
      </c>
      <c r="K253" s="123">
        <v>88</v>
      </c>
      <c r="L253" s="29">
        <v>17.970749999999999</v>
      </c>
      <c r="M253" s="110">
        <v>12.25</v>
      </c>
      <c r="N253" s="30">
        <v>0.28199999999999997</v>
      </c>
      <c r="O253" s="116">
        <v>3.4544999999999995</v>
      </c>
      <c r="P253" s="30">
        <v>7.4999999999999997E-2</v>
      </c>
      <c r="Q253" s="116">
        <v>0.91874999999999996</v>
      </c>
      <c r="R253" s="30">
        <v>7.0000000000000007E-2</v>
      </c>
      <c r="S253" s="116">
        <v>0.85750000000000004</v>
      </c>
      <c r="T253" s="117">
        <v>0.49</v>
      </c>
      <c r="U253" s="31">
        <v>800</v>
      </c>
      <c r="V253" s="32"/>
      <c r="W253" s="38">
        <v>0</v>
      </c>
      <c r="X253" s="32"/>
      <c r="Y253" s="32"/>
      <c r="Z253" s="32"/>
      <c r="AA253" s="34"/>
      <c r="AB253" s="35">
        <f t="shared" si="30"/>
        <v>800</v>
      </c>
      <c r="AC253" s="75">
        <f t="shared" si="31"/>
        <v>70400</v>
      </c>
      <c r="AD253" s="78">
        <f t="shared" si="32"/>
        <v>0</v>
      </c>
      <c r="AE253" s="72">
        <f t="shared" si="33"/>
        <v>70400</v>
      </c>
      <c r="AF253" s="75">
        <f t="shared" si="34"/>
        <v>14376.599999999999</v>
      </c>
      <c r="AG253" s="78">
        <f t="shared" si="35"/>
        <v>0</v>
      </c>
      <c r="AH253" s="72">
        <f t="shared" si="36"/>
        <v>14376.599999999999</v>
      </c>
      <c r="AI253" s="75">
        <f t="shared" si="37"/>
        <v>9800</v>
      </c>
      <c r="AJ253" s="78">
        <f t="shared" si="38"/>
        <v>0</v>
      </c>
      <c r="AK253" s="72">
        <f t="shared" si="39"/>
        <v>9800</v>
      </c>
    </row>
    <row r="254" spans="1:37" ht="15.95" customHeight="1">
      <c r="A254" s="25" t="s">
        <v>966</v>
      </c>
      <c r="B254" s="25" t="s">
        <v>949</v>
      </c>
      <c r="C254" s="26" t="s">
        <v>164</v>
      </c>
      <c r="D254" s="26" t="s">
        <v>375</v>
      </c>
      <c r="E254" s="26" t="s">
        <v>16</v>
      </c>
      <c r="F254" s="26" t="s">
        <v>1082</v>
      </c>
      <c r="G254" s="26" t="s">
        <v>1079</v>
      </c>
      <c r="H254" s="27" t="s">
        <v>1081</v>
      </c>
      <c r="I254" s="26" t="s">
        <v>167</v>
      </c>
      <c r="J254" s="28" t="s">
        <v>46</v>
      </c>
      <c r="K254" s="123">
        <v>98</v>
      </c>
      <c r="L254" s="29">
        <v>18.802499999999998</v>
      </c>
      <c r="M254" s="110">
        <v>12.5</v>
      </c>
      <c r="N254" s="30">
        <v>0.32</v>
      </c>
      <c r="O254" s="116">
        <v>4</v>
      </c>
      <c r="P254" s="30">
        <v>7.4999999999999997E-2</v>
      </c>
      <c r="Q254" s="116">
        <v>0.9375</v>
      </c>
      <c r="R254" s="30">
        <v>7.0000000000000007E-2</v>
      </c>
      <c r="S254" s="116">
        <v>0.87500000000000011</v>
      </c>
      <c r="T254" s="117">
        <v>0.49</v>
      </c>
      <c r="U254" s="31">
        <v>800</v>
      </c>
      <c r="V254" s="32"/>
      <c r="W254" s="38">
        <v>0</v>
      </c>
      <c r="X254" s="32"/>
      <c r="Y254" s="32"/>
      <c r="Z254" s="32"/>
      <c r="AA254" s="34"/>
      <c r="AB254" s="35">
        <f t="shared" si="30"/>
        <v>800</v>
      </c>
      <c r="AC254" s="75">
        <f t="shared" si="31"/>
        <v>78400</v>
      </c>
      <c r="AD254" s="78">
        <f t="shared" si="32"/>
        <v>0</v>
      </c>
      <c r="AE254" s="72">
        <f t="shared" si="33"/>
        <v>78400</v>
      </c>
      <c r="AF254" s="75">
        <f t="shared" si="34"/>
        <v>15041.999999999998</v>
      </c>
      <c r="AG254" s="78">
        <f t="shared" si="35"/>
        <v>0</v>
      </c>
      <c r="AH254" s="72">
        <f t="shared" si="36"/>
        <v>15041.999999999998</v>
      </c>
      <c r="AI254" s="75">
        <f t="shared" si="37"/>
        <v>10000</v>
      </c>
      <c r="AJ254" s="78">
        <f t="shared" si="38"/>
        <v>0</v>
      </c>
      <c r="AK254" s="72">
        <f t="shared" si="39"/>
        <v>10000</v>
      </c>
    </row>
    <row r="255" spans="1:37" ht="15.95" customHeight="1">
      <c r="A255" s="25" t="s">
        <v>966</v>
      </c>
      <c r="B255" s="25" t="s">
        <v>949</v>
      </c>
      <c r="C255" s="26" t="s">
        <v>164</v>
      </c>
      <c r="D255" s="26" t="s">
        <v>375</v>
      </c>
      <c r="E255" s="26" t="s">
        <v>16</v>
      </c>
      <c r="F255" s="26" t="s">
        <v>1083</v>
      </c>
      <c r="G255" s="26" t="s">
        <v>1079</v>
      </c>
      <c r="H255" s="27" t="s">
        <v>1081</v>
      </c>
      <c r="I255" s="26" t="s">
        <v>167</v>
      </c>
      <c r="J255" s="28" t="s">
        <v>35</v>
      </c>
      <c r="K255" s="123">
        <v>88</v>
      </c>
      <c r="L255" s="29">
        <v>17.970749999999999</v>
      </c>
      <c r="M255" s="110">
        <v>12.25</v>
      </c>
      <c r="N255" s="30">
        <v>0.28199999999999997</v>
      </c>
      <c r="O255" s="116">
        <v>3.4544999999999995</v>
      </c>
      <c r="P255" s="30">
        <v>7.4999999999999997E-2</v>
      </c>
      <c r="Q255" s="116">
        <v>0.91874999999999996</v>
      </c>
      <c r="R255" s="30">
        <v>7.0000000000000007E-2</v>
      </c>
      <c r="S255" s="116">
        <v>0.85750000000000004</v>
      </c>
      <c r="T255" s="117">
        <v>0.49</v>
      </c>
      <c r="U255" s="31">
        <v>800</v>
      </c>
      <c r="V255" s="32"/>
      <c r="W255" s="33">
        <v>0</v>
      </c>
      <c r="X255" s="32"/>
      <c r="Y255" s="32"/>
      <c r="Z255" s="32"/>
      <c r="AA255" s="34"/>
      <c r="AB255" s="35">
        <f t="shared" si="30"/>
        <v>800</v>
      </c>
      <c r="AC255" s="75">
        <f t="shared" si="31"/>
        <v>70400</v>
      </c>
      <c r="AD255" s="78">
        <f t="shared" si="32"/>
        <v>0</v>
      </c>
      <c r="AE255" s="72">
        <f t="shared" si="33"/>
        <v>70400</v>
      </c>
      <c r="AF255" s="75">
        <f t="shared" si="34"/>
        <v>14376.599999999999</v>
      </c>
      <c r="AG255" s="78">
        <f t="shared" si="35"/>
        <v>0</v>
      </c>
      <c r="AH255" s="72">
        <f t="shared" si="36"/>
        <v>14376.599999999999</v>
      </c>
      <c r="AI255" s="75">
        <f t="shared" si="37"/>
        <v>9800</v>
      </c>
      <c r="AJ255" s="78">
        <f t="shared" si="38"/>
        <v>0</v>
      </c>
      <c r="AK255" s="72">
        <f t="shared" si="39"/>
        <v>9800</v>
      </c>
    </row>
    <row r="256" spans="1:37" ht="15.95" customHeight="1">
      <c r="A256" s="25" t="s">
        <v>948</v>
      </c>
      <c r="B256" s="25" t="s">
        <v>949</v>
      </c>
      <c r="C256" s="26" t="s">
        <v>14</v>
      </c>
      <c r="D256" s="26" t="s">
        <v>375</v>
      </c>
      <c r="E256" s="26" t="s">
        <v>16</v>
      </c>
      <c r="F256" s="26" t="s">
        <v>1084</v>
      </c>
      <c r="G256" s="26" t="s">
        <v>1085</v>
      </c>
      <c r="H256" s="27" t="s">
        <v>1086</v>
      </c>
      <c r="I256" s="26" t="s">
        <v>27</v>
      </c>
      <c r="J256" s="28" t="s">
        <v>41</v>
      </c>
      <c r="K256" s="123">
        <v>165</v>
      </c>
      <c r="L256" s="29">
        <v>35.38015</v>
      </c>
      <c r="M256" s="110">
        <v>24.45</v>
      </c>
      <c r="N256" s="30">
        <v>0.28199999999999997</v>
      </c>
      <c r="O256" s="116">
        <v>6.8948999999999989</v>
      </c>
      <c r="P256" s="30">
        <v>7.4999999999999997E-2</v>
      </c>
      <c r="Q256" s="116">
        <v>1.8337499999999998</v>
      </c>
      <c r="R256" s="30">
        <v>7.0000000000000007E-2</v>
      </c>
      <c r="S256" s="116">
        <v>1.7115</v>
      </c>
      <c r="T256" s="117">
        <v>0.49</v>
      </c>
      <c r="U256" s="39">
        <v>500</v>
      </c>
      <c r="V256" s="32">
        <v>468</v>
      </c>
      <c r="W256" s="33">
        <v>0</v>
      </c>
      <c r="X256" s="32"/>
      <c r="Y256" s="32"/>
      <c r="Z256" s="32">
        <v>16</v>
      </c>
      <c r="AA256" s="34">
        <v>4</v>
      </c>
      <c r="AB256" s="35">
        <f t="shared" si="30"/>
        <v>988</v>
      </c>
      <c r="AC256" s="75">
        <f t="shared" si="31"/>
        <v>82500</v>
      </c>
      <c r="AD256" s="78">
        <f t="shared" si="32"/>
        <v>80520</v>
      </c>
      <c r="AE256" s="72">
        <f t="shared" si="33"/>
        <v>163020</v>
      </c>
      <c r="AF256" s="75">
        <f t="shared" si="34"/>
        <v>17690.075000000001</v>
      </c>
      <c r="AG256" s="78">
        <f t="shared" si="35"/>
        <v>17046.910199999998</v>
      </c>
      <c r="AH256" s="72">
        <f t="shared" si="36"/>
        <v>34736.985199999996</v>
      </c>
      <c r="AI256" s="75">
        <f t="shared" si="37"/>
        <v>12225</v>
      </c>
      <c r="AJ256" s="78">
        <f t="shared" si="38"/>
        <v>11931.6</v>
      </c>
      <c r="AK256" s="72">
        <f t="shared" si="39"/>
        <v>24156.6</v>
      </c>
    </row>
    <row r="257" spans="1:37" ht="15.95" customHeight="1">
      <c r="A257" s="25" t="s">
        <v>948</v>
      </c>
      <c r="B257" s="25" t="s">
        <v>949</v>
      </c>
      <c r="C257" s="26" t="s">
        <v>21</v>
      </c>
      <c r="D257" s="26" t="s">
        <v>375</v>
      </c>
      <c r="E257" s="26" t="s">
        <v>16</v>
      </c>
      <c r="F257" s="26" t="s">
        <v>1087</v>
      </c>
      <c r="G257" s="26" t="s">
        <v>1085</v>
      </c>
      <c r="H257" s="27" t="s">
        <v>1086</v>
      </c>
      <c r="I257" s="26" t="s">
        <v>27</v>
      </c>
      <c r="J257" s="28" t="s">
        <v>43</v>
      </c>
      <c r="K257" s="123">
        <v>140</v>
      </c>
      <c r="L257" s="29">
        <v>26.532749999999997</v>
      </c>
      <c r="M257" s="110">
        <v>18.25</v>
      </c>
      <c r="N257" s="30">
        <v>0.28199999999999997</v>
      </c>
      <c r="O257" s="116">
        <v>5.1464999999999996</v>
      </c>
      <c r="P257" s="30">
        <v>7.4999999999999997E-2</v>
      </c>
      <c r="Q257" s="116">
        <v>1.3687499999999999</v>
      </c>
      <c r="R257" s="30">
        <v>7.0000000000000007E-2</v>
      </c>
      <c r="S257" s="116">
        <v>1.2775000000000001</v>
      </c>
      <c r="T257" s="117">
        <v>0.49</v>
      </c>
      <c r="U257" s="39">
        <v>400</v>
      </c>
      <c r="V257" s="32">
        <v>468</v>
      </c>
      <c r="W257" s="33">
        <v>0</v>
      </c>
      <c r="X257" s="32"/>
      <c r="Y257" s="32"/>
      <c r="Z257" s="32">
        <v>4</v>
      </c>
      <c r="AA257" s="34"/>
      <c r="AB257" s="35">
        <f t="shared" si="30"/>
        <v>872</v>
      </c>
      <c r="AC257" s="75">
        <f t="shared" si="31"/>
        <v>56000</v>
      </c>
      <c r="AD257" s="78">
        <f t="shared" si="32"/>
        <v>66080</v>
      </c>
      <c r="AE257" s="72">
        <f t="shared" si="33"/>
        <v>122080</v>
      </c>
      <c r="AF257" s="75">
        <f t="shared" si="34"/>
        <v>10613.099999999999</v>
      </c>
      <c r="AG257" s="78">
        <f t="shared" si="35"/>
        <v>12490.326999999997</v>
      </c>
      <c r="AH257" s="72">
        <f t="shared" si="36"/>
        <v>23103.426999999996</v>
      </c>
      <c r="AI257" s="75">
        <f t="shared" si="37"/>
        <v>7300</v>
      </c>
      <c r="AJ257" s="78">
        <f t="shared" si="38"/>
        <v>8614</v>
      </c>
      <c r="AK257" s="72">
        <f t="shared" si="39"/>
        <v>15914</v>
      </c>
    </row>
    <row r="258" spans="1:37" ht="15.95" customHeight="1">
      <c r="A258" s="25" t="s">
        <v>961</v>
      </c>
      <c r="B258" s="25" t="s">
        <v>949</v>
      </c>
      <c r="C258" s="26" t="s">
        <v>14</v>
      </c>
      <c r="D258" s="26" t="s">
        <v>375</v>
      </c>
      <c r="E258" s="26" t="s">
        <v>16</v>
      </c>
      <c r="F258" s="26" t="s">
        <v>1084</v>
      </c>
      <c r="G258" s="26" t="s">
        <v>1085</v>
      </c>
      <c r="H258" s="27" t="s">
        <v>1086</v>
      </c>
      <c r="I258" s="26" t="s">
        <v>27</v>
      </c>
      <c r="J258" s="28" t="s">
        <v>41</v>
      </c>
      <c r="K258" s="123">
        <v>165</v>
      </c>
      <c r="L258" s="29">
        <v>35.38015</v>
      </c>
      <c r="M258" s="110">
        <v>24.45</v>
      </c>
      <c r="N258" s="30">
        <v>0.28199999999999997</v>
      </c>
      <c r="O258" s="116">
        <v>6.8948999999999989</v>
      </c>
      <c r="P258" s="30">
        <v>7.4999999999999997E-2</v>
      </c>
      <c r="Q258" s="116">
        <v>1.8337499999999998</v>
      </c>
      <c r="R258" s="30">
        <v>7.0000000000000007E-2</v>
      </c>
      <c r="S258" s="116">
        <v>1.7115</v>
      </c>
      <c r="T258" s="117">
        <v>0.49</v>
      </c>
      <c r="U258" s="39">
        <v>300</v>
      </c>
      <c r="V258" s="32"/>
      <c r="W258" s="33">
        <v>0</v>
      </c>
      <c r="X258" s="32"/>
      <c r="Y258" s="32"/>
      <c r="Z258" s="32"/>
      <c r="AA258" s="34"/>
      <c r="AB258" s="35">
        <f t="shared" si="30"/>
        <v>300</v>
      </c>
      <c r="AC258" s="75">
        <f t="shared" si="31"/>
        <v>49500</v>
      </c>
      <c r="AD258" s="78">
        <f t="shared" si="32"/>
        <v>0</v>
      </c>
      <c r="AE258" s="72">
        <f t="shared" si="33"/>
        <v>49500</v>
      </c>
      <c r="AF258" s="75">
        <f t="shared" si="34"/>
        <v>10614.045</v>
      </c>
      <c r="AG258" s="78">
        <f t="shared" si="35"/>
        <v>0</v>
      </c>
      <c r="AH258" s="72">
        <f t="shared" si="36"/>
        <v>10614.045</v>
      </c>
      <c r="AI258" s="75">
        <f t="shared" si="37"/>
        <v>7335</v>
      </c>
      <c r="AJ258" s="78">
        <f t="shared" si="38"/>
        <v>0</v>
      </c>
      <c r="AK258" s="72">
        <f t="shared" si="39"/>
        <v>7335</v>
      </c>
    </row>
    <row r="259" spans="1:37" ht="15.95" customHeight="1">
      <c r="A259" s="25" t="s">
        <v>961</v>
      </c>
      <c r="B259" s="25" t="s">
        <v>949</v>
      </c>
      <c r="C259" s="26" t="s">
        <v>21</v>
      </c>
      <c r="D259" s="26" t="s">
        <v>375</v>
      </c>
      <c r="E259" s="26" t="s">
        <v>16</v>
      </c>
      <c r="F259" s="26" t="s">
        <v>1087</v>
      </c>
      <c r="G259" s="26" t="s">
        <v>1085</v>
      </c>
      <c r="H259" s="27" t="s">
        <v>1088</v>
      </c>
      <c r="I259" s="26" t="s">
        <v>27</v>
      </c>
      <c r="J259" s="28" t="s">
        <v>43</v>
      </c>
      <c r="K259" s="123">
        <v>140</v>
      </c>
      <c r="L259" s="29">
        <v>26.532749999999997</v>
      </c>
      <c r="M259" s="110">
        <v>18.25</v>
      </c>
      <c r="N259" s="30">
        <v>0.28199999999999997</v>
      </c>
      <c r="O259" s="116">
        <v>5.1464999999999996</v>
      </c>
      <c r="P259" s="30">
        <v>7.4999999999999997E-2</v>
      </c>
      <c r="Q259" s="116">
        <v>1.3687499999999999</v>
      </c>
      <c r="R259" s="30">
        <v>7.0000000000000007E-2</v>
      </c>
      <c r="S259" s="116">
        <v>1.2775000000000001</v>
      </c>
      <c r="T259" s="117">
        <v>0.49</v>
      </c>
      <c r="U259" s="39">
        <v>300</v>
      </c>
      <c r="V259" s="32"/>
      <c r="W259" s="33">
        <v>0</v>
      </c>
      <c r="X259" s="32"/>
      <c r="Y259" s="32"/>
      <c r="Z259" s="32"/>
      <c r="AA259" s="34"/>
      <c r="AB259" s="35">
        <f t="shared" si="30"/>
        <v>300</v>
      </c>
      <c r="AC259" s="75">
        <f t="shared" si="31"/>
        <v>42000</v>
      </c>
      <c r="AD259" s="78">
        <f t="shared" si="32"/>
        <v>0</v>
      </c>
      <c r="AE259" s="72">
        <f t="shared" si="33"/>
        <v>42000</v>
      </c>
      <c r="AF259" s="75">
        <f t="shared" si="34"/>
        <v>7959.8249999999989</v>
      </c>
      <c r="AG259" s="78">
        <f t="shared" si="35"/>
        <v>0</v>
      </c>
      <c r="AH259" s="72">
        <f t="shared" si="36"/>
        <v>7959.8249999999989</v>
      </c>
      <c r="AI259" s="75">
        <f t="shared" si="37"/>
        <v>5475</v>
      </c>
      <c r="AJ259" s="78">
        <f t="shared" si="38"/>
        <v>0</v>
      </c>
      <c r="AK259" s="72">
        <f t="shared" si="39"/>
        <v>5475</v>
      </c>
    </row>
    <row r="260" spans="1:37" ht="15.95" customHeight="1">
      <c r="A260" s="25" t="s">
        <v>948</v>
      </c>
      <c r="B260" s="25" t="s">
        <v>949</v>
      </c>
      <c r="C260" s="26" t="s">
        <v>44</v>
      </c>
      <c r="D260" s="26" t="s">
        <v>375</v>
      </c>
      <c r="E260" s="26" t="s">
        <v>16</v>
      </c>
      <c r="F260" s="26" t="s">
        <v>1089</v>
      </c>
      <c r="G260" s="26" t="s">
        <v>1085</v>
      </c>
      <c r="H260" s="27" t="s">
        <v>1088</v>
      </c>
      <c r="I260" s="26" t="s">
        <v>27</v>
      </c>
      <c r="J260" s="28" t="s">
        <v>46</v>
      </c>
      <c r="K260" s="123">
        <v>125</v>
      </c>
      <c r="L260" s="29">
        <v>23.93</v>
      </c>
      <c r="M260" s="110">
        <v>16</v>
      </c>
      <c r="N260" s="30">
        <v>0.32</v>
      </c>
      <c r="O260" s="116">
        <v>5.12</v>
      </c>
      <c r="P260" s="30">
        <v>7.4999999999999997E-2</v>
      </c>
      <c r="Q260" s="116">
        <v>1.2</v>
      </c>
      <c r="R260" s="30">
        <v>7.0000000000000007E-2</v>
      </c>
      <c r="S260" s="116">
        <v>1.1200000000000001</v>
      </c>
      <c r="T260" s="117">
        <v>0.49</v>
      </c>
      <c r="U260" s="39">
        <v>400</v>
      </c>
      <c r="V260" s="32">
        <v>373</v>
      </c>
      <c r="W260" s="33">
        <v>0</v>
      </c>
      <c r="X260" s="32"/>
      <c r="Y260" s="32"/>
      <c r="Z260" s="32">
        <v>22</v>
      </c>
      <c r="AA260" s="34">
        <v>4</v>
      </c>
      <c r="AB260" s="35">
        <f t="shared" si="30"/>
        <v>799</v>
      </c>
      <c r="AC260" s="75">
        <f t="shared" si="31"/>
        <v>50000</v>
      </c>
      <c r="AD260" s="78">
        <f t="shared" si="32"/>
        <v>49875</v>
      </c>
      <c r="AE260" s="72">
        <f t="shared" si="33"/>
        <v>99875</v>
      </c>
      <c r="AF260" s="75">
        <f t="shared" si="34"/>
        <v>9572</v>
      </c>
      <c r="AG260" s="78">
        <f t="shared" si="35"/>
        <v>9341.89</v>
      </c>
      <c r="AH260" s="72">
        <f t="shared" si="36"/>
        <v>18913.89</v>
      </c>
      <c r="AI260" s="75">
        <f t="shared" si="37"/>
        <v>6400</v>
      </c>
      <c r="AJ260" s="78">
        <f t="shared" si="38"/>
        <v>6384</v>
      </c>
      <c r="AK260" s="72">
        <f t="shared" si="39"/>
        <v>12784</v>
      </c>
    </row>
    <row r="261" spans="1:37" ht="15.95" customHeight="1">
      <c r="A261" s="25" t="s">
        <v>948</v>
      </c>
      <c r="B261" s="25" t="s">
        <v>949</v>
      </c>
      <c r="C261" s="26" t="s">
        <v>982</v>
      </c>
      <c r="D261" s="26" t="s">
        <v>375</v>
      </c>
      <c r="E261" s="26" t="s">
        <v>16</v>
      </c>
      <c r="F261" s="26" t="s">
        <v>1090</v>
      </c>
      <c r="G261" s="26" t="s">
        <v>1085</v>
      </c>
      <c r="H261" s="27" t="s">
        <v>1086</v>
      </c>
      <c r="I261" s="26" t="s">
        <v>27</v>
      </c>
      <c r="J261" s="28" t="s">
        <v>35</v>
      </c>
      <c r="K261" s="123">
        <v>110</v>
      </c>
      <c r="L261" s="29">
        <v>21.181499999999996</v>
      </c>
      <c r="M261" s="110">
        <v>14.5</v>
      </c>
      <c r="N261" s="30">
        <v>0.28199999999999997</v>
      </c>
      <c r="O261" s="116">
        <v>4.0889999999999995</v>
      </c>
      <c r="P261" s="30">
        <v>7.4999999999999997E-2</v>
      </c>
      <c r="Q261" s="116">
        <v>1.0874999999999999</v>
      </c>
      <c r="R261" s="30">
        <v>7.0000000000000007E-2</v>
      </c>
      <c r="S261" s="116">
        <v>1.0150000000000001</v>
      </c>
      <c r="T261" s="117">
        <v>0.49</v>
      </c>
      <c r="U261" s="39">
        <v>400</v>
      </c>
      <c r="V261" s="32">
        <v>367</v>
      </c>
      <c r="W261" s="33">
        <v>0</v>
      </c>
      <c r="X261" s="32"/>
      <c r="Y261" s="32"/>
      <c r="Z261" s="32">
        <v>22</v>
      </c>
      <c r="AA261" s="34">
        <v>4</v>
      </c>
      <c r="AB261" s="35">
        <f t="shared" ref="AB261:AB324" si="40">SUM(U261:AA261)</f>
        <v>793</v>
      </c>
      <c r="AC261" s="75">
        <f t="shared" ref="AC261:AC324" si="41">$K261*U261</f>
        <v>44000</v>
      </c>
      <c r="AD261" s="78">
        <f t="shared" ref="AD261:AD324" si="42">$K261*SUM(V261:AA261)</f>
        <v>43230</v>
      </c>
      <c r="AE261" s="72">
        <f t="shared" ref="AE261:AE324" si="43">SUM(AC261:AD261)</f>
        <v>87230</v>
      </c>
      <c r="AF261" s="75">
        <f t="shared" ref="AF261:AF324" si="44">$L261*U261</f>
        <v>8472.5999999999985</v>
      </c>
      <c r="AG261" s="78">
        <f t="shared" ref="AG261:AG324" si="45">$L261*SUM(V261:W261)+M261*SUM(X261:AA261)</f>
        <v>8150.6104999999989</v>
      </c>
      <c r="AH261" s="72">
        <f t="shared" ref="AH261:AH324" si="46">SUM(AF261:AG261)</f>
        <v>16623.210499999997</v>
      </c>
      <c r="AI261" s="75">
        <f t="shared" ref="AI261:AI324" si="47">$M261*U261</f>
        <v>5800</v>
      </c>
      <c r="AJ261" s="78">
        <f t="shared" ref="AJ261:AJ324" si="48">$M261*SUM(V261:AA261)</f>
        <v>5698.5</v>
      </c>
      <c r="AK261" s="72">
        <f t="shared" ref="AK261:AK324" si="49">SUM(AI261:AJ261)</f>
        <v>11498.5</v>
      </c>
    </row>
    <row r="262" spans="1:37" ht="15.95" customHeight="1">
      <c r="A262" s="25" t="s">
        <v>948</v>
      </c>
      <c r="B262" s="25" t="s">
        <v>949</v>
      </c>
      <c r="C262" s="26" t="s">
        <v>14</v>
      </c>
      <c r="D262" s="26" t="s">
        <v>375</v>
      </c>
      <c r="E262" s="26" t="s">
        <v>16</v>
      </c>
      <c r="F262" s="26" t="s">
        <v>1084</v>
      </c>
      <c r="G262" s="26" t="s">
        <v>1085</v>
      </c>
      <c r="H262" s="27" t="s">
        <v>1086</v>
      </c>
      <c r="I262" s="26" t="s">
        <v>27</v>
      </c>
      <c r="J262" s="28" t="s">
        <v>41</v>
      </c>
      <c r="K262" s="123">
        <v>165</v>
      </c>
      <c r="L262" s="29">
        <v>35.38015</v>
      </c>
      <c r="M262" s="110">
        <v>24.45</v>
      </c>
      <c r="N262" s="30">
        <v>0.28199999999999997</v>
      </c>
      <c r="O262" s="116">
        <v>6.8948999999999989</v>
      </c>
      <c r="P262" s="30">
        <v>7.4999999999999997E-2</v>
      </c>
      <c r="Q262" s="116">
        <v>1.8337499999999998</v>
      </c>
      <c r="R262" s="30">
        <v>7.0000000000000007E-2</v>
      </c>
      <c r="S262" s="116">
        <v>1.7115</v>
      </c>
      <c r="T262" s="117">
        <v>0.49</v>
      </c>
      <c r="U262" s="39">
        <v>600</v>
      </c>
      <c r="V262" s="32">
        <v>105</v>
      </c>
      <c r="W262" s="33">
        <v>0</v>
      </c>
      <c r="X262" s="32"/>
      <c r="Y262" s="32"/>
      <c r="Z262" s="32"/>
      <c r="AA262" s="34">
        <v>4</v>
      </c>
      <c r="AB262" s="35">
        <f t="shared" si="40"/>
        <v>709</v>
      </c>
      <c r="AC262" s="75">
        <f t="shared" si="41"/>
        <v>99000</v>
      </c>
      <c r="AD262" s="78">
        <f t="shared" si="42"/>
        <v>17985</v>
      </c>
      <c r="AE262" s="72">
        <f t="shared" si="43"/>
        <v>116985</v>
      </c>
      <c r="AF262" s="75">
        <f t="shared" si="44"/>
        <v>21228.09</v>
      </c>
      <c r="AG262" s="78">
        <f t="shared" si="45"/>
        <v>3812.7157500000003</v>
      </c>
      <c r="AH262" s="72">
        <f t="shared" si="46"/>
        <v>25040.80575</v>
      </c>
      <c r="AI262" s="75">
        <f t="shared" si="47"/>
        <v>14670</v>
      </c>
      <c r="AJ262" s="78">
        <f t="shared" si="48"/>
        <v>2665.0499999999997</v>
      </c>
      <c r="AK262" s="72">
        <f t="shared" si="49"/>
        <v>17335.05</v>
      </c>
    </row>
    <row r="263" spans="1:37" ht="15.95" customHeight="1">
      <c r="A263" s="25" t="s">
        <v>948</v>
      </c>
      <c r="B263" s="25" t="s">
        <v>949</v>
      </c>
      <c r="C263" s="26" t="s">
        <v>21</v>
      </c>
      <c r="D263" s="26" t="s">
        <v>375</v>
      </c>
      <c r="E263" s="26" t="s">
        <v>16</v>
      </c>
      <c r="F263" s="26" t="s">
        <v>1087</v>
      </c>
      <c r="G263" s="36" t="s">
        <v>1085</v>
      </c>
      <c r="H263" s="27" t="s">
        <v>1088</v>
      </c>
      <c r="I263" s="26" t="s">
        <v>27</v>
      </c>
      <c r="J263" s="28" t="s">
        <v>43</v>
      </c>
      <c r="K263" s="123">
        <v>140</v>
      </c>
      <c r="L263" s="29">
        <v>26.532749999999997</v>
      </c>
      <c r="M263" s="110">
        <v>18.25</v>
      </c>
      <c r="N263" s="30">
        <v>0.28199999999999997</v>
      </c>
      <c r="O263" s="116">
        <v>5.1464999999999996</v>
      </c>
      <c r="P263" s="30">
        <v>7.4999999999999997E-2</v>
      </c>
      <c r="Q263" s="116">
        <v>1.3687499999999999</v>
      </c>
      <c r="R263" s="30">
        <v>7.0000000000000007E-2</v>
      </c>
      <c r="S263" s="116">
        <v>1.2775000000000001</v>
      </c>
      <c r="T263" s="117">
        <v>0.49</v>
      </c>
      <c r="U263" s="39">
        <v>500</v>
      </c>
      <c r="V263" s="32">
        <v>105</v>
      </c>
      <c r="W263" s="33">
        <v>0</v>
      </c>
      <c r="X263" s="32"/>
      <c r="Y263" s="32"/>
      <c r="Z263" s="32"/>
      <c r="AA263" s="34"/>
      <c r="AB263" s="35">
        <f t="shared" si="40"/>
        <v>605</v>
      </c>
      <c r="AC263" s="75">
        <f t="shared" si="41"/>
        <v>70000</v>
      </c>
      <c r="AD263" s="78">
        <f t="shared" si="42"/>
        <v>14700</v>
      </c>
      <c r="AE263" s="72">
        <f t="shared" si="43"/>
        <v>84700</v>
      </c>
      <c r="AF263" s="75">
        <f t="shared" si="44"/>
        <v>13266.374999999998</v>
      </c>
      <c r="AG263" s="78">
        <f t="shared" si="45"/>
        <v>2785.9387499999998</v>
      </c>
      <c r="AH263" s="72">
        <f t="shared" si="46"/>
        <v>16052.313749999998</v>
      </c>
      <c r="AI263" s="75">
        <f t="shared" si="47"/>
        <v>9125</v>
      </c>
      <c r="AJ263" s="78">
        <f t="shared" si="48"/>
        <v>1916.25</v>
      </c>
      <c r="AK263" s="72">
        <f t="shared" si="49"/>
        <v>11041.25</v>
      </c>
    </row>
    <row r="264" spans="1:37" ht="15.95" customHeight="1">
      <c r="A264" s="25" t="s">
        <v>961</v>
      </c>
      <c r="B264" s="25" t="s">
        <v>949</v>
      </c>
      <c r="C264" s="26" t="s">
        <v>14</v>
      </c>
      <c r="D264" s="26" t="s">
        <v>375</v>
      </c>
      <c r="E264" s="26" t="s">
        <v>16</v>
      </c>
      <c r="F264" s="26" t="s">
        <v>1084</v>
      </c>
      <c r="G264" s="36" t="s">
        <v>1085</v>
      </c>
      <c r="H264" s="27" t="s">
        <v>1088</v>
      </c>
      <c r="I264" s="26" t="s">
        <v>27</v>
      </c>
      <c r="J264" s="28" t="s">
        <v>41</v>
      </c>
      <c r="K264" s="123">
        <v>165</v>
      </c>
      <c r="L264" s="29">
        <v>35.38015</v>
      </c>
      <c r="M264" s="110">
        <v>24.45</v>
      </c>
      <c r="N264" s="30">
        <v>0.28199999999999997</v>
      </c>
      <c r="O264" s="116">
        <v>6.8948999999999989</v>
      </c>
      <c r="P264" s="30">
        <v>7.4999999999999997E-2</v>
      </c>
      <c r="Q264" s="116">
        <v>1.8337499999999998</v>
      </c>
      <c r="R264" s="30">
        <v>7.0000000000000007E-2</v>
      </c>
      <c r="S264" s="116">
        <v>1.7115</v>
      </c>
      <c r="T264" s="117">
        <v>0.49</v>
      </c>
      <c r="U264" s="39">
        <v>300</v>
      </c>
      <c r="V264" s="32"/>
      <c r="W264" s="33">
        <v>0</v>
      </c>
      <c r="X264" s="32"/>
      <c r="Y264" s="32"/>
      <c r="Z264" s="32"/>
      <c r="AA264" s="34"/>
      <c r="AB264" s="35">
        <f t="shared" si="40"/>
        <v>300</v>
      </c>
      <c r="AC264" s="75">
        <f t="shared" si="41"/>
        <v>49500</v>
      </c>
      <c r="AD264" s="78">
        <f t="shared" si="42"/>
        <v>0</v>
      </c>
      <c r="AE264" s="72">
        <f t="shared" si="43"/>
        <v>49500</v>
      </c>
      <c r="AF264" s="75">
        <f t="shared" si="44"/>
        <v>10614.045</v>
      </c>
      <c r="AG264" s="78">
        <f t="shared" si="45"/>
        <v>0</v>
      </c>
      <c r="AH264" s="72">
        <f t="shared" si="46"/>
        <v>10614.045</v>
      </c>
      <c r="AI264" s="75">
        <f t="shared" si="47"/>
        <v>7335</v>
      </c>
      <c r="AJ264" s="78">
        <f t="shared" si="48"/>
        <v>0</v>
      </c>
      <c r="AK264" s="72">
        <f t="shared" si="49"/>
        <v>7335</v>
      </c>
    </row>
    <row r="265" spans="1:37" ht="15.95" customHeight="1">
      <c r="A265" s="25" t="s">
        <v>961</v>
      </c>
      <c r="B265" s="25" t="s">
        <v>949</v>
      </c>
      <c r="C265" s="26" t="s">
        <v>21</v>
      </c>
      <c r="D265" s="26" t="s">
        <v>375</v>
      </c>
      <c r="E265" s="26" t="s">
        <v>16</v>
      </c>
      <c r="F265" s="26" t="s">
        <v>1087</v>
      </c>
      <c r="G265" s="26" t="s">
        <v>1085</v>
      </c>
      <c r="H265" s="27" t="s">
        <v>1088</v>
      </c>
      <c r="I265" s="26" t="s">
        <v>27</v>
      </c>
      <c r="J265" s="28" t="s">
        <v>43</v>
      </c>
      <c r="K265" s="123">
        <v>140</v>
      </c>
      <c r="L265" s="29">
        <v>26.532749999999997</v>
      </c>
      <c r="M265" s="110">
        <v>18.25</v>
      </c>
      <c r="N265" s="30">
        <v>0.28199999999999997</v>
      </c>
      <c r="O265" s="116">
        <v>5.1464999999999996</v>
      </c>
      <c r="P265" s="30">
        <v>7.4999999999999997E-2</v>
      </c>
      <c r="Q265" s="116">
        <v>1.3687499999999999</v>
      </c>
      <c r="R265" s="30">
        <v>7.0000000000000007E-2</v>
      </c>
      <c r="S265" s="116">
        <v>1.2775000000000001</v>
      </c>
      <c r="T265" s="117">
        <v>0.49</v>
      </c>
      <c r="U265" s="39">
        <v>300</v>
      </c>
      <c r="V265" s="32"/>
      <c r="W265" s="33">
        <v>0</v>
      </c>
      <c r="X265" s="32"/>
      <c r="Y265" s="32"/>
      <c r="Z265" s="32"/>
      <c r="AA265" s="34"/>
      <c r="AB265" s="35">
        <f t="shared" si="40"/>
        <v>300</v>
      </c>
      <c r="AC265" s="75">
        <f t="shared" si="41"/>
        <v>42000</v>
      </c>
      <c r="AD265" s="78">
        <f t="shared" si="42"/>
        <v>0</v>
      </c>
      <c r="AE265" s="72">
        <f t="shared" si="43"/>
        <v>42000</v>
      </c>
      <c r="AF265" s="75">
        <f t="shared" si="44"/>
        <v>7959.8249999999989</v>
      </c>
      <c r="AG265" s="78">
        <f t="shared" si="45"/>
        <v>0</v>
      </c>
      <c r="AH265" s="72">
        <f t="shared" si="46"/>
        <v>7959.8249999999989</v>
      </c>
      <c r="AI265" s="75">
        <f t="shared" si="47"/>
        <v>5475</v>
      </c>
      <c r="AJ265" s="78">
        <f t="shared" si="48"/>
        <v>0</v>
      </c>
      <c r="AK265" s="72">
        <f t="shared" si="49"/>
        <v>5475</v>
      </c>
    </row>
    <row r="266" spans="1:37" ht="15.95" customHeight="1">
      <c r="A266" s="25" t="s">
        <v>948</v>
      </c>
      <c r="B266" s="25" t="s">
        <v>949</v>
      </c>
      <c r="C266" s="26" t="s">
        <v>44</v>
      </c>
      <c r="D266" s="26" t="s">
        <v>375</v>
      </c>
      <c r="E266" s="26" t="s">
        <v>16</v>
      </c>
      <c r="F266" s="26" t="s">
        <v>1089</v>
      </c>
      <c r="G266" s="26" t="s">
        <v>1085</v>
      </c>
      <c r="H266" s="27" t="s">
        <v>1088</v>
      </c>
      <c r="I266" s="26" t="s">
        <v>27</v>
      </c>
      <c r="J266" s="28" t="s">
        <v>46</v>
      </c>
      <c r="K266" s="123">
        <v>125</v>
      </c>
      <c r="L266" s="29">
        <v>23.93</v>
      </c>
      <c r="M266" s="110">
        <v>16</v>
      </c>
      <c r="N266" s="30">
        <v>0.32</v>
      </c>
      <c r="O266" s="116">
        <v>5.12</v>
      </c>
      <c r="P266" s="30">
        <v>7.4999999999999997E-2</v>
      </c>
      <c r="Q266" s="116">
        <v>1.2</v>
      </c>
      <c r="R266" s="30">
        <v>7.0000000000000007E-2</v>
      </c>
      <c r="S266" s="116">
        <v>1.1200000000000001</v>
      </c>
      <c r="T266" s="117">
        <v>0.49</v>
      </c>
      <c r="U266" s="39">
        <v>500</v>
      </c>
      <c r="V266" s="32">
        <v>236</v>
      </c>
      <c r="W266" s="33">
        <v>0</v>
      </c>
      <c r="X266" s="32"/>
      <c r="Y266" s="32"/>
      <c r="Z266" s="32"/>
      <c r="AA266" s="34">
        <v>4</v>
      </c>
      <c r="AB266" s="35">
        <f t="shared" si="40"/>
        <v>740</v>
      </c>
      <c r="AC266" s="75">
        <f t="shared" si="41"/>
        <v>62500</v>
      </c>
      <c r="AD266" s="78">
        <f t="shared" si="42"/>
        <v>30000</v>
      </c>
      <c r="AE266" s="72">
        <f t="shared" si="43"/>
        <v>92500</v>
      </c>
      <c r="AF266" s="75">
        <f t="shared" si="44"/>
        <v>11965</v>
      </c>
      <c r="AG266" s="78">
        <f t="shared" si="45"/>
        <v>5711.48</v>
      </c>
      <c r="AH266" s="72">
        <f t="shared" si="46"/>
        <v>17676.48</v>
      </c>
      <c r="AI266" s="75">
        <f t="shared" si="47"/>
        <v>8000</v>
      </c>
      <c r="AJ266" s="78">
        <f t="shared" si="48"/>
        <v>3840</v>
      </c>
      <c r="AK266" s="72">
        <f t="shared" si="49"/>
        <v>11840</v>
      </c>
    </row>
    <row r="267" spans="1:37" ht="15.95" customHeight="1">
      <c r="A267" s="25" t="s">
        <v>948</v>
      </c>
      <c r="B267" s="25" t="s">
        <v>949</v>
      </c>
      <c r="C267" s="26" t="s">
        <v>982</v>
      </c>
      <c r="D267" s="26" t="s">
        <v>375</v>
      </c>
      <c r="E267" s="26" t="s">
        <v>16</v>
      </c>
      <c r="F267" s="26" t="s">
        <v>1090</v>
      </c>
      <c r="G267" s="26" t="s">
        <v>1085</v>
      </c>
      <c r="H267" s="27" t="s">
        <v>1086</v>
      </c>
      <c r="I267" s="26" t="s">
        <v>27</v>
      </c>
      <c r="J267" s="28" t="s">
        <v>35</v>
      </c>
      <c r="K267" s="123">
        <v>110</v>
      </c>
      <c r="L267" s="29">
        <v>21.181499999999996</v>
      </c>
      <c r="M267" s="110">
        <v>14.5</v>
      </c>
      <c r="N267" s="30">
        <v>0.28199999999999997</v>
      </c>
      <c r="O267" s="116">
        <v>4.0889999999999995</v>
      </c>
      <c r="P267" s="30">
        <v>7.4999999999999997E-2</v>
      </c>
      <c r="Q267" s="116">
        <v>1.0874999999999999</v>
      </c>
      <c r="R267" s="30">
        <v>7.0000000000000007E-2</v>
      </c>
      <c r="S267" s="116">
        <v>1.0150000000000001</v>
      </c>
      <c r="T267" s="117">
        <v>0.49</v>
      </c>
      <c r="U267" s="39">
        <v>500</v>
      </c>
      <c r="V267" s="32">
        <v>230</v>
      </c>
      <c r="W267" s="33">
        <v>0</v>
      </c>
      <c r="X267" s="32"/>
      <c r="Y267" s="32"/>
      <c r="Z267" s="32"/>
      <c r="AA267" s="34">
        <v>4</v>
      </c>
      <c r="AB267" s="35">
        <f t="shared" si="40"/>
        <v>734</v>
      </c>
      <c r="AC267" s="75">
        <f t="shared" si="41"/>
        <v>55000</v>
      </c>
      <c r="AD267" s="78">
        <f t="shared" si="42"/>
        <v>25740</v>
      </c>
      <c r="AE267" s="72">
        <f t="shared" si="43"/>
        <v>80740</v>
      </c>
      <c r="AF267" s="75">
        <f t="shared" si="44"/>
        <v>10590.749999999998</v>
      </c>
      <c r="AG267" s="78">
        <f t="shared" si="45"/>
        <v>4929.744999999999</v>
      </c>
      <c r="AH267" s="72">
        <f t="shared" si="46"/>
        <v>15520.494999999997</v>
      </c>
      <c r="AI267" s="75">
        <f t="shared" si="47"/>
        <v>7250</v>
      </c>
      <c r="AJ267" s="78">
        <f t="shared" si="48"/>
        <v>3393</v>
      </c>
      <c r="AK267" s="72">
        <f t="shared" si="49"/>
        <v>10643</v>
      </c>
    </row>
    <row r="268" spans="1:37" ht="15.95" customHeight="1">
      <c r="A268" s="25" t="s">
        <v>966</v>
      </c>
      <c r="B268" s="25" t="s">
        <v>949</v>
      </c>
      <c r="C268" s="26" t="s">
        <v>14</v>
      </c>
      <c r="D268" s="26" t="s">
        <v>375</v>
      </c>
      <c r="E268" s="26" t="s">
        <v>16</v>
      </c>
      <c r="F268" s="26" t="s">
        <v>1084</v>
      </c>
      <c r="G268" s="26" t="s">
        <v>1085</v>
      </c>
      <c r="H268" s="27" t="s">
        <v>1088</v>
      </c>
      <c r="I268" s="26" t="s">
        <v>27</v>
      </c>
      <c r="J268" s="37" t="s">
        <v>41</v>
      </c>
      <c r="K268" s="123">
        <v>165</v>
      </c>
      <c r="L268" s="29">
        <v>35.38015</v>
      </c>
      <c r="M268" s="110">
        <v>24.45</v>
      </c>
      <c r="N268" s="30">
        <v>0.28199999999999997</v>
      </c>
      <c r="O268" s="116">
        <v>6.8948999999999989</v>
      </c>
      <c r="P268" s="30">
        <v>7.4999999999999997E-2</v>
      </c>
      <c r="Q268" s="116">
        <v>1.8337499999999998</v>
      </c>
      <c r="R268" s="30">
        <v>7.0000000000000007E-2</v>
      </c>
      <c r="S268" s="116">
        <v>1.7115</v>
      </c>
      <c r="T268" s="117">
        <v>0.49</v>
      </c>
      <c r="U268" s="39">
        <v>1000</v>
      </c>
      <c r="V268" s="32"/>
      <c r="W268" s="33">
        <v>0</v>
      </c>
      <c r="X268" s="32"/>
      <c r="Y268" s="32"/>
      <c r="Z268" s="32"/>
      <c r="AA268" s="34"/>
      <c r="AB268" s="35">
        <f t="shared" si="40"/>
        <v>1000</v>
      </c>
      <c r="AC268" s="75">
        <f t="shared" si="41"/>
        <v>165000</v>
      </c>
      <c r="AD268" s="78">
        <f t="shared" si="42"/>
        <v>0</v>
      </c>
      <c r="AE268" s="72">
        <f t="shared" si="43"/>
        <v>165000</v>
      </c>
      <c r="AF268" s="75">
        <f t="shared" si="44"/>
        <v>35380.15</v>
      </c>
      <c r="AG268" s="78">
        <f t="shared" si="45"/>
        <v>0</v>
      </c>
      <c r="AH268" s="72">
        <f t="shared" si="46"/>
        <v>35380.15</v>
      </c>
      <c r="AI268" s="75">
        <f t="shared" si="47"/>
        <v>24450</v>
      </c>
      <c r="AJ268" s="78">
        <f t="shared" si="48"/>
        <v>0</v>
      </c>
      <c r="AK268" s="72">
        <f t="shared" si="49"/>
        <v>24450</v>
      </c>
    </row>
    <row r="269" spans="1:37" ht="15.95" customHeight="1">
      <c r="A269" s="25" t="s">
        <v>966</v>
      </c>
      <c r="B269" s="25" t="s">
        <v>949</v>
      </c>
      <c r="C269" s="26" t="s">
        <v>21</v>
      </c>
      <c r="D269" s="26" t="s">
        <v>375</v>
      </c>
      <c r="E269" s="26"/>
      <c r="F269" s="26" t="s">
        <v>1087</v>
      </c>
      <c r="G269" s="26" t="s">
        <v>1085</v>
      </c>
      <c r="H269" s="27" t="s">
        <v>1088</v>
      </c>
      <c r="I269" s="26" t="s">
        <v>27</v>
      </c>
      <c r="J269" s="28" t="s">
        <v>43</v>
      </c>
      <c r="K269" s="123">
        <v>140</v>
      </c>
      <c r="L269" s="29">
        <v>26.532749999999997</v>
      </c>
      <c r="M269" s="110">
        <v>18.25</v>
      </c>
      <c r="N269" s="30">
        <v>0.28199999999999997</v>
      </c>
      <c r="O269" s="116">
        <v>5.1464999999999996</v>
      </c>
      <c r="P269" s="30">
        <v>7.4999999999999997E-2</v>
      </c>
      <c r="Q269" s="116">
        <v>1.3687499999999999</v>
      </c>
      <c r="R269" s="30">
        <v>7.0000000000000007E-2</v>
      </c>
      <c r="S269" s="116">
        <v>1.2775000000000001</v>
      </c>
      <c r="T269" s="117">
        <v>0.49</v>
      </c>
      <c r="U269" s="39">
        <v>1000</v>
      </c>
      <c r="V269" s="32"/>
      <c r="W269" s="33">
        <v>0</v>
      </c>
      <c r="X269" s="32"/>
      <c r="Y269" s="32"/>
      <c r="Z269" s="32"/>
      <c r="AA269" s="34"/>
      <c r="AB269" s="35">
        <f t="shared" si="40"/>
        <v>1000</v>
      </c>
      <c r="AC269" s="75">
        <f t="shared" si="41"/>
        <v>140000</v>
      </c>
      <c r="AD269" s="78">
        <f t="shared" si="42"/>
        <v>0</v>
      </c>
      <c r="AE269" s="72">
        <f t="shared" si="43"/>
        <v>140000</v>
      </c>
      <c r="AF269" s="75">
        <f t="shared" si="44"/>
        <v>26532.749999999996</v>
      </c>
      <c r="AG269" s="78">
        <f t="shared" si="45"/>
        <v>0</v>
      </c>
      <c r="AH269" s="72">
        <f t="shared" si="46"/>
        <v>26532.749999999996</v>
      </c>
      <c r="AI269" s="75">
        <f t="shared" si="47"/>
        <v>18250</v>
      </c>
      <c r="AJ269" s="78">
        <f t="shared" si="48"/>
        <v>0</v>
      </c>
      <c r="AK269" s="72">
        <f t="shared" si="49"/>
        <v>18250</v>
      </c>
    </row>
    <row r="270" spans="1:37" ht="15.95" customHeight="1">
      <c r="A270" s="25" t="s">
        <v>966</v>
      </c>
      <c r="B270" s="25" t="s">
        <v>949</v>
      </c>
      <c r="C270" s="26" t="s">
        <v>44</v>
      </c>
      <c r="D270" s="26" t="s">
        <v>375</v>
      </c>
      <c r="E270" s="26" t="s">
        <v>16</v>
      </c>
      <c r="F270" s="26" t="s">
        <v>1089</v>
      </c>
      <c r="G270" s="26" t="s">
        <v>1085</v>
      </c>
      <c r="H270" s="27" t="s">
        <v>1086</v>
      </c>
      <c r="I270" s="26" t="s">
        <v>27</v>
      </c>
      <c r="J270" s="37" t="s">
        <v>46</v>
      </c>
      <c r="K270" s="123">
        <v>125</v>
      </c>
      <c r="L270" s="29">
        <v>23.93</v>
      </c>
      <c r="M270" s="110">
        <v>16</v>
      </c>
      <c r="N270" s="30">
        <v>0.32</v>
      </c>
      <c r="O270" s="116">
        <v>5.12</v>
      </c>
      <c r="P270" s="30">
        <v>7.4999999999999997E-2</v>
      </c>
      <c r="Q270" s="116">
        <v>1.2</v>
      </c>
      <c r="R270" s="30">
        <v>7.0000000000000007E-2</v>
      </c>
      <c r="S270" s="116">
        <v>1.1200000000000001</v>
      </c>
      <c r="T270" s="117">
        <v>0.49</v>
      </c>
      <c r="U270" s="39">
        <v>700</v>
      </c>
      <c r="V270" s="32"/>
      <c r="W270" s="33">
        <v>0</v>
      </c>
      <c r="X270" s="32"/>
      <c r="Y270" s="32"/>
      <c r="Z270" s="32"/>
      <c r="AA270" s="34"/>
      <c r="AB270" s="35">
        <f t="shared" si="40"/>
        <v>700</v>
      </c>
      <c r="AC270" s="75">
        <f t="shared" si="41"/>
        <v>87500</v>
      </c>
      <c r="AD270" s="78">
        <f t="shared" si="42"/>
        <v>0</v>
      </c>
      <c r="AE270" s="72">
        <f t="shared" si="43"/>
        <v>87500</v>
      </c>
      <c r="AF270" s="75">
        <f t="shared" si="44"/>
        <v>16751</v>
      </c>
      <c r="AG270" s="78">
        <f t="shared" si="45"/>
        <v>0</v>
      </c>
      <c r="AH270" s="72">
        <f t="shared" si="46"/>
        <v>16751</v>
      </c>
      <c r="AI270" s="75">
        <f t="shared" si="47"/>
        <v>11200</v>
      </c>
      <c r="AJ270" s="78">
        <f t="shared" si="48"/>
        <v>0</v>
      </c>
      <c r="AK270" s="72">
        <f t="shared" si="49"/>
        <v>11200</v>
      </c>
    </row>
    <row r="271" spans="1:37" ht="15.95" customHeight="1">
      <c r="A271" s="25" t="s">
        <v>966</v>
      </c>
      <c r="B271" s="25" t="s">
        <v>949</v>
      </c>
      <c r="C271" s="26" t="s">
        <v>982</v>
      </c>
      <c r="D271" s="26" t="s">
        <v>375</v>
      </c>
      <c r="E271" s="26" t="s">
        <v>16</v>
      </c>
      <c r="F271" s="26" t="s">
        <v>1090</v>
      </c>
      <c r="G271" s="26" t="s">
        <v>1085</v>
      </c>
      <c r="H271" s="27" t="s">
        <v>1086</v>
      </c>
      <c r="I271" s="26" t="s">
        <v>27</v>
      </c>
      <c r="J271" s="28" t="s">
        <v>35</v>
      </c>
      <c r="K271" s="123">
        <v>110</v>
      </c>
      <c r="L271" s="29">
        <v>21.181499999999996</v>
      </c>
      <c r="M271" s="110">
        <v>14.5</v>
      </c>
      <c r="N271" s="30">
        <v>0.28199999999999997</v>
      </c>
      <c r="O271" s="116">
        <v>4.0889999999999995</v>
      </c>
      <c r="P271" s="30">
        <v>7.4999999999999997E-2</v>
      </c>
      <c r="Q271" s="116">
        <v>1.0874999999999999</v>
      </c>
      <c r="R271" s="30">
        <v>7.0000000000000007E-2</v>
      </c>
      <c r="S271" s="116">
        <v>1.0150000000000001</v>
      </c>
      <c r="T271" s="117">
        <v>0.49</v>
      </c>
      <c r="U271" s="39">
        <v>700</v>
      </c>
      <c r="V271" s="32"/>
      <c r="W271" s="33">
        <v>0</v>
      </c>
      <c r="X271" s="32"/>
      <c r="Y271" s="32"/>
      <c r="Z271" s="32"/>
      <c r="AA271" s="34"/>
      <c r="AB271" s="35">
        <f t="shared" si="40"/>
        <v>700</v>
      </c>
      <c r="AC271" s="75">
        <f t="shared" si="41"/>
        <v>77000</v>
      </c>
      <c r="AD271" s="78">
        <f t="shared" si="42"/>
        <v>0</v>
      </c>
      <c r="AE271" s="72">
        <f t="shared" si="43"/>
        <v>77000</v>
      </c>
      <c r="AF271" s="75">
        <f t="shared" si="44"/>
        <v>14827.049999999997</v>
      </c>
      <c r="AG271" s="78">
        <f t="shared" si="45"/>
        <v>0</v>
      </c>
      <c r="AH271" s="72">
        <f t="shared" si="46"/>
        <v>14827.049999999997</v>
      </c>
      <c r="AI271" s="75">
        <f t="shared" si="47"/>
        <v>10150</v>
      </c>
      <c r="AJ271" s="78">
        <f t="shared" si="48"/>
        <v>0</v>
      </c>
      <c r="AK271" s="72">
        <f t="shared" si="49"/>
        <v>10150</v>
      </c>
    </row>
    <row r="272" spans="1:37" ht="15.95" customHeight="1">
      <c r="A272" s="25" t="s">
        <v>966</v>
      </c>
      <c r="B272" s="25" t="s">
        <v>949</v>
      </c>
      <c r="C272" s="26" t="s">
        <v>14</v>
      </c>
      <c r="D272" s="26" t="s">
        <v>375</v>
      </c>
      <c r="E272" s="26" t="s">
        <v>16</v>
      </c>
      <c r="F272" s="26" t="s">
        <v>1084</v>
      </c>
      <c r="G272" s="26" t="s">
        <v>1085</v>
      </c>
      <c r="H272" s="27" t="s">
        <v>1086</v>
      </c>
      <c r="I272" s="26" t="s">
        <v>27</v>
      </c>
      <c r="J272" s="28" t="s">
        <v>41</v>
      </c>
      <c r="K272" s="123">
        <v>165</v>
      </c>
      <c r="L272" s="29">
        <v>35.38015</v>
      </c>
      <c r="M272" s="110">
        <v>24.45</v>
      </c>
      <c r="N272" s="30">
        <v>0.28199999999999997</v>
      </c>
      <c r="O272" s="116">
        <v>6.8948999999999989</v>
      </c>
      <c r="P272" s="30">
        <v>7.4999999999999997E-2</v>
      </c>
      <c r="Q272" s="116">
        <v>1.8337499999999998</v>
      </c>
      <c r="R272" s="30">
        <v>7.0000000000000007E-2</v>
      </c>
      <c r="S272" s="116">
        <v>1.7115</v>
      </c>
      <c r="T272" s="117">
        <v>0.49</v>
      </c>
      <c r="U272" s="39">
        <v>1100</v>
      </c>
      <c r="V272" s="32"/>
      <c r="W272" s="33">
        <v>0</v>
      </c>
      <c r="X272" s="32"/>
      <c r="Y272" s="32"/>
      <c r="Z272" s="32"/>
      <c r="AA272" s="34"/>
      <c r="AB272" s="35">
        <f t="shared" si="40"/>
        <v>1100</v>
      </c>
      <c r="AC272" s="75">
        <f t="shared" si="41"/>
        <v>181500</v>
      </c>
      <c r="AD272" s="78">
        <f t="shared" si="42"/>
        <v>0</v>
      </c>
      <c r="AE272" s="72">
        <f t="shared" si="43"/>
        <v>181500</v>
      </c>
      <c r="AF272" s="75">
        <f t="shared" si="44"/>
        <v>38918.165000000001</v>
      </c>
      <c r="AG272" s="78">
        <f t="shared" si="45"/>
        <v>0</v>
      </c>
      <c r="AH272" s="72">
        <f t="shared" si="46"/>
        <v>38918.165000000001</v>
      </c>
      <c r="AI272" s="75">
        <f t="shared" si="47"/>
        <v>26895</v>
      </c>
      <c r="AJ272" s="78">
        <f t="shared" si="48"/>
        <v>0</v>
      </c>
      <c r="AK272" s="72">
        <f t="shared" si="49"/>
        <v>26895</v>
      </c>
    </row>
    <row r="273" spans="1:37" ht="15.95" customHeight="1">
      <c r="A273" s="25" t="s">
        <v>966</v>
      </c>
      <c r="B273" s="25" t="s">
        <v>949</v>
      </c>
      <c r="C273" s="26" t="s">
        <v>21</v>
      </c>
      <c r="D273" s="26" t="s">
        <v>375</v>
      </c>
      <c r="E273" s="26" t="s">
        <v>16</v>
      </c>
      <c r="F273" s="26" t="s">
        <v>1087</v>
      </c>
      <c r="G273" s="26" t="s">
        <v>1085</v>
      </c>
      <c r="H273" s="27" t="s">
        <v>1086</v>
      </c>
      <c r="I273" s="26" t="s">
        <v>27</v>
      </c>
      <c r="J273" s="28" t="s">
        <v>43</v>
      </c>
      <c r="K273" s="123">
        <v>140</v>
      </c>
      <c r="L273" s="29">
        <v>26.532749999999997</v>
      </c>
      <c r="M273" s="110">
        <v>18.25</v>
      </c>
      <c r="N273" s="30">
        <v>0.28199999999999997</v>
      </c>
      <c r="O273" s="116">
        <v>5.1464999999999996</v>
      </c>
      <c r="P273" s="30">
        <v>7.4999999999999997E-2</v>
      </c>
      <c r="Q273" s="116">
        <v>1.3687499999999999</v>
      </c>
      <c r="R273" s="30">
        <v>7.0000000000000007E-2</v>
      </c>
      <c r="S273" s="116">
        <v>1.2775000000000001</v>
      </c>
      <c r="T273" s="117">
        <v>0.49</v>
      </c>
      <c r="U273" s="39">
        <v>1100</v>
      </c>
      <c r="V273" s="32"/>
      <c r="W273" s="33">
        <v>0</v>
      </c>
      <c r="X273" s="32"/>
      <c r="Y273" s="32"/>
      <c r="Z273" s="32"/>
      <c r="AA273" s="34"/>
      <c r="AB273" s="35">
        <f t="shared" si="40"/>
        <v>1100</v>
      </c>
      <c r="AC273" s="75">
        <f t="shared" si="41"/>
        <v>154000</v>
      </c>
      <c r="AD273" s="78">
        <f t="shared" si="42"/>
        <v>0</v>
      </c>
      <c r="AE273" s="72">
        <f t="shared" si="43"/>
        <v>154000</v>
      </c>
      <c r="AF273" s="75">
        <f t="shared" si="44"/>
        <v>29186.024999999998</v>
      </c>
      <c r="AG273" s="78">
        <f t="shared" si="45"/>
        <v>0</v>
      </c>
      <c r="AH273" s="72">
        <f t="shared" si="46"/>
        <v>29186.024999999998</v>
      </c>
      <c r="AI273" s="75">
        <f t="shared" si="47"/>
        <v>20075</v>
      </c>
      <c r="AJ273" s="78">
        <f t="shared" si="48"/>
        <v>0</v>
      </c>
      <c r="AK273" s="72">
        <f t="shared" si="49"/>
        <v>20075</v>
      </c>
    </row>
    <row r="274" spans="1:37" ht="15.95" customHeight="1">
      <c r="A274" s="25" t="s">
        <v>966</v>
      </c>
      <c r="B274" s="25" t="s">
        <v>949</v>
      </c>
      <c r="C274" s="26" t="s">
        <v>44</v>
      </c>
      <c r="D274" s="26" t="s">
        <v>375</v>
      </c>
      <c r="E274" s="26" t="s">
        <v>16</v>
      </c>
      <c r="F274" s="26" t="s">
        <v>1089</v>
      </c>
      <c r="G274" s="26" t="s">
        <v>1085</v>
      </c>
      <c r="H274" s="27" t="s">
        <v>1086</v>
      </c>
      <c r="I274" s="26" t="s">
        <v>27</v>
      </c>
      <c r="J274" s="37" t="s">
        <v>1091</v>
      </c>
      <c r="K274" s="123">
        <v>125</v>
      </c>
      <c r="L274" s="29">
        <v>23.93</v>
      </c>
      <c r="M274" s="110">
        <v>16</v>
      </c>
      <c r="N274" s="30">
        <v>0.32</v>
      </c>
      <c r="O274" s="116">
        <v>5.12</v>
      </c>
      <c r="P274" s="30">
        <v>7.4999999999999997E-2</v>
      </c>
      <c r="Q274" s="116">
        <v>1.2</v>
      </c>
      <c r="R274" s="30">
        <v>7.0000000000000007E-2</v>
      </c>
      <c r="S274" s="116">
        <v>1.1200000000000001</v>
      </c>
      <c r="T274" s="117">
        <v>0.49</v>
      </c>
      <c r="U274" s="39">
        <v>700</v>
      </c>
      <c r="V274" s="32"/>
      <c r="W274" s="33">
        <v>0</v>
      </c>
      <c r="X274" s="32"/>
      <c r="Y274" s="32"/>
      <c r="Z274" s="32"/>
      <c r="AA274" s="34"/>
      <c r="AB274" s="35">
        <f t="shared" si="40"/>
        <v>700</v>
      </c>
      <c r="AC274" s="75">
        <f t="shared" si="41"/>
        <v>87500</v>
      </c>
      <c r="AD274" s="78">
        <f t="shared" si="42"/>
        <v>0</v>
      </c>
      <c r="AE274" s="72">
        <f t="shared" si="43"/>
        <v>87500</v>
      </c>
      <c r="AF274" s="75">
        <f t="shared" si="44"/>
        <v>16751</v>
      </c>
      <c r="AG274" s="78">
        <f t="shared" si="45"/>
        <v>0</v>
      </c>
      <c r="AH274" s="72">
        <f t="shared" si="46"/>
        <v>16751</v>
      </c>
      <c r="AI274" s="75">
        <f t="shared" si="47"/>
        <v>11200</v>
      </c>
      <c r="AJ274" s="78">
        <f t="shared" si="48"/>
        <v>0</v>
      </c>
      <c r="AK274" s="72">
        <f t="shared" si="49"/>
        <v>11200</v>
      </c>
    </row>
    <row r="275" spans="1:37" ht="15.95" customHeight="1">
      <c r="A275" s="25" t="s">
        <v>966</v>
      </c>
      <c r="B275" s="25" t="s">
        <v>949</v>
      </c>
      <c r="C275" s="26" t="s">
        <v>982</v>
      </c>
      <c r="D275" s="26" t="s">
        <v>375</v>
      </c>
      <c r="E275" s="26" t="s">
        <v>16</v>
      </c>
      <c r="F275" s="26" t="s">
        <v>1090</v>
      </c>
      <c r="G275" s="26" t="s">
        <v>1085</v>
      </c>
      <c r="H275" s="27" t="s">
        <v>1088</v>
      </c>
      <c r="I275" s="26" t="s">
        <v>27</v>
      </c>
      <c r="J275" s="37" t="s">
        <v>35</v>
      </c>
      <c r="K275" s="123">
        <v>110</v>
      </c>
      <c r="L275" s="29">
        <v>21.181499999999996</v>
      </c>
      <c r="M275" s="110">
        <v>14.5</v>
      </c>
      <c r="N275" s="30">
        <v>0.28199999999999997</v>
      </c>
      <c r="O275" s="116">
        <v>4.0889999999999995</v>
      </c>
      <c r="P275" s="30">
        <v>7.4999999999999997E-2</v>
      </c>
      <c r="Q275" s="116">
        <v>1.0874999999999999</v>
      </c>
      <c r="R275" s="30">
        <v>7.0000000000000007E-2</v>
      </c>
      <c r="S275" s="116">
        <v>1.0150000000000001</v>
      </c>
      <c r="T275" s="117">
        <v>0.49</v>
      </c>
      <c r="U275" s="39">
        <v>700</v>
      </c>
      <c r="V275" s="32"/>
      <c r="W275" s="33">
        <v>0</v>
      </c>
      <c r="X275" s="32"/>
      <c r="Y275" s="32"/>
      <c r="Z275" s="32"/>
      <c r="AA275" s="34"/>
      <c r="AB275" s="35">
        <f t="shared" si="40"/>
        <v>700</v>
      </c>
      <c r="AC275" s="75">
        <f t="shared" si="41"/>
        <v>77000</v>
      </c>
      <c r="AD275" s="78">
        <f t="shared" si="42"/>
        <v>0</v>
      </c>
      <c r="AE275" s="72">
        <f t="shared" si="43"/>
        <v>77000</v>
      </c>
      <c r="AF275" s="75">
        <f t="shared" si="44"/>
        <v>14827.049999999997</v>
      </c>
      <c r="AG275" s="78">
        <f t="shared" si="45"/>
        <v>0</v>
      </c>
      <c r="AH275" s="72">
        <f t="shared" si="46"/>
        <v>14827.049999999997</v>
      </c>
      <c r="AI275" s="75">
        <f t="shared" si="47"/>
        <v>10150</v>
      </c>
      <c r="AJ275" s="78">
        <f t="shared" si="48"/>
        <v>0</v>
      </c>
      <c r="AK275" s="72">
        <f t="shared" si="49"/>
        <v>10150</v>
      </c>
    </row>
    <row r="276" spans="1:37" ht="15.95" customHeight="1">
      <c r="A276" s="25" t="s">
        <v>966</v>
      </c>
      <c r="B276" s="25" t="s">
        <v>949</v>
      </c>
      <c r="C276" s="26" t="s">
        <v>44</v>
      </c>
      <c r="D276" s="26" t="s">
        <v>375</v>
      </c>
      <c r="E276" s="26" t="s">
        <v>16</v>
      </c>
      <c r="F276" s="26" t="s">
        <v>1092</v>
      </c>
      <c r="G276" s="26" t="s">
        <v>1093</v>
      </c>
      <c r="H276" s="27" t="s">
        <v>557</v>
      </c>
      <c r="I276" s="26"/>
      <c r="J276" s="28" t="s">
        <v>46</v>
      </c>
      <c r="K276" s="123">
        <v>125</v>
      </c>
      <c r="L276" s="29">
        <v>23.93</v>
      </c>
      <c r="M276" s="110">
        <v>16</v>
      </c>
      <c r="N276" s="30">
        <v>0.32</v>
      </c>
      <c r="O276" s="116">
        <v>5.12</v>
      </c>
      <c r="P276" s="30">
        <v>7.4999999999999997E-2</v>
      </c>
      <c r="Q276" s="116">
        <v>1.2</v>
      </c>
      <c r="R276" s="30">
        <v>7.0000000000000007E-2</v>
      </c>
      <c r="S276" s="116">
        <v>1.1200000000000001</v>
      </c>
      <c r="T276" s="117">
        <v>0.49</v>
      </c>
      <c r="U276" s="39">
        <v>900</v>
      </c>
      <c r="V276" s="32"/>
      <c r="W276" s="33">
        <v>0</v>
      </c>
      <c r="X276" s="32"/>
      <c r="Y276" s="32"/>
      <c r="Z276" s="32"/>
      <c r="AA276" s="34"/>
      <c r="AB276" s="35">
        <f t="shared" si="40"/>
        <v>900</v>
      </c>
      <c r="AC276" s="75">
        <f t="shared" si="41"/>
        <v>112500</v>
      </c>
      <c r="AD276" s="78">
        <f t="shared" si="42"/>
        <v>0</v>
      </c>
      <c r="AE276" s="72">
        <f t="shared" si="43"/>
        <v>112500</v>
      </c>
      <c r="AF276" s="75">
        <f t="shared" si="44"/>
        <v>21537</v>
      </c>
      <c r="AG276" s="78">
        <f t="shared" si="45"/>
        <v>0</v>
      </c>
      <c r="AH276" s="72">
        <f t="shared" si="46"/>
        <v>21537</v>
      </c>
      <c r="AI276" s="75">
        <f t="shared" si="47"/>
        <v>14400</v>
      </c>
      <c r="AJ276" s="78">
        <f t="shared" si="48"/>
        <v>0</v>
      </c>
      <c r="AK276" s="72">
        <f t="shared" si="49"/>
        <v>14400</v>
      </c>
    </row>
    <row r="277" spans="1:37" ht="15.95" customHeight="1">
      <c r="A277" s="25" t="s">
        <v>966</v>
      </c>
      <c r="B277" s="25" t="s">
        <v>949</v>
      </c>
      <c r="C277" s="26" t="s">
        <v>267</v>
      </c>
      <c r="D277" s="26" t="s">
        <v>375</v>
      </c>
      <c r="E277" s="26" t="s">
        <v>16</v>
      </c>
      <c r="F277" s="26" t="s">
        <v>1094</v>
      </c>
      <c r="G277" s="26" t="s">
        <v>1093</v>
      </c>
      <c r="H277" s="27" t="s">
        <v>557</v>
      </c>
      <c r="I277" s="26"/>
      <c r="J277" s="28" t="s">
        <v>35</v>
      </c>
      <c r="K277" s="123">
        <v>100</v>
      </c>
      <c r="L277" s="29">
        <v>19.754499999999997</v>
      </c>
      <c r="M277" s="110">
        <v>13.5</v>
      </c>
      <c r="N277" s="30">
        <v>0.28199999999999997</v>
      </c>
      <c r="O277" s="116">
        <v>3.8069999999999995</v>
      </c>
      <c r="P277" s="30">
        <v>7.4999999999999997E-2</v>
      </c>
      <c r="Q277" s="116">
        <v>1.0125</v>
      </c>
      <c r="R277" s="30">
        <v>7.0000000000000007E-2</v>
      </c>
      <c r="S277" s="116">
        <v>0.94500000000000006</v>
      </c>
      <c r="T277" s="117">
        <v>0.49</v>
      </c>
      <c r="U277" s="39">
        <v>900</v>
      </c>
      <c r="V277" s="32"/>
      <c r="W277" s="33">
        <v>0</v>
      </c>
      <c r="X277" s="32"/>
      <c r="Y277" s="32"/>
      <c r="Z277" s="32"/>
      <c r="AA277" s="34"/>
      <c r="AB277" s="35">
        <f t="shared" si="40"/>
        <v>900</v>
      </c>
      <c r="AC277" s="75">
        <f t="shared" si="41"/>
        <v>90000</v>
      </c>
      <c r="AD277" s="78">
        <f t="shared" si="42"/>
        <v>0</v>
      </c>
      <c r="AE277" s="72">
        <f t="shared" si="43"/>
        <v>90000</v>
      </c>
      <c r="AF277" s="75">
        <f t="shared" si="44"/>
        <v>17779.049999999996</v>
      </c>
      <c r="AG277" s="78">
        <f t="shared" si="45"/>
        <v>0</v>
      </c>
      <c r="AH277" s="72">
        <f t="shared" si="46"/>
        <v>17779.049999999996</v>
      </c>
      <c r="AI277" s="75">
        <f t="shared" si="47"/>
        <v>12150</v>
      </c>
      <c r="AJ277" s="78">
        <f t="shared" si="48"/>
        <v>0</v>
      </c>
      <c r="AK277" s="72">
        <f t="shared" si="49"/>
        <v>12150</v>
      </c>
    </row>
    <row r="278" spans="1:37" ht="15.95" customHeight="1">
      <c r="A278" s="25" t="s">
        <v>966</v>
      </c>
      <c r="B278" s="25" t="s">
        <v>949</v>
      </c>
      <c r="C278" s="26" t="s">
        <v>44</v>
      </c>
      <c r="D278" s="26" t="s">
        <v>375</v>
      </c>
      <c r="E278" s="26" t="s">
        <v>16</v>
      </c>
      <c r="F278" s="26" t="s">
        <v>1092</v>
      </c>
      <c r="G278" s="26" t="s">
        <v>1093</v>
      </c>
      <c r="H278" s="27" t="s">
        <v>557</v>
      </c>
      <c r="I278" s="26"/>
      <c r="J278" s="28" t="s">
        <v>46</v>
      </c>
      <c r="K278" s="123">
        <v>125</v>
      </c>
      <c r="L278" s="29">
        <v>23.93</v>
      </c>
      <c r="M278" s="110">
        <v>16</v>
      </c>
      <c r="N278" s="30">
        <v>0.32</v>
      </c>
      <c r="O278" s="116">
        <v>5.12</v>
      </c>
      <c r="P278" s="30">
        <v>7.4999999999999997E-2</v>
      </c>
      <c r="Q278" s="116">
        <v>1.2</v>
      </c>
      <c r="R278" s="30">
        <v>7.0000000000000007E-2</v>
      </c>
      <c r="S278" s="116">
        <v>1.1200000000000001</v>
      </c>
      <c r="T278" s="117">
        <v>0.49</v>
      </c>
      <c r="U278" s="39">
        <v>900</v>
      </c>
      <c r="V278" s="32"/>
      <c r="W278" s="33">
        <v>0</v>
      </c>
      <c r="X278" s="32"/>
      <c r="Y278" s="32"/>
      <c r="Z278" s="32"/>
      <c r="AA278" s="34"/>
      <c r="AB278" s="35">
        <f t="shared" si="40"/>
        <v>900</v>
      </c>
      <c r="AC278" s="75">
        <f t="shared" si="41"/>
        <v>112500</v>
      </c>
      <c r="AD278" s="78">
        <f t="shared" si="42"/>
        <v>0</v>
      </c>
      <c r="AE278" s="72">
        <f t="shared" si="43"/>
        <v>112500</v>
      </c>
      <c r="AF278" s="75">
        <f t="shared" si="44"/>
        <v>21537</v>
      </c>
      <c r="AG278" s="78">
        <f t="shared" si="45"/>
        <v>0</v>
      </c>
      <c r="AH278" s="72">
        <f t="shared" si="46"/>
        <v>21537</v>
      </c>
      <c r="AI278" s="75">
        <f t="shared" si="47"/>
        <v>14400</v>
      </c>
      <c r="AJ278" s="78">
        <f t="shared" si="48"/>
        <v>0</v>
      </c>
      <c r="AK278" s="72">
        <f t="shared" si="49"/>
        <v>14400</v>
      </c>
    </row>
    <row r="279" spans="1:37" ht="15.95" customHeight="1">
      <c r="A279" s="25" t="s">
        <v>966</v>
      </c>
      <c r="B279" s="25" t="s">
        <v>949</v>
      </c>
      <c r="C279" s="26" t="s">
        <v>267</v>
      </c>
      <c r="D279" s="26" t="s">
        <v>375</v>
      </c>
      <c r="E279" s="26" t="s">
        <v>16</v>
      </c>
      <c r="F279" s="26" t="s">
        <v>1094</v>
      </c>
      <c r="G279" s="26" t="s">
        <v>1093</v>
      </c>
      <c r="H279" s="27" t="s">
        <v>557</v>
      </c>
      <c r="I279" s="26"/>
      <c r="J279" s="28" t="s">
        <v>35</v>
      </c>
      <c r="K279" s="123">
        <v>100</v>
      </c>
      <c r="L279" s="29">
        <v>19.754499999999997</v>
      </c>
      <c r="M279" s="110">
        <v>13.5</v>
      </c>
      <c r="N279" s="30">
        <v>0.28199999999999997</v>
      </c>
      <c r="O279" s="116">
        <v>3.8069999999999995</v>
      </c>
      <c r="P279" s="30">
        <v>7.4999999999999997E-2</v>
      </c>
      <c r="Q279" s="116">
        <v>1.0125</v>
      </c>
      <c r="R279" s="30">
        <v>7.0000000000000007E-2</v>
      </c>
      <c r="S279" s="116">
        <v>0.94500000000000006</v>
      </c>
      <c r="T279" s="117">
        <v>0.49</v>
      </c>
      <c r="U279" s="39">
        <v>900</v>
      </c>
      <c r="V279" s="32"/>
      <c r="W279" s="33">
        <v>0</v>
      </c>
      <c r="X279" s="32"/>
      <c r="Y279" s="32"/>
      <c r="Z279" s="32"/>
      <c r="AA279" s="34"/>
      <c r="AB279" s="35">
        <f t="shared" si="40"/>
        <v>900</v>
      </c>
      <c r="AC279" s="75">
        <f t="shared" si="41"/>
        <v>90000</v>
      </c>
      <c r="AD279" s="78">
        <f t="shared" si="42"/>
        <v>0</v>
      </c>
      <c r="AE279" s="72">
        <f t="shared" si="43"/>
        <v>90000</v>
      </c>
      <c r="AF279" s="75">
        <f t="shared" si="44"/>
        <v>17779.049999999996</v>
      </c>
      <c r="AG279" s="78">
        <f t="shared" si="45"/>
        <v>0</v>
      </c>
      <c r="AH279" s="72">
        <f t="shared" si="46"/>
        <v>17779.049999999996</v>
      </c>
      <c r="AI279" s="75">
        <f t="shared" si="47"/>
        <v>12150</v>
      </c>
      <c r="AJ279" s="78">
        <f t="shared" si="48"/>
        <v>0</v>
      </c>
      <c r="AK279" s="72">
        <f t="shared" si="49"/>
        <v>12150</v>
      </c>
    </row>
    <row r="280" spans="1:37" ht="15.95" customHeight="1">
      <c r="A280" s="25" t="s">
        <v>948</v>
      </c>
      <c r="B280" s="25" t="s">
        <v>949</v>
      </c>
      <c r="C280" s="26" t="s">
        <v>29</v>
      </c>
      <c r="D280" s="26" t="s">
        <v>375</v>
      </c>
      <c r="E280" s="26" t="s">
        <v>16</v>
      </c>
      <c r="F280" s="26" t="s">
        <v>1095</v>
      </c>
      <c r="G280" s="26" t="s">
        <v>1096</v>
      </c>
      <c r="H280" s="27" t="s">
        <v>1097</v>
      </c>
      <c r="I280" s="26" t="s">
        <v>19</v>
      </c>
      <c r="J280" s="28" t="s">
        <v>31</v>
      </c>
      <c r="K280" s="123">
        <v>110</v>
      </c>
      <c r="L280" s="29">
        <v>25.177099999999996</v>
      </c>
      <c r="M280" s="110">
        <v>17.3</v>
      </c>
      <c r="N280" s="30">
        <v>0.28199999999999997</v>
      </c>
      <c r="O280" s="116">
        <v>4.8785999999999996</v>
      </c>
      <c r="P280" s="30">
        <v>7.4999999999999997E-2</v>
      </c>
      <c r="Q280" s="116">
        <v>1.2975000000000001</v>
      </c>
      <c r="R280" s="30">
        <v>7.0000000000000007E-2</v>
      </c>
      <c r="S280" s="116">
        <v>1.2110000000000001</v>
      </c>
      <c r="T280" s="117">
        <v>0.49</v>
      </c>
      <c r="U280" s="39">
        <v>250</v>
      </c>
      <c r="V280" s="32">
        <v>124</v>
      </c>
      <c r="W280" s="33">
        <v>0</v>
      </c>
      <c r="X280" s="32"/>
      <c r="Y280" s="32"/>
      <c r="Z280" s="32"/>
      <c r="AA280" s="34">
        <v>4</v>
      </c>
      <c r="AB280" s="35">
        <f t="shared" si="40"/>
        <v>378</v>
      </c>
      <c r="AC280" s="75">
        <f t="shared" si="41"/>
        <v>27500</v>
      </c>
      <c r="AD280" s="78">
        <f t="shared" si="42"/>
        <v>14080</v>
      </c>
      <c r="AE280" s="72">
        <f t="shared" si="43"/>
        <v>41580</v>
      </c>
      <c r="AF280" s="75">
        <f t="shared" si="44"/>
        <v>6294.2749999999987</v>
      </c>
      <c r="AG280" s="78">
        <f t="shared" si="45"/>
        <v>3191.1603999999993</v>
      </c>
      <c r="AH280" s="72">
        <f t="shared" si="46"/>
        <v>9485.4353999999985</v>
      </c>
      <c r="AI280" s="75">
        <f t="shared" si="47"/>
        <v>4325</v>
      </c>
      <c r="AJ280" s="78">
        <f t="shared" si="48"/>
        <v>2214.4</v>
      </c>
      <c r="AK280" s="72">
        <f t="shared" si="49"/>
        <v>6539.4</v>
      </c>
    </row>
    <row r="281" spans="1:37" ht="15.95" customHeight="1">
      <c r="A281" s="25" t="s">
        <v>948</v>
      </c>
      <c r="B281" s="25" t="s">
        <v>949</v>
      </c>
      <c r="C281" s="26" t="s">
        <v>29</v>
      </c>
      <c r="D281" s="26" t="s">
        <v>375</v>
      </c>
      <c r="E281" s="26" t="s">
        <v>16</v>
      </c>
      <c r="F281" s="26" t="s">
        <v>1098</v>
      </c>
      <c r="G281" s="26" t="s">
        <v>1096</v>
      </c>
      <c r="H281" s="27" t="s">
        <v>1097</v>
      </c>
      <c r="I281" s="26" t="s">
        <v>19</v>
      </c>
      <c r="J281" s="28" t="s">
        <v>31</v>
      </c>
      <c r="K281" s="123">
        <v>110</v>
      </c>
      <c r="L281" s="29">
        <v>20.111249999999995</v>
      </c>
      <c r="M281" s="110">
        <v>13.75</v>
      </c>
      <c r="N281" s="30">
        <v>0.28199999999999997</v>
      </c>
      <c r="O281" s="116">
        <v>3.8774999999999995</v>
      </c>
      <c r="P281" s="30">
        <v>7.4999999999999997E-2</v>
      </c>
      <c r="Q281" s="116">
        <v>1.03125</v>
      </c>
      <c r="R281" s="30">
        <v>7.0000000000000007E-2</v>
      </c>
      <c r="S281" s="116">
        <v>0.96250000000000013</v>
      </c>
      <c r="T281" s="117">
        <v>0.49</v>
      </c>
      <c r="U281" s="39">
        <v>250</v>
      </c>
      <c r="V281" s="32">
        <v>142</v>
      </c>
      <c r="W281" s="33">
        <v>0</v>
      </c>
      <c r="X281" s="32">
        <v>70</v>
      </c>
      <c r="Y281" s="32"/>
      <c r="Z281" s="32"/>
      <c r="AA281" s="34"/>
      <c r="AB281" s="35">
        <f t="shared" si="40"/>
        <v>462</v>
      </c>
      <c r="AC281" s="75">
        <f t="shared" si="41"/>
        <v>27500</v>
      </c>
      <c r="AD281" s="78">
        <f t="shared" si="42"/>
        <v>23320</v>
      </c>
      <c r="AE281" s="72">
        <f t="shared" si="43"/>
        <v>50820</v>
      </c>
      <c r="AF281" s="75">
        <f t="shared" si="44"/>
        <v>5027.8124999999991</v>
      </c>
      <c r="AG281" s="78">
        <f t="shared" si="45"/>
        <v>3818.2974999999992</v>
      </c>
      <c r="AH281" s="72">
        <f t="shared" si="46"/>
        <v>8846.1099999999988</v>
      </c>
      <c r="AI281" s="75">
        <f t="shared" si="47"/>
        <v>3437.5</v>
      </c>
      <c r="AJ281" s="78">
        <f t="shared" si="48"/>
        <v>2915</v>
      </c>
      <c r="AK281" s="72">
        <f t="shared" si="49"/>
        <v>6352.5</v>
      </c>
    </row>
    <row r="282" spans="1:37" ht="15.95" customHeight="1">
      <c r="A282" s="25" t="s">
        <v>948</v>
      </c>
      <c r="B282" s="25" t="s">
        <v>949</v>
      </c>
      <c r="C282" s="26" t="s">
        <v>29</v>
      </c>
      <c r="D282" s="26" t="s">
        <v>375</v>
      </c>
      <c r="E282" s="26" t="s">
        <v>16</v>
      </c>
      <c r="F282" s="26" t="s">
        <v>1098</v>
      </c>
      <c r="G282" s="26" t="s">
        <v>1096</v>
      </c>
      <c r="H282" s="27" t="s">
        <v>1097</v>
      </c>
      <c r="I282" s="26" t="s">
        <v>19</v>
      </c>
      <c r="J282" s="28" t="s">
        <v>31</v>
      </c>
      <c r="K282" s="123">
        <v>110</v>
      </c>
      <c r="L282" s="29">
        <v>20.111249999999995</v>
      </c>
      <c r="M282" s="110">
        <v>13.75</v>
      </c>
      <c r="N282" s="30">
        <v>0.28199999999999997</v>
      </c>
      <c r="O282" s="116">
        <v>3.8774999999999995</v>
      </c>
      <c r="P282" s="30">
        <v>7.4999999999999997E-2</v>
      </c>
      <c r="Q282" s="116">
        <v>1.03125</v>
      </c>
      <c r="R282" s="30">
        <v>7.0000000000000007E-2</v>
      </c>
      <c r="S282" s="116">
        <v>0.96250000000000013</v>
      </c>
      <c r="T282" s="117">
        <v>0.49</v>
      </c>
      <c r="U282" s="39">
        <v>250</v>
      </c>
      <c r="V282" s="32">
        <v>37</v>
      </c>
      <c r="W282" s="33">
        <v>0</v>
      </c>
      <c r="X282" s="32">
        <v>50</v>
      </c>
      <c r="Y282" s="32"/>
      <c r="Z282" s="32"/>
      <c r="AA282" s="34"/>
      <c r="AB282" s="35">
        <f t="shared" si="40"/>
        <v>337</v>
      </c>
      <c r="AC282" s="75">
        <f t="shared" si="41"/>
        <v>27500</v>
      </c>
      <c r="AD282" s="78">
        <f t="shared" si="42"/>
        <v>9570</v>
      </c>
      <c r="AE282" s="72">
        <f t="shared" si="43"/>
        <v>37070</v>
      </c>
      <c r="AF282" s="75">
        <f t="shared" si="44"/>
        <v>5027.8124999999991</v>
      </c>
      <c r="AG282" s="78">
        <f t="shared" si="45"/>
        <v>1431.6162499999998</v>
      </c>
      <c r="AH282" s="72">
        <f t="shared" si="46"/>
        <v>6459.4287499999991</v>
      </c>
      <c r="AI282" s="75">
        <f t="shared" si="47"/>
        <v>3437.5</v>
      </c>
      <c r="AJ282" s="78">
        <f t="shared" si="48"/>
        <v>1196.25</v>
      </c>
      <c r="AK282" s="72">
        <f t="shared" si="49"/>
        <v>4633.75</v>
      </c>
    </row>
    <row r="283" spans="1:37" ht="15.95" customHeight="1">
      <c r="A283" s="25" t="s">
        <v>948</v>
      </c>
      <c r="B283" s="25" t="s">
        <v>949</v>
      </c>
      <c r="C283" s="26" t="s">
        <v>1099</v>
      </c>
      <c r="D283" s="26" t="s">
        <v>375</v>
      </c>
      <c r="E283" s="26" t="s">
        <v>16</v>
      </c>
      <c r="F283" s="26" t="s">
        <v>1100</v>
      </c>
      <c r="G283" s="26" t="s">
        <v>1101</v>
      </c>
      <c r="H283" s="27" t="s">
        <v>1102</v>
      </c>
      <c r="I283" s="26" t="s">
        <v>19</v>
      </c>
      <c r="J283" s="28" t="s">
        <v>137</v>
      </c>
      <c r="K283" s="124">
        <v>135</v>
      </c>
      <c r="L283" s="29">
        <v>31.593149999999998</v>
      </c>
      <c r="M283" s="110">
        <v>21.95</v>
      </c>
      <c r="N283" s="30">
        <v>0.27200000000000002</v>
      </c>
      <c r="O283" s="116">
        <v>5.9704000000000006</v>
      </c>
      <c r="P283" s="30">
        <v>7.4999999999999997E-2</v>
      </c>
      <c r="Q283" s="116">
        <v>1.64625</v>
      </c>
      <c r="R283" s="30">
        <v>7.0000000000000007E-2</v>
      </c>
      <c r="S283" s="116">
        <v>1.5365000000000002</v>
      </c>
      <c r="T283" s="117">
        <v>0.49</v>
      </c>
      <c r="U283" s="39">
        <v>500</v>
      </c>
      <c r="V283" s="32">
        <v>618</v>
      </c>
      <c r="W283" s="33">
        <v>0</v>
      </c>
      <c r="X283" s="32"/>
      <c r="Y283" s="32"/>
      <c r="Z283" s="32"/>
      <c r="AA283" s="34"/>
      <c r="AB283" s="35">
        <f t="shared" si="40"/>
        <v>1118</v>
      </c>
      <c r="AC283" s="75">
        <f t="shared" si="41"/>
        <v>67500</v>
      </c>
      <c r="AD283" s="78">
        <f t="shared" si="42"/>
        <v>83430</v>
      </c>
      <c r="AE283" s="72">
        <f t="shared" si="43"/>
        <v>150930</v>
      </c>
      <c r="AF283" s="75">
        <f t="shared" si="44"/>
        <v>15796.574999999999</v>
      </c>
      <c r="AG283" s="78">
        <f t="shared" si="45"/>
        <v>19524.566699999999</v>
      </c>
      <c r="AH283" s="72">
        <f t="shared" si="46"/>
        <v>35321.1417</v>
      </c>
      <c r="AI283" s="75">
        <f t="shared" si="47"/>
        <v>10975</v>
      </c>
      <c r="AJ283" s="78">
        <f t="shared" si="48"/>
        <v>13565.1</v>
      </c>
      <c r="AK283" s="72">
        <f t="shared" si="49"/>
        <v>24540.1</v>
      </c>
    </row>
    <row r="284" spans="1:37" ht="15.95" customHeight="1">
      <c r="A284" s="25" t="s">
        <v>948</v>
      </c>
      <c r="B284" s="25" t="s">
        <v>949</v>
      </c>
      <c r="C284" s="26" t="s">
        <v>29</v>
      </c>
      <c r="D284" s="26" t="s">
        <v>375</v>
      </c>
      <c r="E284" s="26" t="s">
        <v>16</v>
      </c>
      <c r="F284" s="26" t="s">
        <v>1103</v>
      </c>
      <c r="G284" s="26" t="s">
        <v>1101</v>
      </c>
      <c r="H284" s="27" t="s">
        <v>1102</v>
      </c>
      <c r="I284" s="26" t="s">
        <v>19</v>
      </c>
      <c r="J284" s="28" t="s">
        <v>31</v>
      </c>
      <c r="K284" s="123">
        <v>135</v>
      </c>
      <c r="L284" s="29">
        <v>27.888400000000001</v>
      </c>
      <c r="M284" s="110">
        <v>19.2</v>
      </c>
      <c r="N284" s="30">
        <v>0.28199999999999997</v>
      </c>
      <c r="O284" s="116">
        <v>5.4143999999999997</v>
      </c>
      <c r="P284" s="30">
        <v>7.4999999999999997E-2</v>
      </c>
      <c r="Q284" s="116">
        <v>1.44</v>
      </c>
      <c r="R284" s="30">
        <v>7.0000000000000007E-2</v>
      </c>
      <c r="S284" s="116">
        <v>1.3440000000000001</v>
      </c>
      <c r="T284" s="117">
        <v>0.49</v>
      </c>
      <c r="U284" s="39">
        <v>500</v>
      </c>
      <c r="V284" s="32">
        <v>612</v>
      </c>
      <c r="W284" s="33">
        <v>0</v>
      </c>
      <c r="X284" s="32"/>
      <c r="Y284" s="32"/>
      <c r="Z284" s="32"/>
      <c r="AA284" s="34"/>
      <c r="AB284" s="35">
        <f t="shared" si="40"/>
        <v>1112</v>
      </c>
      <c r="AC284" s="75">
        <f t="shared" si="41"/>
        <v>67500</v>
      </c>
      <c r="AD284" s="78">
        <f t="shared" si="42"/>
        <v>82620</v>
      </c>
      <c r="AE284" s="72">
        <f t="shared" si="43"/>
        <v>150120</v>
      </c>
      <c r="AF284" s="75">
        <f t="shared" si="44"/>
        <v>13944.2</v>
      </c>
      <c r="AG284" s="78">
        <f t="shared" si="45"/>
        <v>17067.700799999999</v>
      </c>
      <c r="AH284" s="72">
        <f t="shared" si="46"/>
        <v>31011.900799999999</v>
      </c>
      <c r="AI284" s="75">
        <f t="shared" si="47"/>
        <v>9600</v>
      </c>
      <c r="AJ284" s="78">
        <f t="shared" si="48"/>
        <v>11750.4</v>
      </c>
      <c r="AK284" s="72">
        <f t="shared" si="49"/>
        <v>21350.400000000001</v>
      </c>
    </row>
    <row r="285" spans="1:37" ht="15.95" customHeight="1">
      <c r="A285" s="25" t="s">
        <v>948</v>
      </c>
      <c r="B285" s="25" t="s">
        <v>949</v>
      </c>
      <c r="C285" s="26" t="s">
        <v>1099</v>
      </c>
      <c r="D285" s="26" t="s">
        <v>375</v>
      </c>
      <c r="E285" s="26" t="s">
        <v>16</v>
      </c>
      <c r="F285" s="26" t="s">
        <v>1100</v>
      </c>
      <c r="G285" s="26" t="s">
        <v>1101</v>
      </c>
      <c r="H285" s="27" t="s">
        <v>1102</v>
      </c>
      <c r="I285" s="26" t="s">
        <v>19</v>
      </c>
      <c r="J285" s="28" t="s">
        <v>137</v>
      </c>
      <c r="K285" s="123">
        <v>135</v>
      </c>
      <c r="L285" s="29">
        <v>31.593149999999998</v>
      </c>
      <c r="M285" s="110">
        <v>21.95</v>
      </c>
      <c r="N285" s="30">
        <v>0.27200000000000002</v>
      </c>
      <c r="O285" s="116">
        <v>5.9704000000000006</v>
      </c>
      <c r="P285" s="30">
        <v>7.4999999999999997E-2</v>
      </c>
      <c r="Q285" s="116">
        <v>1.64625</v>
      </c>
      <c r="R285" s="30">
        <v>7.0000000000000007E-2</v>
      </c>
      <c r="S285" s="116">
        <v>1.5365000000000002</v>
      </c>
      <c r="T285" s="117">
        <v>0.49</v>
      </c>
      <c r="U285" s="39">
        <v>400</v>
      </c>
      <c r="V285" s="32">
        <v>166</v>
      </c>
      <c r="W285" s="33">
        <v>0</v>
      </c>
      <c r="X285" s="32"/>
      <c r="Y285" s="32">
        <v>16</v>
      </c>
      <c r="Z285" s="32"/>
      <c r="AA285" s="34"/>
      <c r="AB285" s="35">
        <f t="shared" si="40"/>
        <v>582</v>
      </c>
      <c r="AC285" s="75">
        <f t="shared" si="41"/>
        <v>54000</v>
      </c>
      <c r="AD285" s="78">
        <f t="shared" si="42"/>
        <v>24570</v>
      </c>
      <c r="AE285" s="72">
        <f t="shared" si="43"/>
        <v>78570</v>
      </c>
      <c r="AF285" s="75">
        <f t="shared" si="44"/>
        <v>12637.259999999998</v>
      </c>
      <c r="AG285" s="78">
        <f t="shared" si="45"/>
        <v>5595.6628999999994</v>
      </c>
      <c r="AH285" s="72">
        <f t="shared" si="46"/>
        <v>18232.922899999998</v>
      </c>
      <c r="AI285" s="75">
        <f t="shared" si="47"/>
        <v>8780</v>
      </c>
      <c r="AJ285" s="78">
        <f t="shared" si="48"/>
        <v>3994.9</v>
      </c>
      <c r="AK285" s="72">
        <f t="shared" si="49"/>
        <v>12774.9</v>
      </c>
    </row>
    <row r="286" spans="1:37" ht="15.95" customHeight="1">
      <c r="A286" s="25" t="s">
        <v>948</v>
      </c>
      <c r="B286" s="25" t="s">
        <v>949</v>
      </c>
      <c r="C286" s="26" t="s">
        <v>29</v>
      </c>
      <c r="D286" s="26" t="s">
        <v>375</v>
      </c>
      <c r="E286" s="26" t="s">
        <v>16</v>
      </c>
      <c r="F286" s="26" t="s">
        <v>1103</v>
      </c>
      <c r="G286" s="26" t="s">
        <v>1101</v>
      </c>
      <c r="H286" s="27" t="s">
        <v>1102</v>
      </c>
      <c r="I286" s="26" t="s">
        <v>19</v>
      </c>
      <c r="J286" s="28" t="s">
        <v>31</v>
      </c>
      <c r="K286" s="123">
        <v>135</v>
      </c>
      <c r="L286" s="29">
        <v>27.888400000000001</v>
      </c>
      <c r="M286" s="110">
        <v>19.2</v>
      </c>
      <c r="N286" s="30">
        <v>0.28199999999999997</v>
      </c>
      <c r="O286" s="116">
        <v>5.4143999999999997</v>
      </c>
      <c r="P286" s="30">
        <v>7.4999999999999997E-2</v>
      </c>
      <c r="Q286" s="116">
        <v>1.44</v>
      </c>
      <c r="R286" s="30">
        <v>7.0000000000000007E-2</v>
      </c>
      <c r="S286" s="116">
        <v>1.3440000000000001</v>
      </c>
      <c r="T286" s="117">
        <v>0.49</v>
      </c>
      <c r="U286" s="39">
        <v>400</v>
      </c>
      <c r="V286" s="32">
        <v>160</v>
      </c>
      <c r="W286" s="33">
        <v>0</v>
      </c>
      <c r="X286" s="32"/>
      <c r="Y286" s="32">
        <v>16</v>
      </c>
      <c r="Z286" s="32"/>
      <c r="AA286" s="34"/>
      <c r="AB286" s="35">
        <f t="shared" si="40"/>
        <v>576</v>
      </c>
      <c r="AC286" s="75">
        <f t="shared" si="41"/>
        <v>54000</v>
      </c>
      <c r="AD286" s="78">
        <f t="shared" si="42"/>
        <v>23760</v>
      </c>
      <c r="AE286" s="72">
        <f t="shared" si="43"/>
        <v>77760</v>
      </c>
      <c r="AF286" s="75">
        <f t="shared" si="44"/>
        <v>11155.36</v>
      </c>
      <c r="AG286" s="78">
        <f t="shared" si="45"/>
        <v>4769.3440000000001</v>
      </c>
      <c r="AH286" s="72">
        <f t="shared" si="46"/>
        <v>15924.704000000002</v>
      </c>
      <c r="AI286" s="75">
        <f t="shared" si="47"/>
        <v>7680</v>
      </c>
      <c r="AJ286" s="78">
        <f t="shared" si="48"/>
        <v>3379.2</v>
      </c>
      <c r="AK286" s="72">
        <f t="shared" si="49"/>
        <v>11059.2</v>
      </c>
    </row>
    <row r="287" spans="1:37" ht="15.95" customHeight="1">
      <c r="A287" s="25" t="s">
        <v>948</v>
      </c>
      <c r="B287" s="25" t="s">
        <v>949</v>
      </c>
      <c r="C287" s="26" t="s">
        <v>976</v>
      </c>
      <c r="D287" s="26" t="s">
        <v>375</v>
      </c>
      <c r="E287" s="26" t="s">
        <v>16</v>
      </c>
      <c r="F287" s="26" t="s">
        <v>1104</v>
      </c>
      <c r="G287" s="26" t="s">
        <v>140</v>
      </c>
      <c r="H287" s="27" t="s">
        <v>1105</v>
      </c>
      <c r="I287" s="26" t="s">
        <v>19</v>
      </c>
      <c r="J287" s="28" t="s">
        <v>109</v>
      </c>
      <c r="K287" s="123">
        <v>175</v>
      </c>
      <c r="L287" s="29">
        <v>35.614899999999999</v>
      </c>
      <c r="M287" s="110">
        <v>28.65</v>
      </c>
      <c r="N287" s="30">
        <v>8.1000000000000003E-2</v>
      </c>
      <c r="O287" s="116">
        <v>2.3206500000000001</v>
      </c>
      <c r="P287" s="30">
        <v>7.4999999999999997E-2</v>
      </c>
      <c r="Q287" s="116">
        <v>2.1487499999999997</v>
      </c>
      <c r="R287" s="30">
        <v>7.0000000000000007E-2</v>
      </c>
      <c r="S287" s="116">
        <v>2.0055000000000001</v>
      </c>
      <c r="T287" s="117">
        <v>0.49</v>
      </c>
      <c r="U287" s="39">
        <v>400</v>
      </c>
      <c r="V287" s="32">
        <v>124</v>
      </c>
      <c r="W287" s="33">
        <v>0</v>
      </c>
      <c r="X287" s="32"/>
      <c r="Y287" s="32">
        <v>16</v>
      </c>
      <c r="Z287" s="32"/>
      <c r="AA287" s="34"/>
      <c r="AB287" s="35">
        <f t="shared" si="40"/>
        <v>540</v>
      </c>
      <c r="AC287" s="75">
        <f t="shared" si="41"/>
        <v>70000</v>
      </c>
      <c r="AD287" s="78">
        <f t="shared" si="42"/>
        <v>24500</v>
      </c>
      <c r="AE287" s="72">
        <f t="shared" si="43"/>
        <v>94500</v>
      </c>
      <c r="AF287" s="75">
        <f t="shared" si="44"/>
        <v>14245.96</v>
      </c>
      <c r="AG287" s="78">
        <f t="shared" si="45"/>
        <v>4874.6475999999993</v>
      </c>
      <c r="AH287" s="72">
        <f t="shared" si="46"/>
        <v>19120.607599999999</v>
      </c>
      <c r="AI287" s="75">
        <f t="shared" si="47"/>
        <v>11460</v>
      </c>
      <c r="AJ287" s="78">
        <f t="shared" si="48"/>
        <v>4011</v>
      </c>
      <c r="AK287" s="72">
        <f t="shared" si="49"/>
        <v>15471</v>
      </c>
    </row>
    <row r="288" spans="1:37" ht="15.95" customHeight="1">
      <c r="A288" s="25" t="s">
        <v>948</v>
      </c>
      <c r="B288" s="25" t="s">
        <v>949</v>
      </c>
      <c r="C288" s="26" t="s">
        <v>21</v>
      </c>
      <c r="D288" s="26" t="s">
        <v>375</v>
      </c>
      <c r="E288" s="26" t="s">
        <v>16</v>
      </c>
      <c r="F288" s="26" t="s">
        <v>1106</v>
      </c>
      <c r="G288" s="26" t="s">
        <v>140</v>
      </c>
      <c r="H288" s="27" t="s">
        <v>1107</v>
      </c>
      <c r="I288" s="26" t="s">
        <v>19</v>
      </c>
      <c r="J288" s="37" t="s">
        <v>111</v>
      </c>
      <c r="K288" s="123">
        <v>150</v>
      </c>
      <c r="L288" s="29">
        <v>30.643000000000001</v>
      </c>
      <c r="M288" s="110">
        <v>23</v>
      </c>
      <c r="N288" s="30">
        <v>0.16600000000000001</v>
      </c>
      <c r="O288" s="116">
        <v>3.8180000000000001</v>
      </c>
      <c r="P288" s="30">
        <v>7.4999999999999997E-2</v>
      </c>
      <c r="Q288" s="116">
        <v>1.7249999999999999</v>
      </c>
      <c r="R288" s="30">
        <v>7.0000000000000007E-2</v>
      </c>
      <c r="S288" s="116">
        <v>1.61</v>
      </c>
      <c r="T288" s="117">
        <v>0.49</v>
      </c>
      <c r="U288" s="39">
        <v>400</v>
      </c>
      <c r="V288" s="32">
        <v>118</v>
      </c>
      <c r="W288" s="33">
        <v>0</v>
      </c>
      <c r="X288" s="32"/>
      <c r="Y288" s="32">
        <v>16</v>
      </c>
      <c r="Z288" s="32"/>
      <c r="AA288" s="34"/>
      <c r="AB288" s="35">
        <f t="shared" si="40"/>
        <v>534</v>
      </c>
      <c r="AC288" s="75">
        <f t="shared" si="41"/>
        <v>60000</v>
      </c>
      <c r="AD288" s="78">
        <f t="shared" si="42"/>
        <v>20100</v>
      </c>
      <c r="AE288" s="72">
        <f t="shared" si="43"/>
        <v>80100</v>
      </c>
      <c r="AF288" s="75">
        <f t="shared" si="44"/>
        <v>12257.2</v>
      </c>
      <c r="AG288" s="78">
        <f t="shared" si="45"/>
        <v>3983.8740000000003</v>
      </c>
      <c r="AH288" s="72">
        <f t="shared" si="46"/>
        <v>16241.074000000001</v>
      </c>
      <c r="AI288" s="75">
        <f t="shared" si="47"/>
        <v>9200</v>
      </c>
      <c r="AJ288" s="78">
        <f t="shared" si="48"/>
        <v>3082</v>
      </c>
      <c r="AK288" s="72">
        <f t="shared" si="49"/>
        <v>12282</v>
      </c>
    </row>
    <row r="289" spans="1:37" ht="15.95" customHeight="1">
      <c r="A289" s="25" t="s">
        <v>948</v>
      </c>
      <c r="B289" s="25" t="s">
        <v>949</v>
      </c>
      <c r="C289" s="26" t="s">
        <v>1099</v>
      </c>
      <c r="D289" s="26" t="s">
        <v>375</v>
      </c>
      <c r="E289" s="26" t="s">
        <v>16</v>
      </c>
      <c r="F289" s="26" t="s">
        <v>1108</v>
      </c>
      <c r="G289" s="26" t="s">
        <v>140</v>
      </c>
      <c r="H289" s="27" t="s">
        <v>1107</v>
      </c>
      <c r="I289" s="26" t="s">
        <v>19</v>
      </c>
      <c r="J289" s="28" t="s">
        <v>142</v>
      </c>
      <c r="K289" s="123">
        <v>125</v>
      </c>
      <c r="L289" s="29">
        <v>26.524799999999995</v>
      </c>
      <c r="M289" s="110">
        <v>19.399999999999999</v>
      </c>
      <c r="N289" s="30">
        <v>0.19700000000000001</v>
      </c>
      <c r="O289" s="116">
        <v>3.8218000000000001</v>
      </c>
      <c r="P289" s="30">
        <v>7.4999999999999997E-2</v>
      </c>
      <c r="Q289" s="116">
        <v>1.4549999999999998</v>
      </c>
      <c r="R289" s="30">
        <v>7.0000000000000007E-2</v>
      </c>
      <c r="S289" s="116">
        <v>1.3580000000000001</v>
      </c>
      <c r="T289" s="117">
        <v>0.49</v>
      </c>
      <c r="U289" s="39">
        <v>500</v>
      </c>
      <c r="V289" s="32">
        <v>201</v>
      </c>
      <c r="W289" s="33">
        <v>0</v>
      </c>
      <c r="X289" s="32"/>
      <c r="Y289" s="32"/>
      <c r="Z289" s="32"/>
      <c r="AA289" s="34"/>
      <c r="AB289" s="35">
        <f t="shared" si="40"/>
        <v>701</v>
      </c>
      <c r="AC289" s="75">
        <f t="shared" si="41"/>
        <v>62500</v>
      </c>
      <c r="AD289" s="78">
        <f t="shared" si="42"/>
        <v>25125</v>
      </c>
      <c r="AE289" s="72">
        <f t="shared" si="43"/>
        <v>87625</v>
      </c>
      <c r="AF289" s="75">
        <f t="shared" si="44"/>
        <v>13262.399999999998</v>
      </c>
      <c r="AG289" s="78">
        <f t="shared" si="45"/>
        <v>5331.4847999999993</v>
      </c>
      <c r="AH289" s="72">
        <f t="shared" si="46"/>
        <v>18593.884799999996</v>
      </c>
      <c r="AI289" s="75">
        <f t="shared" si="47"/>
        <v>9700</v>
      </c>
      <c r="AJ289" s="78">
        <f t="shared" si="48"/>
        <v>3899.3999999999996</v>
      </c>
      <c r="AK289" s="72">
        <f t="shared" si="49"/>
        <v>13599.4</v>
      </c>
    </row>
    <row r="290" spans="1:37" ht="15.95" customHeight="1">
      <c r="A290" s="25" t="s">
        <v>948</v>
      </c>
      <c r="B290" s="25" t="s">
        <v>949</v>
      </c>
      <c r="C290" s="26" t="s">
        <v>982</v>
      </c>
      <c r="D290" s="26" t="s">
        <v>375</v>
      </c>
      <c r="E290" s="26" t="s">
        <v>16</v>
      </c>
      <c r="F290" s="26" t="s">
        <v>1109</v>
      </c>
      <c r="G290" s="26" t="s">
        <v>140</v>
      </c>
      <c r="H290" s="27" t="s">
        <v>1107</v>
      </c>
      <c r="I290" s="26" t="s">
        <v>19</v>
      </c>
      <c r="J290" s="37" t="s">
        <v>144</v>
      </c>
      <c r="K290" s="123">
        <v>110</v>
      </c>
      <c r="L290" s="29">
        <v>22.449249999999999</v>
      </c>
      <c r="M290" s="110">
        <v>16.75</v>
      </c>
      <c r="N290" s="30">
        <v>0.16600000000000001</v>
      </c>
      <c r="O290" s="116">
        <v>2.7805</v>
      </c>
      <c r="P290" s="30">
        <v>7.4999999999999997E-2</v>
      </c>
      <c r="Q290" s="116">
        <v>1.2562499999999999</v>
      </c>
      <c r="R290" s="30">
        <v>7.0000000000000007E-2</v>
      </c>
      <c r="S290" s="116">
        <v>1.1725000000000001</v>
      </c>
      <c r="T290" s="117">
        <v>0.49</v>
      </c>
      <c r="U290" s="39">
        <v>500</v>
      </c>
      <c r="V290" s="32">
        <v>201</v>
      </c>
      <c r="W290" s="33">
        <v>0</v>
      </c>
      <c r="X290" s="32"/>
      <c r="Y290" s="32"/>
      <c r="Z290" s="32"/>
      <c r="AA290" s="34"/>
      <c r="AB290" s="35">
        <f t="shared" si="40"/>
        <v>701</v>
      </c>
      <c r="AC290" s="75">
        <f t="shared" si="41"/>
        <v>55000</v>
      </c>
      <c r="AD290" s="78">
        <f t="shared" si="42"/>
        <v>22110</v>
      </c>
      <c r="AE290" s="72">
        <f t="shared" si="43"/>
        <v>77110</v>
      </c>
      <c r="AF290" s="75">
        <f t="shared" si="44"/>
        <v>11224.625</v>
      </c>
      <c r="AG290" s="78">
        <f t="shared" si="45"/>
        <v>4512.29925</v>
      </c>
      <c r="AH290" s="72">
        <f t="shared" si="46"/>
        <v>15736.92425</v>
      </c>
      <c r="AI290" s="75">
        <f t="shared" si="47"/>
        <v>8375</v>
      </c>
      <c r="AJ290" s="78">
        <f t="shared" si="48"/>
        <v>3366.75</v>
      </c>
      <c r="AK290" s="72">
        <f t="shared" si="49"/>
        <v>11741.75</v>
      </c>
    </row>
    <row r="291" spans="1:37" ht="15.95" customHeight="1">
      <c r="A291" s="25" t="s">
        <v>948</v>
      </c>
      <c r="B291" s="25" t="s">
        <v>949</v>
      </c>
      <c r="C291" s="26" t="s">
        <v>1099</v>
      </c>
      <c r="D291" s="26" t="s">
        <v>375</v>
      </c>
      <c r="E291" s="26" t="s">
        <v>16</v>
      </c>
      <c r="F291" s="26" t="s">
        <v>1110</v>
      </c>
      <c r="G291" s="26" t="s">
        <v>1111</v>
      </c>
      <c r="H291" s="27" t="s">
        <v>1112</v>
      </c>
      <c r="I291" s="26" t="s">
        <v>27</v>
      </c>
      <c r="J291" s="28" t="s">
        <v>578</v>
      </c>
      <c r="K291" s="123">
        <v>125</v>
      </c>
      <c r="L291" s="29">
        <v>23.975000000000001</v>
      </c>
      <c r="M291" s="110">
        <v>17.5</v>
      </c>
      <c r="N291" s="30">
        <v>0.19700000000000001</v>
      </c>
      <c r="O291" s="116">
        <v>3.4475000000000002</v>
      </c>
      <c r="P291" s="30">
        <v>7.4999999999999997E-2</v>
      </c>
      <c r="Q291" s="116">
        <v>1.3125</v>
      </c>
      <c r="R291" s="30">
        <v>7.0000000000000007E-2</v>
      </c>
      <c r="S291" s="116">
        <v>1.2250000000000001</v>
      </c>
      <c r="T291" s="117">
        <v>0.49</v>
      </c>
      <c r="U291" s="39">
        <v>400</v>
      </c>
      <c r="V291" s="32">
        <v>231</v>
      </c>
      <c r="W291" s="33">
        <v>0</v>
      </c>
      <c r="X291" s="32"/>
      <c r="Y291" s="32"/>
      <c r="Z291" s="32"/>
      <c r="AA291" s="34"/>
      <c r="AB291" s="35">
        <f t="shared" si="40"/>
        <v>631</v>
      </c>
      <c r="AC291" s="75">
        <f t="shared" si="41"/>
        <v>50000</v>
      </c>
      <c r="AD291" s="78">
        <f t="shared" si="42"/>
        <v>28875</v>
      </c>
      <c r="AE291" s="72">
        <f t="shared" si="43"/>
        <v>78875</v>
      </c>
      <c r="AF291" s="75">
        <f t="shared" si="44"/>
        <v>9590</v>
      </c>
      <c r="AG291" s="78">
        <f t="shared" si="45"/>
        <v>5538.2250000000004</v>
      </c>
      <c r="AH291" s="72">
        <f t="shared" si="46"/>
        <v>15128.225</v>
      </c>
      <c r="AI291" s="75">
        <f t="shared" si="47"/>
        <v>7000</v>
      </c>
      <c r="AJ291" s="78">
        <f t="shared" si="48"/>
        <v>4042.5</v>
      </c>
      <c r="AK291" s="72">
        <f t="shared" si="49"/>
        <v>11042.5</v>
      </c>
    </row>
    <row r="292" spans="1:37" ht="15.95" customHeight="1">
      <c r="A292" s="25" t="s">
        <v>948</v>
      </c>
      <c r="B292" s="25" t="s">
        <v>949</v>
      </c>
      <c r="C292" s="26" t="s">
        <v>29</v>
      </c>
      <c r="D292" s="26" t="s">
        <v>375</v>
      </c>
      <c r="E292" s="26" t="s">
        <v>16</v>
      </c>
      <c r="F292" s="26" t="s">
        <v>1113</v>
      </c>
      <c r="G292" s="26" t="s">
        <v>1111</v>
      </c>
      <c r="H292" s="27" t="s">
        <v>1112</v>
      </c>
      <c r="I292" s="26" t="s">
        <v>27</v>
      </c>
      <c r="J292" s="28" t="s">
        <v>174</v>
      </c>
      <c r="K292" s="123">
        <v>88</v>
      </c>
      <c r="L292" s="29">
        <v>17.141499999999997</v>
      </c>
      <c r="M292" s="110">
        <v>12.75</v>
      </c>
      <c r="N292" s="30">
        <v>0.161</v>
      </c>
      <c r="O292" s="116">
        <v>2.0527500000000001</v>
      </c>
      <c r="P292" s="30">
        <v>7.4999999999999997E-2</v>
      </c>
      <c r="Q292" s="116">
        <v>0.95624999999999993</v>
      </c>
      <c r="R292" s="30">
        <v>7.0000000000000007E-2</v>
      </c>
      <c r="S292" s="116">
        <v>0.89250000000000007</v>
      </c>
      <c r="T292" s="117">
        <v>0.49</v>
      </c>
      <c r="U292" s="39">
        <v>400</v>
      </c>
      <c r="V292" s="32">
        <v>225</v>
      </c>
      <c r="W292" s="33">
        <v>0</v>
      </c>
      <c r="X292" s="32"/>
      <c r="Y292" s="32"/>
      <c r="Z292" s="32"/>
      <c r="AA292" s="34"/>
      <c r="AB292" s="35">
        <f t="shared" si="40"/>
        <v>625</v>
      </c>
      <c r="AC292" s="75">
        <f t="shared" si="41"/>
        <v>35200</v>
      </c>
      <c r="AD292" s="78">
        <f t="shared" si="42"/>
        <v>19800</v>
      </c>
      <c r="AE292" s="72">
        <f t="shared" si="43"/>
        <v>55000</v>
      </c>
      <c r="AF292" s="75">
        <f t="shared" si="44"/>
        <v>6856.5999999999985</v>
      </c>
      <c r="AG292" s="78">
        <f t="shared" si="45"/>
        <v>3856.8374999999992</v>
      </c>
      <c r="AH292" s="72">
        <f t="shared" si="46"/>
        <v>10713.437499999998</v>
      </c>
      <c r="AI292" s="75">
        <f t="shared" si="47"/>
        <v>5100</v>
      </c>
      <c r="AJ292" s="78">
        <f t="shared" si="48"/>
        <v>2868.75</v>
      </c>
      <c r="AK292" s="72">
        <f t="shared" si="49"/>
        <v>7968.75</v>
      </c>
    </row>
    <row r="293" spans="1:37" ht="15.95" customHeight="1">
      <c r="A293" s="25" t="s">
        <v>948</v>
      </c>
      <c r="B293" s="25" t="s">
        <v>949</v>
      </c>
      <c r="C293" s="26" t="s">
        <v>1099</v>
      </c>
      <c r="D293" s="26" t="s">
        <v>375</v>
      </c>
      <c r="E293" s="26" t="s">
        <v>16</v>
      </c>
      <c r="F293" s="26" t="s">
        <v>1110</v>
      </c>
      <c r="G293" s="26" t="s">
        <v>1111</v>
      </c>
      <c r="H293" s="27" t="s">
        <v>1114</v>
      </c>
      <c r="I293" s="26" t="s">
        <v>27</v>
      </c>
      <c r="J293" s="28" t="s">
        <v>578</v>
      </c>
      <c r="K293" s="123">
        <v>125</v>
      </c>
      <c r="L293" s="29">
        <v>23.975000000000001</v>
      </c>
      <c r="M293" s="110">
        <v>17.5</v>
      </c>
      <c r="N293" s="30">
        <v>0.19700000000000001</v>
      </c>
      <c r="O293" s="116">
        <v>3.4475000000000002</v>
      </c>
      <c r="P293" s="30">
        <v>7.4999999999999997E-2</v>
      </c>
      <c r="Q293" s="116">
        <v>1.3125</v>
      </c>
      <c r="R293" s="30">
        <v>7.0000000000000007E-2</v>
      </c>
      <c r="S293" s="116">
        <v>1.2250000000000001</v>
      </c>
      <c r="T293" s="117">
        <v>0.49</v>
      </c>
      <c r="U293" s="39">
        <v>350</v>
      </c>
      <c r="V293" s="32">
        <v>166</v>
      </c>
      <c r="W293" s="33">
        <v>0</v>
      </c>
      <c r="X293" s="32"/>
      <c r="Y293" s="32"/>
      <c r="Z293" s="32"/>
      <c r="AA293" s="34"/>
      <c r="AB293" s="35">
        <f t="shared" si="40"/>
        <v>516</v>
      </c>
      <c r="AC293" s="75">
        <f t="shared" si="41"/>
        <v>43750</v>
      </c>
      <c r="AD293" s="78">
        <f t="shared" si="42"/>
        <v>20750</v>
      </c>
      <c r="AE293" s="72">
        <f t="shared" si="43"/>
        <v>64500</v>
      </c>
      <c r="AF293" s="75">
        <f t="shared" si="44"/>
        <v>8391.25</v>
      </c>
      <c r="AG293" s="78">
        <f t="shared" si="45"/>
        <v>3979.8500000000004</v>
      </c>
      <c r="AH293" s="72">
        <f t="shared" si="46"/>
        <v>12371.1</v>
      </c>
      <c r="AI293" s="75">
        <f t="shared" si="47"/>
        <v>6125</v>
      </c>
      <c r="AJ293" s="78">
        <f t="shared" si="48"/>
        <v>2905</v>
      </c>
      <c r="AK293" s="72">
        <f t="shared" si="49"/>
        <v>9030</v>
      </c>
    </row>
    <row r="294" spans="1:37" ht="15.95" customHeight="1">
      <c r="A294" s="25" t="s">
        <v>948</v>
      </c>
      <c r="B294" s="25" t="s">
        <v>949</v>
      </c>
      <c r="C294" s="40" t="s">
        <v>982</v>
      </c>
      <c r="D294" s="26" t="s">
        <v>375</v>
      </c>
      <c r="E294" s="26" t="s">
        <v>16</v>
      </c>
      <c r="F294" s="26" t="s">
        <v>1113</v>
      </c>
      <c r="G294" s="41" t="s">
        <v>1111</v>
      </c>
      <c r="H294" s="27" t="s">
        <v>1114</v>
      </c>
      <c r="I294" s="26" t="s">
        <v>27</v>
      </c>
      <c r="J294" s="28" t="s">
        <v>174</v>
      </c>
      <c r="K294" s="123">
        <v>88</v>
      </c>
      <c r="L294" s="29">
        <v>17.141499999999997</v>
      </c>
      <c r="M294" s="110">
        <v>12.75</v>
      </c>
      <c r="N294" s="30">
        <v>0.161</v>
      </c>
      <c r="O294" s="116">
        <v>2.0527500000000001</v>
      </c>
      <c r="P294" s="30">
        <v>7.4999999999999997E-2</v>
      </c>
      <c r="Q294" s="116">
        <v>0.95624999999999993</v>
      </c>
      <c r="R294" s="30">
        <v>7.0000000000000007E-2</v>
      </c>
      <c r="S294" s="116">
        <v>0.89250000000000007</v>
      </c>
      <c r="T294" s="117">
        <v>0.49</v>
      </c>
      <c r="U294" s="39">
        <v>350</v>
      </c>
      <c r="V294" s="32">
        <v>160</v>
      </c>
      <c r="W294" s="33">
        <v>0</v>
      </c>
      <c r="X294" s="32"/>
      <c r="Y294" s="32"/>
      <c r="Z294" s="32"/>
      <c r="AA294" s="34"/>
      <c r="AB294" s="35">
        <f t="shared" si="40"/>
        <v>510</v>
      </c>
      <c r="AC294" s="75">
        <f t="shared" si="41"/>
        <v>30800</v>
      </c>
      <c r="AD294" s="78">
        <f t="shared" si="42"/>
        <v>14080</v>
      </c>
      <c r="AE294" s="72">
        <f t="shared" si="43"/>
        <v>44880</v>
      </c>
      <c r="AF294" s="75">
        <f t="shared" si="44"/>
        <v>5999.5249999999987</v>
      </c>
      <c r="AG294" s="78">
        <f t="shared" si="45"/>
        <v>2742.6399999999994</v>
      </c>
      <c r="AH294" s="72">
        <f t="shared" si="46"/>
        <v>8742.1649999999972</v>
      </c>
      <c r="AI294" s="75">
        <f t="shared" si="47"/>
        <v>4462.5</v>
      </c>
      <c r="AJ294" s="78">
        <f t="shared" si="48"/>
        <v>2040</v>
      </c>
      <c r="AK294" s="72">
        <f t="shared" si="49"/>
        <v>6502.5</v>
      </c>
    </row>
    <row r="295" spans="1:37" ht="15.95" customHeight="1">
      <c r="A295" s="25" t="s">
        <v>948</v>
      </c>
      <c r="B295" s="25" t="s">
        <v>949</v>
      </c>
      <c r="C295" s="26" t="s">
        <v>1099</v>
      </c>
      <c r="D295" s="26" t="s">
        <v>375</v>
      </c>
      <c r="E295" s="26" t="s">
        <v>16</v>
      </c>
      <c r="F295" s="26" t="s">
        <v>1110</v>
      </c>
      <c r="G295" s="41" t="s">
        <v>1111</v>
      </c>
      <c r="H295" s="27" t="s">
        <v>1112</v>
      </c>
      <c r="I295" s="26" t="s">
        <v>27</v>
      </c>
      <c r="J295" s="37" t="s">
        <v>578</v>
      </c>
      <c r="K295" s="123">
        <v>125</v>
      </c>
      <c r="L295" s="29">
        <v>23.975000000000001</v>
      </c>
      <c r="M295" s="110">
        <v>17.5</v>
      </c>
      <c r="N295" s="30">
        <v>0.19700000000000001</v>
      </c>
      <c r="O295" s="116">
        <v>3.4475000000000002</v>
      </c>
      <c r="P295" s="30">
        <v>7.4999999999999997E-2</v>
      </c>
      <c r="Q295" s="116">
        <v>1.3125</v>
      </c>
      <c r="R295" s="30">
        <v>7.0000000000000007E-2</v>
      </c>
      <c r="S295" s="116">
        <v>1.2250000000000001</v>
      </c>
      <c r="T295" s="117">
        <v>0.49</v>
      </c>
      <c r="U295" s="39">
        <v>400</v>
      </c>
      <c r="V295" s="32">
        <v>515</v>
      </c>
      <c r="W295" s="33">
        <v>0</v>
      </c>
      <c r="X295" s="32"/>
      <c r="Y295" s="32"/>
      <c r="Z295" s="32"/>
      <c r="AA295" s="34"/>
      <c r="AB295" s="35">
        <f t="shared" si="40"/>
        <v>915</v>
      </c>
      <c r="AC295" s="75">
        <f t="shared" si="41"/>
        <v>50000</v>
      </c>
      <c r="AD295" s="78">
        <f t="shared" si="42"/>
        <v>64375</v>
      </c>
      <c r="AE295" s="72">
        <f t="shared" si="43"/>
        <v>114375</v>
      </c>
      <c r="AF295" s="75">
        <f t="shared" si="44"/>
        <v>9590</v>
      </c>
      <c r="AG295" s="78">
        <f t="shared" si="45"/>
        <v>12347.125</v>
      </c>
      <c r="AH295" s="72">
        <f t="shared" si="46"/>
        <v>21937.125</v>
      </c>
      <c r="AI295" s="75">
        <f t="shared" si="47"/>
        <v>7000</v>
      </c>
      <c r="AJ295" s="78">
        <f t="shared" si="48"/>
        <v>9012.5</v>
      </c>
      <c r="AK295" s="72">
        <f t="shared" si="49"/>
        <v>16012.5</v>
      </c>
    </row>
    <row r="296" spans="1:37" ht="15.95" customHeight="1">
      <c r="A296" s="25" t="s">
        <v>948</v>
      </c>
      <c r="B296" s="25" t="s">
        <v>949</v>
      </c>
      <c r="C296" s="40" t="s">
        <v>982</v>
      </c>
      <c r="D296" s="26" t="s">
        <v>375</v>
      </c>
      <c r="E296" s="26" t="s">
        <v>16</v>
      </c>
      <c r="F296" s="26" t="s">
        <v>1113</v>
      </c>
      <c r="G296" s="41" t="s">
        <v>1111</v>
      </c>
      <c r="H296" s="27" t="s">
        <v>1112</v>
      </c>
      <c r="I296" s="26" t="s">
        <v>27</v>
      </c>
      <c r="J296" s="28" t="s">
        <v>174</v>
      </c>
      <c r="K296" s="123">
        <v>88</v>
      </c>
      <c r="L296" s="29">
        <v>17.141499999999997</v>
      </c>
      <c r="M296" s="110">
        <v>12.75</v>
      </c>
      <c r="N296" s="30">
        <v>0.161</v>
      </c>
      <c r="O296" s="116">
        <v>2.0527500000000001</v>
      </c>
      <c r="P296" s="30">
        <v>7.4999999999999997E-2</v>
      </c>
      <c r="Q296" s="116">
        <v>0.95624999999999993</v>
      </c>
      <c r="R296" s="30">
        <v>7.0000000000000007E-2</v>
      </c>
      <c r="S296" s="116">
        <v>0.89250000000000007</v>
      </c>
      <c r="T296" s="117">
        <v>0.49</v>
      </c>
      <c r="U296" s="39">
        <v>400</v>
      </c>
      <c r="V296" s="32">
        <v>509</v>
      </c>
      <c r="W296" s="33">
        <v>0</v>
      </c>
      <c r="X296" s="32"/>
      <c r="Y296" s="32"/>
      <c r="Z296" s="32"/>
      <c r="AA296" s="34"/>
      <c r="AB296" s="35">
        <f t="shared" si="40"/>
        <v>909</v>
      </c>
      <c r="AC296" s="75">
        <f t="shared" si="41"/>
        <v>35200</v>
      </c>
      <c r="AD296" s="78">
        <f t="shared" si="42"/>
        <v>44792</v>
      </c>
      <c r="AE296" s="72">
        <f t="shared" si="43"/>
        <v>79992</v>
      </c>
      <c r="AF296" s="75">
        <f t="shared" si="44"/>
        <v>6856.5999999999985</v>
      </c>
      <c r="AG296" s="78">
        <f t="shared" si="45"/>
        <v>8725.0234999999993</v>
      </c>
      <c r="AH296" s="72">
        <f t="shared" si="46"/>
        <v>15581.623499999998</v>
      </c>
      <c r="AI296" s="75">
        <f t="shared" si="47"/>
        <v>5100</v>
      </c>
      <c r="AJ296" s="78">
        <f t="shared" si="48"/>
        <v>6489.75</v>
      </c>
      <c r="AK296" s="72">
        <f t="shared" si="49"/>
        <v>11589.75</v>
      </c>
    </row>
    <row r="297" spans="1:37" ht="15.95" customHeight="1">
      <c r="A297" s="25" t="s">
        <v>948</v>
      </c>
      <c r="B297" s="25" t="s">
        <v>361</v>
      </c>
      <c r="C297" s="26" t="s">
        <v>368</v>
      </c>
      <c r="D297" s="26" t="s">
        <v>375</v>
      </c>
      <c r="E297" s="26" t="s">
        <v>16</v>
      </c>
      <c r="F297" s="26" t="s">
        <v>1115</v>
      </c>
      <c r="G297" s="41" t="s">
        <v>1111</v>
      </c>
      <c r="H297" s="27" t="s">
        <v>1112</v>
      </c>
      <c r="I297" s="26" t="s">
        <v>27</v>
      </c>
      <c r="J297" s="37" t="s">
        <v>372</v>
      </c>
      <c r="K297" s="123">
        <v>58</v>
      </c>
      <c r="L297" s="29">
        <v>12.305000000000001</v>
      </c>
      <c r="M297" s="110">
        <v>8.5</v>
      </c>
      <c r="N297" s="30">
        <v>7.0000000000000007E-2</v>
      </c>
      <c r="O297" s="116">
        <v>0.59500000000000008</v>
      </c>
      <c r="P297" s="30">
        <v>0.25</v>
      </c>
      <c r="Q297" s="116">
        <v>2.125</v>
      </c>
      <c r="R297" s="30">
        <v>7.0000000000000007E-2</v>
      </c>
      <c r="S297" s="116">
        <v>0.59500000000000008</v>
      </c>
      <c r="T297" s="117">
        <v>0.49</v>
      </c>
      <c r="U297" s="39">
        <v>350</v>
      </c>
      <c r="V297" s="32">
        <v>141</v>
      </c>
      <c r="W297" s="33">
        <v>0</v>
      </c>
      <c r="X297" s="32"/>
      <c r="Y297" s="32"/>
      <c r="Z297" s="32"/>
      <c r="AA297" s="34">
        <v>20</v>
      </c>
      <c r="AB297" s="35">
        <f t="shared" si="40"/>
        <v>511</v>
      </c>
      <c r="AC297" s="75">
        <f t="shared" si="41"/>
        <v>20300</v>
      </c>
      <c r="AD297" s="78">
        <f t="shared" si="42"/>
        <v>9338</v>
      </c>
      <c r="AE297" s="72">
        <f t="shared" si="43"/>
        <v>29638</v>
      </c>
      <c r="AF297" s="75">
        <f t="shared" si="44"/>
        <v>4306.7500000000009</v>
      </c>
      <c r="AG297" s="78">
        <f t="shared" si="45"/>
        <v>1905.0050000000001</v>
      </c>
      <c r="AH297" s="72">
        <f t="shared" si="46"/>
        <v>6211.755000000001</v>
      </c>
      <c r="AI297" s="75">
        <f t="shared" si="47"/>
        <v>2975</v>
      </c>
      <c r="AJ297" s="78">
        <f t="shared" si="48"/>
        <v>1368.5</v>
      </c>
      <c r="AK297" s="72">
        <f t="shared" si="49"/>
        <v>4343.5</v>
      </c>
    </row>
    <row r="298" spans="1:37" ht="15.95" customHeight="1">
      <c r="A298" s="25" t="s">
        <v>948</v>
      </c>
      <c r="B298" s="25" t="s">
        <v>361</v>
      </c>
      <c r="C298" s="40" t="s">
        <v>368</v>
      </c>
      <c r="D298" s="26" t="s">
        <v>375</v>
      </c>
      <c r="E298" s="26" t="s">
        <v>16</v>
      </c>
      <c r="F298" s="26" t="s">
        <v>1115</v>
      </c>
      <c r="G298" s="41" t="s">
        <v>1111</v>
      </c>
      <c r="H298" s="27" t="s">
        <v>1112</v>
      </c>
      <c r="I298" s="26" t="s">
        <v>27</v>
      </c>
      <c r="J298" s="28" t="s">
        <v>372</v>
      </c>
      <c r="K298" s="123">
        <v>58</v>
      </c>
      <c r="L298" s="29">
        <v>12.305000000000001</v>
      </c>
      <c r="M298" s="110">
        <v>8.5</v>
      </c>
      <c r="N298" s="30">
        <v>7.0000000000000007E-2</v>
      </c>
      <c r="O298" s="116">
        <v>0.59500000000000008</v>
      </c>
      <c r="P298" s="30">
        <v>0.25</v>
      </c>
      <c r="Q298" s="116">
        <v>2.125</v>
      </c>
      <c r="R298" s="30">
        <v>7.0000000000000007E-2</v>
      </c>
      <c r="S298" s="116">
        <v>0.59500000000000008</v>
      </c>
      <c r="T298" s="117">
        <v>0.49</v>
      </c>
      <c r="U298" s="39">
        <v>250</v>
      </c>
      <c r="V298" s="32">
        <v>123</v>
      </c>
      <c r="W298" s="33">
        <v>0</v>
      </c>
      <c r="X298" s="32"/>
      <c r="Y298" s="32"/>
      <c r="Z298" s="32"/>
      <c r="AA298" s="34">
        <v>5</v>
      </c>
      <c r="AB298" s="35">
        <f t="shared" si="40"/>
        <v>378</v>
      </c>
      <c r="AC298" s="75">
        <f t="shared" si="41"/>
        <v>14500</v>
      </c>
      <c r="AD298" s="78">
        <f t="shared" si="42"/>
        <v>7424</v>
      </c>
      <c r="AE298" s="72">
        <f t="shared" si="43"/>
        <v>21924</v>
      </c>
      <c r="AF298" s="75">
        <f t="shared" si="44"/>
        <v>3076.2500000000005</v>
      </c>
      <c r="AG298" s="78">
        <f t="shared" si="45"/>
        <v>1556.0150000000001</v>
      </c>
      <c r="AH298" s="72">
        <f t="shared" si="46"/>
        <v>4632.2650000000003</v>
      </c>
      <c r="AI298" s="75">
        <f t="shared" si="47"/>
        <v>2125</v>
      </c>
      <c r="AJ298" s="78">
        <f t="shared" si="48"/>
        <v>1088</v>
      </c>
      <c r="AK298" s="72">
        <f t="shared" si="49"/>
        <v>3213</v>
      </c>
    </row>
    <row r="299" spans="1:37" ht="15.95" customHeight="1">
      <c r="A299" s="25" t="s">
        <v>948</v>
      </c>
      <c r="B299" s="25" t="s">
        <v>361</v>
      </c>
      <c r="C299" s="26" t="s">
        <v>368</v>
      </c>
      <c r="D299" s="26" t="s">
        <v>375</v>
      </c>
      <c r="E299" s="26" t="s">
        <v>16</v>
      </c>
      <c r="F299" s="26" t="s">
        <v>1115</v>
      </c>
      <c r="G299" s="41" t="s">
        <v>1111</v>
      </c>
      <c r="H299" s="27" t="s">
        <v>1112</v>
      </c>
      <c r="I299" s="26" t="s">
        <v>27</v>
      </c>
      <c r="J299" s="37" t="s">
        <v>372</v>
      </c>
      <c r="K299" s="123">
        <v>58</v>
      </c>
      <c r="L299" s="29">
        <v>12.305000000000001</v>
      </c>
      <c r="M299" s="110">
        <v>8.5</v>
      </c>
      <c r="N299" s="30">
        <v>7.0000000000000007E-2</v>
      </c>
      <c r="O299" s="116">
        <v>0.59500000000000008</v>
      </c>
      <c r="P299" s="30">
        <v>0.25</v>
      </c>
      <c r="Q299" s="116">
        <v>2.125</v>
      </c>
      <c r="R299" s="30">
        <v>7.0000000000000007E-2</v>
      </c>
      <c r="S299" s="116">
        <v>0.59500000000000008</v>
      </c>
      <c r="T299" s="117">
        <v>0.49</v>
      </c>
      <c r="U299" s="39">
        <v>350</v>
      </c>
      <c r="V299" s="32">
        <v>235</v>
      </c>
      <c r="W299" s="33">
        <v>0</v>
      </c>
      <c r="X299" s="32"/>
      <c r="Y299" s="32"/>
      <c r="Z299" s="32"/>
      <c r="AA299" s="34">
        <v>5</v>
      </c>
      <c r="AB299" s="35">
        <f t="shared" si="40"/>
        <v>590</v>
      </c>
      <c r="AC299" s="75">
        <f t="shared" si="41"/>
        <v>20300</v>
      </c>
      <c r="AD299" s="78">
        <f t="shared" si="42"/>
        <v>13920</v>
      </c>
      <c r="AE299" s="72">
        <f t="shared" si="43"/>
        <v>34220</v>
      </c>
      <c r="AF299" s="75">
        <f t="shared" si="44"/>
        <v>4306.7500000000009</v>
      </c>
      <c r="AG299" s="78">
        <f t="shared" si="45"/>
        <v>2934.1750000000002</v>
      </c>
      <c r="AH299" s="72">
        <f t="shared" si="46"/>
        <v>7240.9250000000011</v>
      </c>
      <c r="AI299" s="75">
        <f t="shared" si="47"/>
        <v>2975</v>
      </c>
      <c r="AJ299" s="78">
        <f t="shared" si="48"/>
        <v>2040</v>
      </c>
      <c r="AK299" s="72">
        <f t="shared" si="49"/>
        <v>5015</v>
      </c>
    </row>
    <row r="300" spans="1:37" ht="15.95" customHeight="1">
      <c r="A300" s="25" t="s">
        <v>948</v>
      </c>
      <c r="B300" s="25" t="s">
        <v>949</v>
      </c>
      <c r="C300" s="26" t="s">
        <v>14</v>
      </c>
      <c r="D300" s="26" t="s">
        <v>375</v>
      </c>
      <c r="E300" s="26" t="s">
        <v>16</v>
      </c>
      <c r="F300" s="26" t="s">
        <v>1116</v>
      </c>
      <c r="G300" s="26" t="s">
        <v>1111</v>
      </c>
      <c r="H300" s="27" t="s">
        <v>1112</v>
      </c>
      <c r="I300" s="26" t="s">
        <v>27</v>
      </c>
      <c r="J300" s="28" t="s">
        <v>1117</v>
      </c>
      <c r="K300" s="123">
        <v>150</v>
      </c>
      <c r="L300" s="29">
        <v>28.310999999999996</v>
      </c>
      <c r="M300" s="110">
        <v>21.5</v>
      </c>
      <c r="N300" s="30">
        <v>0.14899999999999999</v>
      </c>
      <c r="O300" s="116">
        <v>3.2035</v>
      </c>
      <c r="P300" s="30">
        <v>7.4999999999999997E-2</v>
      </c>
      <c r="Q300" s="116">
        <v>1.6125</v>
      </c>
      <c r="R300" s="30">
        <v>7.0000000000000007E-2</v>
      </c>
      <c r="S300" s="116">
        <v>1.5050000000000001</v>
      </c>
      <c r="T300" s="117">
        <v>0.49</v>
      </c>
      <c r="U300" s="39">
        <v>350</v>
      </c>
      <c r="V300" s="32">
        <v>166</v>
      </c>
      <c r="W300" s="33">
        <v>0</v>
      </c>
      <c r="X300" s="32"/>
      <c r="Y300" s="32"/>
      <c r="Z300" s="32"/>
      <c r="AA300" s="34"/>
      <c r="AB300" s="35">
        <f t="shared" si="40"/>
        <v>516</v>
      </c>
      <c r="AC300" s="75">
        <f t="shared" si="41"/>
        <v>52500</v>
      </c>
      <c r="AD300" s="78">
        <f t="shared" si="42"/>
        <v>24900</v>
      </c>
      <c r="AE300" s="72">
        <f t="shared" si="43"/>
        <v>77400</v>
      </c>
      <c r="AF300" s="75">
        <f t="shared" si="44"/>
        <v>9908.8499999999985</v>
      </c>
      <c r="AG300" s="78">
        <f t="shared" si="45"/>
        <v>4699.6259999999993</v>
      </c>
      <c r="AH300" s="72">
        <f t="shared" si="46"/>
        <v>14608.475999999999</v>
      </c>
      <c r="AI300" s="75">
        <f t="shared" si="47"/>
        <v>7525</v>
      </c>
      <c r="AJ300" s="78">
        <f t="shared" si="48"/>
        <v>3569</v>
      </c>
      <c r="AK300" s="72">
        <f t="shared" si="49"/>
        <v>11094</v>
      </c>
    </row>
    <row r="301" spans="1:37" ht="15.95" customHeight="1">
      <c r="A301" s="25" t="s">
        <v>948</v>
      </c>
      <c r="B301" s="25" t="s">
        <v>949</v>
      </c>
      <c r="C301" s="26" t="s">
        <v>21</v>
      </c>
      <c r="D301" s="26" t="s">
        <v>375</v>
      </c>
      <c r="E301" s="26" t="s">
        <v>16</v>
      </c>
      <c r="F301" s="26" t="s">
        <v>1118</v>
      </c>
      <c r="G301" s="26" t="s">
        <v>1111</v>
      </c>
      <c r="H301" s="27" t="s">
        <v>1112</v>
      </c>
      <c r="I301" s="26" t="s">
        <v>27</v>
      </c>
      <c r="J301" s="28" t="s">
        <v>1119</v>
      </c>
      <c r="K301" s="123">
        <v>125</v>
      </c>
      <c r="L301" s="29">
        <v>26.305299999999995</v>
      </c>
      <c r="M301" s="110">
        <v>19.95</v>
      </c>
      <c r="N301" s="30">
        <v>0.14899999999999999</v>
      </c>
      <c r="O301" s="116">
        <v>2.9725499999999996</v>
      </c>
      <c r="P301" s="30">
        <v>7.4999999999999997E-2</v>
      </c>
      <c r="Q301" s="116">
        <v>1.4962499999999999</v>
      </c>
      <c r="R301" s="30">
        <v>7.0000000000000007E-2</v>
      </c>
      <c r="S301" s="116">
        <v>1.3965000000000001</v>
      </c>
      <c r="T301" s="117">
        <v>0.49</v>
      </c>
      <c r="U301" s="39">
        <v>300</v>
      </c>
      <c r="V301" s="32">
        <v>166</v>
      </c>
      <c r="W301" s="33">
        <v>40</v>
      </c>
      <c r="X301" s="32"/>
      <c r="Y301" s="32"/>
      <c r="Z301" s="32"/>
      <c r="AA301" s="34"/>
      <c r="AB301" s="35">
        <f t="shared" si="40"/>
        <v>506</v>
      </c>
      <c r="AC301" s="75">
        <f t="shared" si="41"/>
        <v>37500</v>
      </c>
      <c r="AD301" s="78">
        <f t="shared" si="42"/>
        <v>25750</v>
      </c>
      <c r="AE301" s="72">
        <f t="shared" si="43"/>
        <v>63250</v>
      </c>
      <c r="AF301" s="75">
        <f t="shared" si="44"/>
        <v>7891.5899999999983</v>
      </c>
      <c r="AG301" s="78">
        <f t="shared" si="45"/>
        <v>5418.8917999999994</v>
      </c>
      <c r="AH301" s="72">
        <f t="shared" si="46"/>
        <v>13310.481799999998</v>
      </c>
      <c r="AI301" s="75">
        <f t="shared" si="47"/>
        <v>5985</v>
      </c>
      <c r="AJ301" s="78">
        <f t="shared" si="48"/>
        <v>4109.7</v>
      </c>
      <c r="AK301" s="72">
        <f t="shared" si="49"/>
        <v>10094.700000000001</v>
      </c>
    </row>
    <row r="302" spans="1:37" ht="15.95" customHeight="1">
      <c r="A302" s="25" t="s">
        <v>948</v>
      </c>
      <c r="B302" s="25" t="s">
        <v>949</v>
      </c>
      <c r="C302" s="26" t="s">
        <v>14</v>
      </c>
      <c r="D302" s="26" t="s">
        <v>375</v>
      </c>
      <c r="E302" s="26" t="s">
        <v>16</v>
      </c>
      <c r="F302" s="26" t="s">
        <v>1116</v>
      </c>
      <c r="G302" s="26" t="s">
        <v>1111</v>
      </c>
      <c r="H302" s="27" t="s">
        <v>1114</v>
      </c>
      <c r="I302" s="26" t="s">
        <v>27</v>
      </c>
      <c r="J302" s="28" t="s">
        <v>1117</v>
      </c>
      <c r="K302" s="123">
        <v>150</v>
      </c>
      <c r="L302" s="29">
        <v>28.310999999999996</v>
      </c>
      <c r="M302" s="110">
        <v>21.5</v>
      </c>
      <c r="N302" s="30">
        <v>0.14899999999999999</v>
      </c>
      <c r="O302" s="116">
        <v>3.2035</v>
      </c>
      <c r="P302" s="30">
        <v>7.4999999999999997E-2</v>
      </c>
      <c r="Q302" s="116">
        <v>1.6125</v>
      </c>
      <c r="R302" s="30">
        <v>7.0000000000000007E-2</v>
      </c>
      <c r="S302" s="116">
        <v>1.5050000000000001</v>
      </c>
      <c r="T302" s="117">
        <v>0.49</v>
      </c>
      <c r="U302" s="39">
        <v>350</v>
      </c>
      <c r="V302" s="32">
        <v>144</v>
      </c>
      <c r="W302" s="33">
        <v>0</v>
      </c>
      <c r="X302" s="32"/>
      <c r="Y302" s="32"/>
      <c r="Z302" s="32"/>
      <c r="AA302" s="34"/>
      <c r="AB302" s="35">
        <f t="shared" si="40"/>
        <v>494</v>
      </c>
      <c r="AC302" s="75">
        <f t="shared" si="41"/>
        <v>52500</v>
      </c>
      <c r="AD302" s="78">
        <f t="shared" si="42"/>
        <v>21600</v>
      </c>
      <c r="AE302" s="72">
        <f t="shared" si="43"/>
        <v>74100</v>
      </c>
      <c r="AF302" s="75">
        <f t="shared" si="44"/>
        <v>9908.8499999999985</v>
      </c>
      <c r="AG302" s="78">
        <f t="shared" si="45"/>
        <v>4076.7839999999997</v>
      </c>
      <c r="AH302" s="72">
        <f t="shared" si="46"/>
        <v>13985.633999999998</v>
      </c>
      <c r="AI302" s="75">
        <f t="shared" si="47"/>
        <v>7525</v>
      </c>
      <c r="AJ302" s="78">
        <f t="shared" si="48"/>
        <v>3096</v>
      </c>
      <c r="AK302" s="72">
        <f t="shared" si="49"/>
        <v>10621</v>
      </c>
    </row>
    <row r="303" spans="1:37" ht="15.95" customHeight="1">
      <c r="A303" s="25" t="s">
        <v>948</v>
      </c>
      <c r="B303" s="25" t="s">
        <v>949</v>
      </c>
      <c r="C303" s="26" t="s">
        <v>21</v>
      </c>
      <c r="D303" s="26" t="s">
        <v>375</v>
      </c>
      <c r="E303" s="26" t="s">
        <v>16</v>
      </c>
      <c r="F303" s="26" t="s">
        <v>1118</v>
      </c>
      <c r="G303" s="26" t="s">
        <v>1111</v>
      </c>
      <c r="H303" s="27" t="s">
        <v>1114</v>
      </c>
      <c r="I303" s="26" t="s">
        <v>27</v>
      </c>
      <c r="J303" s="28" t="s">
        <v>1119</v>
      </c>
      <c r="K303" s="123">
        <v>125</v>
      </c>
      <c r="L303" s="29">
        <v>26.305299999999995</v>
      </c>
      <c r="M303" s="110">
        <v>19.95</v>
      </c>
      <c r="N303" s="30">
        <v>0.14899999999999999</v>
      </c>
      <c r="O303" s="116">
        <v>2.9725499999999996</v>
      </c>
      <c r="P303" s="30">
        <v>7.4999999999999997E-2</v>
      </c>
      <c r="Q303" s="116">
        <v>1.4962499999999999</v>
      </c>
      <c r="R303" s="30">
        <v>7.0000000000000007E-2</v>
      </c>
      <c r="S303" s="116">
        <v>1.3965000000000001</v>
      </c>
      <c r="T303" s="117">
        <v>0.49</v>
      </c>
      <c r="U303" s="39">
        <v>300</v>
      </c>
      <c r="V303" s="32">
        <v>144</v>
      </c>
      <c r="W303" s="33">
        <v>60</v>
      </c>
      <c r="X303" s="32"/>
      <c r="Y303" s="32"/>
      <c r="Z303" s="32"/>
      <c r="AA303" s="34"/>
      <c r="AB303" s="35">
        <f t="shared" si="40"/>
        <v>504</v>
      </c>
      <c r="AC303" s="75">
        <f t="shared" si="41"/>
        <v>37500</v>
      </c>
      <c r="AD303" s="78">
        <f t="shared" si="42"/>
        <v>25500</v>
      </c>
      <c r="AE303" s="72">
        <f t="shared" si="43"/>
        <v>63000</v>
      </c>
      <c r="AF303" s="75">
        <f t="shared" si="44"/>
        <v>7891.5899999999983</v>
      </c>
      <c r="AG303" s="78">
        <f t="shared" si="45"/>
        <v>5366.2811999999994</v>
      </c>
      <c r="AH303" s="72">
        <f t="shared" si="46"/>
        <v>13257.871199999998</v>
      </c>
      <c r="AI303" s="75">
        <f t="shared" si="47"/>
        <v>5985</v>
      </c>
      <c r="AJ303" s="78">
        <f t="shared" si="48"/>
        <v>4069.7999999999997</v>
      </c>
      <c r="AK303" s="72">
        <f t="shared" si="49"/>
        <v>10054.799999999999</v>
      </c>
    </row>
    <row r="304" spans="1:37" ht="15.95" customHeight="1">
      <c r="A304" s="25" t="s">
        <v>948</v>
      </c>
      <c r="B304" s="25" t="s">
        <v>949</v>
      </c>
      <c r="C304" s="26" t="s">
        <v>44</v>
      </c>
      <c r="D304" s="26" t="s">
        <v>375</v>
      </c>
      <c r="E304" s="26" t="s">
        <v>16</v>
      </c>
      <c r="F304" s="26" t="s">
        <v>1120</v>
      </c>
      <c r="G304" s="26" t="s">
        <v>1111</v>
      </c>
      <c r="H304" s="27" t="s">
        <v>1114</v>
      </c>
      <c r="I304" s="26" t="s">
        <v>27</v>
      </c>
      <c r="J304" s="28" t="s">
        <v>578</v>
      </c>
      <c r="K304" s="123">
        <v>125</v>
      </c>
      <c r="L304" s="29">
        <v>23.303999999999998</v>
      </c>
      <c r="M304" s="110">
        <v>17</v>
      </c>
      <c r="N304" s="30">
        <v>0.19700000000000001</v>
      </c>
      <c r="O304" s="116">
        <v>3.3490000000000002</v>
      </c>
      <c r="P304" s="30">
        <v>7.4999999999999997E-2</v>
      </c>
      <c r="Q304" s="116">
        <v>1.2749999999999999</v>
      </c>
      <c r="R304" s="30">
        <v>7.0000000000000007E-2</v>
      </c>
      <c r="S304" s="116">
        <v>1.1900000000000002</v>
      </c>
      <c r="T304" s="117">
        <v>0.49</v>
      </c>
      <c r="U304" s="39">
        <v>400</v>
      </c>
      <c r="V304" s="32"/>
      <c r="W304" s="33">
        <v>100</v>
      </c>
      <c r="X304" s="32"/>
      <c r="Y304" s="32"/>
      <c r="Z304" s="32"/>
      <c r="AA304" s="34"/>
      <c r="AB304" s="35">
        <f t="shared" si="40"/>
        <v>500</v>
      </c>
      <c r="AC304" s="75">
        <f t="shared" si="41"/>
        <v>50000</v>
      </c>
      <c r="AD304" s="78">
        <f t="shared" si="42"/>
        <v>12500</v>
      </c>
      <c r="AE304" s="72">
        <f t="shared" si="43"/>
        <v>62500</v>
      </c>
      <c r="AF304" s="75">
        <f t="shared" si="44"/>
        <v>9321.5999999999985</v>
      </c>
      <c r="AG304" s="78">
        <f t="shared" si="45"/>
        <v>2330.3999999999996</v>
      </c>
      <c r="AH304" s="72">
        <f t="shared" si="46"/>
        <v>11651.999999999998</v>
      </c>
      <c r="AI304" s="75">
        <f t="shared" si="47"/>
        <v>6800</v>
      </c>
      <c r="AJ304" s="78">
        <f t="shared" si="48"/>
        <v>1700</v>
      </c>
      <c r="AK304" s="72">
        <f t="shared" si="49"/>
        <v>8500</v>
      </c>
    </row>
    <row r="305" spans="1:37" ht="15.95" customHeight="1">
      <c r="A305" s="25" t="s">
        <v>948</v>
      </c>
      <c r="B305" s="25" t="s">
        <v>949</v>
      </c>
      <c r="C305" s="26" t="s">
        <v>982</v>
      </c>
      <c r="D305" s="26" t="s">
        <v>375</v>
      </c>
      <c r="E305" s="26" t="s">
        <v>16</v>
      </c>
      <c r="F305" s="26" t="s">
        <v>1121</v>
      </c>
      <c r="G305" s="26" t="s">
        <v>1122</v>
      </c>
      <c r="H305" s="27" t="s">
        <v>1114</v>
      </c>
      <c r="I305" s="26" t="s">
        <v>27</v>
      </c>
      <c r="J305" s="28" t="s">
        <v>174</v>
      </c>
      <c r="K305" s="123">
        <v>98</v>
      </c>
      <c r="L305" s="29">
        <v>19.753499999999995</v>
      </c>
      <c r="M305" s="110">
        <v>14.75</v>
      </c>
      <c r="N305" s="30">
        <v>0.161</v>
      </c>
      <c r="O305" s="116">
        <v>2.3747500000000001</v>
      </c>
      <c r="P305" s="30">
        <v>7.4999999999999997E-2</v>
      </c>
      <c r="Q305" s="116">
        <v>1.10625</v>
      </c>
      <c r="R305" s="30">
        <v>7.0000000000000007E-2</v>
      </c>
      <c r="S305" s="116">
        <v>1.0325000000000002</v>
      </c>
      <c r="T305" s="117">
        <v>0.49</v>
      </c>
      <c r="U305" s="39">
        <v>400</v>
      </c>
      <c r="V305" s="32"/>
      <c r="W305" s="33">
        <v>100</v>
      </c>
      <c r="X305" s="32"/>
      <c r="Y305" s="32"/>
      <c r="Z305" s="32"/>
      <c r="AA305" s="34"/>
      <c r="AB305" s="35">
        <f t="shared" si="40"/>
        <v>500</v>
      </c>
      <c r="AC305" s="75">
        <f t="shared" si="41"/>
        <v>39200</v>
      </c>
      <c r="AD305" s="78">
        <f t="shared" si="42"/>
        <v>9800</v>
      </c>
      <c r="AE305" s="72">
        <f t="shared" si="43"/>
        <v>49000</v>
      </c>
      <c r="AF305" s="75">
        <f t="shared" si="44"/>
        <v>7901.3999999999978</v>
      </c>
      <c r="AG305" s="78">
        <f t="shared" si="45"/>
        <v>1975.3499999999995</v>
      </c>
      <c r="AH305" s="72">
        <f t="shared" si="46"/>
        <v>9876.7499999999964</v>
      </c>
      <c r="AI305" s="75">
        <f t="shared" si="47"/>
        <v>5900</v>
      </c>
      <c r="AJ305" s="78">
        <f t="shared" si="48"/>
        <v>1475</v>
      </c>
      <c r="AK305" s="72">
        <f t="shared" si="49"/>
        <v>7375</v>
      </c>
    </row>
    <row r="306" spans="1:37" ht="15.95" customHeight="1">
      <c r="A306" s="25" t="s">
        <v>948</v>
      </c>
      <c r="B306" s="25" t="s">
        <v>949</v>
      </c>
      <c r="C306" s="26" t="s">
        <v>44</v>
      </c>
      <c r="D306" s="26" t="s">
        <v>375</v>
      </c>
      <c r="E306" s="26" t="s">
        <v>16</v>
      </c>
      <c r="F306" s="26" t="s">
        <v>1120</v>
      </c>
      <c r="G306" s="26" t="s">
        <v>1111</v>
      </c>
      <c r="H306" s="27" t="s">
        <v>1114</v>
      </c>
      <c r="I306" s="26" t="s">
        <v>27</v>
      </c>
      <c r="J306" s="28" t="s">
        <v>578</v>
      </c>
      <c r="K306" s="123">
        <v>125</v>
      </c>
      <c r="L306" s="29">
        <v>23.303999999999998</v>
      </c>
      <c r="M306" s="110">
        <v>17</v>
      </c>
      <c r="N306" s="30">
        <v>0.19700000000000001</v>
      </c>
      <c r="O306" s="116">
        <v>3.3490000000000002</v>
      </c>
      <c r="P306" s="30">
        <v>7.4999999999999997E-2</v>
      </c>
      <c r="Q306" s="116">
        <v>1.2749999999999999</v>
      </c>
      <c r="R306" s="30">
        <v>7.0000000000000007E-2</v>
      </c>
      <c r="S306" s="116">
        <v>1.1900000000000002</v>
      </c>
      <c r="T306" s="117">
        <v>0.49</v>
      </c>
      <c r="U306" s="39">
        <v>300</v>
      </c>
      <c r="V306" s="32">
        <v>114</v>
      </c>
      <c r="W306" s="33">
        <v>100</v>
      </c>
      <c r="X306" s="32"/>
      <c r="Y306" s="32"/>
      <c r="Z306" s="32">
        <v>4</v>
      </c>
      <c r="AA306" s="34"/>
      <c r="AB306" s="35">
        <f t="shared" si="40"/>
        <v>518</v>
      </c>
      <c r="AC306" s="75">
        <f t="shared" si="41"/>
        <v>37500</v>
      </c>
      <c r="AD306" s="78">
        <f t="shared" si="42"/>
        <v>27250</v>
      </c>
      <c r="AE306" s="72">
        <f t="shared" si="43"/>
        <v>64750</v>
      </c>
      <c r="AF306" s="75">
        <f t="shared" si="44"/>
        <v>6991.2</v>
      </c>
      <c r="AG306" s="78">
        <f t="shared" si="45"/>
        <v>5055.0559999999996</v>
      </c>
      <c r="AH306" s="72">
        <f t="shared" si="46"/>
        <v>12046.255999999999</v>
      </c>
      <c r="AI306" s="75">
        <f t="shared" si="47"/>
        <v>5100</v>
      </c>
      <c r="AJ306" s="78">
        <f t="shared" si="48"/>
        <v>3706</v>
      </c>
      <c r="AK306" s="72">
        <f t="shared" si="49"/>
        <v>8806</v>
      </c>
    </row>
    <row r="307" spans="1:37" ht="15.95" customHeight="1">
      <c r="A307" s="25" t="s">
        <v>948</v>
      </c>
      <c r="B307" s="25" t="s">
        <v>949</v>
      </c>
      <c r="C307" s="26" t="s">
        <v>982</v>
      </c>
      <c r="D307" s="26" t="s">
        <v>375</v>
      </c>
      <c r="E307" s="26" t="s">
        <v>16</v>
      </c>
      <c r="F307" s="26" t="s">
        <v>1121</v>
      </c>
      <c r="G307" s="26" t="s">
        <v>1122</v>
      </c>
      <c r="H307" s="27" t="s">
        <v>1114</v>
      </c>
      <c r="I307" s="26" t="s">
        <v>27</v>
      </c>
      <c r="J307" s="28" t="s">
        <v>174</v>
      </c>
      <c r="K307" s="123">
        <v>98</v>
      </c>
      <c r="L307" s="29">
        <v>19.753499999999995</v>
      </c>
      <c r="M307" s="110">
        <v>14.75</v>
      </c>
      <c r="N307" s="30">
        <v>0.161</v>
      </c>
      <c r="O307" s="116">
        <v>2.3747500000000001</v>
      </c>
      <c r="P307" s="30">
        <v>7.4999999999999997E-2</v>
      </c>
      <c r="Q307" s="116">
        <v>1.10625</v>
      </c>
      <c r="R307" s="30">
        <v>7.0000000000000007E-2</v>
      </c>
      <c r="S307" s="116">
        <v>1.0325000000000002</v>
      </c>
      <c r="T307" s="117">
        <v>0.49</v>
      </c>
      <c r="U307" s="39">
        <v>300</v>
      </c>
      <c r="V307" s="32">
        <v>114</v>
      </c>
      <c r="W307" s="33">
        <v>100</v>
      </c>
      <c r="X307" s="32"/>
      <c r="Y307" s="32"/>
      <c r="Z307" s="32">
        <v>4</v>
      </c>
      <c r="AA307" s="34"/>
      <c r="AB307" s="35">
        <f t="shared" si="40"/>
        <v>518</v>
      </c>
      <c r="AC307" s="75">
        <f t="shared" si="41"/>
        <v>29400</v>
      </c>
      <c r="AD307" s="78">
        <f t="shared" si="42"/>
        <v>21364</v>
      </c>
      <c r="AE307" s="72">
        <f t="shared" si="43"/>
        <v>50764</v>
      </c>
      <c r="AF307" s="75">
        <f t="shared" si="44"/>
        <v>5926.0499999999984</v>
      </c>
      <c r="AG307" s="78">
        <f t="shared" si="45"/>
        <v>4286.2489999999989</v>
      </c>
      <c r="AH307" s="72">
        <f t="shared" si="46"/>
        <v>10212.298999999997</v>
      </c>
      <c r="AI307" s="75">
        <f t="shared" si="47"/>
        <v>4425</v>
      </c>
      <c r="AJ307" s="78">
        <f t="shared" si="48"/>
        <v>3215.5</v>
      </c>
      <c r="AK307" s="72">
        <f t="shared" si="49"/>
        <v>7640.5</v>
      </c>
    </row>
    <row r="308" spans="1:37" ht="15.95" customHeight="1">
      <c r="A308" s="25" t="s">
        <v>966</v>
      </c>
      <c r="B308" s="25" t="s">
        <v>949</v>
      </c>
      <c r="C308" s="26" t="s">
        <v>24</v>
      </c>
      <c r="D308" s="26" t="s">
        <v>1123</v>
      </c>
      <c r="E308" s="26" t="s">
        <v>444</v>
      </c>
      <c r="F308" s="26" t="s">
        <v>1124</v>
      </c>
      <c r="G308" s="26" t="s">
        <v>1125</v>
      </c>
      <c r="H308" s="27" t="s">
        <v>234</v>
      </c>
      <c r="I308" s="26" t="s">
        <v>27</v>
      </c>
      <c r="J308" s="28" t="s">
        <v>227</v>
      </c>
      <c r="K308" s="123">
        <v>42</v>
      </c>
      <c r="L308" s="29">
        <v>6.9737499999999999</v>
      </c>
      <c r="M308" s="110">
        <v>5.25</v>
      </c>
      <c r="N308" s="30">
        <v>0.16500000000000001</v>
      </c>
      <c r="O308" s="116">
        <v>0.86625000000000008</v>
      </c>
      <c r="P308" s="30"/>
      <c r="Q308" s="116"/>
      <c r="R308" s="30">
        <v>7.0000000000000007E-2</v>
      </c>
      <c r="S308" s="116">
        <v>0.36750000000000005</v>
      </c>
      <c r="T308" s="117">
        <v>0.49</v>
      </c>
      <c r="U308" s="39">
        <v>700</v>
      </c>
      <c r="V308" s="32"/>
      <c r="W308" s="33">
        <v>0</v>
      </c>
      <c r="X308" s="32"/>
      <c r="Y308" s="32"/>
      <c r="Z308" s="32"/>
      <c r="AA308" s="34"/>
      <c r="AB308" s="35">
        <f t="shared" si="40"/>
        <v>700</v>
      </c>
      <c r="AC308" s="75">
        <f t="shared" si="41"/>
        <v>29400</v>
      </c>
      <c r="AD308" s="78">
        <f t="shared" si="42"/>
        <v>0</v>
      </c>
      <c r="AE308" s="72">
        <f t="shared" si="43"/>
        <v>29400</v>
      </c>
      <c r="AF308" s="75">
        <f t="shared" si="44"/>
        <v>4881.625</v>
      </c>
      <c r="AG308" s="78">
        <f t="shared" si="45"/>
        <v>0</v>
      </c>
      <c r="AH308" s="72">
        <f t="shared" si="46"/>
        <v>4881.625</v>
      </c>
      <c r="AI308" s="75">
        <f t="shared" si="47"/>
        <v>3675</v>
      </c>
      <c r="AJ308" s="78">
        <f t="shared" si="48"/>
        <v>0</v>
      </c>
      <c r="AK308" s="72">
        <f t="shared" si="49"/>
        <v>3675</v>
      </c>
    </row>
    <row r="309" spans="1:37" ht="15.95" customHeight="1">
      <c r="A309" s="25" t="s">
        <v>966</v>
      </c>
      <c r="B309" s="25" t="s">
        <v>949</v>
      </c>
      <c r="C309" s="26" t="s">
        <v>24</v>
      </c>
      <c r="D309" s="26" t="s">
        <v>1123</v>
      </c>
      <c r="E309" s="26" t="s">
        <v>444</v>
      </c>
      <c r="F309" s="26" t="s">
        <v>1124</v>
      </c>
      <c r="G309" s="26" t="s">
        <v>1125</v>
      </c>
      <c r="H309" s="27" t="s">
        <v>234</v>
      </c>
      <c r="I309" s="26" t="s">
        <v>27</v>
      </c>
      <c r="J309" s="28" t="s">
        <v>227</v>
      </c>
      <c r="K309" s="123">
        <v>42</v>
      </c>
      <c r="L309" s="29">
        <v>6.9737499999999999</v>
      </c>
      <c r="M309" s="110">
        <v>5.25</v>
      </c>
      <c r="N309" s="30">
        <v>0.16500000000000001</v>
      </c>
      <c r="O309" s="116">
        <v>0.86625000000000008</v>
      </c>
      <c r="P309" s="30"/>
      <c r="Q309" s="116"/>
      <c r="R309" s="30">
        <v>7.0000000000000007E-2</v>
      </c>
      <c r="S309" s="116">
        <v>0.36750000000000005</v>
      </c>
      <c r="T309" s="117">
        <v>0.49</v>
      </c>
      <c r="U309" s="39">
        <v>700</v>
      </c>
      <c r="V309" s="32"/>
      <c r="W309" s="33">
        <v>0</v>
      </c>
      <c r="X309" s="32"/>
      <c r="Y309" s="32"/>
      <c r="Z309" s="32"/>
      <c r="AA309" s="34"/>
      <c r="AB309" s="35">
        <f t="shared" si="40"/>
        <v>700</v>
      </c>
      <c r="AC309" s="75">
        <f t="shared" si="41"/>
        <v>29400</v>
      </c>
      <c r="AD309" s="78">
        <f t="shared" si="42"/>
        <v>0</v>
      </c>
      <c r="AE309" s="72">
        <f t="shared" si="43"/>
        <v>29400</v>
      </c>
      <c r="AF309" s="75">
        <f t="shared" si="44"/>
        <v>4881.625</v>
      </c>
      <c r="AG309" s="78">
        <f t="shared" si="45"/>
        <v>0</v>
      </c>
      <c r="AH309" s="72">
        <f t="shared" si="46"/>
        <v>4881.625</v>
      </c>
      <c r="AI309" s="75">
        <f t="shared" si="47"/>
        <v>3675</v>
      </c>
      <c r="AJ309" s="78">
        <f t="shared" si="48"/>
        <v>0</v>
      </c>
      <c r="AK309" s="72">
        <f t="shared" si="49"/>
        <v>3675</v>
      </c>
    </row>
    <row r="310" spans="1:37" ht="15.95" customHeight="1">
      <c r="A310" s="25" t="s">
        <v>966</v>
      </c>
      <c r="B310" s="25" t="s">
        <v>949</v>
      </c>
      <c r="C310" s="26" t="s">
        <v>24</v>
      </c>
      <c r="D310" s="26" t="s">
        <v>1123</v>
      </c>
      <c r="E310" s="26" t="s">
        <v>444</v>
      </c>
      <c r="F310" s="26" t="s">
        <v>1124</v>
      </c>
      <c r="G310" s="26" t="s">
        <v>1125</v>
      </c>
      <c r="H310" s="27" t="s">
        <v>234</v>
      </c>
      <c r="I310" s="26" t="s">
        <v>27</v>
      </c>
      <c r="J310" s="28" t="s">
        <v>227</v>
      </c>
      <c r="K310" s="123">
        <v>42</v>
      </c>
      <c r="L310" s="29">
        <v>6.9737499999999999</v>
      </c>
      <c r="M310" s="110">
        <v>5.25</v>
      </c>
      <c r="N310" s="30">
        <v>0.16500000000000001</v>
      </c>
      <c r="O310" s="116">
        <v>0.86625000000000008</v>
      </c>
      <c r="P310" s="30"/>
      <c r="Q310" s="116"/>
      <c r="R310" s="30">
        <v>7.0000000000000007E-2</v>
      </c>
      <c r="S310" s="116">
        <v>0.36750000000000005</v>
      </c>
      <c r="T310" s="117">
        <v>0.49</v>
      </c>
      <c r="U310" s="39">
        <v>1000</v>
      </c>
      <c r="V310" s="32"/>
      <c r="W310" s="33">
        <v>0</v>
      </c>
      <c r="X310" s="32"/>
      <c r="Y310" s="32"/>
      <c r="Z310" s="32"/>
      <c r="AA310" s="34"/>
      <c r="AB310" s="35">
        <f t="shared" si="40"/>
        <v>1000</v>
      </c>
      <c r="AC310" s="75">
        <f t="shared" si="41"/>
        <v>42000</v>
      </c>
      <c r="AD310" s="78">
        <f t="shared" si="42"/>
        <v>0</v>
      </c>
      <c r="AE310" s="72">
        <f t="shared" si="43"/>
        <v>42000</v>
      </c>
      <c r="AF310" s="75">
        <f t="shared" si="44"/>
        <v>6973.75</v>
      </c>
      <c r="AG310" s="78">
        <f t="shared" si="45"/>
        <v>0</v>
      </c>
      <c r="AH310" s="72">
        <f t="shared" si="46"/>
        <v>6973.75</v>
      </c>
      <c r="AI310" s="75">
        <f t="shared" si="47"/>
        <v>5250</v>
      </c>
      <c r="AJ310" s="78">
        <f t="shared" si="48"/>
        <v>0</v>
      </c>
      <c r="AK310" s="72">
        <f t="shared" si="49"/>
        <v>5250</v>
      </c>
    </row>
    <row r="311" spans="1:37" ht="15.95" customHeight="1">
      <c r="A311" s="25" t="s">
        <v>966</v>
      </c>
      <c r="B311" s="25" t="s">
        <v>949</v>
      </c>
      <c r="C311" s="26" t="s">
        <v>24</v>
      </c>
      <c r="D311" s="26" t="s">
        <v>1123</v>
      </c>
      <c r="E311" s="26" t="s">
        <v>444</v>
      </c>
      <c r="F311" s="26" t="s">
        <v>1124</v>
      </c>
      <c r="G311" s="26" t="s">
        <v>1125</v>
      </c>
      <c r="H311" s="27" t="s">
        <v>234</v>
      </c>
      <c r="I311" s="26" t="s">
        <v>27</v>
      </c>
      <c r="J311" s="28" t="s">
        <v>227</v>
      </c>
      <c r="K311" s="123">
        <v>42</v>
      </c>
      <c r="L311" s="29">
        <v>6.9737499999999999</v>
      </c>
      <c r="M311" s="110">
        <v>5.25</v>
      </c>
      <c r="N311" s="30">
        <v>0.16500000000000001</v>
      </c>
      <c r="O311" s="116">
        <v>0.86625000000000008</v>
      </c>
      <c r="P311" s="30"/>
      <c r="Q311" s="116"/>
      <c r="R311" s="30">
        <v>7.0000000000000007E-2</v>
      </c>
      <c r="S311" s="116">
        <v>0.36750000000000005</v>
      </c>
      <c r="T311" s="117">
        <v>0.49</v>
      </c>
      <c r="U311" s="39">
        <v>1000</v>
      </c>
      <c r="V311" s="32"/>
      <c r="W311" s="33">
        <v>0</v>
      </c>
      <c r="X311" s="32"/>
      <c r="Y311" s="32"/>
      <c r="Z311" s="32"/>
      <c r="AA311" s="34"/>
      <c r="AB311" s="35">
        <f t="shared" si="40"/>
        <v>1000</v>
      </c>
      <c r="AC311" s="75">
        <f t="shared" si="41"/>
        <v>42000</v>
      </c>
      <c r="AD311" s="78">
        <f t="shared" si="42"/>
        <v>0</v>
      </c>
      <c r="AE311" s="72">
        <f t="shared" si="43"/>
        <v>42000</v>
      </c>
      <c r="AF311" s="75">
        <f t="shared" si="44"/>
        <v>6973.75</v>
      </c>
      <c r="AG311" s="78">
        <f t="shared" si="45"/>
        <v>0</v>
      </c>
      <c r="AH311" s="72">
        <f t="shared" si="46"/>
        <v>6973.75</v>
      </c>
      <c r="AI311" s="75">
        <f t="shared" si="47"/>
        <v>5250</v>
      </c>
      <c r="AJ311" s="78">
        <f t="shared" si="48"/>
        <v>0</v>
      </c>
      <c r="AK311" s="72">
        <f t="shared" si="49"/>
        <v>5250</v>
      </c>
    </row>
    <row r="312" spans="1:37" ht="15.95" customHeight="1">
      <c r="A312" s="25" t="s">
        <v>966</v>
      </c>
      <c r="B312" s="25" t="s">
        <v>949</v>
      </c>
      <c r="C312" s="26" t="s">
        <v>24</v>
      </c>
      <c r="D312" s="26" t="s">
        <v>1123</v>
      </c>
      <c r="E312" s="26" t="s">
        <v>444</v>
      </c>
      <c r="F312" s="26" t="s">
        <v>1126</v>
      </c>
      <c r="G312" s="25" t="s">
        <v>1125</v>
      </c>
      <c r="H312" s="42" t="s">
        <v>234</v>
      </c>
      <c r="I312" s="43" t="s">
        <v>27</v>
      </c>
      <c r="J312" s="28" t="s">
        <v>227</v>
      </c>
      <c r="K312" s="123">
        <v>42</v>
      </c>
      <c r="L312" s="29">
        <v>7.0972499999999998</v>
      </c>
      <c r="M312" s="110">
        <v>5.35</v>
      </c>
      <c r="N312" s="30">
        <v>0.16500000000000001</v>
      </c>
      <c r="O312" s="116">
        <v>0.88275000000000003</v>
      </c>
      <c r="P312" s="30"/>
      <c r="Q312" s="116"/>
      <c r="R312" s="30">
        <v>7.0000000000000007E-2</v>
      </c>
      <c r="S312" s="116">
        <v>0.3745</v>
      </c>
      <c r="T312" s="117">
        <v>0.49</v>
      </c>
      <c r="U312" s="39">
        <v>700</v>
      </c>
      <c r="V312" s="32"/>
      <c r="W312" s="33">
        <v>0</v>
      </c>
      <c r="X312" s="32"/>
      <c r="Y312" s="32"/>
      <c r="Z312" s="32"/>
      <c r="AA312" s="34"/>
      <c r="AB312" s="35">
        <f t="shared" si="40"/>
        <v>700</v>
      </c>
      <c r="AC312" s="75">
        <f t="shared" si="41"/>
        <v>29400</v>
      </c>
      <c r="AD312" s="78">
        <f t="shared" si="42"/>
        <v>0</v>
      </c>
      <c r="AE312" s="72">
        <f t="shared" si="43"/>
        <v>29400</v>
      </c>
      <c r="AF312" s="75">
        <f t="shared" si="44"/>
        <v>4968.0749999999998</v>
      </c>
      <c r="AG312" s="78">
        <f t="shared" si="45"/>
        <v>0</v>
      </c>
      <c r="AH312" s="72">
        <f t="shared" si="46"/>
        <v>4968.0749999999998</v>
      </c>
      <c r="AI312" s="75">
        <f t="shared" si="47"/>
        <v>3744.9999999999995</v>
      </c>
      <c r="AJ312" s="78">
        <f t="shared" si="48"/>
        <v>0</v>
      </c>
      <c r="AK312" s="72">
        <f t="shared" si="49"/>
        <v>3744.9999999999995</v>
      </c>
    </row>
    <row r="313" spans="1:37" ht="15.95" customHeight="1">
      <c r="A313" s="25" t="s">
        <v>966</v>
      </c>
      <c r="B313" s="25" t="s">
        <v>949</v>
      </c>
      <c r="C313" s="26" t="s">
        <v>24</v>
      </c>
      <c r="D313" s="26" t="s">
        <v>1123</v>
      </c>
      <c r="E313" s="26" t="s">
        <v>444</v>
      </c>
      <c r="F313" s="26" t="s">
        <v>1126</v>
      </c>
      <c r="G313" s="25" t="s">
        <v>1125</v>
      </c>
      <c r="H313" s="42" t="s">
        <v>234</v>
      </c>
      <c r="I313" s="43" t="s">
        <v>27</v>
      </c>
      <c r="J313" s="28" t="s">
        <v>227</v>
      </c>
      <c r="K313" s="123">
        <v>42</v>
      </c>
      <c r="L313" s="29">
        <v>7.0972499999999998</v>
      </c>
      <c r="M313" s="110">
        <v>5.35</v>
      </c>
      <c r="N313" s="30">
        <v>0.16500000000000001</v>
      </c>
      <c r="O313" s="116">
        <v>0.88275000000000003</v>
      </c>
      <c r="P313" s="30"/>
      <c r="Q313" s="116"/>
      <c r="R313" s="30">
        <v>7.0000000000000007E-2</v>
      </c>
      <c r="S313" s="116">
        <v>0.3745</v>
      </c>
      <c r="T313" s="117">
        <v>0.49</v>
      </c>
      <c r="U313" s="39">
        <v>800</v>
      </c>
      <c r="V313" s="32"/>
      <c r="W313" s="33">
        <v>0</v>
      </c>
      <c r="X313" s="32"/>
      <c r="Y313" s="32"/>
      <c r="Z313" s="32"/>
      <c r="AA313" s="34"/>
      <c r="AB313" s="35">
        <f t="shared" si="40"/>
        <v>800</v>
      </c>
      <c r="AC313" s="75">
        <f t="shared" si="41"/>
        <v>33600</v>
      </c>
      <c r="AD313" s="78">
        <f t="shared" si="42"/>
        <v>0</v>
      </c>
      <c r="AE313" s="72">
        <f t="shared" si="43"/>
        <v>33600</v>
      </c>
      <c r="AF313" s="75">
        <f t="shared" si="44"/>
        <v>5677.8</v>
      </c>
      <c r="AG313" s="78">
        <f t="shared" si="45"/>
        <v>0</v>
      </c>
      <c r="AH313" s="72">
        <f t="shared" si="46"/>
        <v>5677.8</v>
      </c>
      <c r="AI313" s="75">
        <f t="shared" si="47"/>
        <v>4280</v>
      </c>
      <c r="AJ313" s="78">
        <f t="shared" si="48"/>
        <v>0</v>
      </c>
      <c r="AK313" s="72">
        <f t="shared" si="49"/>
        <v>4280</v>
      </c>
    </row>
    <row r="314" spans="1:37" ht="15.95" customHeight="1">
      <c r="A314" s="25" t="s">
        <v>966</v>
      </c>
      <c r="B314" s="25" t="s">
        <v>949</v>
      </c>
      <c r="C314" s="26" t="s">
        <v>24</v>
      </c>
      <c r="D314" s="26" t="s">
        <v>1123</v>
      </c>
      <c r="E314" s="26" t="s">
        <v>444</v>
      </c>
      <c r="F314" s="26" t="s">
        <v>1126</v>
      </c>
      <c r="G314" s="26" t="s">
        <v>1125</v>
      </c>
      <c r="H314" s="27" t="s">
        <v>234</v>
      </c>
      <c r="I314" s="26" t="s">
        <v>27</v>
      </c>
      <c r="J314" s="28" t="s">
        <v>227</v>
      </c>
      <c r="K314" s="123">
        <v>42</v>
      </c>
      <c r="L314" s="29">
        <v>7.0972499999999998</v>
      </c>
      <c r="M314" s="110">
        <v>5.35</v>
      </c>
      <c r="N314" s="30">
        <v>0.16500000000000001</v>
      </c>
      <c r="O314" s="116">
        <v>0.88275000000000003</v>
      </c>
      <c r="P314" s="30"/>
      <c r="Q314" s="116"/>
      <c r="R314" s="30">
        <v>7.0000000000000007E-2</v>
      </c>
      <c r="S314" s="116">
        <v>0.3745</v>
      </c>
      <c r="T314" s="117">
        <v>0.49</v>
      </c>
      <c r="U314" s="39">
        <v>700</v>
      </c>
      <c r="V314" s="32"/>
      <c r="W314" s="33">
        <v>0</v>
      </c>
      <c r="X314" s="32"/>
      <c r="Y314" s="32"/>
      <c r="Z314" s="32"/>
      <c r="AA314" s="34"/>
      <c r="AB314" s="35">
        <f t="shared" si="40"/>
        <v>700</v>
      </c>
      <c r="AC314" s="75">
        <f t="shared" si="41"/>
        <v>29400</v>
      </c>
      <c r="AD314" s="78">
        <f t="shared" si="42"/>
        <v>0</v>
      </c>
      <c r="AE314" s="72">
        <f t="shared" si="43"/>
        <v>29400</v>
      </c>
      <c r="AF314" s="75">
        <f t="shared" si="44"/>
        <v>4968.0749999999998</v>
      </c>
      <c r="AG314" s="78">
        <f t="shared" si="45"/>
        <v>0</v>
      </c>
      <c r="AH314" s="72">
        <f t="shared" si="46"/>
        <v>4968.0749999999998</v>
      </c>
      <c r="AI314" s="75">
        <f t="shared" si="47"/>
        <v>3744.9999999999995</v>
      </c>
      <c r="AJ314" s="78">
        <f t="shared" si="48"/>
        <v>0</v>
      </c>
      <c r="AK314" s="72">
        <f t="shared" si="49"/>
        <v>3744.9999999999995</v>
      </c>
    </row>
    <row r="315" spans="1:37" ht="15.95" customHeight="1">
      <c r="A315" s="25" t="s">
        <v>966</v>
      </c>
      <c r="B315" s="25" t="s">
        <v>949</v>
      </c>
      <c r="C315" s="26" t="s">
        <v>24</v>
      </c>
      <c r="D315" s="26" t="s">
        <v>1123</v>
      </c>
      <c r="E315" s="26" t="s">
        <v>444</v>
      </c>
      <c r="F315" s="26" t="s">
        <v>1126</v>
      </c>
      <c r="G315" s="26" t="s">
        <v>1125</v>
      </c>
      <c r="H315" s="27" t="s">
        <v>234</v>
      </c>
      <c r="I315" s="26" t="s">
        <v>27</v>
      </c>
      <c r="J315" s="37" t="s">
        <v>227</v>
      </c>
      <c r="K315" s="123">
        <v>42</v>
      </c>
      <c r="L315" s="29">
        <v>7.0972499999999998</v>
      </c>
      <c r="M315" s="110">
        <v>5.35</v>
      </c>
      <c r="N315" s="30">
        <v>0.16500000000000001</v>
      </c>
      <c r="O315" s="116">
        <v>0.88275000000000003</v>
      </c>
      <c r="P315" s="30"/>
      <c r="Q315" s="116"/>
      <c r="R315" s="30">
        <v>7.0000000000000007E-2</v>
      </c>
      <c r="S315" s="116">
        <v>0.3745</v>
      </c>
      <c r="T315" s="117">
        <v>0.49</v>
      </c>
      <c r="U315" s="39">
        <v>800</v>
      </c>
      <c r="V315" s="32"/>
      <c r="W315" s="33">
        <v>0</v>
      </c>
      <c r="X315" s="32"/>
      <c r="Y315" s="32"/>
      <c r="Z315" s="32"/>
      <c r="AA315" s="34"/>
      <c r="AB315" s="35">
        <f t="shared" si="40"/>
        <v>800</v>
      </c>
      <c r="AC315" s="75">
        <f t="shared" si="41"/>
        <v>33600</v>
      </c>
      <c r="AD315" s="78">
        <f t="shared" si="42"/>
        <v>0</v>
      </c>
      <c r="AE315" s="72">
        <f t="shared" si="43"/>
        <v>33600</v>
      </c>
      <c r="AF315" s="75">
        <f t="shared" si="44"/>
        <v>5677.8</v>
      </c>
      <c r="AG315" s="78">
        <f t="shared" si="45"/>
        <v>0</v>
      </c>
      <c r="AH315" s="72">
        <f t="shared" si="46"/>
        <v>5677.8</v>
      </c>
      <c r="AI315" s="75">
        <f t="shared" si="47"/>
        <v>4280</v>
      </c>
      <c r="AJ315" s="78">
        <f t="shared" si="48"/>
        <v>0</v>
      </c>
      <c r="AK315" s="72">
        <f t="shared" si="49"/>
        <v>4280</v>
      </c>
    </row>
    <row r="316" spans="1:37" ht="15.95" customHeight="1">
      <c r="A316" s="25" t="s">
        <v>966</v>
      </c>
      <c r="B316" s="25" t="s">
        <v>949</v>
      </c>
      <c r="C316" s="26" t="s">
        <v>982</v>
      </c>
      <c r="D316" s="26" t="s">
        <v>1123</v>
      </c>
      <c r="E316" s="26" t="s">
        <v>444</v>
      </c>
      <c r="F316" s="26" t="s">
        <v>1127</v>
      </c>
      <c r="G316" s="26" t="s">
        <v>1128</v>
      </c>
      <c r="H316" s="27" t="s">
        <v>95</v>
      </c>
      <c r="I316" s="26" t="s">
        <v>27</v>
      </c>
      <c r="J316" s="28" t="s">
        <v>174</v>
      </c>
      <c r="K316" s="123">
        <v>68</v>
      </c>
      <c r="L316" s="29">
        <v>10.953500000000002</v>
      </c>
      <c r="M316" s="110">
        <v>8.5</v>
      </c>
      <c r="N316" s="30">
        <v>0.161</v>
      </c>
      <c r="O316" s="116">
        <v>1.3685</v>
      </c>
      <c r="P316" s="30"/>
      <c r="Q316" s="116"/>
      <c r="R316" s="30">
        <v>7.0000000000000007E-2</v>
      </c>
      <c r="S316" s="116">
        <v>0.59500000000000008</v>
      </c>
      <c r="T316" s="117">
        <v>0.49</v>
      </c>
      <c r="U316" s="39">
        <v>700</v>
      </c>
      <c r="V316" s="32"/>
      <c r="W316" s="33">
        <v>0</v>
      </c>
      <c r="X316" s="32"/>
      <c r="Y316" s="32"/>
      <c r="Z316" s="32"/>
      <c r="AA316" s="34"/>
      <c r="AB316" s="35">
        <f t="shared" si="40"/>
        <v>700</v>
      </c>
      <c r="AC316" s="75">
        <f t="shared" si="41"/>
        <v>47600</v>
      </c>
      <c r="AD316" s="78">
        <f t="shared" si="42"/>
        <v>0</v>
      </c>
      <c r="AE316" s="72">
        <f t="shared" si="43"/>
        <v>47600</v>
      </c>
      <c r="AF316" s="75">
        <f t="shared" si="44"/>
        <v>7667.4500000000016</v>
      </c>
      <c r="AG316" s="78">
        <f t="shared" si="45"/>
        <v>0</v>
      </c>
      <c r="AH316" s="72">
        <f t="shared" si="46"/>
        <v>7667.4500000000016</v>
      </c>
      <c r="AI316" s="75">
        <f t="shared" si="47"/>
        <v>5950</v>
      </c>
      <c r="AJ316" s="78">
        <f t="shared" si="48"/>
        <v>0</v>
      </c>
      <c r="AK316" s="72">
        <f t="shared" si="49"/>
        <v>5950</v>
      </c>
    </row>
    <row r="317" spans="1:37" ht="15.95" customHeight="1">
      <c r="A317" s="25" t="s">
        <v>966</v>
      </c>
      <c r="B317" s="25" t="s">
        <v>949</v>
      </c>
      <c r="C317" s="26" t="s">
        <v>982</v>
      </c>
      <c r="D317" s="26" t="s">
        <v>1123</v>
      </c>
      <c r="E317" s="26" t="s">
        <v>444</v>
      </c>
      <c r="F317" s="26" t="s">
        <v>1127</v>
      </c>
      <c r="G317" s="26" t="s">
        <v>1128</v>
      </c>
      <c r="H317" s="27" t="s">
        <v>95</v>
      </c>
      <c r="I317" s="26" t="s">
        <v>27</v>
      </c>
      <c r="J317" s="28" t="s">
        <v>174</v>
      </c>
      <c r="K317" s="123">
        <v>68</v>
      </c>
      <c r="L317" s="29">
        <v>10.953500000000002</v>
      </c>
      <c r="M317" s="110">
        <v>8.5</v>
      </c>
      <c r="N317" s="30">
        <v>0.161</v>
      </c>
      <c r="O317" s="116">
        <v>1.3685</v>
      </c>
      <c r="P317" s="30"/>
      <c r="Q317" s="116"/>
      <c r="R317" s="30">
        <v>7.0000000000000007E-2</v>
      </c>
      <c r="S317" s="116">
        <v>0.59500000000000008</v>
      </c>
      <c r="T317" s="117">
        <v>0.49</v>
      </c>
      <c r="U317" s="39">
        <v>700</v>
      </c>
      <c r="V317" s="32"/>
      <c r="W317" s="33">
        <v>0</v>
      </c>
      <c r="X317" s="32"/>
      <c r="Y317" s="32"/>
      <c r="Z317" s="32"/>
      <c r="AA317" s="34"/>
      <c r="AB317" s="35">
        <f t="shared" si="40"/>
        <v>700</v>
      </c>
      <c r="AC317" s="75">
        <f t="shared" si="41"/>
        <v>47600</v>
      </c>
      <c r="AD317" s="78">
        <f t="shared" si="42"/>
        <v>0</v>
      </c>
      <c r="AE317" s="72">
        <f t="shared" si="43"/>
        <v>47600</v>
      </c>
      <c r="AF317" s="75">
        <f t="shared" si="44"/>
        <v>7667.4500000000016</v>
      </c>
      <c r="AG317" s="78">
        <f t="shared" si="45"/>
        <v>0</v>
      </c>
      <c r="AH317" s="72">
        <f t="shared" si="46"/>
        <v>7667.4500000000016</v>
      </c>
      <c r="AI317" s="75">
        <f t="shared" si="47"/>
        <v>5950</v>
      </c>
      <c r="AJ317" s="78">
        <f t="shared" si="48"/>
        <v>0</v>
      </c>
      <c r="AK317" s="72">
        <f t="shared" si="49"/>
        <v>5950</v>
      </c>
    </row>
    <row r="318" spans="1:37" ht="15.95" customHeight="1">
      <c r="A318" s="25" t="s">
        <v>966</v>
      </c>
      <c r="B318" s="25" t="s">
        <v>949</v>
      </c>
      <c r="C318" s="26" t="s">
        <v>982</v>
      </c>
      <c r="D318" s="26" t="s">
        <v>1123</v>
      </c>
      <c r="E318" s="26" t="s">
        <v>444</v>
      </c>
      <c r="F318" s="26" t="s">
        <v>1127</v>
      </c>
      <c r="G318" s="26" t="s">
        <v>1128</v>
      </c>
      <c r="H318" s="27" t="s">
        <v>95</v>
      </c>
      <c r="I318" s="26" t="s">
        <v>27</v>
      </c>
      <c r="J318" s="28" t="s">
        <v>174</v>
      </c>
      <c r="K318" s="123">
        <v>68</v>
      </c>
      <c r="L318" s="29">
        <v>10.953500000000002</v>
      </c>
      <c r="M318" s="110">
        <v>8.5</v>
      </c>
      <c r="N318" s="30">
        <v>0.161</v>
      </c>
      <c r="O318" s="116">
        <v>1.3685</v>
      </c>
      <c r="P318" s="30"/>
      <c r="Q318" s="116"/>
      <c r="R318" s="30">
        <v>7.0000000000000007E-2</v>
      </c>
      <c r="S318" s="116">
        <v>0.59500000000000008</v>
      </c>
      <c r="T318" s="117">
        <v>0.49</v>
      </c>
      <c r="U318" s="39">
        <v>900</v>
      </c>
      <c r="V318" s="32"/>
      <c r="W318" s="33">
        <v>0</v>
      </c>
      <c r="X318" s="32"/>
      <c r="Y318" s="32"/>
      <c r="Z318" s="32"/>
      <c r="AA318" s="34"/>
      <c r="AB318" s="35">
        <f t="shared" si="40"/>
        <v>900</v>
      </c>
      <c r="AC318" s="75">
        <f t="shared" si="41"/>
        <v>61200</v>
      </c>
      <c r="AD318" s="78">
        <f t="shared" si="42"/>
        <v>0</v>
      </c>
      <c r="AE318" s="72">
        <f t="shared" si="43"/>
        <v>61200</v>
      </c>
      <c r="AF318" s="75">
        <f t="shared" si="44"/>
        <v>9858.1500000000015</v>
      </c>
      <c r="AG318" s="78">
        <f t="shared" si="45"/>
        <v>0</v>
      </c>
      <c r="AH318" s="72">
        <f t="shared" si="46"/>
        <v>9858.1500000000015</v>
      </c>
      <c r="AI318" s="75">
        <f t="shared" si="47"/>
        <v>7650</v>
      </c>
      <c r="AJ318" s="78">
        <f t="shared" si="48"/>
        <v>0</v>
      </c>
      <c r="AK318" s="72">
        <f t="shared" si="49"/>
        <v>7650</v>
      </c>
    </row>
    <row r="319" spans="1:37" ht="15.95" customHeight="1">
      <c r="A319" s="25" t="s">
        <v>966</v>
      </c>
      <c r="B319" s="25" t="s">
        <v>949</v>
      </c>
      <c r="C319" s="26" t="s">
        <v>982</v>
      </c>
      <c r="D319" s="26" t="s">
        <v>1123</v>
      </c>
      <c r="E319" s="26" t="s">
        <v>444</v>
      </c>
      <c r="F319" s="26" t="s">
        <v>1127</v>
      </c>
      <c r="G319" s="26" t="s">
        <v>1128</v>
      </c>
      <c r="H319" s="27" t="s">
        <v>95</v>
      </c>
      <c r="I319" s="26" t="s">
        <v>27</v>
      </c>
      <c r="J319" s="28" t="s">
        <v>174</v>
      </c>
      <c r="K319" s="123">
        <v>68</v>
      </c>
      <c r="L319" s="29">
        <v>10.953500000000002</v>
      </c>
      <c r="M319" s="110">
        <v>8.5</v>
      </c>
      <c r="N319" s="30">
        <v>0.161</v>
      </c>
      <c r="O319" s="116">
        <v>1.3685</v>
      </c>
      <c r="P319" s="30"/>
      <c r="Q319" s="116"/>
      <c r="R319" s="30">
        <v>7.0000000000000007E-2</v>
      </c>
      <c r="S319" s="116">
        <v>0.59500000000000008</v>
      </c>
      <c r="T319" s="117">
        <v>0.49</v>
      </c>
      <c r="U319" s="39">
        <v>900</v>
      </c>
      <c r="V319" s="32"/>
      <c r="W319" s="33">
        <v>0</v>
      </c>
      <c r="X319" s="32"/>
      <c r="Y319" s="32"/>
      <c r="Z319" s="32"/>
      <c r="AA319" s="34"/>
      <c r="AB319" s="35">
        <f t="shared" si="40"/>
        <v>900</v>
      </c>
      <c r="AC319" s="75">
        <f t="shared" si="41"/>
        <v>61200</v>
      </c>
      <c r="AD319" s="78">
        <f t="shared" si="42"/>
        <v>0</v>
      </c>
      <c r="AE319" s="72">
        <f t="shared" si="43"/>
        <v>61200</v>
      </c>
      <c r="AF319" s="75">
        <f t="shared" si="44"/>
        <v>9858.1500000000015</v>
      </c>
      <c r="AG319" s="78">
        <f t="shared" si="45"/>
        <v>0</v>
      </c>
      <c r="AH319" s="72">
        <f t="shared" si="46"/>
        <v>9858.1500000000015</v>
      </c>
      <c r="AI319" s="75">
        <f t="shared" si="47"/>
        <v>7650</v>
      </c>
      <c r="AJ319" s="78">
        <f t="shared" si="48"/>
        <v>0</v>
      </c>
      <c r="AK319" s="72">
        <f t="shared" si="49"/>
        <v>7650</v>
      </c>
    </row>
    <row r="320" spans="1:37" ht="15.95" customHeight="1">
      <c r="A320" s="25" t="s">
        <v>948</v>
      </c>
      <c r="B320" s="25" t="s">
        <v>949</v>
      </c>
      <c r="C320" s="26" t="s">
        <v>262</v>
      </c>
      <c r="D320" s="26" t="s">
        <v>15</v>
      </c>
      <c r="E320" s="26" t="s">
        <v>16</v>
      </c>
      <c r="F320" s="26" t="s">
        <v>1129</v>
      </c>
      <c r="G320" s="26" t="s">
        <v>1130</v>
      </c>
      <c r="H320" s="27" t="s">
        <v>1131</v>
      </c>
      <c r="I320" s="26" t="s">
        <v>27</v>
      </c>
      <c r="J320" s="28" t="s">
        <v>28</v>
      </c>
      <c r="K320" s="123">
        <v>48</v>
      </c>
      <c r="L320" s="29">
        <v>11.11125</v>
      </c>
      <c r="M320" s="110">
        <v>7.25</v>
      </c>
      <c r="N320" s="30">
        <v>0.32</v>
      </c>
      <c r="O320" s="116">
        <v>2.3199999999999998</v>
      </c>
      <c r="P320" s="30">
        <v>7.4999999999999997E-2</v>
      </c>
      <c r="Q320" s="116">
        <v>0.54374999999999996</v>
      </c>
      <c r="R320" s="30">
        <v>7.0000000000000007E-2</v>
      </c>
      <c r="S320" s="116">
        <v>0.50750000000000006</v>
      </c>
      <c r="T320" s="117">
        <v>0.49</v>
      </c>
      <c r="U320" s="39">
        <v>400</v>
      </c>
      <c r="V320" s="32"/>
      <c r="W320" s="33">
        <v>0</v>
      </c>
      <c r="X320" s="32"/>
      <c r="Y320" s="32"/>
      <c r="Z320" s="32"/>
      <c r="AA320" s="34"/>
      <c r="AB320" s="35">
        <f t="shared" si="40"/>
        <v>400</v>
      </c>
      <c r="AC320" s="75">
        <f t="shared" si="41"/>
        <v>19200</v>
      </c>
      <c r="AD320" s="78">
        <f t="shared" si="42"/>
        <v>0</v>
      </c>
      <c r="AE320" s="72">
        <f t="shared" si="43"/>
        <v>19200</v>
      </c>
      <c r="AF320" s="75">
        <f t="shared" si="44"/>
        <v>4444.5</v>
      </c>
      <c r="AG320" s="78">
        <f t="shared" si="45"/>
        <v>0</v>
      </c>
      <c r="AH320" s="72">
        <f t="shared" si="46"/>
        <v>4444.5</v>
      </c>
      <c r="AI320" s="75">
        <f t="shared" si="47"/>
        <v>2900</v>
      </c>
      <c r="AJ320" s="78">
        <f t="shared" si="48"/>
        <v>0</v>
      </c>
      <c r="AK320" s="72">
        <f t="shared" si="49"/>
        <v>2900</v>
      </c>
    </row>
    <row r="321" spans="1:37" ht="15.95" customHeight="1">
      <c r="A321" s="25" t="s">
        <v>948</v>
      </c>
      <c r="B321" s="25" t="s">
        <v>949</v>
      </c>
      <c r="C321" s="26" t="s">
        <v>262</v>
      </c>
      <c r="D321" s="26" t="s">
        <v>15</v>
      </c>
      <c r="E321" s="26" t="s">
        <v>16</v>
      </c>
      <c r="F321" s="26" t="s">
        <v>1129</v>
      </c>
      <c r="G321" s="26" t="s">
        <v>1130</v>
      </c>
      <c r="H321" s="27" t="s">
        <v>1132</v>
      </c>
      <c r="I321" s="26" t="s">
        <v>27</v>
      </c>
      <c r="J321" s="28" t="s">
        <v>28</v>
      </c>
      <c r="K321" s="123">
        <v>48</v>
      </c>
      <c r="L321" s="29">
        <v>11.11125</v>
      </c>
      <c r="M321" s="110">
        <v>7.25</v>
      </c>
      <c r="N321" s="30">
        <v>0.32</v>
      </c>
      <c r="O321" s="116">
        <v>2.3199999999999998</v>
      </c>
      <c r="P321" s="30">
        <v>7.4999999999999997E-2</v>
      </c>
      <c r="Q321" s="116">
        <v>0.54374999999999996</v>
      </c>
      <c r="R321" s="30">
        <v>7.0000000000000007E-2</v>
      </c>
      <c r="S321" s="116">
        <v>0.50750000000000006</v>
      </c>
      <c r="T321" s="117">
        <v>0.49</v>
      </c>
      <c r="U321" s="39">
        <v>500</v>
      </c>
      <c r="V321" s="32"/>
      <c r="W321" s="33">
        <v>0</v>
      </c>
      <c r="X321" s="32"/>
      <c r="Y321" s="32"/>
      <c r="Z321" s="32"/>
      <c r="AA321" s="34"/>
      <c r="AB321" s="35">
        <f t="shared" si="40"/>
        <v>500</v>
      </c>
      <c r="AC321" s="75">
        <f t="shared" si="41"/>
        <v>24000</v>
      </c>
      <c r="AD321" s="78">
        <f t="shared" si="42"/>
        <v>0</v>
      </c>
      <c r="AE321" s="72">
        <f t="shared" si="43"/>
        <v>24000</v>
      </c>
      <c r="AF321" s="75">
        <f t="shared" si="44"/>
        <v>5555.625</v>
      </c>
      <c r="AG321" s="78">
        <f t="shared" si="45"/>
        <v>0</v>
      </c>
      <c r="AH321" s="72">
        <f t="shared" si="46"/>
        <v>5555.625</v>
      </c>
      <c r="AI321" s="75">
        <f t="shared" si="47"/>
        <v>3625</v>
      </c>
      <c r="AJ321" s="78">
        <f t="shared" si="48"/>
        <v>0</v>
      </c>
      <c r="AK321" s="72">
        <f t="shared" si="49"/>
        <v>3625</v>
      </c>
    </row>
    <row r="322" spans="1:37" ht="15.95" customHeight="1">
      <c r="A322" s="25" t="s">
        <v>948</v>
      </c>
      <c r="B322" s="25" t="s">
        <v>949</v>
      </c>
      <c r="C322" s="26" t="s">
        <v>29</v>
      </c>
      <c r="D322" s="26" t="s">
        <v>15</v>
      </c>
      <c r="E322" s="26" t="s">
        <v>16</v>
      </c>
      <c r="F322" s="26" t="s">
        <v>1133</v>
      </c>
      <c r="G322" s="26" t="s">
        <v>1134</v>
      </c>
      <c r="H322" s="27" t="s">
        <v>1135</v>
      </c>
      <c r="I322" s="26" t="s">
        <v>19</v>
      </c>
      <c r="J322" s="28" t="s">
        <v>31</v>
      </c>
      <c r="K322" s="123">
        <v>78</v>
      </c>
      <c r="L322" s="29">
        <v>16.154</v>
      </c>
      <c r="M322" s="110">
        <v>11</v>
      </c>
      <c r="N322" s="30">
        <v>0.27900000000000003</v>
      </c>
      <c r="O322" s="116">
        <v>3.0690000000000004</v>
      </c>
      <c r="P322" s="30">
        <v>7.4999999999999997E-2</v>
      </c>
      <c r="Q322" s="116">
        <v>0.82499999999999996</v>
      </c>
      <c r="R322" s="30">
        <v>7.0000000000000007E-2</v>
      </c>
      <c r="S322" s="116">
        <v>0.77</v>
      </c>
      <c r="T322" s="117">
        <v>0.49</v>
      </c>
      <c r="U322" s="39">
        <v>400</v>
      </c>
      <c r="V322" s="32"/>
      <c r="W322" s="33">
        <v>0</v>
      </c>
      <c r="X322" s="32"/>
      <c r="Y322" s="32"/>
      <c r="Z322" s="32"/>
      <c r="AA322" s="34">
        <v>10</v>
      </c>
      <c r="AB322" s="35">
        <f t="shared" si="40"/>
        <v>410</v>
      </c>
      <c r="AC322" s="75">
        <f t="shared" si="41"/>
        <v>31200</v>
      </c>
      <c r="AD322" s="78">
        <f t="shared" si="42"/>
        <v>780</v>
      </c>
      <c r="AE322" s="72">
        <f t="shared" si="43"/>
        <v>31980</v>
      </c>
      <c r="AF322" s="75">
        <f t="shared" si="44"/>
        <v>6461.6</v>
      </c>
      <c r="AG322" s="78">
        <f t="shared" si="45"/>
        <v>110</v>
      </c>
      <c r="AH322" s="72">
        <f t="shared" si="46"/>
        <v>6571.6</v>
      </c>
      <c r="AI322" s="75">
        <f t="shared" si="47"/>
        <v>4400</v>
      </c>
      <c r="AJ322" s="78">
        <f t="shared" si="48"/>
        <v>110</v>
      </c>
      <c r="AK322" s="72">
        <f t="shared" si="49"/>
        <v>4510</v>
      </c>
    </row>
    <row r="323" spans="1:37" ht="15.95" customHeight="1">
      <c r="A323" s="25" t="s">
        <v>948</v>
      </c>
      <c r="B323" s="25" t="s">
        <v>949</v>
      </c>
      <c r="C323" s="26" t="s">
        <v>29</v>
      </c>
      <c r="D323" s="26" t="s">
        <v>15</v>
      </c>
      <c r="E323" s="26" t="s">
        <v>16</v>
      </c>
      <c r="F323" s="26" t="s">
        <v>1133</v>
      </c>
      <c r="G323" s="26" t="s">
        <v>1134</v>
      </c>
      <c r="H323" s="27" t="s">
        <v>1135</v>
      </c>
      <c r="I323" s="26" t="s">
        <v>19</v>
      </c>
      <c r="J323" s="28" t="s">
        <v>31</v>
      </c>
      <c r="K323" s="123">
        <v>78</v>
      </c>
      <c r="L323" s="29">
        <v>16.154</v>
      </c>
      <c r="M323" s="110">
        <v>11</v>
      </c>
      <c r="N323" s="30">
        <v>0.27900000000000003</v>
      </c>
      <c r="O323" s="116">
        <v>3.0690000000000004</v>
      </c>
      <c r="P323" s="30">
        <v>7.4999999999999997E-2</v>
      </c>
      <c r="Q323" s="116">
        <v>0.82499999999999996</v>
      </c>
      <c r="R323" s="30">
        <v>7.0000000000000007E-2</v>
      </c>
      <c r="S323" s="116">
        <v>0.77</v>
      </c>
      <c r="T323" s="117">
        <v>0.49</v>
      </c>
      <c r="U323" s="39">
        <v>500</v>
      </c>
      <c r="V323" s="32"/>
      <c r="W323" s="33">
        <v>0</v>
      </c>
      <c r="X323" s="32"/>
      <c r="Y323" s="32"/>
      <c r="Z323" s="32"/>
      <c r="AA323" s="34">
        <v>10</v>
      </c>
      <c r="AB323" s="35">
        <f t="shared" si="40"/>
        <v>510</v>
      </c>
      <c r="AC323" s="75">
        <f t="shared" si="41"/>
        <v>39000</v>
      </c>
      <c r="AD323" s="78">
        <f t="shared" si="42"/>
        <v>780</v>
      </c>
      <c r="AE323" s="72">
        <f t="shared" si="43"/>
        <v>39780</v>
      </c>
      <c r="AF323" s="75">
        <f t="shared" si="44"/>
        <v>8077</v>
      </c>
      <c r="AG323" s="78">
        <f t="shared" si="45"/>
        <v>110</v>
      </c>
      <c r="AH323" s="72">
        <f t="shared" si="46"/>
        <v>8187</v>
      </c>
      <c r="AI323" s="75">
        <f t="shared" si="47"/>
        <v>5500</v>
      </c>
      <c r="AJ323" s="78">
        <f t="shared" si="48"/>
        <v>110</v>
      </c>
      <c r="AK323" s="72">
        <f t="shared" si="49"/>
        <v>5610</v>
      </c>
    </row>
    <row r="324" spans="1:37" ht="15.95" customHeight="1">
      <c r="A324" s="25" t="s">
        <v>948</v>
      </c>
      <c r="B324" s="25" t="s">
        <v>949</v>
      </c>
      <c r="C324" s="26" t="s">
        <v>1136</v>
      </c>
      <c r="D324" s="26" t="s">
        <v>15</v>
      </c>
      <c r="E324" s="26" t="s">
        <v>16</v>
      </c>
      <c r="F324" s="26" t="s">
        <v>1137</v>
      </c>
      <c r="G324" s="26" t="s">
        <v>1138</v>
      </c>
      <c r="H324" s="44" t="s">
        <v>1139</v>
      </c>
      <c r="I324" s="26" t="s">
        <v>27</v>
      </c>
      <c r="J324" s="28" t="s">
        <v>28</v>
      </c>
      <c r="K324" s="125">
        <v>125</v>
      </c>
      <c r="L324" s="29">
        <v>25.395</v>
      </c>
      <c r="M324" s="110">
        <v>17</v>
      </c>
      <c r="N324" s="30">
        <v>0.32</v>
      </c>
      <c r="O324" s="116">
        <v>5.44</v>
      </c>
      <c r="P324" s="30">
        <v>7.4999999999999997E-2</v>
      </c>
      <c r="Q324" s="116">
        <v>1.2749999999999999</v>
      </c>
      <c r="R324" s="30">
        <v>7.0000000000000007E-2</v>
      </c>
      <c r="S324" s="116">
        <v>1.1900000000000002</v>
      </c>
      <c r="T324" s="117">
        <v>0.49</v>
      </c>
      <c r="U324" s="39">
        <v>300</v>
      </c>
      <c r="V324" s="32">
        <v>8</v>
      </c>
      <c r="W324" s="33">
        <v>0</v>
      </c>
      <c r="X324" s="32"/>
      <c r="Y324" s="32"/>
      <c r="Z324" s="32"/>
      <c r="AA324" s="34">
        <v>10</v>
      </c>
      <c r="AB324" s="35">
        <f t="shared" si="40"/>
        <v>318</v>
      </c>
      <c r="AC324" s="75">
        <f t="shared" si="41"/>
        <v>37500</v>
      </c>
      <c r="AD324" s="78">
        <f t="shared" si="42"/>
        <v>2250</v>
      </c>
      <c r="AE324" s="72">
        <f t="shared" si="43"/>
        <v>39750</v>
      </c>
      <c r="AF324" s="75">
        <f t="shared" si="44"/>
        <v>7618.5</v>
      </c>
      <c r="AG324" s="78">
        <f t="shared" si="45"/>
        <v>373.15999999999997</v>
      </c>
      <c r="AH324" s="72">
        <f t="shared" si="46"/>
        <v>7991.66</v>
      </c>
      <c r="AI324" s="75">
        <f t="shared" si="47"/>
        <v>5100</v>
      </c>
      <c r="AJ324" s="78">
        <f t="shared" si="48"/>
        <v>306</v>
      </c>
      <c r="AK324" s="72">
        <f t="shared" si="49"/>
        <v>5406</v>
      </c>
    </row>
    <row r="325" spans="1:37" ht="15.95" customHeight="1">
      <c r="A325" s="25" t="s">
        <v>948</v>
      </c>
      <c r="B325" s="25" t="s">
        <v>949</v>
      </c>
      <c r="C325" s="26" t="s">
        <v>1136</v>
      </c>
      <c r="D325" s="26" t="s">
        <v>15</v>
      </c>
      <c r="E325" s="26" t="s">
        <v>16</v>
      </c>
      <c r="F325" s="26" t="s">
        <v>1137</v>
      </c>
      <c r="G325" s="26" t="s">
        <v>1138</v>
      </c>
      <c r="H325" s="44" t="s">
        <v>1139</v>
      </c>
      <c r="I325" s="26" t="s">
        <v>27</v>
      </c>
      <c r="J325" s="28" t="s">
        <v>28</v>
      </c>
      <c r="K325" s="125">
        <v>125</v>
      </c>
      <c r="L325" s="29">
        <v>25.395</v>
      </c>
      <c r="M325" s="110">
        <v>17</v>
      </c>
      <c r="N325" s="30">
        <v>0.32</v>
      </c>
      <c r="O325" s="116">
        <v>5.44</v>
      </c>
      <c r="P325" s="30">
        <v>7.4999999999999997E-2</v>
      </c>
      <c r="Q325" s="116">
        <v>1.2749999999999999</v>
      </c>
      <c r="R325" s="30">
        <v>7.0000000000000007E-2</v>
      </c>
      <c r="S325" s="116">
        <v>1.1900000000000002</v>
      </c>
      <c r="T325" s="117">
        <v>0.49</v>
      </c>
      <c r="U325" s="39">
        <v>400</v>
      </c>
      <c r="V325" s="32"/>
      <c r="W325" s="33">
        <v>0</v>
      </c>
      <c r="X325" s="32"/>
      <c r="Y325" s="32"/>
      <c r="Z325" s="32"/>
      <c r="AA325" s="34">
        <v>10</v>
      </c>
      <c r="AB325" s="35">
        <f t="shared" ref="AB325:AB361" si="50">SUM(U325:AA325)</f>
        <v>410</v>
      </c>
      <c r="AC325" s="75">
        <f t="shared" ref="AC325:AC361" si="51">$K325*U325</f>
        <v>50000</v>
      </c>
      <c r="AD325" s="78">
        <f t="shared" ref="AD325:AD361" si="52">$K325*SUM(V325:AA325)</f>
        <v>1250</v>
      </c>
      <c r="AE325" s="72">
        <f t="shared" ref="AE325:AE361" si="53">SUM(AC325:AD325)</f>
        <v>51250</v>
      </c>
      <c r="AF325" s="75">
        <f t="shared" ref="AF325:AF361" si="54">$L325*U325</f>
        <v>10158</v>
      </c>
      <c r="AG325" s="78">
        <f t="shared" ref="AG325:AG361" si="55">$L325*SUM(V325:W325)+M325*SUM(X325:AA325)</f>
        <v>170</v>
      </c>
      <c r="AH325" s="72">
        <f t="shared" ref="AH325:AH361" si="56">SUM(AF325:AG325)</f>
        <v>10328</v>
      </c>
      <c r="AI325" s="75">
        <f t="shared" ref="AI325:AI361" si="57">$M325*U325</f>
        <v>6800</v>
      </c>
      <c r="AJ325" s="78">
        <f t="shared" ref="AJ325:AJ361" si="58">$M325*SUM(V325:AA325)</f>
        <v>170</v>
      </c>
      <c r="AK325" s="72">
        <f t="shared" ref="AK325:AK361" si="59">SUM(AI325:AJ325)</f>
        <v>6970</v>
      </c>
    </row>
    <row r="326" spans="1:37" ht="15.95" customHeight="1">
      <c r="A326" s="25" t="s">
        <v>948</v>
      </c>
      <c r="B326" s="25" t="s">
        <v>949</v>
      </c>
      <c r="C326" s="26" t="s">
        <v>24</v>
      </c>
      <c r="D326" s="26" t="s">
        <v>15</v>
      </c>
      <c r="E326" s="26" t="s">
        <v>16</v>
      </c>
      <c r="F326" s="26" t="s">
        <v>1140</v>
      </c>
      <c r="G326" s="26" t="s">
        <v>1130</v>
      </c>
      <c r="H326" s="44" t="s">
        <v>1131</v>
      </c>
      <c r="I326" s="26" t="s">
        <v>27</v>
      </c>
      <c r="J326" s="28" t="s">
        <v>28</v>
      </c>
      <c r="K326" s="125">
        <v>58</v>
      </c>
      <c r="L326" s="29">
        <v>11.477500000000001</v>
      </c>
      <c r="M326" s="110">
        <v>7.5</v>
      </c>
      <c r="N326" s="30">
        <v>0.32</v>
      </c>
      <c r="O326" s="116">
        <v>2.4</v>
      </c>
      <c r="P326" s="30">
        <v>7.4999999999999997E-2</v>
      </c>
      <c r="Q326" s="116">
        <v>0.5625</v>
      </c>
      <c r="R326" s="30">
        <v>7.0000000000000007E-2</v>
      </c>
      <c r="S326" s="116">
        <v>0.52500000000000002</v>
      </c>
      <c r="T326" s="117">
        <v>0.49</v>
      </c>
      <c r="U326" s="39">
        <v>500</v>
      </c>
      <c r="V326" s="32">
        <v>10</v>
      </c>
      <c r="W326" s="33">
        <v>0</v>
      </c>
      <c r="X326" s="32"/>
      <c r="Y326" s="32"/>
      <c r="Z326" s="32"/>
      <c r="AA326" s="34">
        <v>10</v>
      </c>
      <c r="AB326" s="35">
        <f t="shared" si="50"/>
        <v>520</v>
      </c>
      <c r="AC326" s="75">
        <f t="shared" si="51"/>
        <v>29000</v>
      </c>
      <c r="AD326" s="78">
        <f t="shared" si="52"/>
        <v>1160</v>
      </c>
      <c r="AE326" s="72">
        <f t="shared" si="53"/>
        <v>30160</v>
      </c>
      <c r="AF326" s="75">
        <f t="shared" si="54"/>
        <v>5738.7500000000009</v>
      </c>
      <c r="AG326" s="78">
        <f t="shared" si="55"/>
        <v>189.77500000000001</v>
      </c>
      <c r="AH326" s="72">
        <f t="shared" si="56"/>
        <v>5928.5250000000005</v>
      </c>
      <c r="AI326" s="75">
        <f t="shared" si="57"/>
        <v>3750</v>
      </c>
      <c r="AJ326" s="78">
        <f t="shared" si="58"/>
        <v>150</v>
      </c>
      <c r="AK326" s="72">
        <f t="shared" si="59"/>
        <v>3900</v>
      </c>
    </row>
    <row r="327" spans="1:37" ht="15.95" customHeight="1">
      <c r="A327" s="25" t="s">
        <v>948</v>
      </c>
      <c r="B327" s="25" t="s">
        <v>949</v>
      </c>
      <c r="C327" s="26" t="s">
        <v>24</v>
      </c>
      <c r="D327" s="26" t="s">
        <v>15</v>
      </c>
      <c r="E327" s="26" t="s">
        <v>16</v>
      </c>
      <c r="F327" s="26" t="s">
        <v>1140</v>
      </c>
      <c r="G327" s="26" t="s">
        <v>1130</v>
      </c>
      <c r="H327" s="44" t="s">
        <v>1131</v>
      </c>
      <c r="I327" s="26" t="s">
        <v>27</v>
      </c>
      <c r="J327" s="28" t="s">
        <v>28</v>
      </c>
      <c r="K327" s="125">
        <v>58</v>
      </c>
      <c r="L327" s="29">
        <v>11.477500000000001</v>
      </c>
      <c r="M327" s="110">
        <v>7.5</v>
      </c>
      <c r="N327" s="30">
        <v>0.32</v>
      </c>
      <c r="O327" s="116">
        <v>2.4</v>
      </c>
      <c r="P327" s="30">
        <v>7.4999999999999997E-2</v>
      </c>
      <c r="Q327" s="116">
        <v>0.5625</v>
      </c>
      <c r="R327" s="30">
        <v>7.0000000000000007E-2</v>
      </c>
      <c r="S327" s="116">
        <v>0.52500000000000002</v>
      </c>
      <c r="T327" s="117">
        <v>0.49</v>
      </c>
      <c r="U327" s="39">
        <v>500</v>
      </c>
      <c r="V327" s="32">
        <v>10</v>
      </c>
      <c r="W327" s="33">
        <v>0</v>
      </c>
      <c r="X327" s="32"/>
      <c r="Y327" s="32"/>
      <c r="Z327" s="32"/>
      <c r="AA327" s="34">
        <v>10</v>
      </c>
      <c r="AB327" s="35">
        <f t="shared" si="50"/>
        <v>520</v>
      </c>
      <c r="AC327" s="75">
        <f t="shared" si="51"/>
        <v>29000</v>
      </c>
      <c r="AD327" s="78">
        <f t="shared" si="52"/>
        <v>1160</v>
      </c>
      <c r="AE327" s="72">
        <f t="shared" si="53"/>
        <v>30160</v>
      </c>
      <c r="AF327" s="75">
        <f t="shared" si="54"/>
        <v>5738.7500000000009</v>
      </c>
      <c r="AG327" s="78">
        <f t="shared" si="55"/>
        <v>189.77500000000001</v>
      </c>
      <c r="AH327" s="72">
        <f t="shared" si="56"/>
        <v>5928.5250000000005</v>
      </c>
      <c r="AI327" s="75">
        <f t="shared" si="57"/>
        <v>3750</v>
      </c>
      <c r="AJ327" s="78">
        <f t="shared" si="58"/>
        <v>150</v>
      </c>
      <c r="AK327" s="72">
        <f t="shared" si="59"/>
        <v>3900</v>
      </c>
    </row>
    <row r="328" spans="1:37" ht="15.95" customHeight="1">
      <c r="A328" s="25" t="s">
        <v>948</v>
      </c>
      <c r="B328" s="25" t="s">
        <v>949</v>
      </c>
      <c r="C328" s="26" t="s">
        <v>29</v>
      </c>
      <c r="D328" s="26" t="s">
        <v>15</v>
      </c>
      <c r="E328" s="26" t="s">
        <v>16</v>
      </c>
      <c r="F328" s="26" t="s">
        <v>1141</v>
      </c>
      <c r="G328" s="26" t="s">
        <v>1142</v>
      </c>
      <c r="H328" s="27" t="s">
        <v>1143</v>
      </c>
      <c r="I328" s="26" t="s">
        <v>19</v>
      </c>
      <c r="J328" s="28" t="s">
        <v>31</v>
      </c>
      <c r="K328" s="125">
        <v>68</v>
      </c>
      <c r="L328" s="29">
        <v>14.729999999999999</v>
      </c>
      <c r="M328" s="110">
        <v>10</v>
      </c>
      <c r="N328" s="30">
        <v>0.27900000000000003</v>
      </c>
      <c r="O328" s="116">
        <v>2.79</v>
      </c>
      <c r="P328" s="30">
        <v>7.4999999999999997E-2</v>
      </c>
      <c r="Q328" s="116">
        <v>0.75</v>
      </c>
      <c r="R328" s="30">
        <v>7.0000000000000007E-2</v>
      </c>
      <c r="S328" s="116">
        <v>0.70000000000000007</v>
      </c>
      <c r="T328" s="117">
        <v>0.49</v>
      </c>
      <c r="U328" s="39">
        <v>400</v>
      </c>
      <c r="V328" s="32">
        <v>10</v>
      </c>
      <c r="W328" s="33">
        <v>0</v>
      </c>
      <c r="X328" s="32"/>
      <c r="Y328" s="32"/>
      <c r="Z328" s="32"/>
      <c r="AA328" s="34">
        <v>30</v>
      </c>
      <c r="AB328" s="35">
        <f t="shared" si="50"/>
        <v>440</v>
      </c>
      <c r="AC328" s="75">
        <f t="shared" si="51"/>
        <v>27200</v>
      </c>
      <c r="AD328" s="78">
        <f t="shared" si="52"/>
        <v>2720</v>
      </c>
      <c r="AE328" s="72">
        <f t="shared" si="53"/>
        <v>29920</v>
      </c>
      <c r="AF328" s="75">
        <f t="shared" si="54"/>
        <v>5891.9999999999991</v>
      </c>
      <c r="AG328" s="78">
        <f t="shared" si="55"/>
        <v>447.29999999999995</v>
      </c>
      <c r="AH328" s="72">
        <f t="shared" si="56"/>
        <v>6339.2999999999993</v>
      </c>
      <c r="AI328" s="75">
        <f t="shared" si="57"/>
        <v>4000</v>
      </c>
      <c r="AJ328" s="78">
        <f t="shared" si="58"/>
        <v>400</v>
      </c>
      <c r="AK328" s="72">
        <f t="shared" si="59"/>
        <v>4400</v>
      </c>
    </row>
    <row r="329" spans="1:37" ht="15.95" customHeight="1">
      <c r="A329" s="25" t="s">
        <v>948</v>
      </c>
      <c r="B329" s="25" t="s">
        <v>949</v>
      </c>
      <c r="C329" s="26" t="s">
        <v>29</v>
      </c>
      <c r="D329" s="26" t="s">
        <v>15</v>
      </c>
      <c r="E329" s="26" t="s">
        <v>16</v>
      </c>
      <c r="F329" s="26" t="s">
        <v>1141</v>
      </c>
      <c r="G329" s="26" t="s">
        <v>1142</v>
      </c>
      <c r="H329" s="27" t="s">
        <v>1143</v>
      </c>
      <c r="I329" s="26" t="s">
        <v>19</v>
      </c>
      <c r="J329" s="28" t="s">
        <v>31</v>
      </c>
      <c r="K329" s="123">
        <v>68</v>
      </c>
      <c r="L329" s="29">
        <v>14.729999999999999</v>
      </c>
      <c r="M329" s="110">
        <v>10</v>
      </c>
      <c r="N329" s="30">
        <v>0.27900000000000003</v>
      </c>
      <c r="O329" s="116">
        <v>2.79</v>
      </c>
      <c r="P329" s="30">
        <v>7.4999999999999997E-2</v>
      </c>
      <c r="Q329" s="116">
        <v>0.75</v>
      </c>
      <c r="R329" s="30">
        <v>7.0000000000000007E-2</v>
      </c>
      <c r="S329" s="116">
        <v>0.70000000000000007</v>
      </c>
      <c r="T329" s="117">
        <v>0.49</v>
      </c>
      <c r="U329" s="39">
        <v>400</v>
      </c>
      <c r="V329" s="32">
        <v>8</v>
      </c>
      <c r="W329" s="33">
        <v>0</v>
      </c>
      <c r="X329" s="32"/>
      <c r="Y329" s="32"/>
      <c r="Z329" s="32"/>
      <c r="AA329" s="34">
        <v>30</v>
      </c>
      <c r="AB329" s="35">
        <f t="shared" si="50"/>
        <v>438</v>
      </c>
      <c r="AC329" s="75">
        <f t="shared" si="51"/>
        <v>27200</v>
      </c>
      <c r="AD329" s="78">
        <f t="shared" si="52"/>
        <v>2584</v>
      </c>
      <c r="AE329" s="72">
        <f t="shared" si="53"/>
        <v>29784</v>
      </c>
      <c r="AF329" s="75">
        <f t="shared" si="54"/>
        <v>5891.9999999999991</v>
      </c>
      <c r="AG329" s="78">
        <f t="shared" si="55"/>
        <v>417.84</v>
      </c>
      <c r="AH329" s="72">
        <f t="shared" si="56"/>
        <v>6309.8399999999992</v>
      </c>
      <c r="AI329" s="75">
        <f t="shared" si="57"/>
        <v>4000</v>
      </c>
      <c r="AJ329" s="78">
        <f t="shared" si="58"/>
        <v>380</v>
      </c>
      <c r="AK329" s="72">
        <f t="shared" si="59"/>
        <v>4380</v>
      </c>
    </row>
    <row r="330" spans="1:37" ht="15.95" customHeight="1">
      <c r="A330" s="25" t="s">
        <v>948</v>
      </c>
      <c r="B330" s="25" t="s">
        <v>949</v>
      </c>
      <c r="C330" s="26" t="s">
        <v>14</v>
      </c>
      <c r="D330" s="26" t="s">
        <v>838</v>
      </c>
      <c r="E330" s="26" t="s">
        <v>16</v>
      </c>
      <c r="F330" s="26" t="s">
        <v>1144</v>
      </c>
      <c r="G330" s="26"/>
      <c r="H330" s="27" t="s">
        <v>1145</v>
      </c>
      <c r="I330" s="26" t="s">
        <v>27</v>
      </c>
      <c r="J330" s="28" t="s">
        <v>1117</v>
      </c>
      <c r="K330" s="123">
        <v>150</v>
      </c>
      <c r="L330" s="29">
        <v>31.869500000000002</v>
      </c>
      <c r="M330" s="110">
        <v>24.25</v>
      </c>
      <c r="N330" s="30">
        <v>0.14899999999999999</v>
      </c>
      <c r="O330" s="116">
        <v>3.6132499999999999</v>
      </c>
      <c r="P330" s="30">
        <v>7.4999999999999997E-2</v>
      </c>
      <c r="Q330" s="116">
        <v>1.8187499999999999</v>
      </c>
      <c r="R330" s="30">
        <v>7.0000000000000007E-2</v>
      </c>
      <c r="S330" s="116">
        <v>1.6975000000000002</v>
      </c>
      <c r="T330" s="117">
        <v>0.49</v>
      </c>
      <c r="U330" s="39">
        <v>600</v>
      </c>
      <c r="V330" s="32">
        <v>9</v>
      </c>
      <c r="W330" s="33">
        <v>0</v>
      </c>
      <c r="X330" s="32"/>
      <c r="Y330" s="32"/>
      <c r="Z330" s="32"/>
      <c r="AA330" s="34"/>
      <c r="AB330" s="35">
        <f t="shared" si="50"/>
        <v>609</v>
      </c>
      <c r="AC330" s="75">
        <f t="shared" si="51"/>
        <v>90000</v>
      </c>
      <c r="AD330" s="78">
        <f t="shared" si="52"/>
        <v>1350</v>
      </c>
      <c r="AE330" s="72">
        <f t="shared" si="53"/>
        <v>91350</v>
      </c>
      <c r="AF330" s="75">
        <f t="shared" si="54"/>
        <v>19121.7</v>
      </c>
      <c r="AG330" s="78">
        <f t="shared" si="55"/>
        <v>286.82550000000003</v>
      </c>
      <c r="AH330" s="72">
        <f t="shared" si="56"/>
        <v>19408.5255</v>
      </c>
      <c r="AI330" s="75">
        <f t="shared" si="57"/>
        <v>14550</v>
      </c>
      <c r="AJ330" s="78">
        <f t="shared" si="58"/>
        <v>218.25</v>
      </c>
      <c r="AK330" s="72">
        <f t="shared" si="59"/>
        <v>14768.25</v>
      </c>
    </row>
    <row r="331" spans="1:37" ht="15.95" customHeight="1">
      <c r="A331" s="25" t="s">
        <v>948</v>
      </c>
      <c r="B331" s="25" t="s">
        <v>949</v>
      </c>
      <c r="C331" s="26" t="s">
        <v>21</v>
      </c>
      <c r="D331" s="26" t="s">
        <v>10</v>
      </c>
      <c r="E331" s="26" t="s">
        <v>16</v>
      </c>
      <c r="F331" s="26" t="s">
        <v>1146</v>
      </c>
      <c r="G331" s="26"/>
      <c r="H331" s="27" t="s">
        <v>1145</v>
      </c>
      <c r="I331" s="26" t="s">
        <v>27</v>
      </c>
      <c r="J331" s="28" t="s">
        <v>1119</v>
      </c>
      <c r="K331" s="123">
        <v>125</v>
      </c>
      <c r="L331" s="29">
        <v>26.758199999999999</v>
      </c>
      <c r="M331" s="110">
        <v>20.3</v>
      </c>
      <c r="N331" s="30">
        <v>0.14899999999999999</v>
      </c>
      <c r="O331" s="116">
        <v>3.0247000000000002</v>
      </c>
      <c r="P331" s="30">
        <v>7.4999999999999997E-2</v>
      </c>
      <c r="Q331" s="116">
        <v>1.5225</v>
      </c>
      <c r="R331" s="30">
        <v>7.0000000000000007E-2</v>
      </c>
      <c r="S331" s="116">
        <v>1.4210000000000003</v>
      </c>
      <c r="T331" s="117">
        <v>0.49</v>
      </c>
      <c r="U331" s="39">
        <v>500</v>
      </c>
      <c r="V331" s="32">
        <v>9</v>
      </c>
      <c r="W331" s="33">
        <v>0</v>
      </c>
      <c r="X331" s="32"/>
      <c r="Y331" s="32"/>
      <c r="Z331" s="32"/>
      <c r="AA331" s="34"/>
      <c r="AB331" s="35">
        <f t="shared" si="50"/>
        <v>509</v>
      </c>
      <c r="AC331" s="75">
        <f t="shared" si="51"/>
        <v>62500</v>
      </c>
      <c r="AD331" s="78">
        <f t="shared" si="52"/>
        <v>1125</v>
      </c>
      <c r="AE331" s="72">
        <f t="shared" si="53"/>
        <v>63625</v>
      </c>
      <c r="AF331" s="75">
        <f t="shared" si="54"/>
        <v>13379.099999999999</v>
      </c>
      <c r="AG331" s="78">
        <f t="shared" si="55"/>
        <v>240.82379999999998</v>
      </c>
      <c r="AH331" s="72">
        <f t="shared" si="56"/>
        <v>13619.923799999999</v>
      </c>
      <c r="AI331" s="75">
        <f t="shared" si="57"/>
        <v>10150</v>
      </c>
      <c r="AJ331" s="78">
        <f t="shared" si="58"/>
        <v>182.70000000000002</v>
      </c>
      <c r="AK331" s="72">
        <f t="shared" si="59"/>
        <v>10332.700000000001</v>
      </c>
    </row>
    <row r="332" spans="1:37" ht="15.95" customHeight="1">
      <c r="A332" s="25" t="s">
        <v>948</v>
      </c>
      <c r="B332" s="25" t="s">
        <v>949</v>
      </c>
      <c r="C332" s="26" t="s">
        <v>24</v>
      </c>
      <c r="D332" s="26" t="s">
        <v>10</v>
      </c>
      <c r="E332" s="26" t="s">
        <v>16</v>
      </c>
      <c r="F332" s="41" t="s">
        <v>1147</v>
      </c>
      <c r="G332" s="26"/>
      <c r="H332" s="44" t="s">
        <v>1145</v>
      </c>
      <c r="I332" s="26" t="s">
        <v>27</v>
      </c>
      <c r="J332" s="28" t="s">
        <v>227</v>
      </c>
      <c r="K332" s="123">
        <v>88</v>
      </c>
      <c r="L332" s="29">
        <v>16.864999999999998</v>
      </c>
      <c r="M332" s="110">
        <v>12.5</v>
      </c>
      <c r="N332" s="30">
        <v>0.16500000000000001</v>
      </c>
      <c r="O332" s="116">
        <v>2.0625</v>
      </c>
      <c r="P332" s="30">
        <v>7.4999999999999997E-2</v>
      </c>
      <c r="Q332" s="116">
        <v>0.9375</v>
      </c>
      <c r="R332" s="30">
        <v>7.0000000000000007E-2</v>
      </c>
      <c r="S332" s="116">
        <v>0.87500000000000011</v>
      </c>
      <c r="T332" s="117">
        <v>0.49</v>
      </c>
      <c r="U332" s="39">
        <v>500</v>
      </c>
      <c r="V332" s="32">
        <v>8</v>
      </c>
      <c r="W332" s="33">
        <v>0</v>
      </c>
      <c r="X332" s="32"/>
      <c r="Y332" s="32"/>
      <c r="Z332" s="32"/>
      <c r="AA332" s="34"/>
      <c r="AB332" s="35">
        <f t="shared" si="50"/>
        <v>508</v>
      </c>
      <c r="AC332" s="75">
        <f t="shared" si="51"/>
        <v>44000</v>
      </c>
      <c r="AD332" s="78">
        <f t="shared" si="52"/>
        <v>704</v>
      </c>
      <c r="AE332" s="72">
        <f t="shared" si="53"/>
        <v>44704</v>
      </c>
      <c r="AF332" s="75">
        <f t="shared" si="54"/>
        <v>8432.5</v>
      </c>
      <c r="AG332" s="78">
        <f t="shared" si="55"/>
        <v>134.91999999999999</v>
      </c>
      <c r="AH332" s="72">
        <f t="shared" si="56"/>
        <v>8567.42</v>
      </c>
      <c r="AI332" s="75">
        <f t="shared" si="57"/>
        <v>6250</v>
      </c>
      <c r="AJ332" s="78">
        <f t="shared" si="58"/>
        <v>100</v>
      </c>
      <c r="AK332" s="72">
        <f t="shared" si="59"/>
        <v>6350</v>
      </c>
    </row>
    <row r="333" spans="1:37" ht="15.95" customHeight="1">
      <c r="A333" s="25" t="s">
        <v>948</v>
      </c>
      <c r="B333" s="25" t="s">
        <v>949</v>
      </c>
      <c r="C333" s="26" t="s">
        <v>982</v>
      </c>
      <c r="D333" s="26" t="s">
        <v>10</v>
      </c>
      <c r="E333" s="26" t="s">
        <v>16</v>
      </c>
      <c r="F333" s="41" t="s">
        <v>1148</v>
      </c>
      <c r="G333" s="26"/>
      <c r="H333" s="44" t="s">
        <v>1145</v>
      </c>
      <c r="I333" s="26" t="s">
        <v>27</v>
      </c>
      <c r="J333" s="28" t="s">
        <v>174</v>
      </c>
      <c r="K333" s="123">
        <v>88</v>
      </c>
      <c r="L333" s="29">
        <v>20.471800000000002</v>
      </c>
      <c r="M333" s="110">
        <v>15.3</v>
      </c>
      <c r="N333" s="30">
        <v>0.161</v>
      </c>
      <c r="O333" s="116">
        <v>2.4633000000000003</v>
      </c>
      <c r="P333" s="30">
        <v>7.4999999999999997E-2</v>
      </c>
      <c r="Q333" s="116">
        <v>1.1475</v>
      </c>
      <c r="R333" s="30">
        <v>7.0000000000000007E-2</v>
      </c>
      <c r="S333" s="116">
        <v>1.0710000000000002</v>
      </c>
      <c r="T333" s="117">
        <v>0.49</v>
      </c>
      <c r="U333" s="39">
        <v>400</v>
      </c>
      <c r="V333" s="32">
        <v>9</v>
      </c>
      <c r="W333" s="33">
        <v>99</v>
      </c>
      <c r="X333" s="32"/>
      <c r="Y333" s="32"/>
      <c r="Z333" s="32"/>
      <c r="AA333" s="34"/>
      <c r="AB333" s="35">
        <f t="shared" si="50"/>
        <v>508</v>
      </c>
      <c r="AC333" s="75">
        <f t="shared" si="51"/>
        <v>35200</v>
      </c>
      <c r="AD333" s="78">
        <f t="shared" si="52"/>
        <v>9504</v>
      </c>
      <c r="AE333" s="72">
        <f t="shared" si="53"/>
        <v>44704</v>
      </c>
      <c r="AF333" s="75">
        <f t="shared" si="54"/>
        <v>8188.7200000000012</v>
      </c>
      <c r="AG333" s="78">
        <f t="shared" si="55"/>
        <v>2210.9544000000001</v>
      </c>
      <c r="AH333" s="72">
        <f t="shared" si="56"/>
        <v>10399.674400000002</v>
      </c>
      <c r="AI333" s="75">
        <f t="shared" si="57"/>
        <v>6120</v>
      </c>
      <c r="AJ333" s="78">
        <f t="shared" si="58"/>
        <v>1652.4</v>
      </c>
      <c r="AK333" s="72">
        <f t="shared" si="59"/>
        <v>7772.4</v>
      </c>
    </row>
    <row r="334" spans="1:37" ht="15.95" customHeight="1">
      <c r="A334" s="25" t="s">
        <v>948</v>
      </c>
      <c r="B334" s="25" t="s">
        <v>949</v>
      </c>
      <c r="C334" s="26" t="s">
        <v>164</v>
      </c>
      <c r="D334" s="26" t="s">
        <v>10</v>
      </c>
      <c r="E334" s="26" t="s">
        <v>444</v>
      </c>
      <c r="F334" s="41" t="s">
        <v>1149</v>
      </c>
      <c r="G334" s="26"/>
      <c r="H334" s="44" t="s">
        <v>1150</v>
      </c>
      <c r="I334" s="26" t="s">
        <v>167</v>
      </c>
      <c r="J334" s="28" t="s">
        <v>578</v>
      </c>
      <c r="K334" s="123">
        <v>98</v>
      </c>
      <c r="L334" s="29">
        <v>21.268799999999995</v>
      </c>
      <c r="M334" s="110">
        <v>16.399999999999999</v>
      </c>
      <c r="N334" s="30">
        <v>0.19700000000000001</v>
      </c>
      <c r="O334" s="116">
        <v>3.2307999999999999</v>
      </c>
      <c r="P334" s="30"/>
      <c r="Q334" s="116"/>
      <c r="R334" s="30">
        <v>7.0000000000000007E-2</v>
      </c>
      <c r="S334" s="116">
        <v>1.1479999999999999</v>
      </c>
      <c r="T334" s="117">
        <v>0.49</v>
      </c>
      <c r="U334" s="39">
        <v>300</v>
      </c>
      <c r="V334" s="32">
        <v>9</v>
      </c>
      <c r="W334" s="33">
        <v>200</v>
      </c>
      <c r="X334" s="32"/>
      <c r="Y334" s="32"/>
      <c r="Z334" s="32"/>
      <c r="AA334" s="34"/>
      <c r="AB334" s="35">
        <f t="shared" si="50"/>
        <v>509</v>
      </c>
      <c r="AC334" s="75">
        <f t="shared" si="51"/>
        <v>29400</v>
      </c>
      <c r="AD334" s="78">
        <f t="shared" si="52"/>
        <v>20482</v>
      </c>
      <c r="AE334" s="72">
        <f t="shared" si="53"/>
        <v>49882</v>
      </c>
      <c r="AF334" s="75">
        <f t="shared" si="54"/>
        <v>6380.6399999999985</v>
      </c>
      <c r="AG334" s="78">
        <f t="shared" si="55"/>
        <v>4445.1791999999987</v>
      </c>
      <c r="AH334" s="72">
        <f t="shared" si="56"/>
        <v>10825.819199999998</v>
      </c>
      <c r="AI334" s="75">
        <f t="shared" si="57"/>
        <v>4920</v>
      </c>
      <c r="AJ334" s="78">
        <f t="shared" si="58"/>
        <v>3427.6</v>
      </c>
      <c r="AK334" s="72">
        <f t="shared" si="59"/>
        <v>8347.6</v>
      </c>
    </row>
    <row r="335" spans="1:37" ht="15.95" customHeight="1">
      <c r="A335" s="25" t="s">
        <v>948</v>
      </c>
      <c r="B335" s="25" t="s">
        <v>949</v>
      </c>
      <c r="C335" s="26" t="s">
        <v>14</v>
      </c>
      <c r="D335" s="26" t="s">
        <v>10</v>
      </c>
      <c r="E335" s="26" t="s">
        <v>16</v>
      </c>
      <c r="F335" s="41" t="s">
        <v>1144</v>
      </c>
      <c r="G335" s="26"/>
      <c r="H335" s="44" t="s">
        <v>1145</v>
      </c>
      <c r="I335" s="26" t="s">
        <v>27</v>
      </c>
      <c r="J335" s="28" t="s">
        <v>1117</v>
      </c>
      <c r="K335" s="123">
        <v>150</v>
      </c>
      <c r="L335" s="29">
        <v>31.869500000000002</v>
      </c>
      <c r="M335" s="110">
        <v>24.25</v>
      </c>
      <c r="N335" s="30">
        <v>0.14899999999999999</v>
      </c>
      <c r="O335" s="116">
        <v>3.6132499999999999</v>
      </c>
      <c r="P335" s="30">
        <v>7.4999999999999997E-2</v>
      </c>
      <c r="Q335" s="116">
        <v>1.8187499999999999</v>
      </c>
      <c r="R335" s="30">
        <v>7.0000000000000007E-2</v>
      </c>
      <c r="S335" s="116">
        <v>1.6975000000000002</v>
      </c>
      <c r="T335" s="117">
        <v>0.49</v>
      </c>
      <c r="U335" s="39">
        <v>500</v>
      </c>
      <c r="V335" s="32">
        <v>9</v>
      </c>
      <c r="W335" s="33">
        <v>0</v>
      </c>
      <c r="X335" s="32"/>
      <c r="Y335" s="32"/>
      <c r="Z335" s="32"/>
      <c r="AA335" s="34"/>
      <c r="AB335" s="35">
        <f t="shared" si="50"/>
        <v>509</v>
      </c>
      <c r="AC335" s="75">
        <f t="shared" si="51"/>
        <v>75000</v>
      </c>
      <c r="AD335" s="78">
        <f t="shared" si="52"/>
        <v>1350</v>
      </c>
      <c r="AE335" s="72">
        <f t="shared" si="53"/>
        <v>76350</v>
      </c>
      <c r="AF335" s="75">
        <f t="shared" si="54"/>
        <v>15934.750000000002</v>
      </c>
      <c r="AG335" s="78">
        <f t="shared" si="55"/>
        <v>286.82550000000003</v>
      </c>
      <c r="AH335" s="72">
        <f t="shared" si="56"/>
        <v>16221.575500000003</v>
      </c>
      <c r="AI335" s="75">
        <f t="shared" si="57"/>
        <v>12125</v>
      </c>
      <c r="AJ335" s="78">
        <f t="shared" si="58"/>
        <v>218.25</v>
      </c>
      <c r="AK335" s="72">
        <f t="shared" si="59"/>
        <v>12343.25</v>
      </c>
    </row>
    <row r="336" spans="1:37" ht="15.95" customHeight="1">
      <c r="A336" s="25" t="s">
        <v>948</v>
      </c>
      <c r="B336" s="25" t="s">
        <v>949</v>
      </c>
      <c r="C336" s="26" t="s">
        <v>21</v>
      </c>
      <c r="D336" s="26" t="s">
        <v>10</v>
      </c>
      <c r="E336" s="26" t="s">
        <v>16</v>
      </c>
      <c r="F336" s="26" t="s">
        <v>1146</v>
      </c>
      <c r="G336" s="26"/>
      <c r="H336" s="44" t="s">
        <v>1145</v>
      </c>
      <c r="I336" s="26" t="s">
        <v>27</v>
      </c>
      <c r="J336" s="45" t="s">
        <v>1151</v>
      </c>
      <c r="K336" s="123">
        <v>125</v>
      </c>
      <c r="L336" s="29">
        <v>26.758199999999999</v>
      </c>
      <c r="M336" s="110">
        <v>20.3</v>
      </c>
      <c r="N336" s="30">
        <v>0.14899999999999999</v>
      </c>
      <c r="O336" s="116">
        <v>3.0247000000000002</v>
      </c>
      <c r="P336" s="30">
        <v>7.4999999999999997E-2</v>
      </c>
      <c r="Q336" s="116">
        <v>1.5225</v>
      </c>
      <c r="R336" s="30">
        <v>7.0000000000000007E-2</v>
      </c>
      <c r="S336" s="116">
        <v>1.4210000000000003</v>
      </c>
      <c r="T336" s="117">
        <v>0.49</v>
      </c>
      <c r="U336" s="39">
        <v>400</v>
      </c>
      <c r="V336" s="32">
        <v>9</v>
      </c>
      <c r="W336" s="33">
        <v>100</v>
      </c>
      <c r="X336" s="32"/>
      <c r="Y336" s="32"/>
      <c r="Z336" s="32"/>
      <c r="AA336" s="34"/>
      <c r="AB336" s="35">
        <f t="shared" si="50"/>
        <v>509</v>
      </c>
      <c r="AC336" s="75">
        <f t="shared" si="51"/>
        <v>50000</v>
      </c>
      <c r="AD336" s="78">
        <f t="shared" si="52"/>
        <v>13625</v>
      </c>
      <c r="AE336" s="72">
        <f t="shared" si="53"/>
        <v>63625</v>
      </c>
      <c r="AF336" s="75">
        <f t="shared" si="54"/>
        <v>10703.279999999999</v>
      </c>
      <c r="AG336" s="78">
        <f t="shared" si="55"/>
        <v>2916.6437999999998</v>
      </c>
      <c r="AH336" s="72">
        <f t="shared" si="56"/>
        <v>13619.923799999999</v>
      </c>
      <c r="AI336" s="75">
        <f t="shared" si="57"/>
        <v>8120</v>
      </c>
      <c r="AJ336" s="78">
        <f t="shared" si="58"/>
        <v>2212.7000000000003</v>
      </c>
      <c r="AK336" s="72">
        <f t="shared" si="59"/>
        <v>10332.700000000001</v>
      </c>
    </row>
    <row r="337" spans="1:37" ht="15.95" customHeight="1">
      <c r="A337" s="25" t="s">
        <v>948</v>
      </c>
      <c r="B337" s="25" t="s">
        <v>949</v>
      </c>
      <c r="C337" s="26" t="s">
        <v>24</v>
      </c>
      <c r="D337" s="26" t="s">
        <v>10</v>
      </c>
      <c r="E337" s="26" t="s">
        <v>16</v>
      </c>
      <c r="F337" s="26" t="s">
        <v>1147</v>
      </c>
      <c r="G337" s="26"/>
      <c r="H337" s="27" t="s">
        <v>1152</v>
      </c>
      <c r="I337" s="26" t="s">
        <v>27</v>
      </c>
      <c r="J337" s="28" t="s">
        <v>417</v>
      </c>
      <c r="K337" s="123">
        <v>88</v>
      </c>
      <c r="L337" s="29">
        <v>16.864999999999998</v>
      </c>
      <c r="M337" s="110">
        <v>12.5</v>
      </c>
      <c r="N337" s="30">
        <v>0.16500000000000001</v>
      </c>
      <c r="O337" s="116">
        <v>2.0625</v>
      </c>
      <c r="P337" s="30">
        <v>7.4999999999999997E-2</v>
      </c>
      <c r="Q337" s="116">
        <v>0.9375</v>
      </c>
      <c r="R337" s="30">
        <v>7.0000000000000007E-2</v>
      </c>
      <c r="S337" s="116">
        <v>0.87500000000000011</v>
      </c>
      <c r="T337" s="117">
        <v>0.49</v>
      </c>
      <c r="U337" s="39">
        <v>500</v>
      </c>
      <c r="V337" s="32">
        <v>8</v>
      </c>
      <c r="W337" s="33">
        <v>0</v>
      </c>
      <c r="X337" s="32"/>
      <c r="Y337" s="32"/>
      <c r="Z337" s="32"/>
      <c r="AA337" s="34"/>
      <c r="AB337" s="35">
        <f t="shared" si="50"/>
        <v>508</v>
      </c>
      <c r="AC337" s="75">
        <f t="shared" si="51"/>
        <v>44000</v>
      </c>
      <c r="AD337" s="78">
        <f t="shared" si="52"/>
        <v>704</v>
      </c>
      <c r="AE337" s="72">
        <f t="shared" si="53"/>
        <v>44704</v>
      </c>
      <c r="AF337" s="75">
        <f t="shared" si="54"/>
        <v>8432.5</v>
      </c>
      <c r="AG337" s="78">
        <f t="shared" si="55"/>
        <v>134.91999999999999</v>
      </c>
      <c r="AH337" s="72">
        <f t="shared" si="56"/>
        <v>8567.42</v>
      </c>
      <c r="AI337" s="75">
        <f t="shared" si="57"/>
        <v>6250</v>
      </c>
      <c r="AJ337" s="78">
        <f t="shared" si="58"/>
        <v>100</v>
      </c>
      <c r="AK337" s="72">
        <f t="shared" si="59"/>
        <v>6350</v>
      </c>
    </row>
    <row r="338" spans="1:37" ht="15.95" customHeight="1">
      <c r="A338" s="25" t="s">
        <v>948</v>
      </c>
      <c r="B338" s="25" t="s">
        <v>949</v>
      </c>
      <c r="C338" s="26" t="s">
        <v>982</v>
      </c>
      <c r="D338" s="26" t="s">
        <v>10</v>
      </c>
      <c r="E338" s="26" t="s">
        <v>16</v>
      </c>
      <c r="F338" s="26" t="s">
        <v>1148</v>
      </c>
      <c r="G338" s="26"/>
      <c r="H338" s="27" t="s">
        <v>1152</v>
      </c>
      <c r="I338" s="26" t="s">
        <v>27</v>
      </c>
      <c r="J338" s="28" t="s">
        <v>174</v>
      </c>
      <c r="K338" s="123">
        <v>88</v>
      </c>
      <c r="L338" s="29">
        <v>20.471800000000002</v>
      </c>
      <c r="M338" s="110">
        <v>15.3</v>
      </c>
      <c r="N338" s="30">
        <v>0.161</v>
      </c>
      <c r="O338" s="116">
        <v>2.4633000000000003</v>
      </c>
      <c r="P338" s="30">
        <v>7.4999999999999997E-2</v>
      </c>
      <c r="Q338" s="116">
        <v>1.1475</v>
      </c>
      <c r="R338" s="30">
        <v>7.0000000000000007E-2</v>
      </c>
      <c r="S338" s="116">
        <v>1.0710000000000002</v>
      </c>
      <c r="T338" s="117">
        <v>0.49</v>
      </c>
      <c r="U338" s="39">
        <v>400</v>
      </c>
      <c r="V338" s="32">
        <v>9</v>
      </c>
      <c r="W338" s="33">
        <v>99</v>
      </c>
      <c r="X338" s="32"/>
      <c r="Y338" s="32"/>
      <c r="Z338" s="32"/>
      <c r="AA338" s="34"/>
      <c r="AB338" s="35">
        <f t="shared" si="50"/>
        <v>508</v>
      </c>
      <c r="AC338" s="75">
        <f t="shared" si="51"/>
        <v>35200</v>
      </c>
      <c r="AD338" s="78">
        <f t="shared" si="52"/>
        <v>9504</v>
      </c>
      <c r="AE338" s="72">
        <f t="shared" si="53"/>
        <v>44704</v>
      </c>
      <c r="AF338" s="75">
        <f t="shared" si="54"/>
        <v>8188.7200000000012</v>
      </c>
      <c r="AG338" s="78">
        <f t="shared" si="55"/>
        <v>2210.9544000000001</v>
      </c>
      <c r="AH338" s="72">
        <f t="shared" si="56"/>
        <v>10399.674400000002</v>
      </c>
      <c r="AI338" s="75">
        <f t="shared" si="57"/>
        <v>6120</v>
      </c>
      <c r="AJ338" s="78">
        <f t="shared" si="58"/>
        <v>1652.4</v>
      </c>
      <c r="AK338" s="72">
        <f t="shared" si="59"/>
        <v>7772.4</v>
      </c>
    </row>
    <row r="339" spans="1:37" ht="15.95" customHeight="1">
      <c r="A339" s="25" t="s">
        <v>948</v>
      </c>
      <c r="B339" s="25" t="s">
        <v>949</v>
      </c>
      <c r="C339" s="26" t="s">
        <v>164</v>
      </c>
      <c r="D339" s="26" t="s">
        <v>10</v>
      </c>
      <c r="E339" s="26" t="s">
        <v>444</v>
      </c>
      <c r="F339" s="26" t="s">
        <v>1149</v>
      </c>
      <c r="G339" s="26"/>
      <c r="H339" s="27" t="s">
        <v>1150</v>
      </c>
      <c r="I339" s="26" t="s">
        <v>167</v>
      </c>
      <c r="J339" s="37" t="s">
        <v>578</v>
      </c>
      <c r="K339" s="123">
        <v>98</v>
      </c>
      <c r="L339" s="29">
        <v>21.268799999999995</v>
      </c>
      <c r="M339" s="110">
        <v>16.399999999999999</v>
      </c>
      <c r="N339" s="30">
        <v>0.19700000000000001</v>
      </c>
      <c r="O339" s="116">
        <v>3.2307999999999999</v>
      </c>
      <c r="P339" s="30"/>
      <c r="Q339" s="116"/>
      <c r="R339" s="30">
        <v>7.0000000000000007E-2</v>
      </c>
      <c r="S339" s="116">
        <v>1.1479999999999999</v>
      </c>
      <c r="T339" s="117">
        <v>0.49</v>
      </c>
      <c r="U339" s="39">
        <v>300</v>
      </c>
      <c r="V339" s="32">
        <v>9</v>
      </c>
      <c r="W339" s="33">
        <v>200</v>
      </c>
      <c r="X339" s="32"/>
      <c r="Y339" s="32"/>
      <c r="Z339" s="32"/>
      <c r="AA339" s="34"/>
      <c r="AB339" s="35">
        <f t="shared" si="50"/>
        <v>509</v>
      </c>
      <c r="AC339" s="75">
        <f t="shared" si="51"/>
        <v>29400</v>
      </c>
      <c r="AD339" s="78">
        <f t="shared" si="52"/>
        <v>20482</v>
      </c>
      <c r="AE339" s="72">
        <f t="shared" si="53"/>
        <v>49882</v>
      </c>
      <c r="AF339" s="75">
        <f t="shared" si="54"/>
        <v>6380.6399999999985</v>
      </c>
      <c r="AG339" s="78">
        <f t="shared" si="55"/>
        <v>4445.1791999999987</v>
      </c>
      <c r="AH339" s="72">
        <f t="shared" si="56"/>
        <v>10825.819199999998</v>
      </c>
      <c r="AI339" s="75">
        <f t="shared" si="57"/>
        <v>4920</v>
      </c>
      <c r="AJ339" s="78">
        <f t="shared" si="58"/>
        <v>3427.6</v>
      </c>
      <c r="AK339" s="72">
        <f t="shared" si="59"/>
        <v>8347.6</v>
      </c>
    </row>
    <row r="340" spans="1:37" ht="15.95" customHeight="1">
      <c r="A340" s="25" t="s">
        <v>966</v>
      </c>
      <c r="B340" s="25" t="s">
        <v>949</v>
      </c>
      <c r="C340" s="26" t="s">
        <v>14</v>
      </c>
      <c r="D340" s="26" t="s">
        <v>10</v>
      </c>
      <c r="E340" s="26" t="s">
        <v>16</v>
      </c>
      <c r="F340" s="26" t="s">
        <v>1153</v>
      </c>
      <c r="G340" s="26"/>
      <c r="H340" s="27" t="s">
        <v>865</v>
      </c>
      <c r="I340" s="26" t="s">
        <v>27</v>
      </c>
      <c r="J340" s="37" t="s">
        <v>41</v>
      </c>
      <c r="K340" s="123">
        <v>140</v>
      </c>
      <c r="L340" s="29">
        <v>26.604099999999995</v>
      </c>
      <c r="M340" s="110">
        <v>18.3</v>
      </c>
      <c r="N340" s="30">
        <v>0.28199999999999997</v>
      </c>
      <c r="O340" s="116">
        <v>5.1605999999999996</v>
      </c>
      <c r="P340" s="30">
        <v>7.4999999999999997E-2</v>
      </c>
      <c r="Q340" s="116">
        <v>1.3725000000000001</v>
      </c>
      <c r="R340" s="30">
        <v>7.0000000000000007E-2</v>
      </c>
      <c r="S340" s="116">
        <v>1.2810000000000001</v>
      </c>
      <c r="T340" s="117">
        <v>0.49</v>
      </c>
      <c r="U340" s="39">
        <v>1000</v>
      </c>
      <c r="V340" s="32"/>
      <c r="W340" s="33">
        <v>0</v>
      </c>
      <c r="X340" s="32"/>
      <c r="Y340" s="32"/>
      <c r="Z340" s="32"/>
      <c r="AA340" s="34"/>
      <c r="AB340" s="35">
        <f t="shared" si="50"/>
        <v>1000</v>
      </c>
      <c r="AC340" s="75">
        <f t="shared" si="51"/>
        <v>140000</v>
      </c>
      <c r="AD340" s="78">
        <f t="shared" si="52"/>
        <v>0</v>
      </c>
      <c r="AE340" s="72">
        <f t="shared" si="53"/>
        <v>140000</v>
      </c>
      <c r="AF340" s="75">
        <f t="shared" si="54"/>
        <v>26604.099999999995</v>
      </c>
      <c r="AG340" s="78">
        <f t="shared" si="55"/>
        <v>0</v>
      </c>
      <c r="AH340" s="72">
        <f t="shared" si="56"/>
        <v>26604.099999999995</v>
      </c>
      <c r="AI340" s="75">
        <f t="shared" si="57"/>
        <v>18300</v>
      </c>
      <c r="AJ340" s="78">
        <f t="shared" si="58"/>
        <v>0</v>
      </c>
      <c r="AK340" s="72">
        <f t="shared" si="59"/>
        <v>18300</v>
      </c>
    </row>
    <row r="341" spans="1:37" ht="15.95" customHeight="1">
      <c r="A341" s="25" t="s">
        <v>966</v>
      </c>
      <c r="B341" s="25" t="s">
        <v>949</v>
      </c>
      <c r="C341" s="26" t="s">
        <v>21</v>
      </c>
      <c r="D341" s="26" t="s">
        <v>10</v>
      </c>
      <c r="E341" s="26" t="s">
        <v>16</v>
      </c>
      <c r="F341" s="26" t="s">
        <v>1154</v>
      </c>
      <c r="G341" s="26"/>
      <c r="H341" s="27" t="s">
        <v>865</v>
      </c>
      <c r="I341" s="26" t="s">
        <v>27</v>
      </c>
      <c r="J341" s="37" t="s">
        <v>43</v>
      </c>
      <c r="K341" s="123">
        <v>125</v>
      </c>
      <c r="L341" s="29">
        <v>21.538249999999998</v>
      </c>
      <c r="M341" s="110">
        <v>14.75</v>
      </c>
      <c r="N341" s="30">
        <v>0.28199999999999997</v>
      </c>
      <c r="O341" s="116">
        <v>4.1594999999999995</v>
      </c>
      <c r="P341" s="30">
        <v>7.4999999999999997E-2</v>
      </c>
      <c r="Q341" s="116">
        <v>1.10625</v>
      </c>
      <c r="R341" s="30">
        <v>7.0000000000000007E-2</v>
      </c>
      <c r="S341" s="116">
        <v>1.0325000000000002</v>
      </c>
      <c r="T341" s="117">
        <v>0.49</v>
      </c>
      <c r="U341" s="39">
        <v>900</v>
      </c>
      <c r="V341" s="32"/>
      <c r="W341" s="33">
        <v>0</v>
      </c>
      <c r="X341" s="32"/>
      <c r="Y341" s="32"/>
      <c r="Z341" s="32"/>
      <c r="AA341" s="34"/>
      <c r="AB341" s="35">
        <f t="shared" si="50"/>
        <v>900</v>
      </c>
      <c r="AC341" s="75">
        <f t="shared" si="51"/>
        <v>112500</v>
      </c>
      <c r="AD341" s="78">
        <f t="shared" si="52"/>
        <v>0</v>
      </c>
      <c r="AE341" s="72">
        <f t="shared" si="53"/>
        <v>112500</v>
      </c>
      <c r="AF341" s="75">
        <f t="shared" si="54"/>
        <v>19384.424999999999</v>
      </c>
      <c r="AG341" s="78">
        <f t="shared" si="55"/>
        <v>0</v>
      </c>
      <c r="AH341" s="72">
        <f t="shared" si="56"/>
        <v>19384.424999999999</v>
      </c>
      <c r="AI341" s="75">
        <f t="shared" si="57"/>
        <v>13275</v>
      </c>
      <c r="AJ341" s="78">
        <f t="shared" si="58"/>
        <v>0</v>
      </c>
      <c r="AK341" s="72">
        <f t="shared" si="59"/>
        <v>13275</v>
      </c>
    </row>
    <row r="342" spans="1:37" ht="15.95" customHeight="1">
      <c r="A342" s="25" t="s">
        <v>966</v>
      </c>
      <c r="B342" s="25" t="s">
        <v>949</v>
      </c>
      <c r="C342" s="26" t="s">
        <v>14</v>
      </c>
      <c r="D342" s="26" t="s">
        <v>10</v>
      </c>
      <c r="E342" s="26" t="s">
        <v>16</v>
      </c>
      <c r="F342" s="26" t="s">
        <v>1155</v>
      </c>
      <c r="G342" s="26"/>
      <c r="H342" s="27" t="s">
        <v>865</v>
      </c>
      <c r="I342" s="26" t="s">
        <v>27</v>
      </c>
      <c r="J342" s="37" t="s">
        <v>41</v>
      </c>
      <c r="K342" s="123">
        <v>140</v>
      </c>
      <c r="L342" s="29">
        <v>26.604099999999995</v>
      </c>
      <c r="M342" s="110">
        <v>18.3</v>
      </c>
      <c r="N342" s="30">
        <v>0.28199999999999997</v>
      </c>
      <c r="O342" s="116">
        <v>5.1605999999999996</v>
      </c>
      <c r="P342" s="30">
        <v>7.4999999999999997E-2</v>
      </c>
      <c r="Q342" s="116">
        <v>1.3725000000000001</v>
      </c>
      <c r="R342" s="30">
        <v>7.0000000000000007E-2</v>
      </c>
      <c r="S342" s="116">
        <v>1.2810000000000001</v>
      </c>
      <c r="T342" s="117">
        <v>0.49</v>
      </c>
      <c r="U342" s="39">
        <v>800</v>
      </c>
      <c r="V342" s="32"/>
      <c r="W342" s="33">
        <v>0</v>
      </c>
      <c r="X342" s="32"/>
      <c r="Y342" s="32"/>
      <c r="Z342" s="32"/>
      <c r="AA342" s="34"/>
      <c r="AB342" s="35">
        <f t="shared" si="50"/>
        <v>800</v>
      </c>
      <c r="AC342" s="75">
        <f t="shared" si="51"/>
        <v>112000</v>
      </c>
      <c r="AD342" s="78">
        <f t="shared" si="52"/>
        <v>0</v>
      </c>
      <c r="AE342" s="72">
        <f t="shared" si="53"/>
        <v>112000</v>
      </c>
      <c r="AF342" s="75">
        <f t="shared" si="54"/>
        <v>21283.279999999995</v>
      </c>
      <c r="AG342" s="78">
        <f t="shared" si="55"/>
        <v>0</v>
      </c>
      <c r="AH342" s="72">
        <f t="shared" si="56"/>
        <v>21283.279999999995</v>
      </c>
      <c r="AI342" s="75">
        <f t="shared" si="57"/>
        <v>14640</v>
      </c>
      <c r="AJ342" s="78">
        <f t="shared" si="58"/>
        <v>0</v>
      </c>
      <c r="AK342" s="72">
        <f t="shared" si="59"/>
        <v>14640</v>
      </c>
    </row>
    <row r="343" spans="1:37" ht="15.95" customHeight="1">
      <c r="A343" s="25" t="s">
        <v>966</v>
      </c>
      <c r="B343" s="25" t="s">
        <v>949</v>
      </c>
      <c r="C343" s="26" t="s">
        <v>21</v>
      </c>
      <c r="D343" s="26" t="s">
        <v>10</v>
      </c>
      <c r="E343" s="26" t="s">
        <v>16</v>
      </c>
      <c r="F343" s="26" t="s">
        <v>1156</v>
      </c>
      <c r="G343" s="26"/>
      <c r="H343" s="27" t="s">
        <v>865</v>
      </c>
      <c r="I343" s="26" t="s">
        <v>27</v>
      </c>
      <c r="J343" s="28" t="s">
        <v>43</v>
      </c>
      <c r="K343" s="123">
        <v>125</v>
      </c>
      <c r="L343" s="29">
        <v>21.538249999999998</v>
      </c>
      <c r="M343" s="110">
        <v>14.75</v>
      </c>
      <c r="N343" s="30">
        <v>0.28199999999999997</v>
      </c>
      <c r="O343" s="116">
        <v>4.1594999999999995</v>
      </c>
      <c r="P343" s="30">
        <v>7.4999999999999997E-2</v>
      </c>
      <c r="Q343" s="116">
        <v>1.10625</v>
      </c>
      <c r="R343" s="30">
        <v>7.0000000000000007E-2</v>
      </c>
      <c r="S343" s="116">
        <v>1.0325000000000002</v>
      </c>
      <c r="T343" s="117">
        <v>0.49</v>
      </c>
      <c r="U343" s="39">
        <v>700</v>
      </c>
      <c r="V343" s="32"/>
      <c r="W343" s="33">
        <v>0</v>
      </c>
      <c r="X343" s="32"/>
      <c r="Y343" s="32"/>
      <c r="Z343" s="32"/>
      <c r="AA343" s="34"/>
      <c r="AB343" s="35">
        <f t="shared" si="50"/>
        <v>700</v>
      </c>
      <c r="AC343" s="75">
        <f t="shared" si="51"/>
        <v>87500</v>
      </c>
      <c r="AD343" s="78">
        <f t="shared" si="52"/>
        <v>0</v>
      </c>
      <c r="AE343" s="72">
        <f t="shared" si="53"/>
        <v>87500</v>
      </c>
      <c r="AF343" s="75">
        <f t="shared" si="54"/>
        <v>15076.774999999998</v>
      </c>
      <c r="AG343" s="78">
        <f t="shared" si="55"/>
        <v>0</v>
      </c>
      <c r="AH343" s="72">
        <f t="shared" si="56"/>
        <v>15076.774999999998</v>
      </c>
      <c r="AI343" s="75">
        <f t="shared" si="57"/>
        <v>10325</v>
      </c>
      <c r="AJ343" s="78">
        <f t="shared" si="58"/>
        <v>0</v>
      </c>
      <c r="AK343" s="72">
        <f t="shared" si="59"/>
        <v>10325</v>
      </c>
    </row>
    <row r="344" spans="1:37" ht="15.95" customHeight="1">
      <c r="A344" s="25" t="s">
        <v>966</v>
      </c>
      <c r="B344" s="25" t="s">
        <v>949</v>
      </c>
      <c r="C344" s="26" t="s">
        <v>14</v>
      </c>
      <c r="D344" s="26" t="s">
        <v>10</v>
      </c>
      <c r="E344" s="26" t="s">
        <v>16</v>
      </c>
      <c r="F344" s="26" t="s">
        <v>1157</v>
      </c>
      <c r="G344" s="26"/>
      <c r="H344" s="27" t="s">
        <v>865</v>
      </c>
      <c r="I344" s="26" t="s">
        <v>27</v>
      </c>
      <c r="J344" s="28" t="s">
        <v>41</v>
      </c>
      <c r="K344" s="123">
        <v>140</v>
      </c>
      <c r="L344" s="29">
        <v>29.743499999999997</v>
      </c>
      <c r="M344" s="110">
        <v>20.5</v>
      </c>
      <c r="N344" s="30">
        <v>0.28199999999999997</v>
      </c>
      <c r="O344" s="116">
        <v>5.7809999999999997</v>
      </c>
      <c r="P344" s="30">
        <v>7.4999999999999997E-2</v>
      </c>
      <c r="Q344" s="116">
        <v>1.5374999999999999</v>
      </c>
      <c r="R344" s="30">
        <v>7.0000000000000007E-2</v>
      </c>
      <c r="S344" s="116">
        <v>1.4350000000000001</v>
      </c>
      <c r="T344" s="117">
        <v>0.49</v>
      </c>
      <c r="U344" s="39">
        <v>1000</v>
      </c>
      <c r="V344" s="32"/>
      <c r="W344" s="33">
        <v>0</v>
      </c>
      <c r="X344" s="32"/>
      <c r="Y344" s="32"/>
      <c r="Z344" s="32"/>
      <c r="AA344" s="34"/>
      <c r="AB344" s="35">
        <f t="shared" si="50"/>
        <v>1000</v>
      </c>
      <c r="AC344" s="75">
        <f t="shared" si="51"/>
        <v>140000</v>
      </c>
      <c r="AD344" s="78">
        <f t="shared" si="52"/>
        <v>0</v>
      </c>
      <c r="AE344" s="72">
        <f t="shared" si="53"/>
        <v>140000</v>
      </c>
      <c r="AF344" s="75">
        <f t="shared" si="54"/>
        <v>29743.499999999996</v>
      </c>
      <c r="AG344" s="78">
        <f t="shared" si="55"/>
        <v>0</v>
      </c>
      <c r="AH344" s="72">
        <f t="shared" si="56"/>
        <v>29743.499999999996</v>
      </c>
      <c r="AI344" s="75">
        <f t="shared" si="57"/>
        <v>20500</v>
      </c>
      <c r="AJ344" s="78">
        <f t="shared" si="58"/>
        <v>0</v>
      </c>
      <c r="AK344" s="72">
        <f t="shared" si="59"/>
        <v>20500</v>
      </c>
    </row>
    <row r="345" spans="1:37" ht="15.95" customHeight="1">
      <c r="A345" s="25" t="s">
        <v>966</v>
      </c>
      <c r="B345" s="25" t="s">
        <v>949</v>
      </c>
      <c r="C345" s="26" t="s">
        <v>21</v>
      </c>
      <c r="D345" s="26" t="s">
        <v>10</v>
      </c>
      <c r="E345" s="26" t="s">
        <v>16</v>
      </c>
      <c r="F345" s="26" t="s">
        <v>1158</v>
      </c>
      <c r="G345" s="26"/>
      <c r="H345" s="27" t="s">
        <v>865</v>
      </c>
      <c r="I345" s="26" t="s">
        <v>27</v>
      </c>
      <c r="J345" s="28" t="s">
        <v>43</v>
      </c>
      <c r="K345" s="123">
        <v>125</v>
      </c>
      <c r="L345" s="29">
        <v>25.177099999999996</v>
      </c>
      <c r="M345" s="110">
        <v>17.3</v>
      </c>
      <c r="N345" s="30">
        <v>0.28199999999999997</v>
      </c>
      <c r="O345" s="116">
        <v>4.8785999999999996</v>
      </c>
      <c r="P345" s="30">
        <v>7.4999999999999997E-2</v>
      </c>
      <c r="Q345" s="116">
        <v>1.2975000000000001</v>
      </c>
      <c r="R345" s="30">
        <v>7.0000000000000007E-2</v>
      </c>
      <c r="S345" s="116">
        <v>1.2110000000000001</v>
      </c>
      <c r="T345" s="117">
        <v>0.49</v>
      </c>
      <c r="U345" s="39">
        <v>900</v>
      </c>
      <c r="V345" s="32"/>
      <c r="W345" s="33">
        <v>0</v>
      </c>
      <c r="X345" s="32"/>
      <c r="Y345" s="32"/>
      <c r="Z345" s="32"/>
      <c r="AA345" s="34"/>
      <c r="AB345" s="35">
        <f t="shared" si="50"/>
        <v>900</v>
      </c>
      <c r="AC345" s="75">
        <f t="shared" si="51"/>
        <v>112500</v>
      </c>
      <c r="AD345" s="78">
        <f t="shared" si="52"/>
        <v>0</v>
      </c>
      <c r="AE345" s="72">
        <f t="shared" si="53"/>
        <v>112500</v>
      </c>
      <c r="AF345" s="75">
        <f t="shared" si="54"/>
        <v>22659.389999999996</v>
      </c>
      <c r="AG345" s="78">
        <f t="shared" si="55"/>
        <v>0</v>
      </c>
      <c r="AH345" s="72">
        <f t="shared" si="56"/>
        <v>22659.389999999996</v>
      </c>
      <c r="AI345" s="75">
        <f t="shared" si="57"/>
        <v>15570</v>
      </c>
      <c r="AJ345" s="78">
        <f t="shared" si="58"/>
        <v>0</v>
      </c>
      <c r="AK345" s="72">
        <f t="shared" si="59"/>
        <v>15570</v>
      </c>
    </row>
    <row r="346" spans="1:37" ht="15.95" customHeight="1">
      <c r="A346" s="25" t="s">
        <v>966</v>
      </c>
      <c r="B346" s="25" t="s">
        <v>949</v>
      </c>
      <c r="C346" s="26" t="s">
        <v>14</v>
      </c>
      <c r="D346" s="26" t="s">
        <v>10</v>
      </c>
      <c r="E346" s="26" t="s">
        <v>16</v>
      </c>
      <c r="F346" s="26" t="s">
        <v>1159</v>
      </c>
      <c r="G346" s="26"/>
      <c r="H346" s="27" t="s">
        <v>865</v>
      </c>
      <c r="I346" s="26" t="s">
        <v>27</v>
      </c>
      <c r="J346" s="28" t="s">
        <v>41</v>
      </c>
      <c r="K346" s="123">
        <v>140</v>
      </c>
      <c r="L346" s="29">
        <v>29.743499999999997</v>
      </c>
      <c r="M346" s="110">
        <v>20.5</v>
      </c>
      <c r="N346" s="30">
        <v>0.28199999999999997</v>
      </c>
      <c r="O346" s="116">
        <v>5.7809999999999997</v>
      </c>
      <c r="P346" s="30">
        <v>7.4999999999999997E-2</v>
      </c>
      <c r="Q346" s="116">
        <v>1.5374999999999999</v>
      </c>
      <c r="R346" s="30">
        <v>7.0000000000000007E-2</v>
      </c>
      <c r="S346" s="116">
        <v>1.4350000000000001</v>
      </c>
      <c r="T346" s="117">
        <v>0.49</v>
      </c>
      <c r="U346" s="39">
        <v>800</v>
      </c>
      <c r="V346" s="32"/>
      <c r="W346" s="33">
        <v>0</v>
      </c>
      <c r="X346" s="32"/>
      <c r="Y346" s="32"/>
      <c r="Z346" s="32"/>
      <c r="AA346" s="34"/>
      <c r="AB346" s="35">
        <f t="shared" si="50"/>
        <v>800</v>
      </c>
      <c r="AC346" s="75">
        <f t="shared" si="51"/>
        <v>112000</v>
      </c>
      <c r="AD346" s="78">
        <f t="shared" si="52"/>
        <v>0</v>
      </c>
      <c r="AE346" s="72">
        <f t="shared" si="53"/>
        <v>112000</v>
      </c>
      <c r="AF346" s="75">
        <f t="shared" si="54"/>
        <v>23794.799999999999</v>
      </c>
      <c r="AG346" s="78">
        <f t="shared" si="55"/>
        <v>0</v>
      </c>
      <c r="AH346" s="72">
        <f t="shared" si="56"/>
        <v>23794.799999999999</v>
      </c>
      <c r="AI346" s="75">
        <f t="shared" si="57"/>
        <v>16400</v>
      </c>
      <c r="AJ346" s="78">
        <f t="shared" si="58"/>
        <v>0</v>
      </c>
      <c r="AK346" s="72">
        <f t="shared" si="59"/>
        <v>16400</v>
      </c>
    </row>
    <row r="347" spans="1:37" ht="15.95" customHeight="1">
      <c r="A347" s="25" t="s">
        <v>966</v>
      </c>
      <c r="B347" s="25" t="s">
        <v>949</v>
      </c>
      <c r="C347" s="26" t="s">
        <v>21</v>
      </c>
      <c r="D347" s="26" t="s">
        <v>10</v>
      </c>
      <c r="E347" s="26" t="s">
        <v>16</v>
      </c>
      <c r="F347" s="26" t="s">
        <v>1160</v>
      </c>
      <c r="G347" s="26"/>
      <c r="H347" s="44" t="s">
        <v>865</v>
      </c>
      <c r="I347" s="26" t="s">
        <v>27</v>
      </c>
      <c r="J347" s="28" t="s">
        <v>43</v>
      </c>
      <c r="K347" s="123">
        <v>125</v>
      </c>
      <c r="L347" s="29">
        <v>25.177099999999996</v>
      </c>
      <c r="M347" s="110">
        <v>17.3</v>
      </c>
      <c r="N347" s="30">
        <v>0.28199999999999997</v>
      </c>
      <c r="O347" s="116">
        <v>4.8785999999999996</v>
      </c>
      <c r="P347" s="30">
        <v>7.4999999999999997E-2</v>
      </c>
      <c r="Q347" s="116">
        <v>1.2975000000000001</v>
      </c>
      <c r="R347" s="30">
        <v>7.0000000000000007E-2</v>
      </c>
      <c r="S347" s="116">
        <v>1.2110000000000001</v>
      </c>
      <c r="T347" s="117">
        <v>0.49</v>
      </c>
      <c r="U347" s="39">
        <v>700</v>
      </c>
      <c r="V347" s="32"/>
      <c r="W347" s="33">
        <v>0</v>
      </c>
      <c r="X347" s="32"/>
      <c r="Y347" s="32"/>
      <c r="Z347" s="32"/>
      <c r="AA347" s="34"/>
      <c r="AB347" s="35">
        <f t="shared" si="50"/>
        <v>700</v>
      </c>
      <c r="AC347" s="75">
        <f t="shared" si="51"/>
        <v>87500</v>
      </c>
      <c r="AD347" s="78">
        <f t="shared" si="52"/>
        <v>0</v>
      </c>
      <c r="AE347" s="72">
        <f t="shared" si="53"/>
        <v>87500</v>
      </c>
      <c r="AF347" s="75">
        <f t="shared" si="54"/>
        <v>17623.969999999998</v>
      </c>
      <c r="AG347" s="78">
        <f t="shared" si="55"/>
        <v>0</v>
      </c>
      <c r="AH347" s="72">
        <f t="shared" si="56"/>
        <v>17623.969999999998</v>
      </c>
      <c r="AI347" s="75">
        <f t="shared" si="57"/>
        <v>12110</v>
      </c>
      <c r="AJ347" s="78">
        <f t="shared" si="58"/>
        <v>0</v>
      </c>
      <c r="AK347" s="72">
        <f t="shared" si="59"/>
        <v>12110</v>
      </c>
    </row>
    <row r="348" spans="1:37" ht="15.95" customHeight="1">
      <c r="A348" s="25" t="s">
        <v>948</v>
      </c>
      <c r="B348" s="25" t="s">
        <v>949</v>
      </c>
      <c r="C348" s="26" t="s">
        <v>14</v>
      </c>
      <c r="D348" s="26" t="s">
        <v>10</v>
      </c>
      <c r="E348" s="26" t="s">
        <v>1161</v>
      </c>
      <c r="F348" s="26" t="s">
        <v>1162</v>
      </c>
      <c r="G348" s="26"/>
      <c r="H348" s="44" t="s">
        <v>1163</v>
      </c>
      <c r="I348" s="26" t="s">
        <v>27</v>
      </c>
      <c r="J348" s="28" t="s">
        <v>41</v>
      </c>
      <c r="K348" s="123">
        <v>150</v>
      </c>
      <c r="L348" s="29">
        <v>29.814850000000003</v>
      </c>
      <c r="M348" s="110">
        <v>20.55</v>
      </c>
      <c r="N348" s="30">
        <v>0.28199999999999997</v>
      </c>
      <c r="O348" s="116">
        <v>5.7950999999999997</v>
      </c>
      <c r="P348" s="30">
        <v>7.4999999999999997E-2</v>
      </c>
      <c r="Q348" s="116">
        <v>1.54125</v>
      </c>
      <c r="R348" s="30">
        <v>7.0000000000000007E-2</v>
      </c>
      <c r="S348" s="116">
        <v>1.4385000000000001</v>
      </c>
      <c r="T348" s="117">
        <v>0.49</v>
      </c>
      <c r="U348" s="39">
        <v>400</v>
      </c>
      <c r="V348" s="32"/>
      <c r="W348" s="33">
        <v>100</v>
      </c>
      <c r="X348" s="32"/>
      <c r="Y348" s="32"/>
      <c r="Z348" s="32"/>
      <c r="AA348" s="34"/>
      <c r="AB348" s="35">
        <f t="shared" si="50"/>
        <v>500</v>
      </c>
      <c r="AC348" s="75">
        <f t="shared" si="51"/>
        <v>60000</v>
      </c>
      <c r="AD348" s="78">
        <f t="shared" si="52"/>
        <v>15000</v>
      </c>
      <c r="AE348" s="72">
        <f t="shared" si="53"/>
        <v>75000</v>
      </c>
      <c r="AF348" s="75">
        <f t="shared" si="54"/>
        <v>11925.94</v>
      </c>
      <c r="AG348" s="78">
        <f t="shared" si="55"/>
        <v>2981.4850000000001</v>
      </c>
      <c r="AH348" s="72">
        <f t="shared" si="56"/>
        <v>14907.425000000001</v>
      </c>
      <c r="AI348" s="75">
        <f t="shared" si="57"/>
        <v>8220</v>
      </c>
      <c r="AJ348" s="78">
        <f t="shared" si="58"/>
        <v>2055</v>
      </c>
      <c r="AK348" s="72">
        <f t="shared" si="59"/>
        <v>10275</v>
      </c>
    </row>
    <row r="349" spans="1:37" ht="15.95" customHeight="1">
      <c r="A349" s="25" t="s">
        <v>948</v>
      </c>
      <c r="B349" s="25" t="s">
        <v>949</v>
      </c>
      <c r="C349" s="26" t="s">
        <v>24</v>
      </c>
      <c r="D349" s="26" t="s">
        <v>10</v>
      </c>
      <c r="E349" s="26" t="s">
        <v>1161</v>
      </c>
      <c r="F349" s="26" t="s">
        <v>1164</v>
      </c>
      <c r="G349" s="26"/>
      <c r="H349" s="44" t="s">
        <v>1163</v>
      </c>
      <c r="I349" s="26" t="s">
        <v>27</v>
      </c>
      <c r="J349" s="28" t="s">
        <v>28</v>
      </c>
      <c r="K349" s="123">
        <v>68</v>
      </c>
      <c r="L349" s="29">
        <v>14.0266</v>
      </c>
      <c r="M349" s="110">
        <v>9.24</v>
      </c>
      <c r="N349" s="30">
        <v>0.32</v>
      </c>
      <c r="O349" s="116">
        <v>2.9568000000000003</v>
      </c>
      <c r="P349" s="30">
        <v>7.4999999999999997E-2</v>
      </c>
      <c r="Q349" s="116">
        <v>0.69299999999999995</v>
      </c>
      <c r="R349" s="30">
        <v>7.0000000000000007E-2</v>
      </c>
      <c r="S349" s="116">
        <v>0.64680000000000004</v>
      </c>
      <c r="T349" s="117">
        <v>0.49</v>
      </c>
      <c r="U349" s="39">
        <v>500</v>
      </c>
      <c r="V349" s="32"/>
      <c r="W349" s="33">
        <v>0</v>
      </c>
      <c r="X349" s="32"/>
      <c r="Y349" s="32"/>
      <c r="Z349" s="32"/>
      <c r="AA349" s="34"/>
      <c r="AB349" s="35">
        <f t="shared" si="50"/>
        <v>500</v>
      </c>
      <c r="AC349" s="75">
        <f t="shared" si="51"/>
        <v>34000</v>
      </c>
      <c r="AD349" s="78">
        <f t="shared" si="52"/>
        <v>0</v>
      </c>
      <c r="AE349" s="72">
        <f t="shared" si="53"/>
        <v>34000</v>
      </c>
      <c r="AF349" s="75">
        <f t="shared" si="54"/>
        <v>7013.3</v>
      </c>
      <c r="AG349" s="78">
        <f t="shared" si="55"/>
        <v>0</v>
      </c>
      <c r="AH349" s="72">
        <f t="shared" si="56"/>
        <v>7013.3</v>
      </c>
      <c r="AI349" s="75">
        <f t="shared" si="57"/>
        <v>4620</v>
      </c>
      <c r="AJ349" s="78">
        <f t="shared" si="58"/>
        <v>0</v>
      </c>
      <c r="AK349" s="72">
        <f t="shared" si="59"/>
        <v>4620</v>
      </c>
    </row>
    <row r="350" spans="1:37" ht="15.95" customHeight="1">
      <c r="A350" s="25" t="s">
        <v>948</v>
      </c>
      <c r="B350" s="25" t="s">
        <v>949</v>
      </c>
      <c r="C350" s="26" t="s">
        <v>982</v>
      </c>
      <c r="D350" s="26" t="s">
        <v>10</v>
      </c>
      <c r="E350" s="26" t="s">
        <v>1161</v>
      </c>
      <c r="F350" s="26" t="s">
        <v>1165</v>
      </c>
      <c r="G350" s="26"/>
      <c r="H350" s="27" t="s">
        <v>1166</v>
      </c>
      <c r="I350" s="26" t="s">
        <v>27</v>
      </c>
      <c r="J350" s="28" t="s">
        <v>35</v>
      </c>
      <c r="K350" s="123">
        <v>88</v>
      </c>
      <c r="L350" s="29">
        <v>17.756699999999999</v>
      </c>
      <c r="M350" s="110">
        <v>12.1</v>
      </c>
      <c r="N350" s="30">
        <v>0.28199999999999997</v>
      </c>
      <c r="O350" s="116">
        <v>3.4121999999999995</v>
      </c>
      <c r="P350" s="30">
        <v>7.4999999999999997E-2</v>
      </c>
      <c r="Q350" s="116">
        <v>0.90749999999999997</v>
      </c>
      <c r="R350" s="30">
        <v>7.0000000000000007E-2</v>
      </c>
      <c r="S350" s="116">
        <v>0.84700000000000009</v>
      </c>
      <c r="T350" s="117">
        <v>0.49</v>
      </c>
      <c r="U350" s="31">
        <v>500</v>
      </c>
      <c r="V350" s="32"/>
      <c r="W350" s="33">
        <v>0</v>
      </c>
      <c r="X350" s="32"/>
      <c r="Y350" s="32"/>
      <c r="Z350" s="32"/>
      <c r="AA350" s="34"/>
      <c r="AB350" s="35">
        <f t="shared" si="50"/>
        <v>500</v>
      </c>
      <c r="AC350" s="72">
        <f t="shared" si="51"/>
        <v>44000</v>
      </c>
      <c r="AD350" s="80">
        <f t="shared" si="52"/>
        <v>0</v>
      </c>
      <c r="AE350" s="72">
        <f t="shared" si="53"/>
        <v>44000</v>
      </c>
      <c r="AF350" s="72">
        <f t="shared" si="54"/>
        <v>8878.3499999999985</v>
      </c>
      <c r="AG350" s="80">
        <f t="shared" si="55"/>
        <v>0</v>
      </c>
      <c r="AH350" s="72">
        <f t="shared" si="56"/>
        <v>8878.3499999999985</v>
      </c>
      <c r="AI350" s="72">
        <f t="shared" si="57"/>
        <v>6050</v>
      </c>
      <c r="AJ350" s="80">
        <f t="shared" si="58"/>
        <v>0</v>
      </c>
      <c r="AK350" s="72">
        <f t="shared" si="59"/>
        <v>6050</v>
      </c>
    </row>
    <row r="351" spans="1:37" ht="15.95" customHeight="1">
      <c r="A351" s="25" t="s">
        <v>948</v>
      </c>
      <c r="B351" s="25" t="s">
        <v>949</v>
      </c>
      <c r="C351" s="26" t="s">
        <v>14</v>
      </c>
      <c r="D351" s="26" t="s">
        <v>10</v>
      </c>
      <c r="E351" s="26" t="s">
        <v>1161</v>
      </c>
      <c r="F351" s="26" t="s">
        <v>1162</v>
      </c>
      <c r="G351" s="26"/>
      <c r="H351" s="27" t="s">
        <v>1166</v>
      </c>
      <c r="I351" s="26" t="s">
        <v>27</v>
      </c>
      <c r="J351" s="28" t="s">
        <v>41</v>
      </c>
      <c r="K351" s="123">
        <v>150</v>
      </c>
      <c r="L351" s="29">
        <v>29.814850000000003</v>
      </c>
      <c r="M351" s="110">
        <v>20.55</v>
      </c>
      <c r="N351" s="30">
        <v>0.28199999999999997</v>
      </c>
      <c r="O351" s="116">
        <v>5.7950999999999997</v>
      </c>
      <c r="P351" s="30">
        <v>7.4999999999999997E-2</v>
      </c>
      <c r="Q351" s="116">
        <v>1.54125</v>
      </c>
      <c r="R351" s="30">
        <v>7.0000000000000007E-2</v>
      </c>
      <c r="S351" s="116">
        <v>1.4385000000000001</v>
      </c>
      <c r="T351" s="117">
        <v>0.49</v>
      </c>
      <c r="U351" s="31">
        <v>400</v>
      </c>
      <c r="V351" s="32"/>
      <c r="W351" s="33">
        <v>100</v>
      </c>
      <c r="X351" s="32"/>
      <c r="Y351" s="32"/>
      <c r="Z351" s="32"/>
      <c r="AA351" s="34"/>
      <c r="AB351" s="35">
        <f t="shared" si="50"/>
        <v>500</v>
      </c>
      <c r="AC351" s="72">
        <f t="shared" si="51"/>
        <v>60000</v>
      </c>
      <c r="AD351" s="80">
        <f t="shared" si="52"/>
        <v>15000</v>
      </c>
      <c r="AE351" s="72">
        <f t="shared" si="53"/>
        <v>75000</v>
      </c>
      <c r="AF351" s="72">
        <f t="shared" si="54"/>
        <v>11925.94</v>
      </c>
      <c r="AG351" s="80">
        <f t="shared" si="55"/>
        <v>2981.4850000000001</v>
      </c>
      <c r="AH351" s="72">
        <f t="shared" si="56"/>
        <v>14907.425000000001</v>
      </c>
      <c r="AI351" s="72">
        <f t="shared" si="57"/>
        <v>8220</v>
      </c>
      <c r="AJ351" s="80">
        <f t="shared" si="58"/>
        <v>2055</v>
      </c>
      <c r="AK351" s="72">
        <f t="shared" si="59"/>
        <v>10275</v>
      </c>
    </row>
    <row r="352" spans="1:37" ht="15.95" customHeight="1">
      <c r="A352" s="25" t="s">
        <v>948</v>
      </c>
      <c r="B352" s="25" t="s">
        <v>949</v>
      </c>
      <c r="C352" s="26" t="s">
        <v>24</v>
      </c>
      <c r="D352" s="26" t="s">
        <v>10</v>
      </c>
      <c r="E352" s="26" t="s">
        <v>1161</v>
      </c>
      <c r="F352" s="26" t="s">
        <v>1164</v>
      </c>
      <c r="G352" s="26"/>
      <c r="H352" s="27" t="s">
        <v>1163</v>
      </c>
      <c r="I352" s="26" t="s">
        <v>27</v>
      </c>
      <c r="J352" s="28" t="s">
        <v>28</v>
      </c>
      <c r="K352" s="123">
        <v>68</v>
      </c>
      <c r="L352" s="29">
        <v>14.0266</v>
      </c>
      <c r="M352" s="110">
        <v>9.24</v>
      </c>
      <c r="N352" s="30">
        <v>0.32</v>
      </c>
      <c r="O352" s="116">
        <v>2.9568000000000003</v>
      </c>
      <c r="P352" s="30">
        <v>7.4999999999999997E-2</v>
      </c>
      <c r="Q352" s="116">
        <v>0.69299999999999995</v>
      </c>
      <c r="R352" s="30">
        <v>7.0000000000000007E-2</v>
      </c>
      <c r="S352" s="116">
        <v>0.64680000000000004</v>
      </c>
      <c r="T352" s="117">
        <v>0.49</v>
      </c>
      <c r="U352" s="31">
        <v>500</v>
      </c>
      <c r="V352" s="32"/>
      <c r="W352" s="33">
        <v>0</v>
      </c>
      <c r="X352" s="32"/>
      <c r="Y352" s="32"/>
      <c r="Z352" s="32"/>
      <c r="AA352" s="34"/>
      <c r="AB352" s="35">
        <f t="shared" si="50"/>
        <v>500</v>
      </c>
      <c r="AC352" s="72">
        <f t="shared" si="51"/>
        <v>34000</v>
      </c>
      <c r="AD352" s="80">
        <f t="shared" si="52"/>
        <v>0</v>
      </c>
      <c r="AE352" s="72">
        <f t="shared" si="53"/>
        <v>34000</v>
      </c>
      <c r="AF352" s="72">
        <f t="shared" si="54"/>
        <v>7013.3</v>
      </c>
      <c r="AG352" s="80">
        <f t="shared" si="55"/>
        <v>0</v>
      </c>
      <c r="AH352" s="72">
        <f t="shared" si="56"/>
        <v>7013.3</v>
      </c>
      <c r="AI352" s="72">
        <f t="shared" si="57"/>
        <v>4620</v>
      </c>
      <c r="AJ352" s="80">
        <f t="shared" si="58"/>
        <v>0</v>
      </c>
      <c r="AK352" s="72">
        <f t="shared" si="59"/>
        <v>4620</v>
      </c>
    </row>
    <row r="353" spans="1:37" ht="15.95" customHeight="1">
      <c r="A353" s="25" t="s">
        <v>1167</v>
      </c>
      <c r="B353" s="25" t="s">
        <v>949</v>
      </c>
      <c r="C353" s="26" t="s">
        <v>982</v>
      </c>
      <c r="D353" s="26" t="s">
        <v>10</v>
      </c>
      <c r="E353" s="26" t="s">
        <v>1161</v>
      </c>
      <c r="F353" s="26" t="s">
        <v>1165</v>
      </c>
      <c r="G353" s="26"/>
      <c r="H353" s="27" t="s">
        <v>1163</v>
      </c>
      <c r="I353" s="26" t="s">
        <v>27</v>
      </c>
      <c r="J353" s="28" t="s">
        <v>35</v>
      </c>
      <c r="K353" s="123">
        <v>88</v>
      </c>
      <c r="L353" s="29">
        <v>17.756699999999999</v>
      </c>
      <c r="M353" s="110">
        <v>12.1</v>
      </c>
      <c r="N353" s="30">
        <v>0.28199999999999997</v>
      </c>
      <c r="O353" s="116">
        <v>3.4121999999999995</v>
      </c>
      <c r="P353" s="30">
        <v>7.4999999999999997E-2</v>
      </c>
      <c r="Q353" s="116">
        <v>0.90749999999999997</v>
      </c>
      <c r="R353" s="30">
        <v>7.0000000000000007E-2</v>
      </c>
      <c r="S353" s="116">
        <v>0.84700000000000009</v>
      </c>
      <c r="T353" s="117">
        <v>0.49</v>
      </c>
      <c r="U353" s="31">
        <v>500</v>
      </c>
      <c r="V353" s="32"/>
      <c r="W353" s="33">
        <v>0</v>
      </c>
      <c r="X353" s="32"/>
      <c r="Y353" s="32"/>
      <c r="Z353" s="32"/>
      <c r="AA353" s="34"/>
      <c r="AB353" s="35">
        <f t="shared" si="50"/>
        <v>500</v>
      </c>
      <c r="AC353" s="72">
        <f t="shared" si="51"/>
        <v>44000</v>
      </c>
      <c r="AD353" s="80">
        <f t="shared" si="52"/>
        <v>0</v>
      </c>
      <c r="AE353" s="72">
        <f t="shared" si="53"/>
        <v>44000</v>
      </c>
      <c r="AF353" s="72">
        <f t="shared" si="54"/>
        <v>8878.3499999999985</v>
      </c>
      <c r="AG353" s="80">
        <f t="shared" si="55"/>
        <v>0</v>
      </c>
      <c r="AH353" s="72">
        <f t="shared" si="56"/>
        <v>8878.3499999999985</v>
      </c>
      <c r="AI353" s="72">
        <f t="shared" si="57"/>
        <v>6050</v>
      </c>
      <c r="AJ353" s="80">
        <f t="shared" si="58"/>
        <v>0</v>
      </c>
      <c r="AK353" s="72">
        <f t="shared" si="59"/>
        <v>6050</v>
      </c>
    </row>
    <row r="354" spans="1:37" ht="15.95" customHeight="1">
      <c r="A354" s="25" t="s">
        <v>948</v>
      </c>
      <c r="B354" s="25" t="s">
        <v>949</v>
      </c>
      <c r="C354" s="26" t="s">
        <v>14</v>
      </c>
      <c r="D354" s="26" t="s">
        <v>10</v>
      </c>
      <c r="E354" s="26" t="s">
        <v>1161</v>
      </c>
      <c r="F354" s="26" t="s">
        <v>1168</v>
      </c>
      <c r="G354" s="26"/>
      <c r="H354" s="27" t="s">
        <v>89</v>
      </c>
      <c r="I354" s="26" t="s">
        <v>27</v>
      </c>
      <c r="J354" s="28" t="s">
        <v>41</v>
      </c>
      <c r="K354" s="123">
        <v>145</v>
      </c>
      <c r="L354" s="29">
        <v>26.532749999999997</v>
      </c>
      <c r="M354" s="110">
        <v>18.25</v>
      </c>
      <c r="N354" s="30">
        <v>0.28199999999999997</v>
      </c>
      <c r="O354" s="116">
        <v>5.1464999999999996</v>
      </c>
      <c r="P354" s="30">
        <v>7.4999999999999997E-2</v>
      </c>
      <c r="Q354" s="116">
        <v>1.3687499999999999</v>
      </c>
      <c r="R354" s="30">
        <v>7.0000000000000007E-2</v>
      </c>
      <c r="S354" s="116">
        <v>1.2775000000000001</v>
      </c>
      <c r="T354" s="117">
        <v>0.49</v>
      </c>
      <c r="U354" s="31">
        <v>600</v>
      </c>
      <c r="V354" s="32">
        <v>16</v>
      </c>
      <c r="W354" s="33">
        <v>0</v>
      </c>
      <c r="X354" s="32"/>
      <c r="Y354" s="32"/>
      <c r="Z354" s="32"/>
      <c r="AA354" s="34"/>
      <c r="AB354" s="35">
        <f t="shared" si="50"/>
        <v>616</v>
      </c>
      <c r="AC354" s="72">
        <f t="shared" si="51"/>
        <v>87000</v>
      </c>
      <c r="AD354" s="80">
        <f t="shared" si="52"/>
        <v>2320</v>
      </c>
      <c r="AE354" s="72">
        <f t="shared" si="53"/>
        <v>89320</v>
      </c>
      <c r="AF354" s="72">
        <f t="shared" si="54"/>
        <v>15919.649999999998</v>
      </c>
      <c r="AG354" s="80">
        <f t="shared" si="55"/>
        <v>424.52399999999994</v>
      </c>
      <c r="AH354" s="72">
        <f t="shared" si="56"/>
        <v>16344.173999999997</v>
      </c>
      <c r="AI354" s="72">
        <f t="shared" si="57"/>
        <v>10950</v>
      </c>
      <c r="AJ354" s="80">
        <f t="shared" si="58"/>
        <v>292</v>
      </c>
      <c r="AK354" s="72">
        <f t="shared" si="59"/>
        <v>11242</v>
      </c>
    </row>
    <row r="355" spans="1:37" ht="15.95" customHeight="1">
      <c r="A355" s="25" t="s">
        <v>948</v>
      </c>
      <c r="B355" s="25" t="s">
        <v>949</v>
      </c>
      <c r="C355" s="26" t="s">
        <v>21</v>
      </c>
      <c r="D355" s="26" t="s">
        <v>10</v>
      </c>
      <c r="E355" s="26" t="s">
        <v>1161</v>
      </c>
      <c r="F355" s="26" t="s">
        <v>1169</v>
      </c>
      <c r="G355" s="26"/>
      <c r="H355" s="27" t="s">
        <v>89</v>
      </c>
      <c r="I355" s="26" t="s">
        <v>27</v>
      </c>
      <c r="J355" s="28" t="s">
        <v>43</v>
      </c>
      <c r="K355" s="123">
        <v>125</v>
      </c>
      <c r="L355" s="29">
        <v>21.181499999999996</v>
      </c>
      <c r="M355" s="110">
        <v>14.5</v>
      </c>
      <c r="N355" s="30">
        <v>0.28199999999999997</v>
      </c>
      <c r="O355" s="116">
        <v>4.0889999999999995</v>
      </c>
      <c r="P355" s="30">
        <v>7.4999999999999997E-2</v>
      </c>
      <c r="Q355" s="116">
        <v>1.0874999999999999</v>
      </c>
      <c r="R355" s="30">
        <v>7.0000000000000007E-2</v>
      </c>
      <c r="S355" s="116">
        <v>1.0150000000000001</v>
      </c>
      <c r="T355" s="117">
        <v>0.49</v>
      </c>
      <c r="U355" s="31">
        <v>500</v>
      </c>
      <c r="V355" s="32">
        <v>16</v>
      </c>
      <c r="W355" s="33">
        <v>0</v>
      </c>
      <c r="X355" s="32"/>
      <c r="Y355" s="32"/>
      <c r="Z355" s="32"/>
      <c r="AA355" s="34"/>
      <c r="AB355" s="35">
        <f t="shared" si="50"/>
        <v>516</v>
      </c>
      <c r="AC355" s="72">
        <f t="shared" si="51"/>
        <v>62500</v>
      </c>
      <c r="AD355" s="80">
        <f t="shared" si="52"/>
        <v>2000</v>
      </c>
      <c r="AE355" s="72">
        <f t="shared" si="53"/>
        <v>64500</v>
      </c>
      <c r="AF355" s="72">
        <f t="shared" si="54"/>
        <v>10590.749999999998</v>
      </c>
      <c r="AG355" s="80">
        <f t="shared" si="55"/>
        <v>338.90399999999994</v>
      </c>
      <c r="AH355" s="72">
        <f t="shared" si="56"/>
        <v>10929.653999999999</v>
      </c>
      <c r="AI355" s="72">
        <f t="shared" si="57"/>
        <v>7250</v>
      </c>
      <c r="AJ355" s="80">
        <f t="shared" si="58"/>
        <v>232</v>
      </c>
      <c r="AK355" s="72">
        <f t="shared" si="59"/>
        <v>7482</v>
      </c>
    </row>
    <row r="356" spans="1:37" ht="15.95" customHeight="1">
      <c r="A356" s="25" t="s">
        <v>948</v>
      </c>
      <c r="B356" s="25" t="s">
        <v>949</v>
      </c>
      <c r="C356" s="26" t="s">
        <v>24</v>
      </c>
      <c r="D356" s="26" t="s">
        <v>10</v>
      </c>
      <c r="E356" s="26" t="s">
        <v>1170</v>
      </c>
      <c r="F356" s="26" t="s">
        <v>1171</v>
      </c>
      <c r="G356" s="26"/>
      <c r="H356" s="27" t="s">
        <v>847</v>
      </c>
      <c r="I356" s="26" t="s">
        <v>27</v>
      </c>
      <c r="J356" s="28" t="s">
        <v>227</v>
      </c>
      <c r="K356" s="123">
        <v>48</v>
      </c>
      <c r="L356" s="29">
        <v>8.1470000000000002</v>
      </c>
      <c r="M356" s="110">
        <v>6.2</v>
      </c>
      <c r="N356" s="30">
        <v>0.16500000000000001</v>
      </c>
      <c r="O356" s="116">
        <v>1.0230000000000001</v>
      </c>
      <c r="P356" s="30"/>
      <c r="Q356" s="116"/>
      <c r="R356" s="30">
        <v>7.0000000000000007E-2</v>
      </c>
      <c r="S356" s="116">
        <v>0.43400000000000005</v>
      </c>
      <c r="T356" s="117">
        <v>0.49</v>
      </c>
      <c r="U356" s="31">
        <v>700</v>
      </c>
      <c r="V356" s="32">
        <v>447</v>
      </c>
      <c r="W356" s="33">
        <v>0</v>
      </c>
      <c r="X356" s="32"/>
      <c r="Y356" s="32"/>
      <c r="Z356" s="32"/>
      <c r="AA356" s="34"/>
      <c r="AB356" s="35">
        <f t="shared" si="50"/>
        <v>1147</v>
      </c>
      <c r="AC356" s="72">
        <f t="shared" si="51"/>
        <v>33600</v>
      </c>
      <c r="AD356" s="80">
        <f t="shared" si="52"/>
        <v>21456</v>
      </c>
      <c r="AE356" s="72">
        <f t="shared" si="53"/>
        <v>55056</v>
      </c>
      <c r="AF356" s="72">
        <f t="shared" si="54"/>
        <v>5702.9000000000005</v>
      </c>
      <c r="AG356" s="80">
        <f t="shared" si="55"/>
        <v>3641.7090000000003</v>
      </c>
      <c r="AH356" s="72">
        <f t="shared" si="56"/>
        <v>9344.6090000000004</v>
      </c>
      <c r="AI356" s="72">
        <f t="shared" si="57"/>
        <v>4340</v>
      </c>
      <c r="AJ356" s="80">
        <f t="shared" si="58"/>
        <v>2771.4</v>
      </c>
      <c r="AK356" s="72">
        <f t="shared" si="59"/>
        <v>7111.4</v>
      </c>
    </row>
    <row r="357" spans="1:37" ht="15.95" customHeight="1">
      <c r="A357" s="25" t="s">
        <v>948</v>
      </c>
      <c r="B357" s="25" t="s">
        <v>949</v>
      </c>
      <c r="C357" s="26" t="s">
        <v>982</v>
      </c>
      <c r="D357" s="26" t="s">
        <v>10</v>
      </c>
      <c r="E357" s="26" t="s">
        <v>1161</v>
      </c>
      <c r="F357" s="26" t="s">
        <v>1172</v>
      </c>
      <c r="G357" s="26"/>
      <c r="H357" s="27" t="s">
        <v>89</v>
      </c>
      <c r="I357" s="26" t="s">
        <v>27</v>
      </c>
      <c r="J357" s="28" t="s">
        <v>35</v>
      </c>
      <c r="K357" s="123">
        <v>78</v>
      </c>
      <c r="L357" s="29">
        <v>16.401049999999998</v>
      </c>
      <c r="M357" s="110">
        <v>11.15</v>
      </c>
      <c r="N357" s="30">
        <v>0.28199999999999997</v>
      </c>
      <c r="O357" s="116">
        <v>3.1442999999999999</v>
      </c>
      <c r="P357" s="30">
        <v>7.4999999999999997E-2</v>
      </c>
      <c r="Q357" s="116">
        <v>0.83625000000000005</v>
      </c>
      <c r="R357" s="30">
        <v>7.0000000000000007E-2</v>
      </c>
      <c r="S357" s="116">
        <v>0.78050000000000008</v>
      </c>
      <c r="T357" s="117">
        <v>0.49</v>
      </c>
      <c r="U357" s="31">
        <v>700</v>
      </c>
      <c r="V357" s="32">
        <v>407</v>
      </c>
      <c r="W357" s="33">
        <v>0</v>
      </c>
      <c r="X357" s="32"/>
      <c r="Y357" s="32"/>
      <c r="Z357" s="32"/>
      <c r="AA357" s="34"/>
      <c r="AB357" s="35">
        <f t="shared" si="50"/>
        <v>1107</v>
      </c>
      <c r="AC357" s="72">
        <f t="shared" si="51"/>
        <v>54600</v>
      </c>
      <c r="AD357" s="80">
        <f t="shared" si="52"/>
        <v>31746</v>
      </c>
      <c r="AE357" s="72">
        <f t="shared" si="53"/>
        <v>86346</v>
      </c>
      <c r="AF357" s="72">
        <f t="shared" si="54"/>
        <v>11480.734999999999</v>
      </c>
      <c r="AG357" s="80">
        <f t="shared" si="55"/>
        <v>6675.2273499999992</v>
      </c>
      <c r="AH357" s="72">
        <f t="shared" si="56"/>
        <v>18155.962349999998</v>
      </c>
      <c r="AI357" s="72">
        <f t="shared" si="57"/>
        <v>7805</v>
      </c>
      <c r="AJ357" s="80">
        <f t="shared" si="58"/>
        <v>4538.05</v>
      </c>
      <c r="AK357" s="72">
        <f t="shared" si="59"/>
        <v>12343.05</v>
      </c>
    </row>
    <row r="358" spans="1:37" ht="15.95" customHeight="1">
      <c r="A358" s="25" t="s">
        <v>948</v>
      </c>
      <c r="B358" s="25" t="s">
        <v>949</v>
      </c>
      <c r="C358" s="26" t="s">
        <v>14</v>
      </c>
      <c r="D358" s="26" t="s">
        <v>10</v>
      </c>
      <c r="E358" s="26" t="s">
        <v>1161</v>
      </c>
      <c r="F358" s="26" t="s">
        <v>1168</v>
      </c>
      <c r="G358" s="26"/>
      <c r="H358" s="27" t="s">
        <v>89</v>
      </c>
      <c r="I358" s="26" t="s">
        <v>27</v>
      </c>
      <c r="J358" s="28" t="s">
        <v>41</v>
      </c>
      <c r="K358" s="123">
        <v>145</v>
      </c>
      <c r="L358" s="29">
        <v>26.532749999999997</v>
      </c>
      <c r="M358" s="110">
        <v>18.25</v>
      </c>
      <c r="N358" s="30">
        <v>0.28199999999999997</v>
      </c>
      <c r="O358" s="116">
        <v>5.1464999999999996</v>
      </c>
      <c r="P358" s="30">
        <v>7.4999999999999997E-2</v>
      </c>
      <c r="Q358" s="116">
        <v>1.3687499999999999</v>
      </c>
      <c r="R358" s="30">
        <v>7.0000000000000007E-2</v>
      </c>
      <c r="S358" s="116">
        <v>1.2775000000000001</v>
      </c>
      <c r="T358" s="117">
        <v>0.49</v>
      </c>
      <c r="U358" s="31">
        <v>500</v>
      </c>
      <c r="V358" s="32">
        <v>157</v>
      </c>
      <c r="W358" s="33">
        <v>0</v>
      </c>
      <c r="X358" s="32"/>
      <c r="Y358" s="32"/>
      <c r="Z358" s="32"/>
      <c r="AA358" s="34"/>
      <c r="AB358" s="35">
        <f t="shared" si="50"/>
        <v>657</v>
      </c>
      <c r="AC358" s="72">
        <f t="shared" si="51"/>
        <v>72500</v>
      </c>
      <c r="AD358" s="80">
        <f t="shared" si="52"/>
        <v>22765</v>
      </c>
      <c r="AE358" s="72">
        <f t="shared" si="53"/>
        <v>95265</v>
      </c>
      <c r="AF358" s="72">
        <f t="shared" si="54"/>
        <v>13266.374999999998</v>
      </c>
      <c r="AG358" s="80">
        <f t="shared" si="55"/>
        <v>4165.6417499999998</v>
      </c>
      <c r="AH358" s="72">
        <f t="shared" si="56"/>
        <v>17432.016749999999</v>
      </c>
      <c r="AI358" s="72">
        <f t="shared" si="57"/>
        <v>9125</v>
      </c>
      <c r="AJ358" s="80">
        <f t="shared" si="58"/>
        <v>2865.25</v>
      </c>
      <c r="AK358" s="72">
        <f t="shared" si="59"/>
        <v>11990.25</v>
      </c>
    </row>
    <row r="359" spans="1:37" ht="15.95" customHeight="1">
      <c r="A359" s="25" t="s">
        <v>948</v>
      </c>
      <c r="B359" s="25" t="s">
        <v>949</v>
      </c>
      <c r="C359" s="26" t="s">
        <v>21</v>
      </c>
      <c r="D359" s="26" t="s">
        <v>10</v>
      </c>
      <c r="E359" s="26" t="s">
        <v>1161</v>
      </c>
      <c r="F359" s="26" t="s">
        <v>1169</v>
      </c>
      <c r="G359" s="26"/>
      <c r="H359" s="27" t="s">
        <v>89</v>
      </c>
      <c r="I359" s="26" t="s">
        <v>27</v>
      </c>
      <c r="J359" s="28" t="s">
        <v>43</v>
      </c>
      <c r="K359" s="123">
        <v>125</v>
      </c>
      <c r="L359" s="29">
        <v>21.181499999999996</v>
      </c>
      <c r="M359" s="110">
        <v>14.5</v>
      </c>
      <c r="N359" s="30">
        <v>0.28199999999999997</v>
      </c>
      <c r="O359" s="116">
        <v>4.0889999999999995</v>
      </c>
      <c r="P359" s="30">
        <v>7.4999999999999997E-2</v>
      </c>
      <c r="Q359" s="116">
        <v>1.0874999999999999</v>
      </c>
      <c r="R359" s="30">
        <v>7.0000000000000007E-2</v>
      </c>
      <c r="S359" s="116">
        <v>1.0150000000000001</v>
      </c>
      <c r="T359" s="117">
        <v>0.49</v>
      </c>
      <c r="U359" s="31">
        <v>500</v>
      </c>
      <c r="V359" s="32">
        <v>157</v>
      </c>
      <c r="W359" s="33">
        <v>0</v>
      </c>
      <c r="X359" s="32"/>
      <c r="Y359" s="32"/>
      <c r="Z359" s="32"/>
      <c r="AA359" s="34"/>
      <c r="AB359" s="35">
        <f t="shared" si="50"/>
        <v>657</v>
      </c>
      <c r="AC359" s="72">
        <f t="shared" si="51"/>
        <v>62500</v>
      </c>
      <c r="AD359" s="80">
        <f t="shared" si="52"/>
        <v>19625</v>
      </c>
      <c r="AE359" s="72">
        <f t="shared" si="53"/>
        <v>82125</v>
      </c>
      <c r="AF359" s="72">
        <f t="shared" si="54"/>
        <v>10590.749999999998</v>
      </c>
      <c r="AG359" s="80">
        <f t="shared" si="55"/>
        <v>3325.4954999999995</v>
      </c>
      <c r="AH359" s="72">
        <f t="shared" si="56"/>
        <v>13916.245499999997</v>
      </c>
      <c r="AI359" s="72">
        <f t="shared" si="57"/>
        <v>7250</v>
      </c>
      <c r="AJ359" s="80">
        <f t="shared" si="58"/>
        <v>2276.5</v>
      </c>
      <c r="AK359" s="72">
        <f t="shared" si="59"/>
        <v>9526.5</v>
      </c>
    </row>
    <row r="360" spans="1:37" ht="15.95" customHeight="1">
      <c r="A360" s="25" t="s">
        <v>948</v>
      </c>
      <c r="B360" s="25" t="s">
        <v>949</v>
      </c>
      <c r="C360" s="26" t="s">
        <v>24</v>
      </c>
      <c r="D360" s="26" t="s">
        <v>10</v>
      </c>
      <c r="E360" s="26" t="s">
        <v>1170</v>
      </c>
      <c r="F360" s="26" t="s">
        <v>1171</v>
      </c>
      <c r="G360" s="26"/>
      <c r="H360" s="27" t="s">
        <v>847</v>
      </c>
      <c r="I360" s="26" t="s">
        <v>27</v>
      </c>
      <c r="J360" s="28" t="s">
        <v>227</v>
      </c>
      <c r="K360" s="123">
        <v>48</v>
      </c>
      <c r="L360" s="29">
        <v>8.1470000000000002</v>
      </c>
      <c r="M360" s="110">
        <v>6.2</v>
      </c>
      <c r="N360" s="30">
        <v>0.16500000000000001</v>
      </c>
      <c r="O360" s="116">
        <v>1.0230000000000001</v>
      </c>
      <c r="P360" s="30"/>
      <c r="Q360" s="116"/>
      <c r="R360" s="30">
        <v>7.0000000000000007E-2</v>
      </c>
      <c r="S360" s="116">
        <v>0.43400000000000005</v>
      </c>
      <c r="T360" s="117">
        <v>0.49</v>
      </c>
      <c r="U360" s="31">
        <v>600</v>
      </c>
      <c r="V360" s="32">
        <v>299</v>
      </c>
      <c r="W360" s="33">
        <v>0</v>
      </c>
      <c r="X360" s="32"/>
      <c r="Y360" s="32"/>
      <c r="Z360" s="32"/>
      <c r="AA360" s="34"/>
      <c r="AB360" s="35">
        <f t="shared" si="50"/>
        <v>899</v>
      </c>
      <c r="AC360" s="72">
        <f t="shared" si="51"/>
        <v>28800</v>
      </c>
      <c r="AD360" s="80">
        <f t="shared" si="52"/>
        <v>14352</v>
      </c>
      <c r="AE360" s="72">
        <f t="shared" si="53"/>
        <v>43152</v>
      </c>
      <c r="AF360" s="72">
        <f t="shared" si="54"/>
        <v>4888.2</v>
      </c>
      <c r="AG360" s="80">
        <f t="shared" si="55"/>
        <v>2435.953</v>
      </c>
      <c r="AH360" s="72">
        <f t="shared" si="56"/>
        <v>7324.1530000000002</v>
      </c>
      <c r="AI360" s="72">
        <f t="shared" si="57"/>
        <v>3720</v>
      </c>
      <c r="AJ360" s="80">
        <f t="shared" si="58"/>
        <v>1853.8</v>
      </c>
      <c r="AK360" s="72">
        <f t="shared" si="59"/>
        <v>5573.8</v>
      </c>
    </row>
    <row r="361" spans="1:37" ht="15.95" customHeight="1">
      <c r="A361" s="25" t="s">
        <v>948</v>
      </c>
      <c r="B361" s="25" t="s">
        <v>949</v>
      </c>
      <c r="C361" s="26" t="s">
        <v>982</v>
      </c>
      <c r="D361" s="26" t="s">
        <v>10</v>
      </c>
      <c r="E361" s="26" t="s">
        <v>1161</v>
      </c>
      <c r="F361" s="26" t="s">
        <v>1172</v>
      </c>
      <c r="G361" s="26"/>
      <c r="H361" s="27" t="s">
        <v>89</v>
      </c>
      <c r="I361" s="26" t="s">
        <v>27</v>
      </c>
      <c r="J361" s="28" t="s">
        <v>35</v>
      </c>
      <c r="K361" s="123">
        <v>78</v>
      </c>
      <c r="L361" s="29">
        <v>16.401049999999998</v>
      </c>
      <c r="M361" s="110">
        <v>11.15</v>
      </c>
      <c r="N361" s="30">
        <v>0.28199999999999997</v>
      </c>
      <c r="O361" s="116">
        <v>3.1442999999999999</v>
      </c>
      <c r="P361" s="30">
        <v>7.4999999999999997E-2</v>
      </c>
      <c r="Q361" s="116">
        <v>0.83625000000000005</v>
      </c>
      <c r="R361" s="30">
        <v>7.0000000000000007E-2</v>
      </c>
      <c r="S361" s="116">
        <v>0.78050000000000008</v>
      </c>
      <c r="T361" s="117">
        <v>0.49</v>
      </c>
      <c r="U361" s="31">
        <v>600</v>
      </c>
      <c r="V361" s="32">
        <v>232</v>
      </c>
      <c r="W361" s="33">
        <v>0</v>
      </c>
      <c r="X361" s="32"/>
      <c r="Y361" s="32"/>
      <c r="Z361" s="32"/>
      <c r="AA361" s="34"/>
      <c r="AB361" s="35">
        <f t="shared" si="50"/>
        <v>832</v>
      </c>
      <c r="AC361" s="72">
        <f t="shared" si="51"/>
        <v>46800</v>
      </c>
      <c r="AD361" s="80">
        <f t="shared" si="52"/>
        <v>18096</v>
      </c>
      <c r="AE361" s="72">
        <f t="shared" si="53"/>
        <v>64896</v>
      </c>
      <c r="AF361" s="72">
        <f t="shared" si="54"/>
        <v>9840.6299999999992</v>
      </c>
      <c r="AG361" s="80">
        <f t="shared" si="55"/>
        <v>3805.0435999999995</v>
      </c>
      <c r="AH361" s="72">
        <f t="shared" si="56"/>
        <v>13645.673599999998</v>
      </c>
      <c r="AI361" s="72">
        <f t="shared" si="57"/>
        <v>6690</v>
      </c>
      <c r="AJ361" s="80">
        <f t="shared" si="58"/>
        <v>2586.8000000000002</v>
      </c>
      <c r="AK361" s="72">
        <f t="shared" si="59"/>
        <v>9276.7999999999993</v>
      </c>
    </row>
    <row r="362" spans="1:37" ht="15.95" customHeight="1">
      <c r="A362" s="25" t="s">
        <v>948</v>
      </c>
      <c r="B362" s="25" t="s">
        <v>252</v>
      </c>
      <c r="C362" s="26" t="s">
        <v>14</v>
      </c>
      <c r="D362" s="26" t="s">
        <v>373</v>
      </c>
      <c r="E362" s="26" t="s">
        <v>16</v>
      </c>
      <c r="F362" s="26" t="s">
        <v>1173</v>
      </c>
      <c r="G362" s="26" t="s">
        <v>273</v>
      </c>
      <c r="H362" s="27" t="s">
        <v>414</v>
      </c>
      <c r="I362" s="26" t="s">
        <v>27</v>
      </c>
      <c r="J362" s="28" t="s">
        <v>261</v>
      </c>
      <c r="K362" s="123">
        <v>135</v>
      </c>
      <c r="L362" s="29">
        <v>21.466899999999995</v>
      </c>
      <c r="M362" s="110">
        <v>14.7</v>
      </c>
      <c r="N362" s="30">
        <v>0.28199999999999997</v>
      </c>
      <c r="O362" s="116">
        <v>4.1453999999999995</v>
      </c>
      <c r="P362" s="30">
        <v>7.4999999999999997E-2</v>
      </c>
      <c r="Q362" s="116">
        <v>1.1024999999999998</v>
      </c>
      <c r="R362" s="30">
        <v>7.0000000000000007E-2</v>
      </c>
      <c r="S362" s="116">
        <v>1.0290000000000001</v>
      </c>
      <c r="T362" s="117">
        <v>0.49</v>
      </c>
      <c r="U362" s="31">
        <v>250</v>
      </c>
      <c r="V362" s="32">
        <v>119</v>
      </c>
      <c r="W362" s="33"/>
      <c r="X362" s="32"/>
      <c r="Y362" s="32"/>
      <c r="Z362" s="32"/>
      <c r="AA362" s="34"/>
      <c r="AB362" s="35">
        <f>SUM(U362:AA362)</f>
        <v>369</v>
      </c>
      <c r="AC362" s="75">
        <f>$K362*U362</f>
        <v>33750</v>
      </c>
      <c r="AD362" s="78">
        <f>$K362*SUM(V362:AA362)</f>
        <v>16065</v>
      </c>
      <c r="AE362" s="72">
        <f>SUM(AC362:AD362)</f>
        <v>49815</v>
      </c>
      <c r="AF362" s="75">
        <f>$L362*U362</f>
        <v>5366.7249999999985</v>
      </c>
      <c r="AG362" s="78">
        <f>$L362*SUM(V362:W362)+M362*SUM(X362:AA362)</f>
        <v>2554.5610999999994</v>
      </c>
      <c r="AH362" s="72">
        <f>SUM(AF362:AG362)</f>
        <v>7921.2860999999975</v>
      </c>
      <c r="AI362" s="75">
        <f>$M362*U362</f>
        <v>3675</v>
      </c>
      <c r="AJ362" s="78">
        <f>$M362*SUM(V362:AA362)</f>
        <v>1749.3</v>
      </c>
      <c r="AK362" s="72">
        <f>SUM(AI362:AJ362)</f>
        <v>5424.3</v>
      </c>
    </row>
    <row r="363" spans="1:37" ht="15.95" customHeight="1">
      <c r="A363" s="25" t="s">
        <v>948</v>
      </c>
      <c r="B363" s="25" t="s">
        <v>252</v>
      </c>
      <c r="C363" s="26" t="s">
        <v>21</v>
      </c>
      <c r="D363" s="26" t="s">
        <v>373</v>
      </c>
      <c r="E363" s="26" t="s">
        <v>16</v>
      </c>
      <c r="F363" s="26" t="s">
        <v>1174</v>
      </c>
      <c r="G363" s="26" t="s">
        <v>273</v>
      </c>
      <c r="H363" s="27" t="s">
        <v>89</v>
      </c>
      <c r="I363" s="26" t="s">
        <v>27</v>
      </c>
      <c r="J363" s="28" t="s">
        <v>265</v>
      </c>
      <c r="K363" s="123">
        <v>110</v>
      </c>
      <c r="L363" s="29">
        <v>20.468</v>
      </c>
      <c r="M363" s="110">
        <v>14</v>
      </c>
      <c r="N363" s="30">
        <v>0.28199999999999997</v>
      </c>
      <c r="O363" s="116">
        <v>3.9479999999999995</v>
      </c>
      <c r="P363" s="30">
        <v>7.4999999999999997E-2</v>
      </c>
      <c r="Q363" s="116">
        <v>1.05</v>
      </c>
      <c r="R363" s="30">
        <v>7.0000000000000007E-2</v>
      </c>
      <c r="S363" s="116">
        <v>0.98000000000000009</v>
      </c>
      <c r="T363" s="117">
        <v>0.49</v>
      </c>
      <c r="U363" s="31">
        <v>250</v>
      </c>
      <c r="V363" s="32">
        <v>119</v>
      </c>
      <c r="W363" s="33"/>
      <c r="X363" s="32"/>
      <c r="Y363" s="32"/>
      <c r="Z363" s="32"/>
      <c r="AA363" s="34"/>
      <c r="AB363" s="35">
        <f t="shared" ref="AB363:AB426" si="60">SUM(U363:AA363)</f>
        <v>369</v>
      </c>
      <c r="AC363" s="75">
        <f t="shared" ref="AC363:AC426" si="61">$K363*U363</f>
        <v>27500</v>
      </c>
      <c r="AD363" s="78">
        <f t="shared" ref="AD363:AD426" si="62">$K363*SUM(V363:AA363)</f>
        <v>13090</v>
      </c>
      <c r="AE363" s="72">
        <f t="shared" ref="AE363:AE426" si="63">SUM(AC363:AD363)</f>
        <v>40590</v>
      </c>
      <c r="AF363" s="75">
        <f t="shared" ref="AF363:AF426" si="64">$L363*U363</f>
        <v>5117</v>
      </c>
      <c r="AG363" s="78">
        <f t="shared" ref="AG363:AG426" si="65">$L363*SUM(V363:W363)+M363*SUM(X363:AA363)</f>
        <v>2435.692</v>
      </c>
      <c r="AH363" s="72">
        <f t="shared" ref="AH363:AH426" si="66">SUM(AF363:AG363)</f>
        <v>7552.692</v>
      </c>
      <c r="AI363" s="75">
        <f t="shared" ref="AI363:AI426" si="67">$M363*U363</f>
        <v>3500</v>
      </c>
      <c r="AJ363" s="78">
        <f t="shared" ref="AJ363:AJ426" si="68">$M363*SUM(V363:AA363)</f>
        <v>1666</v>
      </c>
      <c r="AK363" s="72">
        <f t="shared" ref="AK363:AK426" si="69">SUM(AI363:AJ363)</f>
        <v>5166</v>
      </c>
    </row>
    <row r="364" spans="1:37" ht="15.95" customHeight="1">
      <c r="A364" s="25" t="s">
        <v>948</v>
      </c>
      <c r="B364" s="25" t="s">
        <v>252</v>
      </c>
      <c r="C364" s="26" t="s">
        <v>14</v>
      </c>
      <c r="D364" s="26" t="s">
        <v>373</v>
      </c>
      <c r="E364" s="26" t="s">
        <v>16</v>
      </c>
      <c r="F364" s="26" t="s">
        <v>1173</v>
      </c>
      <c r="G364" s="26" t="s">
        <v>273</v>
      </c>
      <c r="H364" s="27" t="s">
        <v>89</v>
      </c>
      <c r="I364" s="26" t="s">
        <v>27</v>
      </c>
      <c r="J364" s="28" t="s">
        <v>261</v>
      </c>
      <c r="K364" s="123">
        <v>135</v>
      </c>
      <c r="L364" s="29">
        <v>21.466899999999995</v>
      </c>
      <c r="M364" s="110">
        <v>14.7</v>
      </c>
      <c r="N364" s="30">
        <v>0.28199999999999997</v>
      </c>
      <c r="O364" s="116">
        <v>4.1453999999999995</v>
      </c>
      <c r="P364" s="30">
        <v>7.4999999999999997E-2</v>
      </c>
      <c r="Q364" s="116">
        <v>1.1024999999999998</v>
      </c>
      <c r="R364" s="30">
        <v>7.0000000000000007E-2</v>
      </c>
      <c r="S364" s="116">
        <v>1.0290000000000001</v>
      </c>
      <c r="T364" s="117">
        <v>0.49</v>
      </c>
      <c r="U364" s="31">
        <v>250</v>
      </c>
      <c r="V364" s="32">
        <v>10</v>
      </c>
      <c r="W364" s="33"/>
      <c r="X364" s="32"/>
      <c r="Y364" s="32"/>
      <c r="Z364" s="32"/>
      <c r="AA364" s="34"/>
      <c r="AB364" s="35">
        <f t="shared" si="60"/>
        <v>260</v>
      </c>
      <c r="AC364" s="75">
        <f t="shared" si="61"/>
        <v>33750</v>
      </c>
      <c r="AD364" s="78">
        <f t="shared" si="62"/>
        <v>1350</v>
      </c>
      <c r="AE364" s="72">
        <f t="shared" si="63"/>
        <v>35100</v>
      </c>
      <c r="AF364" s="75">
        <f t="shared" si="64"/>
        <v>5366.7249999999985</v>
      </c>
      <c r="AG364" s="78">
        <f t="shared" si="65"/>
        <v>214.66899999999995</v>
      </c>
      <c r="AH364" s="72">
        <f t="shared" si="66"/>
        <v>5581.3939999999984</v>
      </c>
      <c r="AI364" s="75">
        <f t="shared" si="67"/>
        <v>3675</v>
      </c>
      <c r="AJ364" s="78">
        <f t="shared" si="68"/>
        <v>147</v>
      </c>
      <c r="AK364" s="72">
        <f t="shared" si="69"/>
        <v>3822</v>
      </c>
    </row>
    <row r="365" spans="1:37" ht="15.95" customHeight="1">
      <c r="A365" s="25" t="s">
        <v>948</v>
      </c>
      <c r="B365" s="25" t="s">
        <v>252</v>
      </c>
      <c r="C365" s="26" t="s">
        <v>21</v>
      </c>
      <c r="D365" s="26" t="s">
        <v>373</v>
      </c>
      <c r="E365" s="26" t="s">
        <v>16</v>
      </c>
      <c r="F365" s="26" t="s">
        <v>1174</v>
      </c>
      <c r="G365" s="26" t="s">
        <v>273</v>
      </c>
      <c r="H365" s="27" t="s">
        <v>89</v>
      </c>
      <c r="I365" s="26" t="s">
        <v>27</v>
      </c>
      <c r="J365" s="28" t="s">
        <v>265</v>
      </c>
      <c r="K365" s="123">
        <v>110</v>
      </c>
      <c r="L365" s="29">
        <v>20.468</v>
      </c>
      <c r="M365" s="110">
        <v>14</v>
      </c>
      <c r="N365" s="30">
        <v>0.28199999999999997</v>
      </c>
      <c r="O365" s="116">
        <v>3.9479999999999995</v>
      </c>
      <c r="P365" s="30">
        <v>7.4999999999999997E-2</v>
      </c>
      <c r="Q365" s="116">
        <v>1.05</v>
      </c>
      <c r="R365" s="30">
        <v>7.0000000000000007E-2</v>
      </c>
      <c r="S365" s="116">
        <v>0.98000000000000009</v>
      </c>
      <c r="T365" s="117">
        <v>0.49</v>
      </c>
      <c r="U365" s="31">
        <v>250</v>
      </c>
      <c r="V365" s="32">
        <v>10</v>
      </c>
      <c r="W365" s="33"/>
      <c r="X365" s="32"/>
      <c r="Y365" s="32"/>
      <c r="Z365" s="32"/>
      <c r="AA365" s="34"/>
      <c r="AB365" s="35">
        <f t="shared" si="60"/>
        <v>260</v>
      </c>
      <c r="AC365" s="75">
        <f t="shared" si="61"/>
        <v>27500</v>
      </c>
      <c r="AD365" s="78">
        <f t="shared" si="62"/>
        <v>1100</v>
      </c>
      <c r="AE365" s="72">
        <f t="shared" si="63"/>
        <v>28600</v>
      </c>
      <c r="AF365" s="75">
        <f t="shared" si="64"/>
        <v>5117</v>
      </c>
      <c r="AG365" s="78">
        <f t="shared" si="65"/>
        <v>204.68</v>
      </c>
      <c r="AH365" s="72">
        <f t="shared" si="66"/>
        <v>5321.68</v>
      </c>
      <c r="AI365" s="75">
        <f t="shared" si="67"/>
        <v>3500</v>
      </c>
      <c r="AJ365" s="78">
        <f t="shared" si="68"/>
        <v>140</v>
      </c>
      <c r="AK365" s="72">
        <f t="shared" si="69"/>
        <v>3640</v>
      </c>
    </row>
    <row r="366" spans="1:37" ht="15.95" customHeight="1">
      <c r="A366" s="25" t="s">
        <v>948</v>
      </c>
      <c r="B366" s="25" t="s">
        <v>252</v>
      </c>
      <c r="C366" s="26" t="s">
        <v>14</v>
      </c>
      <c r="D366" s="26" t="s">
        <v>373</v>
      </c>
      <c r="E366" s="26" t="s">
        <v>16</v>
      </c>
      <c r="F366" s="26" t="s">
        <v>1175</v>
      </c>
      <c r="G366" s="36" t="s">
        <v>273</v>
      </c>
      <c r="H366" s="27" t="s">
        <v>414</v>
      </c>
      <c r="I366" s="26" t="s">
        <v>27</v>
      </c>
      <c r="J366" s="28" t="s">
        <v>261</v>
      </c>
      <c r="K366" s="123">
        <v>125</v>
      </c>
      <c r="L366" s="29">
        <v>22.608499999999999</v>
      </c>
      <c r="M366" s="110">
        <v>15.5</v>
      </c>
      <c r="N366" s="30">
        <v>0.28199999999999997</v>
      </c>
      <c r="O366" s="116">
        <v>4.3709999999999996</v>
      </c>
      <c r="P366" s="30">
        <v>7.4999999999999997E-2</v>
      </c>
      <c r="Q366" s="116">
        <v>1.1624999999999999</v>
      </c>
      <c r="R366" s="30">
        <v>7.0000000000000007E-2</v>
      </c>
      <c r="S366" s="116">
        <v>1.0850000000000002</v>
      </c>
      <c r="T366" s="117">
        <v>0.49</v>
      </c>
      <c r="U366" s="31">
        <v>250</v>
      </c>
      <c r="V366" s="32">
        <v>101</v>
      </c>
      <c r="W366" s="33"/>
      <c r="X366" s="32"/>
      <c r="Y366" s="32"/>
      <c r="Z366" s="32"/>
      <c r="AA366" s="34"/>
      <c r="AB366" s="35">
        <f t="shared" si="60"/>
        <v>351</v>
      </c>
      <c r="AC366" s="75">
        <f t="shared" si="61"/>
        <v>31250</v>
      </c>
      <c r="AD366" s="78">
        <f t="shared" si="62"/>
        <v>12625</v>
      </c>
      <c r="AE366" s="72">
        <f t="shared" si="63"/>
        <v>43875</v>
      </c>
      <c r="AF366" s="75">
        <f t="shared" si="64"/>
        <v>5652.125</v>
      </c>
      <c r="AG366" s="78">
        <f t="shared" si="65"/>
        <v>2283.4584999999997</v>
      </c>
      <c r="AH366" s="72">
        <f t="shared" si="66"/>
        <v>7935.5834999999997</v>
      </c>
      <c r="AI366" s="75">
        <f t="shared" si="67"/>
        <v>3875</v>
      </c>
      <c r="AJ366" s="78">
        <f t="shared" si="68"/>
        <v>1565.5</v>
      </c>
      <c r="AK366" s="72">
        <f t="shared" si="69"/>
        <v>5440.5</v>
      </c>
    </row>
    <row r="367" spans="1:37" ht="15.95" customHeight="1">
      <c r="A367" s="25" t="s">
        <v>948</v>
      </c>
      <c r="B367" s="25" t="s">
        <v>252</v>
      </c>
      <c r="C367" s="26" t="s">
        <v>21</v>
      </c>
      <c r="D367" s="26" t="s">
        <v>373</v>
      </c>
      <c r="E367" s="26" t="s">
        <v>16</v>
      </c>
      <c r="F367" s="26" t="s">
        <v>1176</v>
      </c>
      <c r="G367" s="36" t="s">
        <v>273</v>
      </c>
      <c r="H367" s="27" t="s">
        <v>89</v>
      </c>
      <c r="I367" s="26" t="s">
        <v>27</v>
      </c>
      <c r="J367" s="28" t="s">
        <v>265</v>
      </c>
      <c r="K367" s="123">
        <v>110</v>
      </c>
      <c r="L367" s="29">
        <v>21.895</v>
      </c>
      <c r="M367" s="110">
        <v>15</v>
      </c>
      <c r="N367" s="30">
        <v>0.28199999999999997</v>
      </c>
      <c r="O367" s="116">
        <v>4.2299999999999995</v>
      </c>
      <c r="P367" s="30">
        <v>7.4999999999999997E-2</v>
      </c>
      <c r="Q367" s="116">
        <v>1.125</v>
      </c>
      <c r="R367" s="30">
        <v>7.0000000000000007E-2</v>
      </c>
      <c r="S367" s="116">
        <v>1.05</v>
      </c>
      <c r="T367" s="117">
        <v>0.49</v>
      </c>
      <c r="U367" s="31">
        <v>250</v>
      </c>
      <c r="V367" s="32">
        <v>101</v>
      </c>
      <c r="W367" s="33"/>
      <c r="X367" s="32"/>
      <c r="Y367" s="32"/>
      <c r="Z367" s="32"/>
      <c r="AA367" s="34"/>
      <c r="AB367" s="35">
        <f t="shared" si="60"/>
        <v>351</v>
      </c>
      <c r="AC367" s="75">
        <f t="shared" si="61"/>
        <v>27500</v>
      </c>
      <c r="AD367" s="78">
        <f t="shared" si="62"/>
        <v>11110</v>
      </c>
      <c r="AE367" s="72">
        <f t="shared" si="63"/>
        <v>38610</v>
      </c>
      <c r="AF367" s="75">
        <f t="shared" si="64"/>
        <v>5473.75</v>
      </c>
      <c r="AG367" s="78">
        <f t="shared" si="65"/>
        <v>2211.395</v>
      </c>
      <c r="AH367" s="72">
        <f t="shared" si="66"/>
        <v>7685.1450000000004</v>
      </c>
      <c r="AI367" s="75">
        <f t="shared" si="67"/>
        <v>3750</v>
      </c>
      <c r="AJ367" s="78">
        <f t="shared" si="68"/>
        <v>1515</v>
      </c>
      <c r="AK367" s="72">
        <f t="shared" si="69"/>
        <v>5265</v>
      </c>
    </row>
    <row r="368" spans="1:37" ht="15.95" customHeight="1">
      <c r="A368" s="25" t="s">
        <v>948</v>
      </c>
      <c r="B368" s="25" t="s">
        <v>252</v>
      </c>
      <c r="C368" s="26" t="s">
        <v>14</v>
      </c>
      <c r="D368" s="26" t="s">
        <v>373</v>
      </c>
      <c r="E368" s="26" t="s">
        <v>16</v>
      </c>
      <c r="F368" s="26" t="s">
        <v>1175</v>
      </c>
      <c r="G368" s="26" t="s">
        <v>273</v>
      </c>
      <c r="H368" s="27" t="s">
        <v>414</v>
      </c>
      <c r="I368" s="26" t="s">
        <v>27</v>
      </c>
      <c r="J368" s="37" t="s">
        <v>261</v>
      </c>
      <c r="K368" s="123">
        <v>125</v>
      </c>
      <c r="L368" s="29">
        <v>22.608499999999999</v>
      </c>
      <c r="M368" s="110">
        <v>15.5</v>
      </c>
      <c r="N368" s="30">
        <v>0.28199999999999997</v>
      </c>
      <c r="O368" s="116">
        <v>4.3709999999999996</v>
      </c>
      <c r="P368" s="30">
        <v>7.4999999999999997E-2</v>
      </c>
      <c r="Q368" s="116">
        <v>1.1624999999999999</v>
      </c>
      <c r="R368" s="30">
        <v>7.0000000000000007E-2</v>
      </c>
      <c r="S368" s="116">
        <v>1.0850000000000002</v>
      </c>
      <c r="T368" s="117">
        <v>0.49</v>
      </c>
      <c r="U368" s="31">
        <v>250</v>
      </c>
      <c r="V368" s="32">
        <v>175</v>
      </c>
      <c r="W368" s="33"/>
      <c r="X368" s="32"/>
      <c r="Y368" s="32"/>
      <c r="Z368" s="32"/>
      <c r="AA368" s="34"/>
      <c r="AB368" s="35">
        <f t="shared" si="60"/>
        <v>425</v>
      </c>
      <c r="AC368" s="75">
        <f t="shared" si="61"/>
        <v>31250</v>
      </c>
      <c r="AD368" s="78">
        <f t="shared" si="62"/>
        <v>21875</v>
      </c>
      <c r="AE368" s="72">
        <f t="shared" si="63"/>
        <v>53125</v>
      </c>
      <c r="AF368" s="75">
        <f t="shared" si="64"/>
        <v>5652.125</v>
      </c>
      <c r="AG368" s="78">
        <f t="shared" si="65"/>
        <v>3956.4874999999997</v>
      </c>
      <c r="AH368" s="72">
        <f t="shared" si="66"/>
        <v>9608.6124999999993</v>
      </c>
      <c r="AI368" s="75">
        <f t="shared" si="67"/>
        <v>3875</v>
      </c>
      <c r="AJ368" s="78">
        <f t="shared" si="68"/>
        <v>2712.5</v>
      </c>
      <c r="AK368" s="72">
        <f t="shared" si="69"/>
        <v>6587.5</v>
      </c>
    </row>
    <row r="369" spans="1:37" ht="15.95" customHeight="1">
      <c r="A369" s="25" t="s">
        <v>948</v>
      </c>
      <c r="B369" s="25" t="s">
        <v>252</v>
      </c>
      <c r="C369" s="26" t="s">
        <v>21</v>
      </c>
      <c r="D369" s="26" t="s">
        <v>373</v>
      </c>
      <c r="E369" s="26" t="s">
        <v>16</v>
      </c>
      <c r="F369" s="26" t="s">
        <v>1176</v>
      </c>
      <c r="G369" s="26" t="s">
        <v>273</v>
      </c>
      <c r="H369" s="27" t="s">
        <v>89</v>
      </c>
      <c r="I369" s="26" t="s">
        <v>27</v>
      </c>
      <c r="J369" s="37" t="s">
        <v>265</v>
      </c>
      <c r="K369" s="123">
        <v>110</v>
      </c>
      <c r="L369" s="29">
        <v>21.895</v>
      </c>
      <c r="M369" s="110">
        <v>15</v>
      </c>
      <c r="N369" s="30">
        <v>0.28199999999999997</v>
      </c>
      <c r="O369" s="116">
        <v>4.2299999999999995</v>
      </c>
      <c r="P369" s="30">
        <v>7.4999999999999997E-2</v>
      </c>
      <c r="Q369" s="116">
        <v>1.125</v>
      </c>
      <c r="R369" s="30">
        <v>7.0000000000000007E-2</v>
      </c>
      <c r="S369" s="116">
        <v>1.05</v>
      </c>
      <c r="T369" s="117">
        <v>0.49</v>
      </c>
      <c r="U369" s="31">
        <v>250</v>
      </c>
      <c r="V369" s="32">
        <v>175</v>
      </c>
      <c r="W369" s="33"/>
      <c r="X369" s="32"/>
      <c r="Y369" s="32"/>
      <c r="Z369" s="32"/>
      <c r="AA369" s="34"/>
      <c r="AB369" s="35">
        <f t="shared" si="60"/>
        <v>425</v>
      </c>
      <c r="AC369" s="75">
        <f t="shared" si="61"/>
        <v>27500</v>
      </c>
      <c r="AD369" s="78">
        <f t="shared" si="62"/>
        <v>19250</v>
      </c>
      <c r="AE369" s="72">
        <f t="shared" si="63"/>
        <v>46750</v>
      </c>
      <c r="AF369" s="75">
        <f t="shared" si="64"/>
        <v>5473.75</v>
      </c>
      <c r="AG369" s="78">
        <f t="shared" si="65"/>
        <v>3831.625</v>
      </c>
      <c r="AH369" s="72">
        <f t="shared" si="66"/>
        <v>9305.375</v>
      </c>
      <c r="AI369" s="75">
        <f t="shared" si="67"/>
        <v>3750</v>
      </c>
      <c r="AJ369" s="78">
        <f t="shared" si="68"/>
        <v>2625</v>
      </c>
      <c r="AK369" s="72">
        <f t="shared" si="69"/>
        <v>6375</v>
      </c>
    </row>
    <row r="370" spans="1:37" ht="15.95" customHeight="1">
      <c r="A370" s="25" t="s">
        <v>948</v>
      </c>
      <c r="B370" s="25" t="s">
        <v>252</v>
      </c>
      <c r="C370" s="26" t="s">
        <v>14</v>
      </c>
      <c r="D370" s="26" t="s">
        <v>373</v>
      </c>
      <c r="E370" s="26" t="s">
        <v>16</v>
      </c>
      <c r="F370" s="26" t="s">
        <v>1177</v>
      </c>
      <c r="G370" s="26" t="s">
        <v>1178</v>
      </c>
      <c r="H370" s="27" t="s">
        <v>1179</v>
      </c>
      <c r="I370" s="26" t="s">
        <v>19</v>
      </c>
      <c r="J370" s="28" t="s">
        <v>283</v>
      </c>
      <c r="K370" s="123">
        <v>145</v>
      </c>
      <c r="L370" s="29">
        <v>24.1663</v>
      </c>
      <c r="M370" s="110">
        <v>16.649999999999999</v>
      </c>
      <c r="N370" s="30">
        <v>0.27700000000000002</v>
      </c>
      <c r="O370" s="116">
        <v>4.61205</v>
      </c>
      <c r="P370" s="30">
        <v>7.4999999999999997E-2</v>
      </c>
      <c r="Q370" s="116">
        <v>1.2487499999999998</v>
      </c>
      <c r="R370" s="30">
        <v>7.0000000000000007E-2</v>
      </c>
      <c r="S370" s="116">
        <v>1.1655</v>
      </c>
      <c r="T370" s="117">
        <v>0.49</v>
      </c>
      <c r="U370" s="31">
        <v>200</v>
      </c>
      <c r="V370" s="32"/>
      <c r="W370" s="33"/>
      <c r="X370" s="32"/>
      <c r="Y370" s="32"/>
      <c r="Z370" s="32"/>
      <c r="AA370" s="34"/>
      <c r="AB370" s="35">
        <f t="shared" si="60"/>
        <v>200</v>
      </c>
      <c r="AC370" s="75">
        <f t="shared" si="61"/>
        <v>29000</v>
      </c>
      <c r="AD370" s="78">
        <f t="shared" si="62"/>
        <v>0</v>
      </c>
      <c r="AE370" s="72">
        <f t="shared" si="63"/>
        <v>29000</v>
      </c>
      <c r="AF370" s="75">
        <f t="shared" si="64"/>
        <v>4833.26</v>
      </c>
      <c r="AG370" s="78">
        <f t="shared" si="65"/>
        <v>0</v>
      </c>
      <c r="AH370" s="72">
        <f t="shared" si="66"/>
        <v>4833.26</v>
      </c>
      <c r="AI370" s="75">
        <f t="shared" si="67"/>
        <v>3329.9999999999995</v>
      </c>
      <c r="AJ370" s="78">
        <f t="shared" si="68"/>
        <v>0</v>
      </c>
      <c r="AK370" s="72">
        <f t="shared" si="69"/>
        <v>3329.9999999999995</v>
      </c>
    </row>
    <row r="371" spans="1:37" ht="15.95" customHeight="1">
      <c r="A371" s="25" t="s">
        <v>948</v>
      </c>
      <c r="B371" s="25" t="s">
        <v>252</v>
      </c>
      <c r="C371" s="26" t="s">
        <v>21</v>
      </c>
      <c r="D371" s="26" t="s">
        <v>373</v>
      </c>
      <c r="E371" s="26" t="s">
        <v>16</v>
      </c>
      <c r="F371" s="26" t="s">
        <v>1180</v>
      </c>
      <c r="G371" s="36" t="s">
        <v>1178</v>
      </c>
      <c r="H371" s="27" t="s">
        <v>1181</v>
      </c>
      <c r="I371" s="26" t="s">
        <v>19</v>
      </c>
      <c r="J371" s="28" t="s">
        <v>285</v>
      </c>
      <c r="K371" s="123">
        <v>110</v>
      </c>
      <c r="L371" s="29">
        <v>18.906969999999998</v>
      </c>
      <c r="M371" s="110">
        <v>12.87</v>
      </c>
      <c r="N371" s="30">
        <v>0.28599999999999998</v>
      </c>
      <c r="O371" s="116">
        <v>3.6808199999999993</v>
      </c>
      <c r="P371" s="30">
        <v>7.4999999999999997E-2</v>
      </c>
      <c r="Q371" s="116">
        <v>0.96524999999999994</v>
      </c>
      <c r="R371" s="30">
        <v>7.0000000000000007E-2</v>
      </c>
      <c r="S371" s="116">
        <v>0.90090000000000003</v>
      </c>
      <c r="T371" s="117">
        <v>0.49</v>
      </c>
      <c r="U371" s="31">
        <v>200</v>
      </c>
      <c r="V371" s="32"/>
      <c r="W371" s="33"/>
      <c r="X371" s="32"/>
      <c r="Y371" s="32"/>
      <c r="Z371" s="32"/>
      <c r="AA371" s="34">
        <v>4</v>
      </c>
      <c r="AB371" s="35">
        <f t="shared" si="60"/>
        <v>204</v>
      </c>
      <c r="AC371" s="75">
        <f t="shared" si="61"/>
        <v>22000</v>
      </c>
      <c r="AD371" s="78">
        <f t="shared" si="62"/>
        <v>440</v>
      </c>
      <c r="AE371" s="72">
        <f t="shared" si="63"/>
        <v>22440</v>
      </c>
      <c r="AF371" s="75">
        <f t="shared" si="64"/>
        <v>3781.3939999999993</v>
      </c>
      <c r="AG371" s="78">
        <f t="shared" si="65"/>
        <v>51.48</v>
      </c>
      <c r="AH371" s="72">
        <f t="shared" si="66"/>
        <v>3832.8739999999993</v>
      </c>
      <c r="AI371" s="75">
        <f t="shared" si="67"/>
        <v>2574</v>
      </c>
      <c r="AJ371" s="78">
        <f t="shared" si="68"/>
        <v>51.48</v>
      </c>
      <c r="AK371" s="72">
        <f t="shared" si="69"/>
        <v>2625.48</v>
      </c>
    </row>
    <row r="372" spans="1:37" ht="15.95" customHeight="1">
      <c r="A372" s="25" t="s">
        <v>948</v>
      </c>
      <c r="B372" s="25" t="s">
        <v>252</v>
      </c>
      <c r="C372" s="26" t="s">
        <v>14</v>
      </c>
      <c r="D372" s="26" t="s">
        <v>373</v>
      </c>
      <c r="E372" s="26" t="s">
        <v>16</v>
      </c>
      <c r="F372" s="26" t="s">
        <v>1177</v>
      </c>
      <c r="G372" s="36" t="s">
        <v>1178</v>
      </c>
      <c r="H372" s="27" t="s">
        <v>1181</v>
      </c>
      <c r="I372" s="26" t="s">
        <v>19</v>
      </c>
      <c r="J372" s="28" t="s">
        <v>283</v>
      </c>
      <c r="K372" s="123">
        <v>145</v>
      </c>
      <c r="L372" s="29">
        <v>24.1663</v>
      </c>
      <c r="M372" s="110">
        <v>16.649999999999999</v>
      </c>
      <c r="N372" s="30">
        <v>0.27700000000000002</v>
      </c>
      <c r="O372" s="116">
        <v>4.61205</v>
      </c>
      <c r="P372" s="30">
        <v>7.4999999999999997E-2</v>
      </c>
      <c r="Q372" s="116">
        <v>1.2487499999999998</v>
      </c>
      <c r="R372" s="30">
        <v>7.0000000000000007E-2</v>
      </c>
      <c r="S372" s="116">
        <v>1.1655</v>
      </c>
      <c r="T372" s="117">
        <v>0.49</v>
      </c>
      <c r="U372" s="31">
        <v>200</v>
      </c>
      <c r="V372" s="32">
        <v>253</v>
      </c>
      <c r="W372" s="33"/>
      <c r="X372" s="32"/>
      <c r="Y372" s="32"/>
      <c r="Z372" s="32"/>
      <c r="AA372" s="34">
        <v>4</v>
      </c>
      <c r="AB372" s="35">
        <f t="shared" si="60"/>
        <v>457</v>
      </c>
      <c r="AC372" s="75">
        <f t="shared" si="61"/>
        <v>29000</v>
      </c>
      <c r="AD372" s="78">
        <f t="shared" si="62"/>
        <v>37265</v>
      </c>
      <c r="AE372" s="72">
        <f t="shared" si="63"/>
        <v>66265</v>
      </c>
      <c r="AF372" s="75">
        <f t="shared" si="64"/>
        <v>4833.26</v>
      </c>
      <c r="AG372" s="78">
        <f t="shared" si="65"/>
        <v>6180.6739000000007</v>
      </c>
      <c r="AH372" s="72">
        <f t="shared" si="66"/>
        <v>11013.9339</v>
      </c>
      <c r="AI372" s="75">
        <f t="shared" si="67"/>
        <v>3329.9999999999995</v>
      </c>
      <c r="AJ372" s="78">
        <f t="shared" si="68"/>
        <v>4279.0499999999993</v>
      </c>
      <c r="AK372" s="72">
        <f t="shared" si="69"/>
        <v>7609.0499999999993</v>
      </c>
    </row>
    <row r="373" spans="1:37" ht="15.95" customHeight="1">
      <c r="A373" s="25" t="s">
        <v>948</v>
      </c>
      <c r="B373" s="25" t="s">
        <v>252</v>
      </c>
      <c r="C373" s="26" t="s">
        <v>21</v>
      </c>
      <c r="D373" s="26" t="s">
        <v>373</v>
      </c>
      <c r="E373" s="26" t="s">
        <v>16</v>
      </c>
      <c r="F373" s="26" t="s">
        <v>1180</v>
      </c>
      <c r="G373" s="36" t="s">
        <v>1178</v>
      </c>
      <c r="H373" s="27" t="s">
        <v>1181</v>
      </c>
      <c r="I373" s="26" t="s">
        <v>19</v>
      </c>
      <c r="J373" s="28" t="s">
        <v>285</v>
      </c>
      <c r="K373" s="123">
        <v>110</v>
      </c>
      <c r="L373" s="29">
        <v>18.906969999999998</v>
      </c>
      <c r="M373" s="110">
        <v>12.87</v>
      </c>
      <c r="N373" s="30">
        <v>0.28599999999999998</v>
      </c>
      <c r="O373" s="116">
        <v>3.6808199999999993</v>
      </c>
      <c r="P373" s="30">
        <v>7.4999999999999997E-2</v>
      </c>
      <c r="Q373" s="116">
        <v>0.96524999999999994</v>
      </c>
      <c r="R373" s="30">
        <v>7.0000000000000007E-2</v>
      </c>
      <c r="S373" s="116">
        <v>0.90090000000000003</v>
      </c>
      <c r="T373" s="117">
        <v>0.49</v>
      </c>
      <c r="U373" s="31">
        <v>200</v>
      </c>
      <c r="V373" s="32">
        <v>283</v>
      </c>
      <c r="W373" s="33"/>
      <c r="X373" s="32"/>
      <c r="Y373" s="32"/>
      <c r="Z373" s="32"/>
      <c r="AA373" s="34">
        <v>4</v>
      </c>
      <c r="AB373" s="35">
        <f t="shared" si="60"/>
        <v>487</v>
      </c>
      <c r="AC373" s="75">
        <f t="shared" si="61"/>
        <v>22000</v>
      </c>
      <c r="AD373" s="78">
        <f t="shared" si="62"/>
        <v>31570</v>
      </c>
      <c r="AE373" s="72">
        <f t="shared" si="63"/>
        <v>53570</v>
      </c>
      <c r="AF373" s="75">
        <f t="shared" si="64"/>
        <v>3781.3939999999993</v>
      </c>
      <c r="AG373" s="78">
        <f t="shared" si="65"/>
        <v>5402.152509999999</v>
      </c>
      <c r="AH373" s="72">
        <f t="shared" si="66"/>
        <v>9183.5465099999983</v>
      </c>
      <c r="AI373" s="75">
        <f t="shared" si="67"/>
        <v>2574</v>
      </c>
      <c r="AJ373" s="78">
        <f t="shared" si="68"/>
        <v>3693.6899999999996</v>
      </c>
      <c r="AK373" s="72">
        <f t="shared" si="69"/>
        <v>6267.69</v>
      </c>
    </row>
    <row r="374" spans="1:37" ht="15.95" customHeight="1">
      <c r="A374" s="25" t="s">
        <v>948</v>
      </c>
      <c r="B374" s="25" t="s">
        <v>252</v>
      </c>
      <c r="C374" s="26" t="s">
        <v>14</v>
      </c>
      <c r="D374" s="26" t="s">
        <v>373</v>
      </c>
      <c r="E374" s="26" t="s">
        <v>16</v>
      </c>
      <c r="F374" s="26" t="s">
        <v>1182</v>
      </c>
      <c r="G374" s="36" t="s">
        <v>113</v>
      </c>
      <c r="H374" s="27" t="s">
        <v>974</v>
      </c>
      <c r="I374" s="26" t="s">
        <v>19</v>
      </c>
      <c r="J374" s="28" t="s">
        <v>283</v>
      </c>
      <c r="K374" s="123">
        <v>135</v>
      </c>
      <c r="L374" s="29">
        <v>27.365799999999997</v>
      </c>
      <c r="M374" s="110">
        <v>18.899999999999999</v>
      </c>
      <c r="N374" s="30">
        <v>0.27700000000000002</v>
      </c>
      <c r="O374" s="116">
        <v>5.2352999999999996</v>
      </c>
      <c r="P374" s="30">
        <v>7.4999999999999997E-2</v>
      </c>
      <c r="Q374" s="116">
        <v>1.4174999999999998</v>
      </c>
      <c r="R374" s="30">
        <v>7.0000000000000007E-2</v>
      </c>
      <c r="S374" s="116">
        <v>1.323</v>
      </c>
      <c r="T374" s="117">
        <v>0.49</v>
      </c>
      <c r="U374" s="31">
        <v>250</v>
      </c>
      <c r="V374" s="32">
        <v>8</v>
      </c>
      <c r="W374" s="33"/>
      <c r="X374" s="32"/>
      <c r="Y374" s="32"/>
      <c r="Z374" s="32"/>
      <c r="AA374" s="34">
        <v>4</v>
      </c>
      <c r="AB374" s="35">
        <f t="shared" si="60"/>
        <v>262</v>
      </c>
      <c r="AC374" s="75">
        <f t="shared" si="61"/>
        <v>33750</v>
      </c>
      <c r="AD374" s="78">
        <f t="shared" si="62"/>
        <v>1620</v>
      </c>
      <c r="AE374" s="72">
        <f t="shared" si="63"/>
        <v>35370</v>
      </c>
      <c r="AF374" s="75">
        <f t="shared" si="64"/>
        <v>6841.4499999999989</v>
      </c>
      <c r="AG374" s="78">
        <f t="shared" si="65"/>
        <v>294.52639999999997</v>
      </c>
      <c r="AH374" s="72">
        <f t="shared" si="66"/>
        <v>7135.9763999999986</v>
      </c>
      <c r="AI374" s="75">
        <f t="shared" si="67"/>
        <v>4725</v>
      </c>
      <c r="AJ374" s="78">
        <f t="shared" si="68"/>
        <v>226.79999999999998</v>
      </c>
      <c r="AK374" s="72">
        <f t="shared" si="69"/>
        <v>4951.8</v>
      </c>
    </row>
    <row r="375" spans="1:37" ht="15.95" customHeight="1">
      <c r="A375" s="25" t="s">
        <v>948</v>
      </c>
      <c r="B375" s="25" t="s">
        <v>252</v>
      </c>
      <c r="C375" s="26" t="s">
        <v>1183</v>
      </c>
      <c r="D375" s="26" t="s">
        <v>373</v>
      </c>
      <c r="E375" s="26" t="s">
        <v>16</v>
      </c>
      <c r="F375" s="26" t="s">
        <v>1184</v>
      </c>
      <c r="G375" s="36" t="s">
        <v>113</v>
      </c>
      <c r="H375" s="27" t="s">
        <v>974</v>
      </c>
      <c r="I375" s="26" t="s">
        <v>19</v>
      </c>
      <c r="J375" s="28" t="s">
        <v>269</v>
      </c>
      <c r="K375" s="123">
        <v>88</v>
      </c>
      <c r="L375" s="29">
        <v>18.663699999999999</v>
      </c>
      <c r="M375" s="110">
        <v>12.7</v>
      </c>
      <c r="N375" s="30">
        <v>0.28599999999999998</v>
      </c>
      <c r="O375" s="116">
        <v>3.6321999999999997</v>
      </c>
      <c r="P375" s="30">
        <v>7.4999999999999997E-2</v>
      </c>
      <c r="Q375" s="116">
        <v>0.9524999999999999</v>
      </c>
      <c r="R375" s="30">
        <v>7.0000000000000007E-2</v>
      </c>
      <c r="S375" s="116">
        <v>0.88900000000000001</v>
      </c>
      <c r="T375" s="117">
        <v>0.49</v>
      </c>
      <c r="U375" s="31">
        <v>250</v>
      </c>
      <c r="V375" s="32">
        <v>8</v>
      </c>
      <c r="W375" s="33"/>
      <c r="X375" s="32"/>
      <c r="Y375" s="32"/>
      <c r="Z375" s="32"/>
      <c r="AA375" s="34">
        <v>6</v>
      </c>
      <c r="AB375" s="35">
        <f t="shared" si="60"/>
        <v>264</v>
      </c>
      <c r="AC375" s="75">
        <f t="shared" si="61"/>
        <v>22000</v>
      </c>
      <c r="AD375" s="78">
        <f t="shared" si="62"/>
        <v>1232</v>
      </c>
      <c r="AE375" s="72">
        <f t="shared" si="63"/>
        <v>23232</v>
      </c>
      <c r="AF375" s="75">
        <f t="shared" si="64"/>
        <v>4665.9249999999993</v>
      </c>
      <c r="AG375" s="78">
        <f t="shared" si="65"/>
        <v>225.50959999999998</v>
      </c>
      <c r="AH375" s="72">
        <f t="shared" si="66"/>
        <v>4891.4345999999996</v>
      </c>
      <c r="AI375" s="75">
        <f t="shared" si="67"/>
        <v>3175</v>
      </c>
      <c r="AJ375" s="78">
        <f t="shared" si="68"/>
        <v>177.79999999999998</v>
      </c>
      <c r="AK375" s="72">
        <f t="shared" si="69"/>
        <v>3352.8</v>
      </c>
    </row>
    <row r="376" spans="1:37" ht="15.95" customHeight="1">
      <c r="A376" s="25" t="s">
        <v>948</v>
      </c>
      <c r="B376" s="25" t="s">
        <v>252</v>
      </c>
      <c r="C376" s="26" t="s">
        <v>14</v>
      </c>
      <c r="D376" s="26" t="s">
        <v>373</v>
      </c>
      <c r="E376" s="26" t="s">
        <v>16</v>
      </c>
      <c r="F376" s="26" t="s">
        <v>1182</v>
      </c>
      <c r="G376" s="26" t="s">
        <v>113</v>
      </c>
      <c r="H376" s="27" t="s">
        <v>1185</v>
      </c>
      <c r="I376" s="26" t="s">
        <v>19</v>
      </c>
      <c r="J376" s="28" t="s">
        <v>283</v>
      </c>
      <c r="K376" s="123">
        <v>135</v>
      </c>
      <c r="L376" s="29">
        <v>27.365799999999997</v>
      </c>
      <c r="M376" s="110">
        <v>18.899999999999999</v>
      </c>
      <c r="N376" s="30">
        <v>0.27700000000000002</v>
      </c>
      <c r="O376" s="116">
        <v>5.2352999999999996</v>
      </c>
      <c r="P376" s="30">
        <v>7.4999999999999997E-2</v>
      </c>
      <c r="Q376" s="116">
        <v>1.4174999999999998</v>
      </c>
      <c r="R376" s="30">
        <v>7.0000000000000007E-2</v>
      </c>
      <c r="S376" s="116">
        <v>1.323</v>
      </c>
      <c r="T376" s="117">
        <v>0.49</v>
      </c>
      <c r="U376" s="31">
        <v>200</v>
      </c>
      <c r="V376" s="32">
        <v>101</v>
      </c>
      <c r="W376" s="38"/>
      <c r="X376" s="32"/>
      <c r="Y376" s="32"/>
      <c r="Z376" s="32"/>
      <c r="AA376" s="34">
        <v>6</v>
      </c>
      <c r="AB376" s="35">
        <f t="shared" si="60"/>
        <v>307</v>
      </c>
      <c r="AC376" s="75">
        <f t="shared" si="61"/>
        <v>27000</v>
      </c>
      <c r="AD376" s="78">
        <f t="shared" si="62"/>
        <v>14445</v>
      </c>
      <c r="AE376" s="72">
        <f t="shared" si="63"/>
        <v>41445</v>
      </c>
      <c r="AF376" s="75">
        <f t="shared" si="64"/>
        <v>5473.1599999999989</v>
      </c>
      <c r="AG376" s="78">
        <f t="shared" si="65"/>
        <v>2877.3457999999996</v>
      </c>
      <c r="AH376" s="72">
        <f t="shared" si="66"/>
        <v>8350.505799999999</v>
      </c>
      <c r="AI376" s="75">
        <f t="shared" si="67"/>
        <v>3779.9999999999995</v>
      </c>
      <c r="AJ376" s="78">
        <f t="shared" si="68"/>
        <v>2022.3</v>
      </c>
      <c r="AK376" s="72">
        <f t="shared" si="69"/>
        <v>5802.2999999999993</v>
      </c>
    </row>
    <row r="377" spans="1:37" ht="15.95" customHeight="1">
      <c r="A377" s="25" t="s">
        <v>948</v>
      </c>
      <c r="B377" s="25" t="s">
        <v>252</v>
      </c>
      <c r="C377" s="26" t="s">
        <v>1183</v>
      </c>
      <c r="D377" s="26" t="s">
        <v>373</v>
      </c>
      <c r="E377" s="26" t="s">
        <v>16</v>
      </c>
      <c r="F377" s="26" t="s">
        <v>1184</v>
      </c>
      <c r="G377" s="26" t="s">
        <v>113</v>
      </c>
      <c r="H377" s="27" t="s">
        <v>974</v>
      </c>
      <c r="I377" s="26" t="s">
        <v>19</v>
      </c>
      <c r="J377" s="28" t="s">
        <v>269</v>
      </c>
      <c r="K377" s="123">
        <v>88</v>
      </c>
      <c r="L377" s="29">
        <v>18.663699999999999</v>
      </c>
      <c r="M377" s="110">
        <v>12.7</v>
      </c>
      <c r="N377" s="30">
        <v>0.28599999999999998</v>
      </c>
      <c r="O377" s="116">
        <v>3.6321999999999997</v>
      </c>
      <c r="P377" s="30">
        <v>7.4999999999999997E-2</v>
      </c>
      <c r="Q377" s="116">
        <v>0.9524999999999999</v>
      </c>
      <c r="R377" s="30">
        <v>7.0000000000000007E-2</v>
      </c>
      <c r="S377" s="116">
        <v>0.88900000000000001</v>
      </c>
      <c r="T377" s="117">
        <v>0.49</v>
      </c>
      <c r="U377" s="31">
        <v>200</v>
      </c>
      <c r="V377" s="32">
        <v>101</v>
      </c>
      <c r="W377" s="38"/>
      <c r="X377" s="32"/>
      <c r="Y377" s="32"/>
      <c r="Z377" s="32"/>
      <c r="AA377" s="34">
        <v>10</v>
      </c>
      <c r="AB377" s="35">
        <f t="shared" si="60"/>
        <v>311</v>
      </c>
      <c r="AC377" s="75">
        <f t="shared" si="61"/>
        <v>17600</v>
      </c>
      <c r="AD377" s="78">
        <f t="shared" si="62"/>
        <v>9768</v>
      </c>
      <c r="AE377" s="72">
        <f t="shared" si="63"/>
        <v>27368</v>
      </c>
      <c r="AF377" s="75">
        <f t="shared" si="64"/>
        <v>3732.74</v>
      </c>
      <c r="AG377" s="78">
        <f t="shared" si="65"/>
        <v>2012.0337</v>
      </c>
      <c r="AH377" s="72">
        <f t="shared" si="66"/>
        <v>5744.7736999999997</v>
      </c>
      <c r="AI377" s="75">
        <f t="shared" si="67"/>
        <v>2540</v>
      </c>
      <c r="AJ377" s="78">
        <f t="shared" si="68"/>
        <v>1409.6999999999998</v>
      </c>
      <c r="AK377" s="72">
        <f t="shared" si="69"/>
        <v>3949.7</v>
      </c>
    </row>
    <row r="378" spans="1:37" ht="15.95" customHeight="1">
      <c r="A378" s="25" t="s">
        <v>948</v>
      </c>
      <c r="B378" s="25" t="s">
        <v>252</v>
      </c>
      <c r="C378" s="26" t="s">
        <v>1186</v>
      </c>
      <c r="D378" s="26" t="s">
        <v>373</v>
      </c>
      <c r="E378" s="26" t="s">
        <v>16</v>
      </c>
      <c r="F378" s="26" t="s">
        <v>1187</v>
      </c>
      <c r="G378" s="26" t="s">
        <v>978</v>
      </c>
      <c r="H378" s="27" t="s">
        <v>1188</v>
      </c>
      <c r="I378" s="26" t="s">
        <v>19</v>
      </c>
      <c r="J378" s="28" t="s">
        <v>661</v>
      </c>
      <c r="K378" s="123">
        <v>88</v>
      </c>
      <c r="L378" s="29">
        <v>14.96936</v>
      </c>
      <c r="M378" s="110">
        <v>10.24</v>
      </c>
      <c r="N378" s="30">
        <v>0.26900000000000002</v>
      </c>
      <c r="O378" s="116">
        <v>2.7545600000000001</v>
      </c>
      <c r="P378" s="30">
        <v>7.4999999999999997E-2</v>
      </c>
      <c r="Q378" s="116">
        <v>0.76800000000000002</v>
      </c>
      <c r="R378" s="30">
        <v>7.0000000000000007E-2</v>
      </c>
      <c r="S378" s="116">
        <v>0.7168000000000001</v>
      </c>
      <c r="T378" s="117">
        <v>0.49</v>
      </c>
      <c r="U378" s="31">
        <v>200</v>
      </c>
      <c r="V378" s="32">
        <v>123</v>
      </c>
      <c r="W378" s="33"/>
      <c r="X378" s="32"/>
      <c r="Y378" s="32"/>
      <c r="Z378" s="32"/>
      <c r="AA378" s="34"/>
      <c r="AB378" s="35">
        <f t="shared" si="60"/>
        <v>323</v>
      </c>
      <c r="AC378" s="75">
        <f t="shared" si="61"/>
        <v>17600</v>
      </c>
      <c r="AD378" s="78">
        <f t="shared" si="62"/>
        <v>10824</v>
      </c>
      <c r="AE378" s="72">
        <f t="shared" si="63"/>
        <v>28424</v>
      </c>
      <c r="AF378" s="75">
        <f t="shared" si="64"/>
        <v>2993.8719999999998</v>
      </c>
      <c r="AG378" s="78">
        <f t="shared" si="65"/>
        <v>1841.23128</v>
      </c>
      <c r="AH378" s="72">
        <f t="shared" si="66"/>
        <v>4835.1032799999994</v>
      </c>
      <c r="AI378" s="75">
        <f t="shared" si="67"/>
        <v>2048</v>
      </c>
      <c r="AJ378" s="78">
        <f t="shared" si="68"/>
        <v>1259.52</v>
      </c>
      <c r="AK378" s="72">
        <f t="shared" si="69"/>
        <v>3307.52</v>
      </c>
    </row>
    <row r="379" spans="1:37" ht="15.95" customHeight="1">
      <c r="A379" s="25" t="s">
        <v>948</v>
      </c>
      <c r="B379" s="25" t="s">
        <v>252</v>
      </c>
      <c r="C379" s="26" t="s">
        <v>21</v>
      </c>
      <c r="D379" s="26" t="s">
        <v>373</v>
      </c>
      <c r="E379" s="26" t="s">
        <v>16</v>
      </c>
      <c r="F379" s="26" t="s">
        <v>1189</v>
      </c>
      <c r="G379" s="26" t="s">
        <v>978</v>
      </c>
      <c r="H379" s="27" t="s">
        <v>1188</v>
      </c>
      <c r="I379" s="26" t="s">
        <v>19</v>
      </c>
      <c r="J379" s="28" t="s">
        <v>285</v>
      </c>
      <c r="K379" s="123">
        <v>88</v>
      </c>
      <c r="L379" s="29">
        <v>19.379199999999994</v>
      </c>
      <c r="M379" s="110">
        <v>13.2</v>
      </c>
      <c r="N379" s="30">
        <v>0.28599999999999998</v>
      </c>
      <c r="O379" s="116">
        <v>3.7751999999999994</v>
      </c>
      <c r="P379" s="30">
        <v>7.4999999999999997E-2</v>
      </c>
      <c r="Q379" s="116">
        <v>0.98999999999999988</v>
      </c>
      <c r="R379" s="30">
        <v>7.0000000000000007E-2</v>
      </c>
      <c r="S379" s="116">
        <v>0.92400000000000004</v>
      </c>
      <c r="T379" s="117">
        <v>0.49</v>
      </c>
      <c r="U379" s="39">
        <v>200</v>
      </c>
      <c r="V379" s="32">
        <v>123</v>
      </c>
      <c r="W379" s="33"/>
      <c r="X379" s="32"/>
      <c r="Y379" s="32"/>
      <c r="Z379" s="32"/>
      <c r="AA379" s="34"/>
      <c r="AB379" s="35">
        <f t="shared" si="60"/>
        <v>323</v>
      </c>
      <c r="AC379" s="75">
        <f t="shared" si="61"/>
        <v>17600</v>
      </c>
      <c r="AD379" s="78">
        <f t="shared" si="62"/>
        <v>10824</v>
      </c>
      <c r="AE379" s="72">
        <f t="shared" si="63"/>
        <v>28424</v>
      </c>
      <c r="AF379" s="75">
        <f t="shared" si="64"/>
        <v>3875.8399999999988</v>
      </c>
      <c r="AG379" s="78">
        <f t="shared" si="65"/>
        <v>2383.641599999999</v>
      </c>
      <c r="AH379" s="72">
        <f t="shared" si="66"/>
        <v>6259.4815999999973</v>
      </c>
      <c r="AI379" s="75">
        <f t="shared" si="67"/>
        <v>2640</v>
      </c>
      <c r="AJ379" s="78">
        <f t="shared" si="68"/>
        <v>1623.6</v>
      </c>
      <c r="AK379" s="72">
        <f t="shared" si="69"/>
        <v>4263.6000000000004</v>
      </c>
    </row>
    <row r="380" spans="1:37" ht="15.95" customHeight="1">
      <c r="A380" s="25" t="s">
        <v>948</v>
      </c>
      <c r="B380" s="25" t="s">
        <v>252</v>
      </c>
      <c r="C380" s="26" t="s">
        <v>1186</v>
      </c>
      <c r="D380" s="26" t="s">
        <v>373</v>
      </c>
      <c r="E380" s="26" t="s">
        <v>16</v>
      </c>
      <c r="F380" s="26" t="s">
        <v>1187</v>
      </c>
      <c r="G380" s="26" t="s">
        <v>978</v>
      </c>
      <c r="H380" s="27" t="s">
        <v>1188</v>
      </c>
      <c r="I380" s="26" t="s">
        <v>19</v>
      </c>
      <c r="J380" s="28" t="s">
        <v>661</v>
      </c>
      <c r="K380" s="123">
        <v>88</v>
      </c>
      <c r="L380" s="29">
        <v>14.96936</v>
      </c>
      <c r="M380" s="110">
        <v>10.24</v>
      </c>
      <c r="N380" s="30">
        <v>0.26900000000000002</v>
      </c>
      <c r="O380" s="116">
        <v>2.7545600000000001</v>
      </c>
      <c r="P380" s="30">
        <v>7.4999999999999997E-2</v>
      </c>
      <c r="Q380" s="116">
        <v>0.76800000000000002</v>
      </c>
      <c r="R380" s="30">
        <v>7.0000000000000007E-2</v>
      </c>
      <c r="S380" s="116">
        <v>0.7168000000000001</v>
      </c>
      <c r="T380" s="117">
        <v>0.49</v>
      </c>
      <c r="U380" s="39">
        <v>250</v>
      </c>
      <c r="V380" s="32"/>
      <c r="W380" s="33"/>
      <c r="X380" s="32"/>
      <c r="Y380" s="32"/>
      <c r="Z380" s="32"/>
      <c r="AA380" s="34"/>
      <c r="AB380" s="35">
        <f t="shared" si="60"/>
        <v>250</v>
      </c>
      <c r="AC380" s="75">
        <f t="shared" si="61"/>
        <v>22000</v>
      </c>
      <c r="AD380" s="78">
        <f t="shared" si="62"/>
        <v>0</v>
      </c>
      <c r="AE380" s="72">
        <f t="shared" si="63"/>
        <v>22000</v>
      </c>
      <c r="AF380" s="75">
        <f t="shared" si="64"/>
        <v>3742.34</v>
      </c>
      <c r="AG380" s="78">
        <f t="shared" si="65"/>
        <v>0</v>
      </c>
      <c r="AH380" s="72">
        <f t="shared" si="66"/>
        <v>3742.34</v>
      </c>
      <c r="AI380" s="75">
        <f t="shared" si="67"/>
        <v>2560</v>
      </c>
      <c r="AJ380" s="78">
        <f t="shared" si="68"/>
        <v>0</v>
      </c>
      <c r="AK380" s="72">
        <f t="shared" si="69"/>
        <v>2560</v>
      </c>
    </row>
    <row r="381" spans="1:37" ht="15.95" customHeight="1">
      <c r="A381" s="25" t="s">
        <v>948</v>
      </c>
      <c r="B381" s="25" t="s">
        <v>252</v>
      </c>
      <c r="C381" s="26" t="s">
        <v>21</v>
      </c>
      <c r="D381" s="26" t="s">
        <v>373</v>
      </c>
      <c r="E381" s="26" t="s">
        <v>16</v>
      </c>
      <c r="F381" s="26" t="s">
        <v>1189</v>
      </c>
      <c r="G381" s="26" t="s">
        <v>978</v>
      </c>
      <c r="H381" s="27" t="s">
        <v>1188</v>
      </c>
      <c r="I381" s="26" t="s">
        <v>19</v>
      </c>
      <c r="J381" s="28" t="s">
        <v>285</v>
      </c>
      <c r="K381" s="123">
        <v>88</v>
      </c>
      <c r="L381" s="29">
        <v>19.379199999999994</v>
      </c>
      <c r="M381" s="110">
        <v>13.2</v>
      </c>
      <c r="N381" s="30">
        <v>0.28599999999999998</v>
      </c>
      <c r="O381" s="116">
        <v>3.7751999999999994</v>
      </c>
      <c r="P381" s="30">
        <v>7.4999999999999997E-2</v>
      </c>
      <c r="Q381" s="116">
        <v>0.98999999999999988</v>
      </c>
      <c r="R381" s="30">
        <v>7.0000000000000007E-2</v>
      </c>
      <c r="S381" s="116">
        <v>0.92400000000000004</v>
      </c>
      <c r="T381" s="117">
        <v>0.49</v>
      </c>
      <c r="U381" s="39">
        <v>250</v>
      </c>
      <c r="V381" s="32"/>
      <c r="W381" s="33"/>
      <c r="X381" s="32"/>
      <c r="Y381" s="32"/>
      <c r="Z381" s="32"/>
      <c r="AA381" s="34"/>
      <c r="AB381" s="35">
        <f t="shared" si="60"/>
        <v>250</v>
      </c>
      <c r="AC381" s="75">
        <f t="shared" si="61"/>
        <v>22000</v>
      </c>
      <c r="AD381" s="78">
        <f t="shared" si="62"/>
        <v>0</v>
      </c>
      <c r="AE381" s="72">
        <f t="shared" si="63"/>
        <v>22000</v>
      </c>
      <c r="AF381" s="75">
        <f t="shared" si="64"/>
        <v>4844.7999999999984</v>
      </c>
      <c r="AG381" s="78">
        <f t="shared" si="65"/>
        <v>0</v>
      </c>
      <c r="AH381" s="72">
        <f t="shared" si="66"/>
        <v>4844.7999999999984</v>
      </c>
      <c r="AI381" s="75">
        <f t="shared" si="67"/>
        <v>3300</v>
      </c>
      <c r="AJ381" s="78">
        <f t="shared" si="68"/>
        <v>0</v>
      </c>
      <c r="AK381" s="72">
        <f t="shared" si="69"/>
        <v>3300</v>
      </c>
    </row>
    <row r="382" spans="1:37" ht="15.95" customHeight="1">
      <c r="A382" s="25" t="s">
        <v>948</v>
      </c>
      <c r="B382" s="25" t="s">
        <v>252</v>
      </c>
      <c r="C382" s="26" t="s">
        <v>14</v>
      </c>
      <c r="D382" s="26" t="s">
        <v>373</v>
      </c>
      <c r="E382" s="26" t="s">
        <v>16</v>
      </c>
      <c r="F382" s="26" t="s">
        <v>1190</v>
      </c>
      <c r="G382" s="26" t="s">
        <v>107</v>
      </c>
      <c r="H382" s="27" t="s">
        <v>1191</v>
      </c>
      <c r="I382" s="26" t="s">
        <v>19</v>
      </c>
      <c r="J382" s="28" t="s">
        <v>1192</v>
      </c>
      <c r="K382" s="123">
        <v>125</v>
      </c>
      <c r="L382" s="29">
        <v>21.12358</v>
      </c>
      <c r="M382" s="110">
        <v>16.829999999999998</v>
      </c>
      <c r="N382" s="30">
        <v>8.1000000000000003E-2</v>
      </c>
      <c r="O382" s="116">
        <v>1.3632299999999999</v>
      </c>
      <c r="P382" s="30">
        <v>7.4999999999999997E-2</v>
      </c>
      <c r="Q382" s="116">
        <v>1.2622499999999999</v>
      </c>
      <c r="R382" s="30">
        <v>7.0000000000000007E-2</v>
      </c>
      <c r="S382" s="116">
        <v>1.1780999999999999</v>
      </c>
      <c r="T382" s="117">
        <v>0.49</v>
      </c>
      <c r="U382" s="39">
        <v>200</v>
      </c>
      <c r="V382" s="32">
        <v>115</v>
      </c>
      <c r="W382" s="33"/>
      <c r="X382" s="32"/>
      <c r="Y382" s="32"/>
      <c r="Z382" s="32"/>
      <c r="AA382" s="34"/>
      <c r="AB382" s="35">
        <f t="shared" si="60"/>
        <v>315</v>
      </c>
      <c r="AC382" s="75">
        <f t="shared" si="61"/>
        <v>25000</v>
      </c>
      <c r="AD382" s="78">
        <f t="shared" si="62"/>
        <v>14375</v>
      </c>
      <c r="AE382" s="72">
        <f t="shared" si="63"/>
        <v>39375</v>
      </c>
      <c r="AF382" s="75">
        <f t="shared" si="64"/>
        <v>4224.7160000000003</v>
      </c>
      <c r="AG382" s="78">
        <f t="shared" si="65"/>
        <v>2429.2116999999998</v>
      </c>
      <c r="AH382" s="72">
        <f t="shared" si="66"/>
        <v>6653.9277000000002</v>
      </c>
      <c r="AI382" s="75">
        <f t="shared" si="67"/>
        <v>3365.9999999999995</v>
      </c>
      <c r="AJ382" s="78">
        <f t="shared" si="68"/>
        <v>1935.4499999999998</v>
      </c>
      <c r="AK382" s="72">
        <f t="shared" si="69"/>
        <v>5301.4499999999989</v>
      </c>
    </row>
    <row r="383" spans="1:37" ht="15.95" customHeight="1">
      <c r="A383" s="25" t="s">
        <v>948</v>
      </c>
      <c r="B383" s="25" t="s">
        <v>252</v>
      </c>
      <c r="C383" s="26" t="s">
        <v>895</v>
      </c>
      <c r="D383" s="26" t="s">
        <v>373</v>
      </c>
      <c r="E383" s="26" t="s">
        <v>16</v>
      </c>
      <c r="F383" s="26" t="s">
        <v>1193</v>
      </c>
      <c r="G383" s="26" t="s">
        <v>107</v>
      </c>
      <c r="H383" s="27" t="s">
        <v>1194</v>
      </c>
      <c r="I383" s="26" t="s">
        <v>19</v>
      </c>
      <c r="J383" s="28" t="s">
        <v>1195</v>
      </c>
      <c r="K383" s="123">
        <v>78</v>
      </c>
      <c r="L383" s="29">
        <v>11.667969999999999</v>
      </c>
      <c r="M383" s="110">
        <v>9.11</v>
      </c>
      <c r="N383" s="30">
        <v>8.2000000000000003E-2</v>
      </c>
      <c r="O383" s="116">
        <v>0.74702000000000002</v>
      </c>
      <c r="P383" s="30">
        <v>7.4999999999999997E-2</v>
      </c>
      <c r="Q383" s="116">
        <v>0.68324999999999991</v>
      </c>
      <c r="R383" s="30">
        <v>7.0000000000000007E-2</v>
      </c>
      <c r="S383" s="116">
        <v>0.63770000000000004</v>
      </c>
      <c r="T383" s="117">
        <v>0.49</v>
      </c>
      <c r="U383" s="39">
        <v>200</v>
      </c>
      <c r="V383" s="32">
        <v>115</v>
      </c>
      <c r="W383" s="33"/>
      <c r="X383" s="32"/>
      <c r="Y383" s="32"/>
      <c r="Z383" s="32"/>
      <c r="AA383" s="34"/>
      <c r="AB383" s="35">
        <f t="shared" si="60"/>
        <v>315</v>
      </c>
      <c r="AC383" s="75">
        <f t="shared" si="61"/>
        <v>15600</v>
      </c>
      <c r="AD383" s="78">
        <f t="shared" si="62"/>
        <v>8970</v>
      </c>
      <c r="AE383" s="72">
        <f t="shared" si="63"/>
        <v>24570</v>
      </c>
      <c r="AF383" s="75">
        <f t="shared" si="64"/>
        <v>2333.5939999999996</v>
      </c>
      <c r="AG383" s="78">
        <f t="shared" si="65"/>
        <v>1341.8165499999998</v>
      </c>
      <c r="AH383" s="72">
        <f t="shared" si="66"/>
        <v>3675.4105499999996</v>
      </c>
      <c r="AI383" s="75">
        <f t="shared" si="67"/>
        <v>1822</v>
      </c>
      <c r="AJ383" s="78">
        <f t="shared" si="68"/>
        <v>1047.6499999999999</v>
      </c>
      <c r="AK383" s="72">
        <f t="shared" si="69"/>
        <v>2869.6499999999996</v>
      </c>
    </row>
    <row r="384" spans="1:37" ht="15.95" customHeight="1">
      <c r="A384" s="25" t="s">
        <v>948</v>
      </c>
      <c r="B384" s="25" t="s">
        <v>252</v>
      </c>
      <c r="C384" s="26" t="s">
        <v>14</v>
      </c>
      <c r="D384" s="26" t="s">
        <v>373</v>
      </c>
      <c r="E384" s="26" t="s">
        <v>16</v>
      </c>
      <c r="F384" s="26" t="s">
        <v>1190</v>
      </c>
      <c r="G384" s="26" t="s">
        <v>107</v>
      </c>
      <c r="H384" s="27" t="s">
        <v>1194</v>
      </c>
      <c r="I384" s="26" t="s">
        <v>19</v>
      </c>
      <c r="J384" s="28" t="s">
        <v>1192</v>
      </c>
      <c r="K384" s="123">
        <v>125</v>
      </c>
      <c r="L384" s="29">
        <v>21.12358</v>
      </c>
      <c r="M384" s="110">
        <v>16.829999999999998</v>
      </c>
      <c r="N384" s="30">
        <v>8.1000000000000003E-2</v>
      </c>
      <c r="O384" s="116">
        <v>1.3632299999999999</v>
      </c>
      <c r="P384" s="30">
        <v>7.4999999999999997E-2</v>
      </c>
      <c r="Q384" s="116">
        <v>1.2622499999999999</v>
      </c>
      <c r="R384" s="30">
        <v>7.0000000000000007E-2</v>
      </c>
      <c r="S384" s="116">
        <v>1.1780999999999999</v>
      </c>
      <c r="T384" s="117">
        <v>0.49</v>
      </c>
      <c r="U384" s="39">
        <v>250</v>
      </c>
      <c r="V384" s="32">
        <v>131</v>
      </c>
      <c r="W384" s="33"/>
      <c r="X384" s="32"/>
      <c r="Y384" s="32"/>
      <c r="Z384" s="32"/>
      <c r="AA384" s="34"/>
      <c r="AB384" s="35">
        <f t="shared" si="60"/>
        <v>381</v>
      </c>
      <c r="AC384" s="75">
        <f t="shared" si="61"/>
        <v>31250</v>
      </c>
      <c r="AD384" s="78">
        <f t="shared" si="62"/>
        <v>16375</v>
      </c>
      <c r="AE384" s="72">
        <f t="shared" si="63"/>
        <v>47625</v>
      </c>
      <c r="AF384" s="75">
        <f t="shared" si="64"/>
        <v>5280.8950000000004</v>
      </c>
      <c r="AG384" s="78">
        <f t="shared" si="65"/>
        <v>2767.1889799999999</v>
      </c>
      <c r="AH384" s="72">
        <f t="shared" si="66"/>
        <v>8048.0839800000003</v>
      </c>
      <c r="AI384" s="75">
        <f t="shared" si="67"/>
        <v>4207.5</v>
      </c>
      <c r="AJ384" s="78">
        <f t="shared" si="68"/>
        <v>2204.7299999999996</v>
      </c>
      <c r="AK384" s="72">
        <f t="shared" si="69"/>
        <v>6412.23</v>
      </c>
    </row>
    <row r="385" spans="1:37" ht="15.95" customHeight="1">
      <c r="A385" s="25" t="s">
        <v>948</v>
      </c>
      <c r="B385" s="25" t="s">
        <v>252</v>
      </c>
      <c r="C385" s="26" t="s">
        <v>275</v>
      </c>
      <c r="D385" s="26" t="s">
        <v>373</v>
      </c>
      <c r="E385" s="26" t="s">
        <v>16</v>
      </c>
      <c r="F385" s="26" t="s">
        <v>1193</v>
      </c>
      <c r="G385" s="26" t="s">
        <v>107</v>
      </c>
      <c r="H385" s="27" t="s">
        <v>1194</v>
      </c>
      <c r="I385" s="26" t="s">
        <v>19</v>
      </c>
      <c r="J385" s="28" t="s">
        <v>1195</v>
      </c>
      <c r="K385" s="123">
        <v>78</v>
      </c>
      <c r="L385" s="29">
        <v>11.667969999999999</v>
      </c>
      <c r="M385" s="110">
        <v>9.11</v>
      </c>
      <c r="N385" s="30">
        <v>8.2000000000000003E-2</v>
      </c>
      <c r="O385" s="116">
        <v>0.74702000000000002</v>
      </c>
      <c r="P385" s="30">
        <v>7.4999999999999997E-2</v>
      </c>
      <c r="Q385" s="116">
        <v>0.68324999999999991</v>
      </c>
      <c r="R385" s="30">
        <v>7.0000000000000007E-2</v>
      </c>
      <c r="S385" s="116">
        <v>0.63770000000000004</v>
      </c>
      <c r="T385" s="117">
        <v>0.49</v>
      </c>
      <c r="U385" s="39">
        <v>250</v>
      </c>
      <c r="V385" s="32">
        <v>131</v>
      </c>
      <c r="W385" s="33"/>
      <c r="X385" s="32"/>
      <c r="Y385" s="32"/>
      <c r="Z385" s="32"/>
      <c r="AA385" s="34"/>
      <c r="AB385" s="35">
        <f t="shared" si="60"/>
        <v>381</v>
      </c>
      <c r="AC385" s="75">
        <f t="shared" si="61"/>
        <v>19500</v>
      </c>
      <c r="AD385" s="78">
        <f t="shared" si="62"/>
        <v>10218</v>
      </c>
      <c r="AE385" s="72">
        <f t="shared" si="63"/>
        <v>29718</v>
      </c>
      <c r="AF385" s="75">
        <f t="shared" si="64"/>
        <v>2916.9924999999998</v>
      </c>
      <c r="AG385" s="78">
        <f t="shared" si="65"/>
        <v>1528.5040699999997</v>
      </c>
      <c r="AH385" s="72">
        <f t="shared" si="66"/>
        <v>4445.4965699999993</v>
      </c>
      <c r="AI385" s="75">
        <f t="shared" si="67"/>
        <v>2277.5</v>
      </c>
      <c r="AJ385" s="78">
        <f t="shared" si="68"/>
        <v>1193.4099999999999</v>
      </c>
      <c r="AK385" s="72">
        <f t="shared" si="69"/>
        <v>3470.91</v>
      </c>
    </row>
    <row r="386" spans="1:37" ht="15.95" customHeight="1">
      <c r="A386" s="25" t="s">
        <v>948</v>
      </c>
      <c r="B386" s="25" t="s">
        <v>252</v>
      </c>
      <c r="C386" s="26" t="s">
        <v>1196</v>
      </c>
      <c r="D386" s="26" t="s">
        <v>213</v>
      </c>
      <c r="E386" s="26" t="s">
        <v>214</v>
      </c>
      <c r="F386" s="26" t="s">
        <v>1197</v>
      </c>
      <c r="G386" s="36" t="s">
        <v>356</v>
      </c>
      <c r="H386" s="27" t="s">
        <v>1198</v>
      </c>
      <c r="I386" s="26" t="s">
        <v>27</v>
      </c>
      <c r="J386" s="28" t="s">
        <v>227</v>
      </c>
      <c r="K386" s="123">
        <v>42</v>
      </c>
      <c r="L386" s="29">
        <v>7.3442499999999997</v>
      </c>
      <c r="M386" s="110">
        <v>5.55</v>
      </c>
      <c r="N386" s="30">
        <v>0.16500000000000001</v>
      </c>
      <c r="O386" s="116">
        <v>0.91575000000000006</v>
      </c>
      <c r="P386" s="30"/>
      <c r="Q386" s="116"/>
      <c r="R386" s="30">
        <v>7.0000000000000007E-2</v>
      </c>
      <c r="S386" s="116">
        <v>0.38850000000000001</v>
      </c>
      <c r="T386" s="117">
        <v>0.49</v>
      </c>
      <c r="U386" s="39">
        <v>200</v>
      </c>
      <c r="V386" s="32">
        <v>311</v>
      </c>
      <c r="W386" s="33"/>
      <c r="X386" s="32">
        <v>100</v>
      </c>
      <c r="Y386" s="32"/>
      <c r="Z386" s="32"/>
      <c r="AA386" s="34">
        <v>6</v>
      </c>
      <c r="AB386" s="35">
        <f t="shared" si="60"/>
        <v>617</v>
      </c>
      <c r="AC386" s="75">
        <f t="shared" si="61"/>
        <v>8400</v>
      </c>
      <c r="AD386" s="78">
        <f t="shared" si="62"/>
        <v>17514</v>
      </c>
      <c r="AE386" s="72">
        <f t="shared" si="63"/>
        <v>25914</v>
      </c>
      <c r="AF386" s="75">
        <f t="shared" si="64"/>
        <v>1468.85</v>
      </c>
      <c r="AG386" s="78">
        <f t="shared" si="65"/>
        <v>2872.36175</v>
      </c>
      <c r="AH386" s="72">
        <f t="shared" si="66"/>
        <v>4341.2117500000004</v>
      </c>
      <c r="AI386" s="75">
        <f t="shared" si="67"/>
        <v>1110</v>
      </c>
      <c r="AJ386" s="78">
        <f t="shared" si="68"/>
        <v>2314.35</v>
      </c>
      <c r="AK386" s="72">
        <f t="shared" si="69"/>
        <v>3424.35</v>
      </c>
    </row>
    <row r="387" spans="1:37" ht="15.95" customHeight="1">
      <c r="A387" s="25" t="s">
        <v>948</v>
      </c>
      <c r="B387" s="25" t="s">
        <v>252</v>
      </c>
      <c r="C387" s="26" t="s">
        <v>1199</v>
      </c>
      <c r="D387" s="26" t="s">
        <v>213</v>
      </c>
      <c r="E387" s="26" t="s">
        <v>214</v>
      </c>
      <c r="F387" s="26" t="s">
        <v>1200</v>
      </c>
      <c r="G387" s="36" t="s">
        <v>240</v>
      </c>
      <c r="H387" s="27" t="s">
        <v>95</v>
      </c>
      <c r="I387" s="26" t="s">
        <v>27</v>
      </c>
      <c r="J387" s="28" t="s">
        <v>879</v>
      </c>
      <c r="K387" s="123">
        <v>58</v>
      </c>
      <c r="L387" s="29">
        <v>8.2087500000000002</v>
      </c>
      <c r="M387" s="110">
        <v>6.25</v>
      </c>
      <c r="N387" s="30">
        <v>0.16500000000000001</v>
      </c>
      <c r="O387" s="116">
        <v>1.03125</v>
      </c>
      <c r="P387" s="30"/>
      <c r="Q387" s="116"/>
      <c r="R387" s="30">
        <v>7.0000000000000007E-2</v>
      </c>
      <c r="S387" s="116">
        <v>0.43750000000000006</v>
      </c>
      <c r="T387" s="117">
        <v>0.49</v>
      </c>
      <c r="U387" s="39">
        <v>250</v>
      </c>
      <c r="V387" s="32">
        <v>195</v>
      </c>
      <c r="W387" s="33"/>
      <c r="X387" s="32"/>
      <c r="Y387" s="32"/>
      <c r="Z387" s="32"/>
      <c r="AA387" s="34"/>
      <c r="AB387" s="35">
        <f t="shared" si="60"/>
        <v>445</v>
      </c>
      <c r="AC387" s="75">
        <f t="shared" si="61"/>
        <v>14500</v>
      </c>
      <c r="AD387" s="78">
        <f t="shared" si="62"/>
        <v>11310</v>
      </c>
      <c r="AE387" s="72">
        <f t="shared" si="63"/>
        <v>25810</v>
      </c>
      <c r="AF387" s="75">
        <f t="shared" si="64"/>
        <v>2052.1875</v>
      </c>
      <c r="AG387" s="78">
        <f t="shared" si="65"/>
        <v>1600.70625</v>
      </c>
      <c r="AH387" s="72">
        <f t="shared" si="66"/>
        <v>3652.8937500000002</v>
      </c>
      <c r="AI387" s="75">
        <f t="shared" si="67"/>
        <v>1562.5</v>
      </c>
      <c r="AJ387" s="78">
        <f t="shared" si="68"/>
        <v>1218.75</v>
      </c>
      <c r="AK387" s="72">
        <f t="shared" si="69"/>
        <v>2781.25</v>
      </c>
    </row>
    <row r="388" spans="1:37" ht="15.95" customHeight="1">
      <c r="A388" s="25" t="s">
        <v>948</v>
      </c>
      <c r="B388" s="25" t="s">
        <v>252</v>
      </c>
      <c r="C388" s="26" t="s">
        <v>1201</v>
      </c>
      <c r="D388" s="26" t="s">
        <v>213</v>
      </c>
      <c r="E388" s="26" t="s">
        <v>214</v>
      </c>
      <c r="F388" s="26" t="s">
        <v>1202</v>
      </c>
      <c r="G388" s="26" t="s">
        <v>240</v>
      </c>
      <c r="H388" s="27" t="s">
        <v>418</v>
      </c>
      <c r="I388" s="26" t="s">
        <v>27</v>
      </c>
      <c r="J388" s="28" t="s">
        <v>358</v>
      </c>
      <c r="K388" s="123">
        <v>68</v>
      </c>
      <c r="L388" s="29">
        <v>11.155250000000001</v>
      </c>
      <c r="M388" s="110">
        <v>9.25</v>
      </c>
      <c r="N388" s="30">
        <v>8.3000000000000004E-2</v>
      </c>
      <c r="O388" s="116">
        <v>0.76775000000000004</v>
      </c>
      <c r="P388" s="30"/>
      <c r="Q388" s="116"/>
      <c r="R388" s="30">
        <v>7.0000000000000007E-2</v>
      </c>
      <c r="S388" s="116">
        <v>0.64750000000000008</v>
      </c>
      <c r="T388" s="117">
        <v>0.49</v>
      </c>
      <c r="U388" s="39">
        <v>250</v>
      </c>
      <c r="V388" s="32">
        <v>192</v>
      </c>
      <c r="W388" s="33"/>
      <c r="X388" s="32"/>
      <c r="Y388" s="32"/>
      <c r="Z388" s="32"/>
      <c r="AA388" s="34">
        <v>6</v>
      </c>
      <c r="AB388" s="35">
        <f t="shared" si="60"/>
        <v>448</v>
      </c>
      <c r="AC388" s="75">
        <f t="shared" si="61"/>
        <v>17000</v>
      </c>
      <c r="AD388" s="78">
        <f t="shared" si="62"/>
        <v>13464</v>
      </c>
      <c r="AE388" s="72">
        <f t="shared" si="63"/>
        <v>30464</v>
      </c>
      <c r="AF388" s="75">
        <f t="shared" si="64"/>
        <v>2788.8125</v>
      </c>
      <c r="AG388" s="78">
        <f t="shared" si="65"/>
        <v>2197.308</v>
      </c>
      <c r="AH388" s="72">
        <f t="shared" si="66"/>
        <v>4986.1205</v>
      </c>
      <c r="AI388" s="75">
        <f t="shared" si="67"/>
        <v>2312.5</v>
      </c>
      <c r="AJ388" s="78">
        <f t="shared" si="68"/>
        <v>1831.5</v>
      </c>
      <c r="AK388" s="72">
        <f t="shared" si="69"/>
        <v>4144</v>
      </c>
    </row>
    <row r="389" spans="1:37" ht="15.95" customHeight="1">
      <c r="A389" s="25" t="s">
        <v>948</v>
      </c>
      <c r="B389" s="25" t="s">
        <v>252</v>
      </c>
      <c r="C389" s="26" t="s">
        <v>1199</v>
      </c>
      <c r="D389" s="26" t="s">
        <v>213</v>
      </c>
      <c r="E389" s="26" t="s">
        <v>214</v>
      </c>
      <c r="F389" s="26" t="s">
        <v>1200</v>
      </c>
      <c r="G389" s="26" t="s">
        <v>240</v>
      </c>
      <c r="H389" s="27" t="s">
        <v>95</v>
      </c>
      <c r="I389" s="26" t="s">
        <v>27</v>
      </c>
      <c r="J389" s="28" t="s">
        <v>879</v>
      </c>
      <c r="K389" s="123">
        <v>58</v>
      </c>
      <c r="L389" s="29">
        <v>8.2087500000000002</v>
      </c>
      <c r="M389" s="110">
        <v>6.25</v>
      </c>
      <c r="N389" s="30">
        <v>0.16500000000000001</v>
      </c>
      <c r="O389" s="116">
        <v>1.03125</v>
      </c>
      <c r="P389" s="30"/>
      <c r="Q389" s="116"/>
      <c r="R389" s="30">
        <v>7.0000000000000007E-2</v>
      </c>
      <c r="S389" s="116">
        <v>0.43750000000000006</v>
      </c>
      <c r="T389" s="117">
        <v>0.49</v>
      </c>
      <c r="U389" s="39">
        <v>200</v>
      </c>
      <c r="V389" s="32">
        <v>395</v>
      </c>
      <c r="W389" s="33"/>
      <c r="X389" s="32"/>
      <c r="Y389" s="32"/>
      <c r="Z389" s="32"/>
      <c r="AA389" s="34"/>
      <c r="AB389" s="35">
        <f t="shared" si="60"/>
        <v>595</v>
      </c>
      <c r="AC389" s="75">
        <f t="shared" si="61"/>
        <v>11600</v>
      </c>
      <c r="AD389" s="78">
        <f t="shared" si="62"/>
        <v>22910</v>
      </c>
      <c r="AE389" s="72">
        <f t="shared" si="63"/>
        <v>34510</v>
      </c>
      <c r="AF389" s="75">
        <f t="shared" si="64"/>
        <v>1641.75</v>
      </c>
      <c r="AG389" s="78">
        <f t="shared" si="65"/>
        <v>3242.4562500000002</v>
      </c>
      <c r="AH389" s="72">
        <f t="shared" si="66"/>
        <v>4884.2062500000002</v>
      </c>
      <c r="AI389" s="75">
        <f t="shared" si="67"/>
        <v>1250</v>
      </c>
      <c r="AJ389" s="78">
        <f t="shared" si="68"/>
        <v>2468.75</v>
      </c>
      <c r="AK389" s="72">
        <f t="shared" si="69"/>
        <v>3718.75</v>
      </c>
    </row>
    <row r="390" spans="1:37" ht="15.95" customHeight="1">
      <c r="A390" s="25" t="s">
        <v>948</v>
      </c>
      <c r="B390" s="25" t="s">
        <v>252</v>
      </c>
      <c r="C390" s="26" t="s">
        <v>1201</v>
      </c>
      <c r="D390" s="26" t="s">
        <v>213</v>
      </c>
      <c r="E390" s="26" t="s">
        <v>214</v>
      </c>
      <c r="F390" s="26" t="s">
        <v>1202</v>
      </c>
      <c r="G390" s="26" t="s">
        <v>240</v>
      </c>
      <c r="H390" s="27" t="s">
        <v>95</v>
      </c>
      <c r="I390" s="26" t="s">
        <v>27</v>
      </c>
      <c r="J390" s="28" t="s">
        <v>358</v>
      </c>
      <c r="K390" s="123">
        <v>68</v>
      </c>
      <c r="L390" s="29">
        <v>11.155250000000001</v>
      </c>
      <c r="M390" s="110">
        <v>9.25</v>
      </c>
      <c r="N390" s="30">
        <v>8.3000000000000004E-2</v>
      </c>
      <c r="O390" s="116">
        <v>0.76775000000000004</v>
      </c>
      <c r="P390" s="30"/>
      <c r="Q390" s="116"/>
      <c r="R390" s="30">
        <v>7.0000000000000007E-2</v>
      </c>
      <c r="S390" s="116">
        <v>0.64750000000000008</v>
      </c>
      <c r="T390" s="117">
        <v>0.49</v>
      </c>
      <c r="U390" s="39">
        <v>200</v>
      </c>
      <c r="V390" s="32">
        <v>392</v>
      </c>
      <c r="W390" s="33"/>
      <c r="X390" s="32"/>
      <c r="Y390" s="32"/>
      <c r="Z390" s="32"/>
      <c r="AA390" s="34">
        <v>6</v>
      </c>
      <c r="AB390" s="35">
        <f t="shared" si="60"/>
        <v>598</v>
      </c>
      <c r="AC390" s="75">
        <f t="shared" si="61"/>
        <v>13600</v>
      </c>
      <c r="AD390" s="78">
        <f t="shared" si="62"/>
        <v>27064</v>
      </c>
      <c r="AE390" s="72">
        <f t="shared" si="63"/>
        <v>40664</v>
      </c>
      <c r="AF390" s="75">
        <f t="shared" si="64"/>
        <v>2231.0500000000002</v>
      </c>
      <c r="AG390" s="78">
        <f t="shared" si="65"/>
        <v>4428.3580000000002</v>
      </c>
      <c r="AH390" s="72">
        <f t="shared" si="66"/>
        <v>6659.4080000000004</v>
      </c>
      <c r="AI390" s="75">
        <f t="shared" si="67"/>
        <v>1850</v>
      </c>
      <c r="AJ390" s="78">
        <f t="shared" si="68"/>
        <v>3681.5</v>
      </c>
      <c r="AK390" s="72">
        <f t="shared" si="69"/>
        <v>5531.5</v>
      </c>
    </row>
    <row r="391" spans="1:37" ht="15.95" customHeight="1">
      <c r="A391" s="25" t="s">
        <v>948</v>
      </c>
      <c r="B391" s="25" t="s">
        <v>252</v>
      </c>
      <c r="C391" s="26" t="s">
        <v>44</v>
      </c>
      <c r="D391" s="26" t="s">
        <v>213</v>
      </c>
      <c r="E391" s="26" t="s">
        <v>214</v>
      </c>
      <c r="F391" s="26" t="s">
        <v>1203</v>
      </c>
      <c r="G391" s="26" t="s">
        <v>240</v>
      </c>
      <c r="H391" s="27" t="s">
        <v>418</v>
      </c>
      <c r="I391" s="26" t="s">
        <v>27</v>
      </c>
      <c r="J391" s="37" t="s">
        <v>928</v>
      </c>
      <c r="K391" s="123">
        <v>78</v>
      </c>
      <c r="L391" s="29">
        <v>14.427</v>
      </c>
      <c r="M391" s="110">
        <v>11</v>
      </c>
      <c r="N391" s="30">
        <v>0.19700000000000001</v>
      </c>
      <c r="O391" s="116">
        <v>2.1670000000000003</v>
      </c>
      <c r="P391" s="30"/>
      <c r="Q391" s="116"/>
      <c r="R391" s="30">
        <v>7.0000000000000007E-2</v>
      </c>
      <c r="S391" s="116">
        <v>0.77</v>
      </c>
      <c r="T391" s="117">
        <v>0.49</v>
      </c>
      <c r="U391" s="39">
        <v>200</v>
      </c>
      <c r="V391" s="32">
        <v>143</v>
      </c>
      <c r="W391" s="33"/>
      <c r="X391" s="32"/>
      <c r="Y391" s="32"/>
      <c r="Z391" s="32"/>
      <c r="AA391" s="34"/>
      <c r="AB391" s="35">
        <f t="shared" si="60"/>
        <v>343</v>
      </c>
      <c r="AC391" s="75">
        <f t="shared" si="61"/>
        <v>15600</v>
      </c>
      <c r="AD391" s="78">
        <f t="shared" si="62"/>
        <v>11154</v>
      </c>
      <c r="AE391" s="72">
        <f t="shared" si="63"/>
        <v>26754</v>
      </c>
      <c r="AF391" s="75">
        <f t="shared" si="64"/>
        <v>2885.4</v>
      </c>
      <c r="AG391" s="78">
        <f t="shared" si="65"/>
        <v>2063.0610000000001</v>
      </c>
      <c r="AH391" s="72">
        <f t="shared" si="66"/>
        <v>4948.4610000000002</v>
      </c>
      <c r="AI391" s="75">
        <f t="shared" si="67"/>
        <v>2200</v>
      </c>
      <c r="AJ391" s="78">
        <f t="shared" si="68"/>
        <v>1573</v>
      </c>
      <c r="AK391" s="72">
        <f t="shared" si="69"/>
        <v>3773</v>
      </c>
    </row>
    <row r="392" spans="1:37" ht="15.95" customHeight="1">
      <c r="A392" s="25" t="s">
        <v>948</v>
      </c>
      <c r="B392" s="25" t="s">
        <v>252</v>
      </c>
      <c r="C392" s="26" t="s">
        <v>1204</v>
      </c>
      <c r="D392" s="26" t="s">
        <v>213</v>
      </c>
      <c r="E392" s="26" t="s">
        <v>214</v>
      </c>
      <c r="F392" s="26" t="s">
        <v>1205</v>
      </c>
      <c r="G392" s="26" t="s">
        <v>240</v>
      </c>
      <c r="H392" s="27" t="s">
        <v>95</v>
      </c>
      <c r="I392" s="26" t="s">
        <v>27</v>
      </c>
      <c r="J392" s="28" t="s">
        <v>349</v>
      </c>
      <c r="K392" s="123">
        <v>78</v>
      </c>
      <c r="L392" s="29">
        <v>15.727500000000001</v>
      </c>
      <c r="M392" s="110">
        <v>12.5</v>
      </c>
      <c r="N392" s="30">
        <v>0.14899999999999999</v>
      </c>
      <c r="O392" s="116">
        <v>1.8624999999999998</v>
      </c>
      <c r="P392" s="30"/>
      <c r="Q392" s="116"/>
      <c r="R392" s="30">
        <v>7.0000000000000007E-2</v>
      </c>
      <c r="S392" s="116">
        <v>0.87500000000000011</v>
      </c>
      <c r="T392" s="117">
        <v>0.49</v>
      </c>
      <c r="U392" s="39">
        <v>200</v>
      </c>
      <c r="V392" s="32">
        <v>143</v>
      </c>
      <c r="W392" s="33"/>
      <c r="X392" s="32"/>
      <c r="Y392" s="32"/>
      <c r="Z392" s="32"/>
      <c r="AA392" s="34"/>
      <c r="AB392" s="35">
        <f t="shared" si="60"/>
        <v>343</v>
      </c>
      <c r="AC392" s="75">
        <f t="shared" si="61"/>
        <v>15600</v>
      </c>
      <c r="AD392" s="78">
        <f t="shared" si="62"/>
        <v>11154</v>
      </c>
      <c r="AE392" s="72">
        <f t="shared" si="63"/>
        <v>26754</v>
      </c>
      <c r="AF392" s="75">
        <f t="shared" si="64"/>
        <v>3145.5</v>
      </c>
      <c r="AG392" s="78">
        <f t="shared" si="65"/>
        <v>2249.0325000000003</v>
      </c>
      <c r="AH392" s="72">
        <f t="shared" si="66"/>
        <v>5394.5325000000003</v>
      </c>
      <c r="AI392" s="75">
        <f t="shared" si="67"/>
        <v>2500</v>
      </c>
      <c r="AJ392" s="78">
        <f t="shared" si="68"/>
        <v>1787.5</v>
      </c>
      <c r="AK392" s="72">
        <f t="shared" si="69"/>
        <v>4287.5</v>
      </c>
    </row>
    <row r="393" spans="1:37" ht="15.95" customHeight="1">
      <c r="A393" s="25" t="s">
        <v>948</v>
      </c>
      <c r="B393" s="25" t="s">
        <v>252</v>
      </c>
      <c r="C393" s="26" t="s">
        <v>44</v>
      </c>
      <c r="D393" s="26" t="s">
        <v>213</v>
      </c>
      <c r="E393" s="26" t="s">
        <v>214</v>
      </c>
      <c r="F393" s="26" t="s">
        <v>1203</v>
      </c>
      <c r="G393" s="26" t="s">
        <v>240</v>
      </c>
      <c r="H393" s="27" t="s">
        <v>95</v>
      </c>
      <c r="I393" s="26" t="s">
        <v>27</v>
      </c>
      <c r="J393" s="37" t="s">
        <v>928</v>
      </c>
      <c r="K393" s="123">
        <v>78</v>
      </c>
      <c r="L393" s="29">
        <v>14.427</v>
      </c>
      <c r="M393" s="110">
        <v>11</v>
      </c>
      <c r="N393" s="30">
        <v>0.19700000000000001</v>
      </c>
      <c r="O393" s="116">
        <v>2.1670000000000003</v>
      </c>
      <c r="P393" s="30"/>
      <c r="Q393" s="116"/>
      <c r="R393" s="30">
        <v>7.0000000000000007E-2</v>
      </c>
      <c r="S393" s="116">
        <v>0.77</v>
      </c>
      <c r="T393" s="117">
        <v>0.49</v>
      </c>
      <c r="U393" s="39">
        <v>200</v>
      </c>
      <c r="V393" s="32">
        <v>133</v>
      </c>
      <c r="W393" s="33"/>
      <c r="X393" s="32"/>
      <c r="Y393" s="32"/>
      <c r="Z393" s="32"/>
      <c r="AA393" s="34"/>
      <c r="AB393" s="35">
        <f t="shared" si="60"/>
        <v>333</v>
      </c>
      <c r="AC393" s="75">
        <f t="shared" si="61"/>
        <v>15600</v>
      </c>
      <c r="AD393" s="78">
        <f t="shared" si="62"/>
        <v>10374</v>
      </c>
      <c r="AE393" s="72">
        <f t="shared" si="63"/>
        <v>25974</v>
      </c>
      <c r="AF393" s="75">
        <f t="shared" si="64"/>
        <v>2885.4</v>
      </c>
      <c r="AG393" s="78">
        <f t="shared" si="65"/>
        <v>1918.7909999999999</v>
      </c>
      <c r="AH393" s="72">
        <f t="shared" si="66"/>
        <v>4804.1909999999998</v>
      </c>
      <c r="AI393" s="75">
        <f t="shared" si="67"/>
        <v>2200</v>
      </c>
      <c r="AJ393" s="78">
        <f t="shared" si="68"/>
        <v>1463</v>
      </c>
      <c r="AK393" s="72">
        <f t="shared" si="69"/>
        <v>3663</v>
      </c>
    </row>
    <row r="394" spans="1:37" ht="15.95" customHeight="1">
      <c r="A394" s="25" t="s">
        <v>948</v>
      </c>
      <c r="B394" s="25" t="s">
        <v>252</v>
      </c>
      <c r="C394" s="26" t="s">
        <v>1204</v>
      </c>
      <c r="D394" s="26" t="s">
        <v>213</v>
      </c>
      <c r="E394" s="26" t="s">
        <v>214</v>
      </c>
      <c r="F394" s="26" t="s">
        <v>1205</v>
      </c>
      <c r="G394" s="26" t="s">
        <v>240</v>
      </c>
      <c r="H394" s="27" t="s">
        <v>95</v>
      </c>
      <c r="I394" s="26" t="s">
        <v>27</v>
      </c>
      <c r="J394" s="28" t="s">
        <v>349</v>
      </c>
      <c r="K394" s="123">
        <v>78</v>
      </c>
      <c r="L394" s="29">
        <v>15.727500000000001</v>
      </c>
      <c r="M394" s="110">
        <v>12.5</v>
      </c>
      <c r="N394" s="30">
        <v>0.14899999999999999</v>
      </c>
      <c r="O394" s="116">
        <v>1.8624999999999998</v>
      </c>
      <c r="P394" s="30"/>
      <c r="Q394" s="116"/>
      <c r="R394" s="30">
        <v>7.0000000000000007E-2</v>
      </c>
      <c r="S394" s="116">
        <v>0.87500000000000011</v>
      </c>
      <c r="T394" s="117">
        <v>0.49</v>
      </c>
      <c r="U394" s="39">
        <v>200</v>
      </c>
      <c r="V394" s="32">
        <v>133</v>
      </c>
      <c r="W394" s="33"/>
      <c r="X394" s="32"/>
      <c r="Y394" s="32"/>
      <c r="Z394" s="32"/>
      <c r="AA394" s="34"/>
      <c r="AB394" s="35">
        <f t="shared" si="60"/>
        <v>333</v>
      </c>
      <c r="AC394" s="75">
        <f t="shared" si="61"/>
        <v>15600</v>
      </c>
      <c r="AD394" s="78">
        <f t="shared" si="62"/>
        <v>10374</v>
      </c>
      <c r="AE394" s="72">
        <f t="shared" si="63"/>
        <v>25974</v>
      </c>
      <c r="AF394" s="75">
        <f t="shared" si="64"/>
        <v>3145.5</v>
      </c>
      <c r="AG394" s="78">
        <f t="shared" si="65"/>
        <v>2091.7575000000002</v>
      </c>
      <c r="AH394" s="72">
        <f t="shared" si="66"/>
        <v>5237.2574999999997</v>
      </c>
      <c r="AI394" s="75">
        <f t="shared" si="67"/>
        <v>2500</v>
      </c>
      <c r="AJ394" s="78">
        <f t="shared" si="68"/>
        <v>1662.5</v>
      </c>
      <c r="AK394" s="72">
        <f t="shared" si="69"/>
        <v>4162.5</v>
      </c>
    </row>
    <row r="395" spans="1:37" ht="15.95" customHeight="1">
      <c r="A395" s="25" t="s">
        <v>948</v>
      </c>
      <c r="B395" s="25" t="s">
        <v>252</v>
      </c>
      <c r="C395" s="26" t="s">
        <v>76</v>
      </c>
      <c r="D395" s="26" t="s">
        <v>419</v>
      </c>
      <c r="E395" s="26" t="s">
        <v>214</v>
      </c>
      <c r="F395" s="26" t="s">
        <v>1206</v>
      </c>
      <c r="G395" s="26" t="s">
        <v>240</v>
      </c>
      <c r="H395" s="27" t="s">
        <v>95</v>
      </c>
      <c r="I395" s="26" t="s">
        <v>27</v>
      </c>
      <c r="J395" s="28" t="s">
        <v>340</v>
      </c>
      <c r="K395" s="123">
        <v>88</v>
      </c>
      <c r="L395" s="29">
        <v>16.544999999999998</v>
      </c>
      <c r="M395" s="110">
        <v>13</v>
      </c>
      <c r="N395" s="30">
        <v>0.16500000000000001</v>
      </c>
      <c r="O395" s="116">
        <v>2.145</v>
      </c>
      <c r="P395" s="30"/>
      <c r="Q395" s="116"/>
      <c r="R395" s="30">
        <v>7.0000000000000007E-2</v>
      </c>
      <c r="S395" s="116">
        <v>0.91000000000000014</v>
      </c>
      <c r="T395" s="117">
        <v>0.49</v>
      </c>
      <c r="U395" s="39">
        <v>200</v>
      </c>
      <c r="V395" s="32">
        <v>262</v>
      </c>
      <c r="W395" s="33"/>
      <c r="X395" s="32"/>
      <c r="Y395" s="32"/>
      <c r="Z395" s="32"/>
      <c r="AA395" s="34"/>
      <c r="AB395" s="35">
        <f t="shared" si="60"/>
        <v>462</v>
      </c>
      <c r="AC395" s="75">
        <f t="shared" si="61"/>
        <v>17600</v>
      </c>
      <c r="AD395" s="78">
        <f t="shared" si="62"/>
        <v>23056</v>
      </c>
      <c r="AE395" s="72">
        <f t="shared" si="63"/>
        <v>40656</v>
      </c>
      <c r="AF395" s="75">
        <f t="shared" si="64"/>
        <v>3308.9999999999995</v>
      </c>
      <c r="AG395" s="78">
        <f t="shared" si="65"/>
        <v>4334.79</v>
      </c>
      <c r="AH395" s="72">
        <f t="shared" si="66"/>
        <v>7643.7899999999991</v>
      </c>
      <c r="AI395" s="75">
        <f t="shared" si="67"/>
        <v>2600</v>
      </c>
      <c r="AJ395" s="78">
        <f t="shared" si="68"/>
        <v>3406</v>
      </c>
      <c r="AK395" s="72">
        <f t="shared" si="69"/>
        <v>6006</v>
      </c>
    </row>
    <row r="396" spans="1:37" ht="15.95" customHeight="1">
      <c r="A396" s="25" t="s">
        <v>948</v>
      </c>
      <c r="B396" s="25" t="s">
        <v>252</v>
      </c>
      <c r="C396" s="26" t="s">
        <v>1196</v>
      </c>
      <c r="D396" s="26" t="s">
        <v>213</v>
      </c>
      <c r="E396" s="26" t="s">
        <v>214</v>
      </c>
      <c r="F396" s="26" t="s">
        <v>1207</v>
      </c>
      <c r="G396" s="26" t="s">
        <v>351</v>
      </c>
      <c r="H396" s="27" t="s">
        <v>1208</v>
      </c>
      <c r="I396" s="26" t="s">
        <v>27</v>
      </c>
      <c r="J396" s="28" t="s">
        <v>227</v>
      </c>
      <c r="K396" s="123">
        <v>42</v>
      </c>
      <c r="L396" s="29">
        <v>6.8502500000000008</v>
      </c>
      <c r="M396" s="110">
        <v>5.15</v>
      </c>
      <c r="N396" s="30">
        <v>0.16500000000000001</v>
      </c>
      <c r="O396" s="116">
        <v>0.84975000000000012</v>
      </c>
      <c r="P396" s="30"/>
      <c r="Q396" s="116"/>
      <c r="R396" s="30">
        <v>7.0000000000000007E-2</v>
      </c>
      <c r="S396" s="116">
        <v>0.36050000000000004</v>
      </c>
      <c r="T396" s="117">
        <v>0.49</v>
      </c>
      <c r="U396" s="39">
        <v>200</v>
      </c>
      <c r="V396" s="32"/>
      <c r="W396" s="33"/>
      <c r="X396" s="32"/>
      <c r="Y396" s="32"/>
      <c r="Z396" s="32"/>
      <c r="AA396" s="34">
        <v>10</v>
      </c>
      <c r="AB396" s="35">
        <f t="shared" si="60"/>
        <v>210</v>
      </c>
      <c r="AC396" s="75">
        <f t="shared" si="61"/>
        <v>8400</v>
      </c>
      <c r="AD396" s="78">
        <f t="shared" si="62"/>
        <v>420</v>
      </c>
      <c r="AE396" s="72">
        <f t="shared" si="63"/>
        <v>8820</v>
      </c>
      <c r="AF396" s="75">
        <f t="shared" si="64"/>
        <v>1370.0500000000002</v>
      </c>
      <c r="AG396" s="78">
        <f t="shared" si="65"/>
        <v>51.5</v>
      </c>
      <c r="AH396" s="72">
        <f t="shared" si="66"/>
        <v>1421.5500000000002</v>
      </c>
      <c r="AI396" s="75">
        <f t="shared" si="67"/>
        <v>1030</v>
      </c>
      <c r="AJ396" s="78">
        <f t="shared" si="68"/>
        <v>51.5</v>
      </c>
      <c r="AK396" s="72">
        <f t="shared" si="69"/>
        <v>1081.5</v>
      </c>
    </row>
    <row r="397" spans="1:37" ht="15.95" customHeight="1">
      <c r="A397" s="25" t="s">
        <v>948</v>
      </c>
      <c r="B397" s="25" t="s">
        <v>252</v>
      </c>
      <c r="C397" s="26" t="s">
        <v>1196</v>
      </c>
      <c r="D397" s="26" t="s">
        <v>213</v>
      </c>
      <c r="E397" s="26" t="s">
        <v>214</v>
      </c>
      <c r="F397" s="26" t="s">
        <v>1207</v>
      </c>
      <c r="G397" s="26" t="s">
        <v>351</v>
      </c>
      <c r="H397" s="27" t="s">
        <v>1208</v>
      </c>
      <c r="I397" s="26" t="s">
        <v>27</v>
      </c>
      <c r="J397" s="37" t="s">
        <v>227</v>
      </c>
      <c r="K397" s="123">
        <v>42</v>
      </c>
      <c r="L397" s="29">
        <v>6.8502500000000008</v>
      </c>
      <c r="M397" s="110">
        <v>5.15</v>
      </c>
      <c r="N397" s="30">
        <v>0.16500000000000001</v>
      </c>
      <c r="O397" s="116">
        <v>0.84975000000000012</v>
      </c>
      <c r="P397" s="30"/>
      <c r="Q397" s="116"/>
      <c r="R397" s="30">
        <v>7.0000000000000007E-2</v>
      </c>
      <c r="S397" s="116">
        <v>0.36050000000000004</v>
      </c>
      <c r="T397" s="117">
        <v>0.49</v>
      </c>
      <c r="U397" s="39">
        <v>200</v>
      </c>
      <c r="V397" s="32"/>
      <c r="W397" s="33"/>
      <c r="X397" s="32"/>
      <c r="Y397" s="32"/>
      <c r="Z397" s="32"/>
      <c r="AA397" s="34">
        <v>10</v>
      </c>
      <c r="AB397" s="35">
        <f t="shared" si="60"/>
        <v>210</v>
      </c>
      <c r="AC397" s="75">
        <f t="shared" si="61"/>
        <v>8400</v>
      </c>
      <c r="AD397" s="78">
        <f t="shared" si="62"/>
        <v>420</v>
      </c>
      <c r="AE397" s="72">
        <f t="shared" si="63"/>
        <v>8820</v>
      </c>
      <c r="AF397" s="75">
        <f t="shared" si="64"/>
        <v>1370.0500000000002</v>
      </c>
      <c r="AG397" s="78">
        <f t="shared" si="65"/>
        <v>51.5</v>
      </c>
      <c r="AH397" s="72">
        <f t="shared" si="66"/>
        <v>1421.5500000000002</v>
      </c>
      <c r="AI397" s="75">
        <f t="shared" si="67"/>
        <v>1030</v>
      </c>
      <c r="AJ397" s="78">
        <f t="shared" si="68"/>
        <v>51.5</v>
      </c>
      <c r="AK397" s="72">
        <f t="shared" si="69"/>
        <v>1081.5</v>
      </c>
    </row>
    <row r="398" spans="1:37" ht="15.95" customHeight="1">
      <c r="A398" s="25" t="s">
        <v>948</v>
      </c>
      <c r="B398" s="25" t="s">
        <v>252</v>
      </c>
      <c r="C398" s="26" t="s">
        <v>24</v>
      </c>
      <c r="D398" s="26" t="s">
        <v>213</v>
      </c>
      <c r="E398" s="26" t="s">
        <v>214</v>
      </c>
      <c r="F398" s="26" t="s">
        <v>1209</v>
      </c>
      <c r="G398" s="26" t="s">
        <v>1015</v>
      </c>
      <c r="H398" s="27" t="s">
        <v>1210</v>
      </c>
      <c r="I398" s="26" t="s">
        <v>27</v>
      </c>
      <c r="J398" s="37" t="s">
        <v>256</v>
      </c>
      <c r="K398" s="123">
        <v>58</v>
      </c>
      <c r="L398" s="29">
        <v>9.8725000000000005</v>
      </c>
      <c r="M398" s="110">
        <v>6.75</v>
      </c>
      <c r="N398" s="30">
        <v>0.32</v>
      </c>
      <c r="O398" s="116">
        <v>2.16</v>
      </c>
      <c r="P398" s="30"/>
      <c r="Q398" s="116"/>
      <c r="R398" s="30">
        <v>7.0000000000000007E-2</v>
      </c>
      <c r="S398" s="116">
        <v>0.47250000000000003</v>
      </c>
      <c r="T398" s="117">
        <v>0.49</v>
      </c>
      <c r="U398" s="39">
        <v>200</v>
      </c>
      <c r="V398" s="32">
        <v>108</v>
      </c>
      <c r="W398" s="33"/>
      <c r="X398" s="32"/>
      <c r="Y398" s="32"/>
      <c r="Z398" s="32"/>
      <c r="AA398" s="34"/>
      <c r="AB398" s="35">
        <f t="shared" si="60"/>
        <v>308</v>
      </c>
      <c r="AC398" s="75">
        <f t="shared" si="61"/>
        <v>11600</v>
      </c>
      <c r="AD398" s="78">
        <f t="shared" si="62"/>
        <v>6264</v>
      </c>
      <c r="AE398" s="72">
        <f t="shared" si="63"/>
        <v>17864</v>
      </c>
      <c r="AF398" s="75">
        <f t="shared" si="64"/>
        <v>1974.5</v>
      </c>
      <c r="AG398" s="78">
        <f t="shared" si="65"/>
        <v>1066.23</v>
      </c>
      <c r="AH398" s="72">
        <f t="shared" si="66"/>
        <v>3040.73</v>
      </c>
      <c r="AI398" s="75">
        <f t="shared" si="67"/>
        <v>1350</v>
      </c>
      <c r="AJ398" s="78">
        <f t="shared" si="68"/>
        <v>729</v>
      </c>
      <c r="AK398" s="72">
        <f t="shared" si="69"/>
        <v>2079</v>
      </c>
    </row>
    <row r="399" spans="1:37" ht="15.95" customHeight="1">
      <c r="A399" s="25" t="s">
        <v>948</v>
      </c>
      <c r="B399" s="25" t="s">
        <v>252</v>
      </c>
      <c r="C399" s="26" t="s">
        <v>982</v>
      </c>
      <c r="D399" s="26" t="s">
        <v>213</v>
      </c>
      <c r="E399" s="26" t="s">
        <v>214</v>
      </c>
      <c r="F399" s="26" t="s">
        <v>1211</v>
      </c>
      <c r="G399" s="26" t="s">
        <v>240</v>
      </c>
      <c r="H399" s="27" t="s">
        <v>95</v>
      </c>
      <c r="I399" s="26" t="s">
        <v>27</v>
      </c>
      <c r="J399" s="28" t="s">
        <v>881</v>
      </c>
      <c r="K399" s="123">
        <v>78</v>
      </c>
      <c r="L399" s="29">
        <v>11.156250000000002</v>
      </c>
      <c r="M399" s="110">
        <v>8.75</v>
      </c>
      <c r="N399" s="30">
        <v>0.14899999999999999</v>
      </c>
      <c r="O399" s="116">
        <v>1.30375</v>
      </c>
      <c r="P399" s="30"/>
      <c r="Q399" s="116"/>
      <c r="R399" s="30">
        <v>7.0000000000000007E-2</v>
      </c>
      <c r="S399" s="116">
        <v>0.61250000000000004</v>
      </c>
      <c r="T399" s="117">
        <v>0.49</v>
      </c>
      <c r="U399" s="39">
        <v>200</v>
      </c>
      <c r="V399" s="32">
        <v>120</v>
      </c>
      <c r="W399" s="33"/>
      <c r="X399" s="32"/>
      <c r="Y399" s="32"/>
      <c r="Z399" s="32"/>
      <c r="AA399" s="34">
        <v>4</v>
      </c>
      <c r="AB399" s="35">
        <f t="shared" si="60"/>
        <v>324</v>
      </c>
      <c r="AC399" s="75">
        <f t="shared" si="61"/>
        <v>15600</v>
      </c>
      <c r="AD399" s="78">
        <f t="shared" si="62"/>
        <v>9672</v>
      </c>
      <c r="AE399" s="72">
        <f t="shared" si="63"/>
        <v>25272</v>
      </c>
      <c r="AF399" s="75">
        <f t="shared" si="64"/>
        <v>2231.2500000000005</v>
      </c>
      <c r="AG399" s="78">
        <f t="shared" si="65"/>
        <v>1373.7500000000002</v>
      </c>
      <c r="AH399" s="72">
        <f t="shared" si="66"/>
        <v>3605.0000000000009</v>
      </c>
      <c r="AI399" s="75">
        <f t="shared" si="67"/>
        <v>1750</v>
      </c>
      <c r="AJ399" s="78">
        <f t="shared" si="68"/>
        <v>1085</v>
      </c>
      <c r="AK399" s="72">
        <f t="shared" si="69"/>
        <v>2835</v>
      </c>
    </row>
    <row r="400" spans="1:37" ht="15.95" customHeight="1">
      <c r="A400" s="25" t="s">
        <v>948</v>
      </c>
      <c r="B400" s="25" t="s">
        <v>252</v>
      </c>
      <c r="C400" s="26" t="s">
        <v>468</v>
      </c>
      <c r="D400" s="26" t="s">
        <v>213</v>
      </c>
      <c r="E400" s="26" t="s">
        <v>214</v>
      </c>
      <c r="F400" s="26" t="s">
        <v>1212</v>
      </c>
      <c r="G400" s="26" t="s">
        <v>240</v>
      </c>
      <c r="H400" s="27" t="s">
        <v>95</v>
      </c>
      <c r="I400" s="26" t="s">
        <v>27</v>
      </c>
      <c r="J400" s="28" t="s">
        <v>928</v>
      </c>
      <c r="K400" s="123">
        <v>125</v>
      </c>
      <c r="L400" s="29">
        <v>25.83</v>
      </c>
      <c r="M400" s="110">
        <v>20</v>
      </c>
      <c r="N400" s="30">
        <v>0.19700000000000001</v>
      </c>
      <c r="O400" s="116">
        <v>3.9400000000000004</v>
      </c>
      <c r="P400" s="30"/>
      <c r="Q400" s="116"/>
      <c r="R400" s="30">
        <v>7.0000000000000007E-2</v>
      </c>
      <c r="S400" s="116">
        <v>1.4000000000000001</v>
      </c>
      <c r="T400" s="117">
        <v>0.49</v>
      </c>
      <c r="U400" s="39">
        <v>200</v>
      </c>
      <c r="V400" s="32">
        <v>130</v>
      </c>
      <c r="W400" s="33"/>
      <c r="X400" s="32"/>
      <c r="Y400" s="32"/>
      <c r="Z400" s="32"/>
      <c r="AA400" s="34"/>
      <c r="AB400" s="35">
        <f t="shared" si="60"/>
        <v>330</v>
      </c>
      <c r="AC400" s="75">
        <f t="shared" si="61"/>
        <v>25000</v>
      </c>
      <c r="AD400" s="78">
        <f t="shared" si="62"/>
        <v>16250</v>
      </c>
      <c r="AE400" s="72">
        <f t="shared" si="63"/>
        <v>41250</v>
      </c>
      <c r="AF400" s="75">
        <f t="shared" si="64"/>
        <v>5166</v>
      </c>
      <c r="AG400" s="78">
        <f t="shared" si="65"/>
        <v>3357.8999999999996</v>
      </c>
      <c r="AH400" s="72">
        <f t="shared" si="66"/>
        <v>8523.9</v>
      </c>
      <c r="AI400" s="75">
        <f t="shared" si="67"/>
        <v>4000</v>
      </c>
      <c r="AJ400" s="78">
        <f t="shared" si="68"/>
        <v>2600</v>
      </c>
      <c r="AK400" s="72">
        <f t="shared" si="69"/>
        <v>6600</v>
      </c>
    </row>
    <row r="401" spans="1:37" ht="15.95" customHeight="1">
      <c r="A401" s="25" t="s">
        <v>948</v>
      </c>
      <c r="B401" s="25" t="s">
        <v>252</v>
      </c>
      <c r="C401" s="26" t="s">
        <v>24</v>
      </c>
      <c r="D401" s="26" t="s">
        <v>213</v>
      </c>
      <c r="E401" s="26" t="s">
        <v>214</v>
      </c>
      <c r="F401" s="26" t="s">
        <v>1213</v>
      </c>
      <c r="G401" s="26" t="s">
        <v>356</v>
      </c>
      <c r="H401" s="27" t="s">
        <v>1214</v>
      </c>
      <c r="I401" s="26" t="s">
        <v>27</v>
      </c>
      <c r="J401" s="28" t="s">
        <v>227</v>
      </c>
      <c r="K401" s="123">
        <v>42</v>
      </c>
      <c r="L401" s="29">
        <v>7.2824999999999998</v>
      </c>
      <c r="M401" s="110">
        <v>5.5</v>
      </c>
      <c r="N401" s="30">
        <v>0.16500000000000001</v>
      </c>
      <c r="O401" s="116">
        <v>0.90750000000000008</v>
      </c>
      <c r="P401" s="30"/>
      <c r="Q401" s="116"/>
      <c r="R401" s="30">
        <v>7.0000000000000007E-2</v>
      </c>
      <c r="S401" s="116">
        <v>0.38500000000000001</v>
      </c>
      <c r="T401" s="117">
        <v>0.49</v>
      </c>
      <c r="U401" s="39">
        <v>250</v>
      </c>
      <c r="V401" s="32">
        <v>203</v>
      </c>
      <c r="W401" s="33"/>
      <c r="X401" s="32"/>
      <c r="Y401" s="32"/>
      <c r="Z401" s="32"/>
      <c r="AA401" s="34">
        <v>10</v>
      </c>
      <c r="AB401" s="35">
        <f t="shared" si="60"/>
        <v>463</v>
      </c>
      <c r="AC401" s="75">
        <f t="shared" si="61"/>
        <v>10500</v>
      </c>
      <c r="AD401" s="78">
        <f t="shared" si="62"/>
        <v>8946</v>
      </c>
      <c r="AE401" s="72">
        <f t="shared" si="63"/>
        <v>19446</v>
      </c>
      <c r="AF401" s="75">
        <f t="shared" si="64"/>
        <v>1820.625</v>
      </c>
      <c r="AG401" s="78">
        <f t="shared" si="65"/>
        <v>1533.3474999999999</v>
      </c>
      <c r="AH401" s="72">
        <f t="shared" si="66"/>
        <v>3353.9724999999999</v>
      </c>
      <c r="AI401" s="75">
        <f t="shared" si="67"/>
        <v>1375</v>
      </c>
      <c r="AJ401" s="78">
        <f t="shared" si="68"/>
        <v>1171.5</v>
      </c>
      <c r="AK401" s="72">
        <f t="shared" si="69"/>
        <v>2546.5</v>
      </c>
    </row>
    <row r="402" spans="1:37" ht="15.95" customHeight="1">
      <c r="A402" s="25" t="s">
        <v>948</v>
      </c>
      <c r="B402" s="25" t="s">
        <v>252</v>
      </c>
      <c r="C402" s="26" t="s">
        <v>1215</v>
      </c>
      <c r="D402" s="26" t="s">
        <v>213</v>
      </c>
      <c r="E402" s="26" t="s">
        <v>214</v>
      </c>
      <c r="F402" s="26" t="s">
        <v>1216</v>
      </c>
      <c r="G402" s="26" t="s">
        <v>1015</v>
      </c>
      <c r="H402" s="27" t="s">
        <v>1210</v>
      </c>
      <c r="I402" s="26" t="s">
        <v>27</v>
      </c>
      <c r="J402" s="28" t="s">
        <v>311</v>
      </c>
      <c r="K402" s="123">
        <v>48</v>
      </c>
      <c r="L402" s="29">
        <v>6.9947499999999998</v>
      </c>
      <c r="M402" s="110">
        <v>5.25</v>
      </c>
      <c r="N402" s="30">
        <v>0.16900000000000001</v>
      </c>
      <c r="O402" s="116">
        <v>0.88725000000000009</v>
      </c>
      <c r="P402" s="30"/>
      <c r="Q402" s="116"/>
      <c r="R402" s="30">
        <v>7.0000000000000007E-2</v>
      </c>
      <c r="S402" s="116">
        <v>0.36750000000000005</v>
      </c>
      <c r="T402" s="117">
        <v>0.49</v>
      </c>
      <c r="U402" s="39">
        <v>250</v>
      </c>
      <c r="V402" s="32"/>
      <c r="W402" s="33"/>
      <c r="X402" s="32"/>
      <c r="Y402" s="32"/>
      <c r="Z402" s="32"/>
      <c r="AA402" s="34"/>
      <c r="AB402" s="35">
        <f t="shared" si="60"/>
        <v>250</v>
      </c>
      <c r="AC402" s="75">
        <f t="shared" si="61"/>
        <v>12000</v>
      </c>
      <c r="AD402" s="78">
        <f t="shared" si="62"/>
        <v>0</v>
      </c>
      <c r="AE402" s="72">
        <f t="shared" si="63"/>
        <v>12000</v>
      </c>
      <c r="AF402" s="75">
        <f t="shared" si="64"/>
        <v>1748.6875</v>
      </c>
      <c r="AG402" s="78">
        <f t="shared" si="65"/>
        <v>0</v>
      </c>
      <c r="AH402" s="72">
        <f t="shared" si="66"/>
        <v>1748.6875</v>
      </c>
      <c r="AI402" s="75">
        <f t="shared" si="67"/>
        <v>1312.5</v>
      </c>
      <c r="AJ402" s="78">
        <f t="shared" si="68"/>
        <v>0</v>
      </c>
      <c r="AK402" s="72">
        <f t="shared" si="69"/>
        <v>1312.5</v>
      </c>
    </row>
    <row r="403" spans="1:37" ht="15.95" customHeight="1">
      <c r="A403" s="25" t="s">
        <v>948</v>
      </c>
      <c r="B403" s="25" t="s">
        <v>252</v>
      </c>
      <c r="C403" s="26" t="s">
        <v>1196</v>
      </c>
      <c r="D403" s="26" t="s">
        <v>375</v>
      </c>
      <c r="E403" s="26" t="s">
        <v>16</v>
      </c>
      <c r="F403" s="26" t="s">
        <v>1217</v>
      </c>
      <c r="G403" s="26" t="s">
        <v>1025</v>
      </c>
      <c r="H403" s="27" t="s">
        <v>1026</v>
      </c>
      <c r="I403" s="26" t="s">
        <v>27</v>
      </c>
      <c r="J403" s="28" t="s">
        <v>256</v>
      </c>
      <c r="K403" s="123">
        <v>68</v>
      </c>
      <c r="L403" s="29">
        <v>14.407500000000001</v>
      </c>
      <c r="M403" s="110">
        <v>9.5</v>
      </c>
      <c r="N403" s="30">
        <v>0.32</v>
      </c>
      <c r="O403" s="116">
        <v>3.04</v>
      </c>
      <c r="P403" s="30">
        <v>7.4999999999999997E-2</v>
      </c>
      <c r="Q403" s="116">
        <v>0.71250000000000002</v>
      </c>
      <c r="R403" s="30">
        <v>7.0000000000000007E-2</v>
      </c>
      <c r="S403" s="116">
        <v>0.66500000000000004</v>
      </c>
      <c r="T403" s="117">
        <v>0.49</v>
      </c>
      <c r="U403" s="39">
        <v>250</v>
      </c>
      <c r="V403" s="32">
        <v>270</v>
      </c>
      <c r="W403" s="33"/>
      <c r="X403" s="32"/>
      <c r="Y403" s="32"/>
      <c r="Z403" s="32"/>
      <c r="AA403" s="34">
        <v>10</v>
      </c>
      <c r="AB403" s="35">
        <f t="shared" si="60"/>
        <v>530</v>
      </c>
      <c r="AC403" s="75">
        <f t="shared" si="61"/>
        <v>17000</v>
      </c>
      <c r="AD403" s="78">
        <f t="shared" si="62"/>
        <v>19040</v>
      </c>
      <c r="AE403" s="72">
        <f t="shared" si="63"/>
        <v>36040</v>
      </c>
      <c r="AF403" s="75">
        <f t="shared" si="64"/>
        <v>3601.875</v>
      </c>
      <c r="AG403" s="78">
        <f t="shared" si="65"/>
        <v>3985.0250000000001</v>
      </c>
      <c r="AH403" s="72">
        <f t="shared" si="66"/>
        <v>7586.9</v>
      </c>
      <c r="AI403" s="75">
        <f t="shared" si="67"/>
        <v>2375</v>
      </c>
      <c r="AJ403" s="78">
        <f t="shared" si="68"/>
        <v>2660</v>
      </c>
      <c r="AK403" s="72">
        <f t="shared" si="69"/>
        <v>5035</v>
      </c>
    </row>
    <row r="404" spans="1:37" ht="15.95" customHeight="1">
      <c r="A404" s="25" t="s">
        <v>948</v>
      </c>
      <c r="B404" s="25" t="s">
        <v>252</v>
      </c>
      <c r="C404" s="26" t="s">
        <v>1201</v>
      </c>
      <c r="D404" s="26" t="s">
        <v>375</v>
      </c>
      <c r="E404" s="26" t="s">
        <v>16</v>
      </c>
      <c r="F404" s="26" t="s">
        <v>1218</v>
      </c>
      <c r="G404" s="26" t="s">
        <v>1219</v>
      </c>
      <c r="H404" s="27" t="s">
        <v>1220</v>
      </c>
      <c r="I404" s="26" t="s">
        <v>27</v>
      </c>
      <c r="J404" s="28" t="s">
        <v>259</v>
      </c>
      <c r="K404" s="123">
        <v>98</v>
      </c>
      <c r="L404" s="29">
        <v>22.609749999999995</v>
      </c>
      <c r="M404" s="110">
        <v>16.95</v>
      </c>
      <c r="N404" s="30">
        <v>0.16</v>
      </c>
      <c r="O404" s="116">
        <v>2.7119999999999997</v>
      </c>
      <c r="P404" s="30">
        <v>7.4999999999999997E-2</v>
      </c>
      <c r="Q404" s="116">
        <v>1.27125</v>
      </c>
      <c r="R404" s="30">
        <v>7.0000000000000007E-2</v>
      </c>
      <c r="S404" s="116">
        <v>1.1865000000000001</v>
      </c>
      <c r="T404" s="117">
        <v>0.49</v>
      </c>
      <c r="U404" s="39">
        <v>250</v>
      </c>
      <c r="V404" s="32">
        <v>343</v>
      </c>
      <c r="W404" s="33"/>
      <c r="X404" s="32"/>
      <c r="Y404" s="32"/>
      <c r="Z404" s="32"/>
      <c r="AA404" s="34">
        <v>30</v>
      </c>
      <c r="AB404" s="35">
        <f t="shared" si="60"/>
        <v>623</v>
      </c>
      <c r="AC404" s="75">
        <f t="shared" si="61"/>
        <v>24500</v>
      </c>
      <c r="AD404" s="78">
        <f t="shared" si="62"/>
        <v>36554</v>
      </c>
      <c r="AE404" s="72">
        <f t="shared" si="63"/>
        <v>61054</v>
      </c>
      <c r="AF404" s="75">
        <f t="shared" si="64"/>
        <v>5652.4374999999991</v>
      </c>
      <c r="AG404" s="78">
        <f t="shared" si="65"/>
        <v>8263.6442499999976</v>
      </c>
      <c r="AH404" s="72">
        <f t="shared" si="66"/>
        <v>13916.081749999998</v>
      </c>
      <c r="AI404" s="75">
        <f t="shared" si="67"/>
        <v>4237.5</v>
      </c>
      <c r="AJ404" s="78">
        <f t="shared" si="68"/>
        <v>6322.3499999999995</v>
      </c>
      <c r="AK404" s="72">
        <f t="shared" si="69"/>
        <v>10559.849999999999</v>
      </c>
    </row>
    <row r="405" spans="1:37" ht="15.95" customHeight="1">
      <c r="A405" s="25" t="s">
        <v>948</v>
      </c>
      <c r="B405" s="25" t="s">
        <v>252</v>
      </c>
      <c r="C405" s="26" t="s">
        <v>1196</v>
      </c>
      <c r="D405" s="26" t="s">
        <v>375</v>
      </c>
      <c r="E405" s="26" t="s">
        <v>16</v>
      </c>
      <c r="F405" s="26" t="s">
        <v>1217</v>
      </c>
      <c r="G405" s="26" t="s">
        <v>1025</v>
      </c>
      <c r="H405" s="27" t="s">
        <v>1026</v>
      </c>
      <c r="I405" s="26" t="s">
        <v>27</v>
      </c>
      <c r="J405" s="28" t="s">
        <v>256</v>
      </c>
      <c r="K405" s="123">
        <v>68</v>
      </c>
      <c r="L405" s="29">
        <v>14.407500000000001</v>
      </c>
      <c r="M405" s="110">
        <v>9.5</v>
      </c>
      <c r="N405" s="30">
        <v>0.32</v>
      </c>
      <c r="O405" s="116">
        <v>3.04</v>
      </c>
      <c r="P405" s="30">
        <v>7.4999999999999997E-2</v>
      </c>
      <c r="Q405" s="116">
        <v>0.71250000000000002</v>
      </c>
      <c r="R405" s="30">
        <v>7.0000000000000007E-2</v>
      </c>
      <c r="S405" s="116">
        <v>0.66500000000000004</v>
      </c>
      <c r="T405" s="117">
        <v>0.49</v>
      </c>
      <c r="U405" s="39">
        <v>250</v>
      </c>
      <c r="V405" s="32">
        <v>229</v>
      </c>
      <c r="W405" s="33"/>
      <c r="X405" s="32"/>
      <c r="Y405" s="32"/>
      <c r="Z405" s="32"/>
      <c r="AA405" s="34">
        <v>10</v>
      </c>
      <c r="AB405" s="35">
        <f t="shared" si="60"/>
        <v>489</v>
      </c>
      <c r="AC405" s="75">
        <f t="shared" si="61"/>
        <v>17000</v>
      </c>
      <c r="AD405" s="78">
        <f t="shared" si="62"/>
        <v>16252</v>
      </c>
      <c r="AE405" s="72">
        <f t="shared" si="63"/>
        <v>33252</v>
      </c>
      <c r="AF405" s="75">
        <f t="shared" si="64"/>
        <v>3601.875</v>
      </c>
      <c r="AG405" s="78">
        <f t="shared" si="65"/>
        <v>3394.3175000000001</v>
      </c>
      <c r="AH405" s="72">
        <f t="shared" si="66"/>
        <v>6996.1925000000001</v>
      </c>
      <c r="AI405" s="75">
        <f t="shared" si="67"/>
        <v>2375</v>
      </c>
      <c r="AJ405" s="78">
        <f t="shared" si="68"/>
        <v>2270.5</v>
      </c>
      <c r="AK405" s="72">
        <f t="shared" si="69"/>
        <v>4645.5</v>
      </c>
    </row>
    <row r="406" spans="1:37" ht="15.95" customHeight="1">
      <c r="A406" s="25" t="s">
        <v>948</v>
      </c>
      <c r="B406" s="25" t="s">
        <v>252</v>
      </c>
      <c r="C406" s="26" t="s">
        <v>1201</v>
      </c>
      <c r="D406" s="26" t="s">
        <v>375</v>
      </c>
      <c r="E406" s="26" t="s">
        <v>16</v>
      </c>
      <c r="F406" s="26" t="s">
        <v>1218</v>
      </c>
      <c r="G406" s="26" t="s">
        <v>1219</v>
      </c>
      <c r="H406" s="27" t="s">
        <v>1220</v>
      </c>
      <c r="I406" s="26" t="s">
        <v>27</v>
      </c>
      <c r="J406" s="28" t="s">
        <v>259</v>
      </c>
      <c r="K406" s="124">
        <v>98</v>
      </c>
      <c r="L406" s="29">
        <v>22.609749999999995</v>
      </c>
      <c r="M406" s="110">
        <v>16.95</v>
      </c>
      <c r="N406" s="30">
        <v>0.16</v>
      </c>
      <c r="O406" s="116">
        <v>2.7119999999999997</v>
      </c>
      <c r="P406" s="30">
        <v>7.4999999999999997E-2</v>
      </c>
      <c r="Q406" s="116">
        <v>1.27125</v>
      </c>
      <c r="R406" s="30">
        <v>7.0000000000000007E-2</v>
      </c>
      <c r="S406" s="116">
        <v>1.1865000000000001</v>
      </c>
      <c r="T406" s="117">
        <v>0.49</v>
      </c>
      <c r="U406" s="39">
        <v>250</v>
      </c>
      <c r="V406" s="32">
        <v>226</v>
      </c>
      <c r="W406" s="33"/>
      <c r="X406" s="32"/>
      <c r="Y406" s="32"/>
      <c r="Z406" s="32"/>
      <c r="AA406" s="34">
        <v>20</v>
      </c>
      <c r="AB406" s="35">
        <f t="shared" si="60"/>
        <v>496</v>
      </c>
      <c r="AC406" s="75">
        <f t="shared" si="61"/>
        <v>24500</v>
      </c>
      <c r="AD406" s="78">
        <f t="shared" si="62"/>
        <v>24108</v>
      </c>
      <c r="AE406" s="72">
        <f t="shared" si="63"/>
        <v>48608</v>
      </c>
      <c r="AF406" s="75">
        <f t="shared" si="64"/>
        <v>5652.4374999999991</v>
      </c>
      <c r="AG406" s="78">
        <f t="shared" si="65"/>
        <v>5448.8034999999991</v>
      </c>
      <c r="AH406" s="72">
        <f t="shared" si="66"/>
        <v>11101.240999999998</v>
      </c>
      <c r="AI406" s="75">
        <f t="shared" si="67"/>
        <v>4237.5</v>
      </c>
      <c r="AJ406" s="78">
        <f t="shared" si="68"/>
        <v>4169.7</v>
      </c>
      <c r="AK406" s="72">
        <f t="shared" si="69"/>
        <v>8407.2000000000007</v>
      </c>
    </row>
    <row r="407" spans="1:37" ht="15.95" customHeight="1">
      <c r="A407" s="25" t="s">
        <v>948</v>
      </c>
      <c r="B407" s="25" t="s">
        <v>252</v>
      </c>
      <c r="C407" s="26" t="s">
        <v>293</v>
      </c>
      <c r="D407" s="26" t="s">
        <v>375</v>
      </c>
      <c r="E407" s="26" t="s">
        <v>16</v>
      </c>
      <c r="F407" s="26" t="s">
        <v>1221</v>
      </c>
      <c r="G407" s="26" t="s">
        <v>297</v>
      </c>
      <c r="H407" s="27" t="s">
        <v>1222</v>
      </c>
      <c r="I407" s="26" t="s">
        <v>27</v>
      </c>
      <c r="J407" s="28" t="s">
        <v>301</v>
      </c>
      <c r="K407" s="123">
        <v>110</v>
      </c>
      <c r="L407" s="29">
        <v>22.674999999999997</v>
      </c>
      <c r="M407" s="110">
        <v>17</v>
      </c>
      <c r="N407" s="30">
        <v>0.16</v>
      </c>
      <c r="O407" s="116">
        <v>2.72</v>
      </c>
      <c r="P407" s="30">
        <v>7.4999999999999997E-2</v>
      </c>
      <c r="Q407" s="116">
        <v>1.2749999999999999</v>
      </c>
      <c r="R407" s="30">
        <v>7.0000000000000007E-2</v>
      </c>
      <c r="S407" s="116">
        <v>1.1900000000000002</v>
      </c>
      <c r="T407" s="117">
        <v>0.49</v>
      </c>
      <c r="U407" s="39">
        <v>302</v>
      </c>
      <c r="V407" s="32"/>
      <c r="W407" s="33"/>
      <c r="X407" s="32"/>
      <c r="Y407" s="32"/>
      <c r="Z407" s="32"/>
      <c r="AA407" s="34">
        <v>4</v>
      </c>
      <c r="AB407" s="35">
        <f t="shared" si="60"/>
        <v>306</v>
      </c>
      <c r="AC407" s="75">
        <f t="shared" si="61"/>
        <v>33220</v>
      </c>
      <c r="AD407" s="78">
        <f t="shared" si="62"/>
        <v>440</v>
      </c>
      <c r="AE407" s="72">
        <f t="shared" si="63"/>
        <v>33660</v>
      </c>
      <c r="AF407" s="75">
        <f t="shared" si="64"/>
        <v>6847.8499999999995</v>
      </c>
      <c r="AG407" s="78">
        <f t="shared" si="65"/>
        <v>68</v>
      </c>
      <c r="AH407" s="72">
        <f t="shared" si="66"/>
        <v>6915.8499999999995</v>
      </c>
      <c r="AI407" s="75">
        <f t="shared" si="67"/>
        <v>5134</v>
      </c>
      <c r="AJ407" s="78">
        <f t="shared" si="68"/>
        <v>68</v>
      </c>
      <c r="AK407" s="72">
        <f t="shared" si="69"/>
        <v>5202</v>
      </c>
    </row>
    <row r="408" spans="1:37" ht="15.95" customHeight="1">
      <c r="A408" s="25" t="s">
        <v>948</v>
      </c>
      <c r="B408" s="25" t="s">
        <v>252</v>
      </c>
      <c r="C408" s="26" t="s">
        <v>293</v>
      </c>
      <c r="D408" s="26" t="s">
        <v>375</v>
      </c>
      <c r="E408" s="26" t="s">
        <v>16</v>
      </c>
      <c r="F408" s="26" t="s">
        <v>1221</v>
      </c>
      <c r="G408" s="26" t="s">
        <v>297</v>
      </c>
      <c r="H408" s="27" t="s">
        <v>1222</v>
      </c>
      <c r="I408" s="26" t="s">
        <v>27</v>
      </c>
      <c r="J408" s="28" t="s">
        <v>301</v>
      </c>
      <c r="K408" s="123">
        <v>110</v>
      </c>
      <c r="L408" s="29">
        <v>22.674999999999997</v>
      </c>
      <c r="M408" s="110">
        <v>17</v>
      </c>
      <c r="N408" s="30">
        <v>0.16</v>
      </c>
      <c r="O408" s="116">
        <v>2.72</v>
      </c>
      <c r="P408" s="30">
        <v>7.4999999999999997E-2</v>
      </c>
      <c r="Q408" s="116">
        <v>1.2749999999999999</v>
      </c>
      <c r="R408" s="30">
        <v>7.0000000000000007E-2</v>
      </c>
      <c r="S408" s="116">
        <v>1.1900000000000002</v>
      </c>
      <c r="T408" s="117">
        <v>0.49</v>
      </c>
      <c r="U408" s="39">
        <v>265</v>
      </c>
      <c r="V408" s="32"/>
      <c r="W408" s="33"/>
      <c r="X408" s="32"/>
      <c r="Y408" s="32"/>
      <c r="Z408" s="32"/>
      <c r="AA408" s="34">
        <v>4</v>
      </c>
      <c r="AB408" s="35">
        <f t="shared" si="60"/>
        <v>269</v>
      </c>
      <c r="AC408" s="75">
        <f t="shared" si="61"/>
        <v>29150</v>
      </c>
      <c r="AD408" s="78">
        <f t="shared" si="62"/>
        <v>440</v>
      </c>
      <c r="AE408" s="72">
        <f t="shared" si="63"/>
        <v>29590</v>
      </c>
      <c r="AF408" s="75">
        <f t="shared" si="64"/>
        <v>6008.8749999999991</v>
      </c>
      <c r="AG408" s="78">
        <f t="shared" si="65"/>
        <v>68</v>
      </c>
      <c r="AH408" s="72">
        <f t="shared" si="66"/>
        <v>6076.8749999999991</v>
      </c>
      <c r="AI408" s="75">
        <f t="shared" si="67"/>
        <v>4505</v>
      </c>
      <c r="AJ408" s="78">
        <f t="shared" si="68"/>
        <v>68</v>
      </c>
      <c r="AK408" s="72">
        <f t="shared" si="69"/>
        <v>4573</v>
      </c>
    </row>
    <row r="409" spans="1:37" ht="15.95" customHeight="1">
      <c r="A409" s="25" t="s">
        <v>948</v>
      </c>
      <c r="B409" s="25" t="s">
        <v>252</v>
      </c>
      <c r="C409" s="26" t="s">
        <v>293</v>
      </c>
      <c r="D409" s="26" t="s">
        <v>375</v>
      </c>
      <c r="E409" s="26" t="s">
        <v>16</v>
      </c>
      <c r="F409" s="26" t="s">
        <v>1221</v>
      </c>
      <c r="G409" s="26" t="s">
        <v>297</v>
      </c>
      <c r="H409" s="27" t="s">
        <v>1222</v>
      </c>
      <c r="I409" s="26" t="s">
        <v>27</v>
      </c>
      <c r="J409" s="28" t="s">
        <v>301</v>
      </c>
      <c r="K409" s="123">
        <v>110</v>
      </c>
      <c r="L409" s="29">
        <v>22.674999999999997</v>
      </c>
      <c r="M409" s="110">
        <v>17</v>
      </c>
      <c r="N409" s="30">
        <v>0.16</v>
      </c>
      <c r="O409" s="116">
        <v>2.72</v>
      </c>
      <c r="P409" s="30">
        <v>7.4999999999999997E-2</v>
      </c>
      <c r="Q409" s="116">
        <v>1.2749999999999999</v>
      </c>
      <c r="R409" s="30">
        <v>7.0000000000000007E-2</v>
      </c>
      <c r="S409" s="116">
        <v>1.1900000000000002</v>
      </c>
      <c r="T409" s="117">
        <v>0.49</v>
      </c>
      <c r="U409" s="39">
        <v>367</v>
      </c>
      <c r="V409" s="32"/>
      <c r="W409" s="33"/>
      <c r="X409" s="32"/>
      <c r="Y409" s="32"/>
      <c r="Z409" s="32"/>
      <c r="AA409" s="34">
        <v>4</v>
      </c>
      <c r="AB409" s="35">
        <f t="shared" si="60"/>
        <v>371</v>
      </c>
      <c r="AC409" s="75">
        <f t="shared" si="61"/>
        <v>40370</v>
      </c>
      <c r="AD409" s="78">
        <f t="shared" si="62"/>
        <v>440</v>
      </c>
      <c r="AE409" s="72">
        <f t="shared" si="63"/>
        <v>40810</v>
      </c>
      <c r="AF409" s="75">
        <f t="shared" si="64"/>
        <v>8321.7249999999985</v>
      </c>
      <c r="AG409" s="78">
        <f t="shared" si="65"/>
        <v>68</v>
      </c>
      <c r="AH409" s="72">
        <f t="shared" si="66"/>
        <v>8389.7249999999985</v>
      </c>
      <c r="AI409" s="75">
        <f t="shared" si="67"/>
        <v>6239</v>
      </c>
      <c r="AJ409" s="78">
        <f t="shared" si="68"/>
        <v>68</v>
      </c>
      <c r="AK409" s="72">
        <f t="shared" si="69"/>
        <v>6307</v>
      </c>
    </row>
    <row r="410" spans="1:37" ht="15.95" customHeight="1">
      <c r="A410" s="25" t="s">
        <v>948</v>
      </c>
      <c r="B410" s="25" t="s">
        <v>252</v>
      </c>
      <c r="C410" s="26" t="s">
        <v>293</v>
      </c>
      <c r="D410" s="26" t="s">
        <v>375</v>
      </c>
      <c r="E410" s="26" t="s">
        <v>16</v>
      </c>
      <c r="F410" s="26" t="s">
        <v>1223</v>
      </c>
      <c r="G410" s="26" t="s">
        <v>1224</v>
      </c>
      <c r="H410" s="27" t="s">
        <v>1222</v>
      </c>
      <c r="I410" s="26" t="s">
        <v>27</v>
      </c>
      <c r="J410" s="28" t="s">
        <v>301</v>
      </c>
      <c r="K410" s="123">
        <v>110</v>
      </c>
      <c r="L410" s="29">
        <v>19.216750000000001</v>
      </c>
      <c r="M410" s="110">
        <v>14.35</v>
      </c>
      <c r="N410" s="30">
        <v>0.16</v>
      </c>
      <c r="O410" s="116">
        <v>2.2959999999999998</v>
      </c>
      <c r="P410" s="30">
        <v>7.4999999999999997E-2</v>
      </c>
      <c r="Q410" s="116">
        <v>1.0762499999999999</v>
      </c>
      <c r="R410" s="30">
        <v>7.0000000000000007E-2</v>
      </c>
      <c r="S410" s="116">
        <v>1.0045000000000002</v>
      </c>
      <c r="T410" s="117">
        <v>0.49</v>
      </c>
      <c r="U410" s="39">
        <v>261</v>
      </c>
      <c r="V410" s="32">
        <v>180</v>
      </c>
      <c r="W410" s="33"/>
      <c r="X410" s="32"/>
      <c r="Y410" s="32"/>
      <c r="Z410" s="32"/>
      <c r="AA410" s="34"/>
      <c r="AB410" s="35">
        <f t="shared" si="60"/>
        <v>441</v>
      </c>
      <c r="AC410" s="75">
        <f t="shared" si="61"/>
        <v>28710</v>
      </c>
      <c r="AD410" s="78">
        <f t="shared" si="62"/>
        <v>19800</v>
      </c>
      <c r="AE410" s="72">
        <f t="shared" si="63"/>
        <v>48510</v>
      </c>
      <c r="AF410" s="75">
        <f t="shared" si="64"/>
        <v>5015.5717500000001</v>
      </c>
      <c r="AG410" s="78">
        <f t="shared" si="65"/>
        <v>3459.0150000000003</v>
      </c>
      <c r="AH410" s="72">
        <f t="shared" si="66"/>
        <v>8474.5867500000004</v>
      </c>
      <c r="AI410" s="75">
        <f t="shared" si="67"/>
        <v>3745.35</v>
      </c>
      <c r="AJ410" s="78">
        <f t="shared" si="68"/>
        <v>2583</v>
      </c>
      <c r="AK410" s="72">
        <f t="shared" si="69"/>
        <v>6328.35</v>
      </c>
    </row>
    <row r="411" spans="1:37" ht="15.95" customHeight="1">
      <c r="A411" s="25" t="s">
        <v>948</v>
      </c>
      <c r="B411" s="25" t="s">
        <v>252</v>
      </c>
      <c r="C411" s="26" t="s">
        <v>1199</v>
      </c>
      <c r="D411" s="26" t="s">
        <v>375</v>
      </c>
      <c r="E411" s="26" t="s">
        <v>16</v>
      </c>
      <c r="F411" s="26" t="s">
        <v>1225</v>
      </c>
      <c r="G411" s="26" t="s">
        <v>1025</v>
      </c>
      <c r="H411" s="27" t="s">
        <v>1226</v>
      </c>
      <c r="I411" s="26" t="s">
        <v>27</v>
      </c>
      <c r="J411" s="37" t="s">
        <v>1227</v>
      </c>
      <c r="K411" s="123">
        <v>68</v>
      </c>
      <c r="L411" s="29">
        <v>14.407500000000001</v>
      </c>
      <c r="M411" s="110">
        <v>9.5</v>
      </c>
      <c r="N411" s="30">
        <v>0.32</v>
      </c>
      <c r="O411" s="116">
        <v>3.04</v>
      </c>
      <c r="P411" s="30">
        <v>7.4999999999999997E-2</v>
      </c>
      <c r="Q411" s="116">
        <v>0.71250000000000002</v>
      </c>
      <c r="R411" s="30">
        <v>7.0000000000000007E-2</v>
      </c>
      <c r="S411" s="116">
        <v>0.66500000000000004</v>
      </c>
      <c r="T411" s="117">
        <v>0.49</v>
      </c>
      <c r="U411" s="39">
        <v>250</v>
      </c>
      <c r="V411" s="32">
        <v>125</v>
      </c>
      <c r="W411" s="33"/>
      <c r="X411" s="32"/>
      <c r="Y411" s="32"/>
      <c r="Z411" s="32"/>
      <c r="AA411" s="34"/>
      <c r="AB411" s="35">
        <f t="shared" si="60"/>
        <v>375</v>
      </c>
      <c r="AC411" s="75">
        <f t="shared" si="61"/>
        <v>17000</v>
      </c>
      <c r="AD411" s="78">
        <f t="shared" si="62"/>
        <v>8500</v>
      </c>
      <c r="AE411" s="72">
        <f t="shared" si="63"/>
        <v>25500</v>
      </c>
      <c r="AF411" s="75">
        <f t="shared" si="64"/>
        <v>3601.875</v>
      </c>
      <c r="AG411" s="78">
        <f t="shared" si="65"/>
        <v>1800.9375</v>
      </c>
      <c r="AH411" s="72">
        <f t="shared" si="66"/>
        <v>5402.8125</v>
      </c>
      <c r="AI411" s="75">
        <f t="shared" si="67"/>
        <v>2375</v>
      </c>
      <c r="AJ411" s="78">
        <f t="shared" si="68"/>
        <v>1187.5</v>
      </c>
      <c r="AK411" s="72">
        <f t="shared" si="69"/>
        <v>3562.5</v>
      </c>
    </row>
    <row r="412" spans="1:37" ht="15.95" customHeight="1">
      <c r="A412" s="25" t="s">
        <v>948</v>
      </c>
      <c r="B412" s="25" t="s">
        <v>252</v>
      </c>
      <c r="C412" s="26" t="s">
        <v>1201</v>
      </c>
      <c r="D412" s="26" t="s">
        <v>375</v>
      </c>
      <c r="E412" s="26" t="s">
        <v>16</v>
      </c>
      <c r="F412" s="26" t="s">
        <v>1228</v>
      </c>
      <c r="G412" s="26" t="s">
        <v>1229</v>
      </c>
      <c r="H412" s="27" t="s">
        <v>1226</v>
      </c>
      <c r="I412" s="26" t="s">
        <v>27</v>
      </c>
      <c r="J412" s="28" t="s">
        <v>259</v>
      </c>
      <c r="K412" s="123">
        <v>88</v>
      </c>
      <c r="L412" s="29">
        <v>22.609749999999995</v>
      </c>
      <c r="M412" s="110">
        <v>16.95</v>
      </c>
      <c r="N412" s="30">
        <v>0.16</v>
      </c>
      <c r="O412" s="116">
        <v>2.7119999999999997</v>
      </c>
      <c r="P412" s="30">
        <v>7.4999999999999997E-2</v>
      </c>
      <c r="Q412" s="116">
        <v>1.27125</v>
      </c>
      <c r="R412" s="30">
        <v>7.0000000000000007E-2</v>
      </c>
      <c r="S412" s="116">
        <v>1.1865000000000001</v>
      </c>
      <c r="T412" s="117">
        <v>0.49</v>
      </c>
      <c r="U412" s="39">
        <v>200</v>
      </c>
      <c r="V412" s="32">
        <v>123</v>
      </c>
      <c r="W412" s="33"/>
      <c r="X412" s="32"/>
      <c r="Y412" s="32"/>
      <c r="Z412" s="32"/>
      <c r="AA412" s="34">
        <v>20</v>
      </c>
      <c r="AB412" s="35">
        <f t="shared" si="60"/>
        <v>343</v>
      </c>
      <c r="AC412" s="75">
        <f t="shared" si="61"/>
        <v>17600</v>
      </c>
      <c r="AD412" s="78">
        <f t="shared" si="62"/>
        <v>12584</v>
      </c>
      <c r="AE412" s="72">
        <f t="shared" si="63"/>
        <v>30184</v>
      </c>
      <c r="AF412" s="75">
        <f t="shared" si="64"/>
        <v>4521.9499999999989</v>
      </c>
      <c r="AG412" s="78">
        <f t="shared" si="65"/>
        <v>3119.9992499999994</v>
      </c>
      <c r="AH412" s="72">
        <f t="shared" si="66"/>
        <v>7641.9492499999978</v>
      </c>
      <c r="AI412" s="75">
        <f t="shared" si="67"/>
        <v>3390</v>
      </c>
      <c r="AJ412" s="78">
        <f t="shared" si="68"/>
        <v>2423.85</v>
      </c>
      <c r="AK412" s="72">
        <f t="shared" si="69"/>
        <v>5813.85</v>
      </c>
    </row>
    <row r="413" spans="1:37" ht="15.95" customHeight="1">
      <c r="A413" s="25" t="s">
        <v>948</v>
      </c>
      <c r="B413" s="25" t="s">
        <v>252</v>
      </c>
      <c r="C413" s="26" t="s">
        <v>1199</v>
      </c>
      <c r="D413" s="26" t="s">
        <v>375</v>
      </c>
      <c r="E413" s="26" t="s">
        <v>16</v>
      </c>
      <c r="F413" s="26" t="s">
        <v>1225</v>
      </c>
      <c r="G413" s="26" t="s">
        <v>1025</v>
      </c>
      <c r="H413" s="27" t="s">
        <v>1226</v>
      </c>
      <c r="I413" s="26" t="s">
        <v>27</v>
      </c>
      <c r="J413" s="37" t="s">
        <v>1227</v>
      </c>
      <c r="K413" s="123">
        <v>68</v>
      </c>
      <c r="L413" s="29">
        <v>14.407500000000001</v>
      </c>
      <c r="M413" s="110">
        <v>9.5</v>
      </c>
      <c r="N413" s="30">
        <v>0.32</v>
      </c>
      <c r="O413" s="116">
        <v>3.04</v>
      </c>
      <c r="P413" s="30">
        <v>7.4999999999999997E-2</v>
      </c>
      <c r="Q413" s="116">
        <v>0.71250000000000002</v>
      </c>
      <c r="R413" s="30">
        <v>7.0000000000000007E-2</v>
      </c>
      <c r="S413" s="116">
        <v>0.66500000000000004</v>
      </c>
      <c r="T413" s="117">
        <v>0.49</v>
      </c>
      <c r="U413" s="39">
        <v>200</v>
      </c>
      <c r="V413" s="32">
        <v>130</v>
      </c>
      <c r="W413" s="33"/>
      <c r="X413" s="32"/>
      <c r="Y413" s="32"/>
      <c r="Z413" s="32"/>
      <c r="AA413" s="34"/>
      <c r="AB413" s="35">
        <f t="shared" si="60"/>
        <v>330</v>
      </c>
      <c r="AC413" s="75">
        <f t="shared" si="61"/>
        <v>13600</v>
      </c>
      <c r="AD413" s="78">
        <f t="shared" si="62"/>
        <v>8840</v>
      </c>
      <c r="AE413" s="72">
        <f t="shared" si="63"/>
        <v>22440</v>
      </c>
      <c r="AF413" s="75">
        <f t="shared" si="64"/>
        <v>2881.5</v>
      </c>
      <c r="AG413" s="78">
        <f t="shared" si="65"/>
        <v>1872.9750000000001</v>
      </c>
      <c r="AH413" s="72">
        <f t="shared" si="66"/>
        <v>4754.4750000000004</v>
      </c>
      <c r="AI413" s="75">
        <f t="shared" si="67"/>
        <v>1900</v>
      </c>
      <c r="AJ413" s="78">
        <f t="shared" si="68"/>
        <v>1235</v>
      </c>
      <c r="AK413" s="72">
        <f t="shared" si="69"/>
        <v>3135</v>
      </c>
    </row>
    <row r="414" spans="1:37" ht="15.95" customHeight="1">
      <c r="A414" s="25" t="s">
        <v>948</v>
      </c>
      <c r="B414" s="25" t="s">
        <v>252</v>
      </c>
      <c r="C414" s="26" t="s">
        <v>1201</v>
      </c>
      <c r="D414" s="26" t="s">
        <v>375</v>
      </c>
      <c r="E414" s="26" t="s">
        <v>16</v>
      </c>
      <c r="F414" s="26" t="s">
        <v>1228</v>
      </c>
      <c r="G414" s="26" t="s">
        <v>1229</v>
      </c>
      <c r="H414" s="27" t="s">
        <v>1226</v>
      </c>
      <c r="I414" s="26" t="s">
        <v>27</v>
      </c>
      <c r="J414" s="28" t="s">
        <v>259</v>
      </c>
      <c r="K414" s="123">
        <v>88</v>
      </c>
      <c r="L414" s="29">
        <v>22.609749999999995</v>
      </c>
      <c r="M414" s="110">
        <v>16.95</v>
      </c>
      <c r="N414" s="30">
        <v>0.16</v>
      </c>
      <c r="O414" s="116">
        <v>2.7119999999999997</v>
      </c>
      <c r="P414" s="30">
        <v>7.4999999999999997E-2</v>
      </c>
      <c r="Q414" s="116">
        <v>1.27125</v>
      </c>
      <c r="R414" s="30">
        <v>7.0000000000000007E-2</v>
      </c>
      <c r="S414" s="116">
        <v>1.1865000000000001</v>
      </c>
      <c r="T414" s="117">
        <v>0.49</v>
      </c>
      <c r="U414" s="39">
        <v>250</v>
      </c>
      <c r="V414" s="32">
        <v>128</v>
      </c>
      <c r="W414" s="33"/>
      <c r="X414" s="32"/>
      <c r="Y414" s="32"/>
      <c r="Z414" s="32"/>
      <c r="AA414" s="34">
        <v>20</v>
      </c>
      <c r="AB414" s="35">
        <f t="shared" si="60"/>
        <v>398</v>
      </c>
      <c r="AC414" s="75">
        <f t="shared" si="61"/>
        <v>22000</v>
      </c>
      <c r="AD414" s="78">
        <f t="shared" si="62"/>
        <v>13024</v>
      </c>
      <c r="AE414" s="72">
        <f t="shared" si="63"/>
        <v>35024</v>
      </c>
      <c r="AF414" s="75">
        <f t="shared" si="64"/>
        <v>5652.4374999999991</v>
      </c>
      <c r="AG414" s="78">
        <f t="shared" si="65"/>
        <v>3233.0479999999993</v>
      </c>
      <c r="AH414" s="72">
        <f t="shared" si="66"/>
        <v>8885.4854999999989</v>
      </c>
      <c r="AI414" s="75">
        <f t="shared" si="67"/>
        <v>4237.5</v>
      </c>
      <c r="AJ414" s="78">
        <f t="shared" si="68"/>
        <v>2508.6</v>
      </c>
      <c r="AK414" s="72">
        <f t="shared" si="69"/>
        <v>6746.1</v>
      </c>
    </row>
    <row r="415" spans="1:37" ht="15.95" customHeight="1">
      <c r="A415" s="25" t="s">
        <v>948</v>
      </c>
      <c r="B415" s="25" t="s">
        <v>252</v>
      </c>
      <c r="C415" s="26" t="s">
        <v>1199</v>
      </c>
      <c r="D415" s="26" t="s">
        <v>375</v>
      </c>
      <c r="E415" s="26" t="s">
        <v>16</v>
      </c>
      <c r="F415" s="26" t="s">
        <v>1225</v>
      </c>
      <c r="G415" s="26" t="s">
        <v>1025</v>
      </c>
      <c r="H415" s="27" t="s">
        <v>1026</v>
      </c>
      <c r="I415" s="26" t="s">
        <v>27</v>
      </c>
      <c r="J415" s="28" t="s">
        <v>1227</v>
      </c>
      <c r="K415" s="123">
        <v>68</v>
      </c>
      <c r="L415" s="29">
        <v>14.407500000000001</v>
      </c>
      <c r="M415" s="110">
        <v>9.5</v>
      </c>
      <c r="N415" s="30">
        <v>0.32</v>
      </c>
      <c r="O415" s="116">
        <v>3.04</v>
      </c>
      <c r="P415" s="30">
        <v>7.4999999999999997E-2</v>
      </c>
      <c r="Q415" s="116">
        <v>0.71250000000000002</v>
      </c>
      <c r="R415" s="30">
        <v>7.0000000000000007E-2</v>
      </c>
      <c r="S415" s="116">
        <v>0.66500000000000004</v>
      </c>
      <c r="T415" s="117">
        <v>0.49</v>
      </c>
      <c r="U415" s="39">
        <v>250</v>
      </c>
      <c r="V415" s="32">
        <v>302</v>
      </c>
      <c r="W415" s="33"/>
      <c r="X415" s="32"/>
      <c r="Y415" s="32"/>
      <c r="Z415" s="32"/>
      <c r="AA415" s="34"/>
      <c r="AB415" s="35">
        <f t="shared" si="60"/>
        <v>552</v>
      </c>
      <c r="AC415" s="75">
        <f t="shared" si="61"/>
        <v>17000</v>
      </c>
      <c r="AD415" s="78">
        <f t="shared" si="62"/>
        <v>20536</v>
      </c>
      <c r="AE415" s="72">
        <f t="shared" si="63"/>
        <v>37536</v>
      </c>
      <c r="AF415" s="75">
        <f t="shared" si="64"/>
        <v>3601.875</v>
      </c>
      <c r="AG415" s="78">
        <f t="shared" si="65"/>
        <v>4351.0650000000005</v>
      </c>
      <c r="AH415" s="72">
        <f t="shared" si="66"/>
        <v>7952.9400000000005</v>
      </c>
      <c r="AI415" s="75">
        <f t="shared" si="67"/>
        <v>2375</v>
      </c>
      <c r="AJ415" s="78">
        <f t="shared" si="68"/>
        <v>2869</v>
      </c>
      <c r="AK415" s="72">
        <f t="shared" si="69"/>
        <v>5244</v>
      </c>
    </row>
    <row r="416" spans="1:37" ht="15.95" customHeight="1">
      <c r="A416" s="25" t="s">
        <v>948</v>
      </c>
      <c r="B416" s="25" t="s">
        <v>252</v>
      </c>
      <c r="C416" s="26" t="s">
        <v>1201</v>
      </c>
      <c r="D416" s="26" t="s">
        <v>375</v>
      </c>
      <c r="E416" s="26" t="s">
        <v>16</v>
      </c>
      <c r="F416" s="26" t="s">
        <v>1228</v>
      </c>
      <c r="G416" s="26" t="s">
        <v>1229</v>
      </c>
      <c r="H416" s="27" t="s">
        <v>1026</v>
      </c>
      <c r="I416" s="26" t="s">
        <v>27</v>
      </c>
      <c r="J416" s="28" t="s">
        <v>259</v>
      </c>
      <c r="K416" s="123">
        <v>88</v>
      </c>
      <c r="L416" s="29">
        <v>22.609749999999995</v>
      </c>
      <c r="M416" s="110">
        <v>16.95</v>
      </c>
      <c r="N416" s="30">
        <v>0.16</v>
      </c>
      <c r="O416" s="116">
        <v>2.7119999999999997</v>
      </c>
      <c r="P416" s="30">
        <v>7.4999999999999997E-2</v>
      </c>
      <c r="Q416" s="116">
        <v>1.27125</v>
      </c>
      <c r="R416" s="30">
        <v>7.0000000000000007E-2</v>
      </c>
      <c r="S416" s="116">
        <v>1.1865000000000001</v>
      </c>
      <c r="T416" s="117">
        <v>0.49</v>
      </c>
      <c r="U416" s="39">
        <v>250</v>
      </c>
      <c r="V416" s="32">
        <v>285</v>
      </c>
      <c r="W416" s="33"/>
      <c r="X416" s="32"/>
      <c r="Y416" s="32"/>
      <c r="Z416" s="32"/>
      <c r="AA416" s="34">
        <v>20</v>
      </c>
      <c r="AB416" s="35">
        <f t="shared" si="60"/>
        <v>555</v>
      </c>
      <c r="AC416" s="75">
        <f t="shared" si="61"/>
        <v>22000</v>
      </c>
      <c r="AD416" s="78">
        <f t="shared" si="62"/>
        <v>26840</v>
      </c>
      <c r="AE416" s="72">
        <f t="shared" si="63"/>
        <v>48840</v>
      </c>
      <c r="AF416" s="75">
        <f t="shared" si="64"/>
        <v>5652.4374999999991</v>
      </c>
      <c r="AG416" s="78">
        <f t="shared" si="65"/>
        <v>6782.7787499999986</v>
      </c>
      <c r="AH416" s="72">
        <f t="shared" si="66"/>
        <v>12435.216249999998</v>
      </c>
      <c r="AI416" s="75">
        <f t="shared" si="67"/>
        <v>4237.5</v>
      </c>
      <c r="AJ416" s="78">
        <f t="shared" si="68"/>
        <v>5169.75</v>
      </c>
      <c r="AK416" s="72">
        <f t="shared" si="69"/>
        <v>9407.25</v>
      </c>
    </row>
    <row r="417" spans="1:37" ht="15.95" customHeight="1">
      <c r="A417" s="25" t="s">
        <v>948</v>
      </c>
      <c r="B417" s="25" t="s">
        <v>252</v>
      </c>
      <c r="C417" s="40" t="s">
        <v>1199</v>
      </c>
      <c r="D417" s="26" t="s">
        <v>375</v>
      </c>
      <c r="E417" s="26" t="s">
        <v>16</v>
      </c>
      <c r="F417" s="26" t="s">
        <v>1230</v>
      </c>
      <c r="G417" s="41" t="s">
        <v>1231</v>
      </c>
      <c r="H417" s="27" t="s">
        <v>1232</v>
      </c>
      <c r="I417" s="26" t="s">
        <v>27</v>
      </c>
      <c r="J417" s="28" t="s">
        <v>1227</v>
      </c>
      <c r="K417" s="123">
        <v>68</v>
      </c>
      <c r="L417" s="29">
        <v>14.773750000000001</v>
      </c>
      <c r="M417" s="110">
        <v>9.75</v>
      </c>
      <c r="N417" s="30">
        <v>0.32</v>
      </c>
      <c r="O417" s="116">
        <v>3.12</v>
      </c>
      <c r="P417" s="30">
        <v>7.4999999999999997E-2</v>
      </c>
      <c r="Q417" s="116">
        <v>0.73124999999999996</v>
      </c>
      <c r="R417" s="30">
        <v>7.0000000000000007E-2</v>
      </c>
      <c r="S417" s="116">
        <v>0.68250000000000011</v>
      </c>
      <c r="T417" s="117">
        <v>0.49</v>
      </c>
      <c r="U417" s="39">
        <v>200</v>
      </c>
      <c r="V417" s="32">
        <v>106</v>
      </c>
      <c r="W417" s="33"/>
      <c r="X417" s="32"/>
      <c r="Y417" s="32"/>
      <c r="Z417" s="32"/>
      <c r="AA417" s="34"/>
      <c r="AB417" s="35">
        <f t="shared" si="60"/>
        <v>306</v>
      </c>
      <c r="AC417" s="75">
        <f t="shared" si="61"/>
        <v>13600</v>
      </c>
      <c r="AD417" s="78">
        <f t="shared" si="62"/>
        <v>7208</v>
      </c>
      <c r="AE417" s="72">
        <f t="shared" si="63"/>
        <v>20808</v>
      </c>
      <c r="AF417" s="75">
        <f t="shared" si="64"/>
        <v>2954.7500000000005</v>
      </c>
      <c r="AG417" s="78">
        <f t="shared" si="65"/>
        <v>1566.0175000000002</v>
      </c>
      <c r="AH417" s="72">
        <f t="shared" si="66"/>
        <v>4520.7675000000008</v>
      </c>
      <c r="AI417" s="75">
        <f t="shared" si="67"/>
        <v>1950</v>
      </c>
      <c r="AJ417" s="78">
        <f t="shared" si="68"/>
        <v>1033.5</v>
      </c>
      <c r="AK417" s="72">
        <f t="shared" si="69"/>
        <v>2983.5</v>
      </c>
    </row>
    <row r="418" spans="1:37" ht="15.95" customHeight="1">
      <c r="A418" s="25" t="s">
        <v>948</v>
      </c>
      <c r="B418" s="25" t="s">
        <v>252</v>
      </c>
      <c r="C418" s="26" t="s">
        <v>982</v>
      </c>
      <c r="D418" s="26" t="s">
        <v>375</v>
      </c>
      <c r="E418" s="26" t="s">
        <v>16</v>
      </c>
      <c r="F418" s="26" t="s">
        <v>1233</v>
      </c>
      <c r="G418" s="41" t="s">
        <v>1231</v>
      </c>
      <c r="H418" s="27" t="s">
        <v>1232</v>
      </c>
      <c r="I418" s="26" t="s">
        <v>27</v>
      </c>
      <c r="J418" s="37" t="s">
        <v>682</v>
      </c>
      <c r="K418" s="123">
        <v>78</v>
      </c>
      <c r="L418" s="29">
        <v>19.754499999999997</v>
      </c>
      <c r="M418" s="110">
        <v>13.5</v>
      </c>
      <c r="N418" s="30">
        <v>0.28199999999999997</v>
      </c>
      <c r="O418" s="116">
        <v>3.8069999999999995</v>
      </c>
      <c r="P418" s="30">
        <v>7.4999999999999997E-2</v>
      </c>
      <c r="Q418" s="116">
        <v>1.0125</v>
      </c>
      <c r="R418" s="30">
        <v>7.0000000000000007E-2</v>
      </c>
      <c r="S418" s="116">
        <v>0.94500000000000006</v>
      </c>
      <c r="T418" s="117">
        <v>0.49</v>
      </c>
      <c r="U418" s="39">
        <v>200</v>
      </c>
      <c r="V418" s="32">
        <v>106</v>
      </c>
      <c r="W418" s="33"/>
      <c r="X418" s="32"/>
      <c r="Y418" s="32"/>
      <c r="Z418" s="32"/>
      <c r="AA418" s="34">
        <v>4</v>
      </c>
      <c r="AB418" s="35">
        <f t="shared" si="60"/>
        <v>310</v>
      </c>
      <c r="AC418" s="75">
        <f t="shared" si="61"/>
        <v>15600</v>
      </c>
      <c r="AD418" s="78">
        <f t="shared" si="62"/>
        <v>8580</v>
      </c>
      <c r="AE418" s="72">
        <f t="shared" si="63"/>
        <v>24180</v>
      </c>
      <c r="AF418" s="75">
        <f t="shared" si="64"/>
        <v>3950.8999999999992</v>
      </c>
      <c r="AG418" s="78">
        <f t="shared" si="65"/>
        <v>2147.9769999999999</v>
      </c>
      <c r="AH418" s="72">
        <f t="shared" si="66"/>
        <v>6098.8769999999986</v>
      </c>
      <c r="AI418" s="75">
        <f t="shared" si="67"/>
        <v>2700</v>
      </c>
      <c r="AJ418" s="78">
        <f t="shared" si="68"/>
        <v>1485</v>
      </c>
      <c r="AK418" s="72">
        <f t="shared" si="69"/>
        <v>4185</v>
      </c>
    </row>
    <row r="419" spans="1:37" ht="15.95" customHeight="1">
      <c r="A419" s="25" t="s">
        <v>948</v>
      </c>
      <c r="B419" s="25" t="s">
        <v>252</v>
      </c>
      <c r="C419" s="40" t="s">
        <v>1199</v>
      </c>
      <c r="D419" s="26" t="s">
        <v>375</v>
      </c>
      <c r="E419" s="26" t="s">
        <v>16</v>
      </c>
      <c r="F419" s="26" t="s">
        <v>1230</v>
      </c>
      <c r="G419" s="41" t="s">
        <v>1231</v>
      </c>
      <c r="H419" s="27" t="s">
        <v>1232</v>
      </c>
      <c r="I419" s="26" t="s">
        <v>27</v>
      </c>
      <c r="J419" s="28" t="s">
        <v>1227</v>
      </c>
      <c r="K419" s="123">
        <v>68</v>
      </c>
      <c r="L419" s="29">
        <v>14.773750000000001</v>
      </c>
      <c r="M419" s="110">
        <v>9.75</v>
      </c>
      <c r="N419" s="30">
        <v>0.32</v>
      </c>
      <c r="O419" s="116">
        <v>3.12</v>
      </c>
      <c r="P419" s="30">
        <v>7.4999999999999997E-2</v>
      </c>
      <c r="Q419" s="116">
        <v>0.73124999999999996</v>
      </c>
      <c r="R419" s="30">
        <v>7.0000000000000007E-2</v>
      </c>
      <c r="S419" s="116">
        <v>0.68250000000000011</v>
      </c>
      <c r="T419" s="117">
        <v>0.49</v>
      </c>
      <c r="U419" s="39">
        <v>200</v>
      </c>
      <c r="V419" s="32"/>
      <c r="W419" s="33"/>
      <c r="X419" s="32"/>
      <c r="Y419" s="32"/>
      <c r="Z419" s="32"/>
      <c r="AA419" s="34"/>
      <c r="AB419" s="35">
        <f t="shared" si="60"/>
        <v>200</v>
      </c>
      <c r="AC419" s="75">
        <f t="shared" si="61"/>
        <v>13600</v>
      </c>
      <c r="AD419" s="78">
        <f t="shared" si="62"/>
        <v>0</v>
      </c>
      <c r="AE419" s="72">
        <f t="shared" si="63"/>
        <v>13600</v>
      </c>
      <c r="AF419" s="75">
        <f t="shared" si="64"/>
        <v>2954.7500000000005</v>
      </c>
      <c r="AG419" s="78">
        <f t="shared" si="65"/>
        <v>0</v>
      </c>
      <c r="AH419" s="72">
        <f t="shared" si="66"/>
        <v>2954.7500000000005</v>
      </c>
      <c r="AI419" s="75">
        <f t="shared" si="67"/>
        <v>1950</v>
      </c>
      <c r="AJ419" s="78">
        <f t="shared" si="68"/>
        <v>0</v>
      </c>
      <c r="AK419" s="72">
        <f t="shared" si="69"/>
        <v>1950</v>
      </c>
    </row>
    <row r="420" spans="1:37" ht="15.95" customHeight="1">
      <c r="A420" s="25" t="s">
        <v>948</v>
      </c>
      <c r="B420" s="25" t="s">
        <v>252</v>
      </c>
      <c r="C420" s="26" t="s">
        <v>982</v>
      </c>
      <c r="D420" s="26" t="s">
        <v>375</v>
      </c>
      <c r="E420" s="26" t="s">
        <v>16</v>
      </c>
      <c r="F420" s="26" t="s">
        <v>1233</v>
      </c>
      <c r="G420" s="41" t="s">
        <v>1231</v>
      </c>
      <c r="H420" s="27" t="s">
        <v>1232</v>
      </c>
      <c r="I420" s="26" t="s">
        <v>27</v>
      </c>
      <c r="J420" s="37" t="s">
        <v>682</v>
      </c>
      <c r="K420" s="123">
        <v>78</v>
      </c>
      <c r="L420" s="29">
        <v>19.754499999999997</v>
      </c>
      <c r="M420" s="110">
        <v>13.5</v>
      </c>
      <c r="N420" s="30">
        <v>0.28199999999999997</v>
      </c>
      <c r="O420" s="116">
        <v>3.8069999999999995</v>
      </c>
      <c r="P420" s="30">
        <v>7.4999999999999997E-2</v>
      </c>
      <c r="Q420" s="116">
        <v>1.0125</v>
      </c>
      <c r="R420" s="30">
        <v>7.0000000000000007E-2</v>
      </c>
      <c r="S420" s="116">
        <v>0.94500000000000006</v>
      </c>
      <c r="T420" s="117">
        <v>0.49</v>
      </c>
      <c r="U420" s="39">
        <v>200</v>
      </c>
      <c r="V420" s="32"/>
      <c r="W420" s="33"/>
      <c r="X420" s="32"/>
      <c r="Y420" s="32"/>
      <c r="Z420" s="32"/>
      <c r="AA420" s="34">
        <v>10</v>
      </c>
      <c r="AB420" s="35">
        <f t="shared" si="60"/>
        <v>210</v>
      </c>
      <c r="AC420" s="75">
        <f t="shared" si="61"/>
        <v>15600</v>
      </c>
      <c r="AD420" s="78">
        <f t="shared" si="62"/>
        <v>780</v>
      </c>
      <c r="AE420" s="72">
        <f t="shared" si="63"/>
        <v>16380</v>
      </c>
      <c r="AF420" s="75">
        <f t="shared" si="64"/>
        <v>3950.8999999999992</v>
      </c>
      <c r="AG420" s="78">
        <f t="shared" si="65"/>
        <v>135</v>
      </c>
      <c r="AH420" s="72">
        <f t="shared" si="66"/>
        <v>4085.8999999999992</v>
      </c>
      <c r="AI420" s="75">
        <f t="shared" si="67"/>
        <v>2700</v>
      </c>
      <c r="AJ420" s="78">
        <f t="shared" si="68"/>
        <v>135</v>
      </c>
      <c r="AK420" s="72">
        <f t="shared" si="69"/>
        <v>2835</v>
      </c>
    </row>
    <row r="421" spans="1:37" ht="15.95" customHeight="1">
      <c r="A421" s="25" t="s">
        <v>948</v>
      </c>
      <c r="B421" s="25" t="s">
        <v>252</v>
      </c>
      <c r="C421" s="40" t="s">
        <v>1215</v>
      </c>
      <c r="D421" s="26" t="s">
        <v>375</v>
      </c>
      <c r="E421" s="26" t="s">
        <v>16</v>
      </c>
      <c r="F421" s="26" t="s">
        <v>1234</v>
      </c>
      <c r="G421" s="41" t="s">
        <v>297</v>
      </c>
      <c r="H421" s="27" t="s">
        <v>1222</v>
      </c>
      <c r="I421" s="26" t="s">
        <v>27</v>
      </c>
      <c r="J421" s="28" t="s">
        <v>311</v>
      </c>
      <c r="K421" s="123">
        <v>68</v>
      </c>
      <c r="L421" s="29">
        <v>16.231719999999999</v>
      </c>
      <c r="M421" s="110">
        <v>11.98</v>
      </c>
      <c r="N421" s="30">
        <v>0.16900000000000001</v>
      </c>
      <c r="O421" s="116">
        <v>2.0246200000000001</v>
      </c>
      <c r="P421" s="30">
        <v>7.4999999999999997E-2</v>
      </c>
      <c r="Q421" s="116">
        <v>0.89849999999999997</v>
      </c>
      <c r="R421" s="30">
        <v>7.0000000000000007E-2</v>
      </c>
      <c r="S421" s="116">
        <v>0.83860000000000012</v>
      </c>
      <c r="T421" s="117">
        <v>0.49</v>
      </c>
      <c r="U421" s="39">
        <v>350</v>
      </c>
      <c r="V421" s="32">
        <v>12</v>
      </c>
      <c r="W421" s="33"/>
      <c r="X421" s="32"/>
      <c r="Y421" s="32"/>
      <c r="Z421" s="32"/>
      <c r="AA421" s="34"/>
      <c r="AB421" s="35">
        <f t="shared" si="60"/>
        <v>362</v>
      </c>
      <c r="AC421" s="75">
        <f t="shared" si="61"/>
        <v>23800</v>
      </c>
      <c r="AD421" s="78">
        <f t="shared" si="62"/>
        <v>816</v>
      </c>
      <c r="AE421" s="72">
        <f t="shared" si="63"/>
        <v>24616</v>
      </c>
      <c r="AF421" s="75">
        <f t="shared" si="64"/>
        <v>5681.1019999999999</v>
      </c>
      <c r="AG421" s="78">
        <f t="shared" si="65"/>
        <v>194.78064000000001</v>
      </c>
      <c r="AH421" s="72">
        <f t="shared" si="66"/>
        <v>5875.8826399999998</v>
      </c>
      <c r="AI421" s="75">
        <f t="shared" si="67"/>
        <v>4193</v>
      </c>
      <c r="AJ421" s="78">
        <f t="shared" si="68"/>
        <v>143.76</v>
      </c>
      <c r="AK421" s="72">
        <f t="shared" si="69"/>
        <v>4336.76</v>
      </c>
    </row>
    <row r="422" spans="1:37" ht="15.95" customHeight="1">
      <c r="A422" s="25" t="s">
        <v>948</v>
      </c>
      <c r="B422" s="25" t="s">
        <v>252</v>
      </c>
      <c r="C422" s="26" t="s">
        <v>306</v>
      </c>
      <c r="D422" s="26" t="s">
        <v>375</v>
      </c>
      <c r="E422" s="26" t="s">
        <v>16</v>
      </c>
      <c r="F422" s="26" t="s">
        <v>1235</v>
      </c>
      <c r="G422" s="41" t="s">
        <v>297</v>
      </c>
      <c r="H422" s="27" t="s">
        <v>1222</v>
      </c>
      <c r="I422" s="26" t="s">
        <v>27</v>
      </c>
      <c r="J422" s="37" t="s">
        <v>308</v>
      </c>
      <c r="K422" s="123">
        <v>110</v>
      </c>
      <c r="L422" s="29">
        <v>20.468</v>
      </c>
      <c r="M422" s="110">
        <v>14</v>
      </c>
      <c r="N422" s="30">
        <v>0.28199999999999997</v>
      </c>
      <c r="O422" s="116">
        <v>3.9479999999999995</v>
      </c>
      <c r="P422" s="30">
        <v>7.4999999999999997E-2</v>
      </c>
      <c r="Q422" s="116">
        <v>1.05</v>
      </c>
      <c r="R422" s="30">
        <v>7.0000000000000007E-2</v>
      </c>
      <c r="S422" s="116">
        <v>0.98000000000000009</v>
      </c>
      <c r="T422" s="117">
        <v>0.49</v>
      </c>
      <c r="U422" s="39">
        <v>350</v>
      </c>
      <c r="V422" s="32">
        <v>12</v>
      </c>
      <c r="W422" s="33"/>
      <c r="X422" s="32"/>
      <c r="Y422" s="32"/>
      <c r="Z422" s="32"/>
      <c r="AA422" s="34"/>
      <c r="AB422" s="35">
        <f t="shared" si="60"/>
        <v>362</v>
      </c>
      <c r="AC422" s="75">
        <f t="shared" si="61"/>
        <v>38500</v>
      </c>
      <c r="AD422" s="78">
        <f t="shared" si="62"/>
        <v>1320</v>
      </c>
      <c r="AE422" s="72">
        <f t="shared" si="63"/>
        <v>39820</v>
      </c>
      <c r="AF422" s="75">
        <f t="shared" si="64"/>
        <v>7163.8</v>
      </c>
      <c r="AG422" s="78">
        <f t="shared" si="65"/>
        <v>245.61599999999999</v>
      </c>
      <c r="AH422" s="72">
        <f t="shared" si="66"/>
        <v>7409.4160000000002</v>
      </c>
      <c r="AI422" s="75">
        <f t="shared" si="67"/>
        <v>4900</v>
      </c>
      <c r="AJ422" s="78">
        <f t="shared" si="68"/>
        <v>168</v>
      </c>
      <c r="AK422" s="72">
        <f t="shared" si="69"/>
        <v>5068</v>
      </c>
    </row>
    <row r="423" spans="1:37" ht="15.95" customHeight="1">
      <c r="A423" s="25" t="s">
        <v>948</v>
      </c>
      <c r="B423" s="25" t="s">
        <v>252</v>
      </c>
      <c r="C423" s="26" t="s">
        <v>1215</v>
      </c>
      <c r="D423" s="26" t="s">
        <v>375</v>
      </c>
      <c r="E423" s="26" t="s">
        <v>16</v>
      </c>
      <c r="F423" s="26" t="s">
        <v>1234</v>
      </c>
      <c r="G423" s="26" t="s">
        <v>297</v>
      </c>
      <c r="H423" s="27" t="s">
        <v>1222</v>
      </c>
      <c r="I423" s="26" t="s">
        <v>27</v>
      </c>
      <c r="J423" s="28" t="s">
        <v>311</v>
      </c>
      <c r="K423" s="123">
        <v>68</v>
      </c>
      <c r="L423" s="29">
        <v>16.231719999999999</v>
      </c>
      <c r="M423" s="110">
        <v>11.98</v>
      </c>
      <c r="N423" s="30">
        <v>0.16900000000000001</v>
      </c>
      <c r="O423" s="116">
        <v>2.0246200000000001</v>
      </c>
      <c r="P423" s="30">
        <v>7.4999999999999997E-2</v>
      </c>
      <c r="Q423" s="116">
        <v>0.89849999999999997</v>
      </c>
      <c r="R423" s="30">
        <v>7.0000000000000007E-2</v>
      </c>
      <c r="S423" s="116">
        <v>0.83860000000000012</v>
      </c>
      <c r="T423" s="117">
        <v>0.49</v>
      </c>
      <c r="U423" s="39">
        <v>350</v>
      </c>
      <c r="V423" s="32">
        <v>16</v>
      </c>
      <c r="W423" s="33"/>
      <c r="X423" s="32"/>
      <c r="Y423" s="32"/>
      <c r="Z423" s="32"/>
      <c r="AA423" s="34"/>
      <c r="AB423" s="35">
        <f t="shared" si="60"/>
        <v>366</v>
      </c>
      <c r="AC423" s="75">
        <f t="shared" si="61"/>
        <v>23800</v>
      </c>
      <c r="AD423" s="78">
        <f t="shared" si="62"/>
        <v>1088</v>
      </c>
      <c r="AE423" s="72">
        <f t="shared" si="63"/>
        <v>24888</v>
      </c>
      <c r="AF423" s="75">
        <f t="shared" si="64"/>
        <v>5681.1019999999999</v>
      </c>
      <c r="AG423" s="78">
        <f t="shared" si="65"/>
        <v>259.70751999999999</v>
      </c>
      <c r="AH423" s="72">
        <f t="shared" si="66"/>
        <v>5940.8095199999998</v>
      </c>
      <c r="AI423" s="75">
        <f t="shared" si="67"/>
        <v>4193</v>
      </c>
      <c r="AJ423" s="78">
        <f t="shared" si="68"/>
        <v>191.68</v>
      </c>
      <c r="AK423" s="72">
        <f t="shared" si="69"/>
        <v>4384.68</v>
      </c>
    </row>
    <row r="424" spans="1:37" ht="15.95" customHeight="1">
      <c r="A424" s="25" t="s">
        <v>948</v>
      </c>
      <c r="B424" s="25" t="s">
        <v>252</v>
      </c>
      <c r="C424" s="26" t="s">
        <v>306</v>
      </c>
      <c r="D424" s="26" t="s">
        <v>375</v>
      </c>
      <c r="E424" s="26" t="s">
        <v>16</v>
      </c>
      <c r="F424" s="26" t="s">
        <v>1235</v>
      </c>
      <c r="G424" s="26" t="s">
        <v>297</v>
      </c>
      <c r="H424" s="27" t="s">
        <v>1222</v>
      </c>
      <c r="I424" s="26" t="s">
        <v>27</v>
      </c>
      <c r="J424" s="28" t="s">
        <v>308</v>
      </c>
      <c r="K424" s="123">
        <v>110</v>
      </c>
      <c r="L424" s="29">
        <v>20.468</v>
      </c>
      <c r="M424" s="110">
        <v>14</v>
      </c>
      <c r="N424" s="30">
        <v>0.28199999999999997</v>
      </c>
      <c r="O424" s="116">
        <v>3.9479999999999995</v>
      </c>
      <c r="P424" s="30">
        <v>7.4999999999999997E-2</v>
      </c>
      <c r="Q424" s="116">
        <v>1.05</v>
      </c>
      <c r="R424" s="30">
        <v>7.0000000000000007E-2</v>
      </c>
      <c r="S424" s="116">
        <v>0.98000000000000009</v>
      </c>
      <c r="T424" s="117">
        <v>0.49</v>
      </c>
      <c r="U424" s="39">
        <v>350</v>
      </c>
      <c r="V424" s="32">
        <v>16</v>
      </c>
      <c r="W424" s="33"/>
      <c r="X424" s="32"/>
      <c r="Y424" s="32"/>
      <c r="Z424" s="32"/>
      <c r="AA424" s="34"/>
      <c r="AB424" s="35">
        <f t="shared" si="60"/>
        <v>366</v>
      </c>
      <c r="AC424" s="75">
        <f t="shared" si="61"/>
        <v>38500</v>
      </c>
      <c r="AD424" s="78">
        <f t="shared" si="62"/>
        <v>1760</v>
      </c>
      <c r="AE424" s="72">
        <f t="shared" si="63"/>
        <v>40260</v>
      </c>
      <c r="AF424" s="75">
        <f t="shared" si="64"/>
        <v>7163.8</v>
      </c>
      <c r="AG424" s="78">
        <f t="shared" si="65"/>
        <v>327.488</v>
      </c>
      <c r="AH424" s="72">
        <f t="shared" si="66"/>
        <v>7491.2880000000005</v>
      </c>
      <c r="AI424" s="75">
        <f t="shared" si="67"/>
        <v>4900</v>
      </c>
      <c r="AJ424" s="78">
        <f t="shared" si="68"/>
        <v>224</v>
      </c>
      <c r="AK424" s="72">
        <f t="shared" si="69"/>
        <v>5124</v>
      </c>
    </row>
    <row r="425" spans="1:37" ht="15.95" customHeight="1">
      <c r="A425" s="25" t="s">
        <v>948</v>
      </c>
      <c r="B425" s="25" t="s">
        <v>252</v>
      </c>
      <c r="C425" s="26" t="s">
        <v>1215</v>
      </c>
      <c r="D425" s="26" t="s">
        <v>375</v>
      </c>
      <c r="E425" s="26" t="s">
        <v>16</v>
      </c>
      <c r="F425" s="26" t="s">
        <v>1234</v>
      </c>
      <c r="G425" s="26" t="s">
        <v>297</v>
      </c>
      <c r="H425" s="27" t="s">
        <v>1222</v>
      </c>
      <c r="I425" s="26" t="s">
        <v>27</v>
      </c>
      <c r="J425" s="28" t="s">
        <v>682</v>
      </c>
      <c r="K425" s="123">
        <v>68</v>
      </c>
      <c r="L425" s="29">
        <v>16.231719999999999</v>
      </c>
      <c r="M425" s="110">
        <v>11.98</v>
      </c>
      <c r="N425" s="30">
        <v>0.16900000000000001</v>
      </c>
      <c r="O425" s="116">
        <v>2.0246200000000001</v>
      </c>
      <c r="P425" s="30">
        <v>7.4999999999999997E-2</v>
      </c>
      <c r="Q425" s="116">
        <v>0.89849999999999997</v>
      </c>
      <c r="R425" s="30">
        <v>7.0000000000000007E-2</v>
      </c>
      <c r="S425" s="116">
        <v>0.83860000000000012</v>
      </c>
      <c r="T425" s="117">
        <v>0.49</v>
      </c>
      <c r="U425" s="39">
        <v>350</v>
      </c>
      <c r="V425" s="32"/>
      <c r="W425" s="33"/>
      <c r="X425" s="32"/>
      <c r="Y425" s="32"/>
      <c r="Z425" s="32"/>
      <c r="AA425" s="34"/>
      <c r="AB425" s="35">
        <f t="shared" si="60"/>
        <v>350</v>
      </c>
      <c r="AC425" s="75">
        <f t="shared" si="61"/>
        <v>23800</v>
      </c>
      <c r="AD425" s="78">
        <f t="shared" si="62"/>
        <v>0</v>
      </c>
      <c r="AE425" s="72">
        <f t="shared" si="63"/>
        <v>23800</v>
      </c>
      <c r="AF425" s="75">
        <f t="shared" si="64"/>
        <v>5681.1019999999999</v>
      </c>
      <c r="AG425" s="78">
        <f t="shared" si="65"/>
        <v>0</v>
      </c>
      <c r="AH425" s="72">
        <f t="shared" si="66"/>
        <v>5681.1019999999999</v>
      </c>
      <c r="AI425" s="75">
        <f t="shared" si="67"/>
        <v>4193</v>
      </c>
      <c r="AJ425" s="78">
        <f t="shared" si="68"/>
        <v>0</v>
      </c>
      <c r="AK425" s="72">
        <f t="shared" si="69"/>
        <v>4193</v>
      </c>
    </row>
    <row r="426" spans="1:37" ht="15.95" customHeight="1">
      <c r="A426" s="25" t="s">
        <v>948</v>
      </c>
      <c r="B426" s="25" t="s">
        <v>252</v>
      </c>
      <c r="C426" s="26" t="s">
        <v>306</v>
      </c>
      <c r="D426" s="26" t="s">
        <v>375</v>
      </c>
      <c r="E426" s="26" t="s">
        <v>16</v>
      </c>
      <c r="F426" s="26" t="s">
        <v>1235</v>
      </c>
      <c r="G426" s="26" t="s">
        <v>297</v>
      </c>
      <c r="H426" s="27" t="s">
        <v>1222</v>
      </c>
      <c r="I426" s="26" t="s">
        <v>27</v>
      </c>
      <c r="J426" s="28" t="s">
        <v>682</v>
      </c>
      <c r="K426" s="123">
        <v>110</v>
      </c>
      <c r="L426" s="29">
        <v>20.468</v>
      </c>
      <c r="M426" s="110">
        <v>14</v>
      </c>
      <c r="N426" s="30">
        <v>0.28199999999999997</v>
      </c>
      <c r="O426" s="116">
        <v>3.9479999999999995</v>
      </c>
      <c r="P426" s="30">
        <v>7.4999999999999997E-2</v>
      </c>
      <c r="Q426" s="116">
        <v>1.05</v>
      </c>
      <c r="R426" s="30">
        <v>7.0000000000000007E-2</v>
      </c>
      <c r="S426" s="116">
        <v>0.98000000000000009</v>
      </c>
      <c r="T426" s="117">
        <v>0.49</v>
      </c>
      <c r="U426" s="39">
        <v>350</v>
      </c>
      <c r="V426" s="32"/>
      <c r="W426" s="33"/>
      <c r="X426" s="32"/>
      <c r="Y426" s="32"/>
      <c r="Z426" s="32"/>
      <c r="AA426" s="34"/>
      <c r="AB426" s="35">
        <f t="shared" si="60"/>
        <v>350</v>
      </c>
      <c r="AC426" s="75">
        <f t="shared" si="61"/>
        <v>38500</v>
      </c>
      <c r="AD426" s="78">
        <f t="shared" si="62"/>
        <v>0</v>
      </c>
      <c r="AE426" s="72">
        <f t="shared" si="63"/>
        <v>38500</v>
      </c>
      <c r="AF426" s="75">
        <f t="shared" si="64"/>
        <v>7163.8</v>
      </c>
      <c r="AG426" s="78">
        <f t="shared" si="65"/>
        <v>0</v>
      </c>
      <c r="AH426" s="72">
        <f t="shared" si="66"/>
        <v>7163.8</v>
      </c>
      <c r="AI426" s="75">
        <f t="shared" si="67"/>
        <v>4900</v>
      </c>
      <c r="AJ426" s="78">
        <f t="shared" si="68"/>
        <v>0</v>
      </c>
      <c r="AK426" s="72">
        <f t="shared" si="69"/>
        <v>4900</v>
      </c>
    </row>
    <row r="427" spans="1:37" ht="15.95" customHeight="1">
      <c r="A427" s="25" t="s">
        <v>948</v>
      </c>
      <c r="B427" s="25" t="s">
        <v>252</v>
      </c>
      <c r="C427" s="26" t="s">
        <v>293</v>
      </c>
      <c r="D427" s="26" t="s">
        <v>375</v>
      </c>
      <c r="E427" s="26" t="s">
        <v>16</v>
      </c>
      <c r="F427" s="26" t="s">
        <v>1236</v>
      </c>
      <c r="G427" s="26" t="s">
        <v>297</v>
      </c>
      <c r="H427" s="27" t="s">
        <v>1222</v>
      </c>
      <c r="I427" s="26" t="s">
        <v>27</v>
      </c>
      <c r="J427" s="28" t="s">
        <v>301</v>
      </c>
      <c r="K427" s="123">
        <v>125</v>
      </c>
      <c r="L427" s="29">
        <v>22.609749999999995</v>
      </c>
      <c r="M427" s="110">
        <v>16.95</v>
      </c>
      <c r="N427" s="30">
        <v>0.16</v>
      </c>
      <c r="O427" s="116">
        <v>2.7119999999999997</v>
      </c>
      <c r="P427" s="30">
        <v>7.4999999999999997E-2</v>
      </c>
      <c r="Q427" s="116">
        <v>1.27125</v>
      </c>
      <c r="R427" s="30">
        <v>7.0000000000000007E-2</v>
      </c>
      <c r="S427" s="116">
        <v>1.1865000000000001</v>
      </c>
      <c r="T427" s="117">
        <v>0.49</v>
      </c>
      <c r="U427" s="39">
        <v>200</v>
      </c>
      <c r="V427" s="32">
        <v>114</v>
      </c>
      <c r="W427" s="33"/>
      <c r="X427" s="32"/>
      <c r="Y427" s="32"/>
      <c r="Z427" s="32"/>
      <c r="AA427" s="34"/>
      <c r="AB427" s="35">
        <f t="shared" ref="AB427:AB486" si="70">SUM(U427:AA427)</f>
        <v>314</v>
      </c>
      <c r="AC427" s="75">
        <f t="shared" ref="AC427:AC486" si="71">$K427*U427</f>
        <v>25000</v>
      </c>
      <c r="AD427" s="78">
        <f t="shared" ref="AD427:AD486" si="72">$K427*SUM(V427:AA427)</f>
        <v>14250</v>
      </c>
      <c r="AE427" s="72">
        <f t="shared" ref="AE427:AE486" si="73">SUM(AC427:AD427)</f>
        <v>39250</v>
      </c>
      <c r="AF427" s="75">
        <f t="shared" ref="AF427:AF486" si="74">$L427*U427</f>
        <v>4521.9499999999989</v>
      </c>
      <c r="AG427" s="78">
        <f t="shared" ref="AG427:AG486" si="75">$L427*SUM(V427:W427)+M427*SUM(X427:AA427)</f>
        <v>2577.5114999999996</v>
      </c>
      <c r="AH427" s="72">
        <f t="shared" ref="AH427:AH486" si="76">SUM(AF427:AG427)</f>
        <v>7099.4614999999985</v>
      </c>
      <c r="AI427" s="75">
        <f t="shared" ref="AI427:AI486" si="77">$M427*U427</f>
        <v>3390</v>
      </c>
      <c r="AJ427" s="78">
        <f t="shared" ref="AJ427:AJ486" si="78">$M427*SUM(V427:AA427)</f>
        <v>1932.3</v>
      </c>
      <c r="AK427" s="72">
        <f t="shared" ref="AK427:AK486" si="79">SUM(AI427:AJ427)</f>
        <v>5322.3</v>
      </c>
    </row>
    <row r="428" spans="1:37" ht="15.95" customHeight="1">
      <c r="A428" s="25" t="s">
        <v>948</v>
      </c>
      <c r="B428" s="25" t="s">
        <v>252</v>
      </c>
      <c r="C428" s="26" t="s">
        <v>293</v>
      </c>
      <c r="D428" s="26" t="s">
        <v>375</v>
      </c>
      <c r="E428" s="26" t="s">
        <v>16</v>
      </c>
      <c r="F428" s="26" t="s">
        <v>1236</v>
      </c>
      <c r="G428" s="26" t="s">
        <v>297</v>
      </c>
      <c r="H428" s="27" t="s">
        <v>1222</v>
      </c>
      <c r="I428" s="26" t="s">
        <v>27</v>
      </c>
      <c r="J428" s="28" t="s">
        <v>301</v>
      </c>
      <c r="K428" s="123">
        <v>125</v>
      </c>
      <c r="L428" s="29">
        <v>22.609749999999995</v>
      </c>
      <c r="M428" s="110">
        <v>16.95</v>
      </c>
      <c r="N428" s="30">
        <v>0.16</v>
      </c>
      <c r="O428" s="116">
        <v>2.7119999999999997</v>
      </c>
      <c r="P428" s="30">
        <v>7.4999999999999997E-2</v>
      </c>
      <c r="Q428" s="116">
        <v>1.27125</v>
      </c>
      <c r="R428" s="30">
        <v>7.0000000000000007E-2</v>
      </c>
      <c r="S428" s="116">
        <v>1.1865000000000001</v>
      </c>
      <c r="T428" s="117">
        <v>0.49</v>
      </c>
      <c r="U428" s="39">
        <v>200</v>
      </c>
      <c r="V428" s="32">
        <v>202</v>
      </c>
      <c r="W428" s="33"/>
      <c r="X428" s="32"/>
      <c r="Y428" s="32"/>
      <c r="Z428" s="32"/>
      <c r="AA428" s="34"/>
      <c r="AB428" s="35">
        <f t="shared" si="70"/>
        <v>402</v>
      </c>
      <c r="AC428" s="75">
        <f t="shared" si="71"/>
        <v>25000</v>
      </c>
      <c r="AD428" s="78">
        <f t="shared" si="72"/>
        <v>25250</v>
      </c>
      <c r="AE428" s="72">
        <f t="shared" si="73"/>
        <v>50250</v>
      </c>
      <c r="AF428" s="75">
        <f t="shared" si="74"/>
        <v>4521.9499999999989</v>
      </c>
      <c r="AG428" s="78">
        <f t="shared" si="75"/>
        <v>4567.1694999999991</v>
      </c>
      <c r="AH428" s="72">
        <f t="shared" si="76"/>
        <v>9089.1194999999971</v>
      </c>
      <c r="AI428" s="75">
        <f t="shared" si="77"/>
        <v>3390</v>
      </c>
      <c r="AJ428" s="78">
        <f t="shared" si="78"/>
        <v>3423.8999999999996</v>
      </c>
      <c r="AK428" s="72">
        <f t="shared" si="79"/>
        <v>6813.9</v>
      </c>
    </row>
    <row r="429" spans="1:37" ht="15.95" customHeight="1">
      <c r="A429" s="25" t="s">
        <v>948</v>
      </c>
      <c r="B429" s="25" t="s">
        <v>252</v>
      </c>
      <c r="C429" s="26" t="s">
        <v>1215</v>
      </c>
      <c r="D429" s="26" t="s">
        <v>375</v>
      </c>
      <c r="E429" s="26" t="s">
        <v>16</v>
      </c>
      <c r="F429" s="26" t="s">
        <v>1237</v>
      </c>
      <c r="G429" s="26" t="s">
        <v>303</v>
      </c>
      <c r="H429" s="27" t="s">
        <v>1238</v>
      </c>
      <c r="I429" s="26" t="s">
        <v>27</v>
      </c>
      <c r="J429" s="28" t="s">
        <v>311</v>
      </c>
      <c r="K429" s="123">
        <v>68</v>
      </c>
      <c r="L429" s="29">
        <v>16.586499999999997</v>
      </c>
      <c r="M429" s="110">
        <v>12.25</v>
      </c>
      <c r="N429" s="30">
        <v>0.16900000000000001</v>
      </c>
      <c r="O429" s="116">
        <v>2.0702500000000001</v>
      </c>
      <c r="P429" s="30">
        <v>7.4999999999999997E-2</v>
      </c>
      <c r="Q429" s="116">
        <v>0.91874999999999996</v>
      </c>
      <c r="R429" s="30">
        <v>7.0000000000000007E-2</v>
      </c>
      <c r="S429" s="116">
        <v>0.85750000000000004</v>
      </c>
      <c r="T429" s="117">
        <v>0.49</v>
      </c>
      <c r="U429" s="39">
        <v>300</v>
      </c>
      <c r="V429" s="32"/>
      <c r="W429" s="33"/>
      <c r="X429" s="32"/>
      <c r="Y429" s="32"/>
      <c r="Z429" s="32"/>
      <c r="AA429" s="34"/>
      <c r="AB429" s="35">
        <f t="shared" si="70"/>
        <v>300</v>
      </c>
      <c r="AC429" s="75">
        <f t="shared" si="71"/>
        <v>20400</v>
      </c>
      <c r="AD429" s="78">
        <f t="shared" si="72"/>
        <v>0</v>
      </c>
      <c r="AE429" s="72">
        <f t="shared" si="73"/>
        <v>20400</v>
      </c>
      <c r="AF429" s="75">
        <f t="shared" si="74"/>
        <v>4975.9499999999989</v>
      </c>
      <c r="AG429" s="78">
        <f t="shared" si="75"/>
        <v>0</v>
      </c>
      <c r="AH429" s="72">
        <f t="shared" si="76"/>
        <v>4975.9499999999989</v>
      </c>
      <c r="AI429" s="75">
        <f t="shared" si="77"/>
        <v>3675</v>
      </c>
      <c r="AJ429" s="78">
        <f t="shared" si="78"/>
        <v>0</v>
      </c>
      <c r="AK429" s="72">
        <f t="shared" si="79"/>
        <v>3675</v>
      </c>
    </row>
    <row r="430" spans="1:37" ht="15.95" customHeight="1">
      <c r="A430" s="25" t="s">
        <v>948</v>
      </c>
      <c r="B430" s="25" t="s">
        <v>252</v>
      </c>
      <c r="C430" s="26" t="s">
        <v>306</v>
      </c>
      <c r="D430" s="26" t="s">
        <v>375</v>
      </c>
      <c r="E430" s="26" t="s">
        <v>16</v>
      </c>
      <c r="F430" s="26" t="s">
        <v>1239</v>
      </c>
      <c r="G430" s="26" t="s">
        <v>303</v>
      </c>
      <c r="H430" s="27" t="s">
        <v>1238</v>
      </c>
      <c r="I430" s="26" t="s">
        <v>27</v>
      </c>
      <c r="J430" s="28" t="s">
        <v>308</v>
      </c>
      <c r="K430" s="123">
        <v>110</v>
      </c>
      <c r="L430" s="29">
        <v>21.181499999999996</v>
      </c>
      <c r="M430" s="110">
        <v>14.5</v>
      </c>
      <c r="N430" s="30">
        <v>0.28199999999999997</v>
      </c>
      <c r="O430" s="116">
        <v>4.0889999999999995</v>
      </c>
      <c r="P430" s="30">
        <v>7.4999999999999997E-2</v>
      </c>
      <c r="Q430" s="116">
        <v>1.0874999999999999</v>
      </c>
      <c r="R430" s="30">
        <v>7.0000000000000007E-2</v>
      </c>
      <c r="S430" s="116">
        <v>1.0150000000000001</v>
      </c>
      <c r="T430" s="117">
        <v>0.49</v>
      </c>
      <c r="U430" s="39">
        <v>300</v>
      </c>
      <c r="V430" s="32"/>
      <c r="W430" s="33"/>
      <c r="X430" s="32"/>
      <c r="Y430" s="32"/>
      <c r="Z430" s="32"/>
      <c r="AA430" s="34"/>
      <c r="AB430" s="35">
        <f t="shared" si="70"/>
        <v>300</v>
      </c>
      <c r="AC430" s="75">
        <f t="shared" si="71"/>
        <v>33000</v>
      </c>
      <c r="AD430" s="78">
        <f t="shared" si="72"/>
        <v>0</v>
      </c>
      <c r="AE430" s="72">
        <f t="shared" si="73"/>
        <v>33000</v>
      </c>
      <c r="AF430" s="75">
        <f t="shared" si="74"/>
        <v>6354.4499999999989</v>
      </c>
      <c r="AG430" s="78">
        <f t="shared" si="75"/>
        <v>0</v>
      </c>
      <c r="AH430" s="72">
        <f t="shared" si="76"/>
        <v>6354.4499999999989</v>
      </c>
      <c r="AI430" s="75">
        <f t="shared" si="77"/>
        <v>4350</v>
      </c>
      <c r="AJ430" s="78">
        <f t="shared" si="78"/>
        <v>0</v>
      </c>
      <c r="AK430" s="72">
        <f t="shared" si="79"/>
        <v>4350</v>
      </c>
    </row>
    <row r="431" spans="1:37" ht="15.95" customHeight="1">
      <c r="A431" s="25" t="s">
        <v>948</v>
      </c>
      <c r="B431" s="25" t="s">
        <v>252</v>
      </c>
      <c r="C431" s="26" t="s">
        <v>1215</v>
      </c>
      <c r="D431" s="26" t="s">
        <v>375</v>
      </c>
      <c r="E431" s="26" t="s">
        <v>16</v>
      </c>
      <c r="F431" s="26" t="s">
        <v>1237</v>
      </c>
      <c r="G431" s="26" t="s">
        <v>303</v>
      </c>
      <c r="H431" s="27" t="s">
        <v>1238</v>
      </c>
      <c r="I431" s="26" t="s">
        <v>27</v>
      </c>
      <c r="J431" s="28" t="s">
        <v>311</v>
      </c>
      <c r="K431" s="123">
        <v>68</v>
      </c>
      <c r="L431" s="29">
        <v>16.586499999999997</v>
      </c>
      <c r="M431" s="110">
        <v>12.25</v>
      </c>
      <c r="N431" s="30">
        <v>0.16900000000000001</v>
      </c>
      <c r="O431" s="116">
        <v>2.0702500000000001</v>
      </c>
      <c r="P431" s="30">
        <v>7.4999999999999997E-2</v>
      </c>
      <c r="Q431" s="116">
        <v>0.91874999999999996</v>
      </c>
      <c r="R431" s="30">
        <v>7.0000000000000007E-2</v>
      </c>
      <c r="S431" s="116">
        <v>0.85750000000000004</v>
      </c>
      <c r="T431" s="117">
        <v>0.49</v>
      </c>
      <c r="U431" s="39">
        <v>300</v>
      </c>
      <c r="V431" s="32">
        <v>12</v>
      </c>
      <c r="W431" s="33"/>
      <c r="X431" s="32"/>
      <c r="Y431" s="32"/>
      <c r="Z431" s="32"/>
      <c r="AA431" s="34"/>
      <c r="AB431" s="35">
        <f t="shared" si="70"/>
        <v>312</v>
      </c>
      <c r="AC431" s="75">
        <f t="shared" si="71"/>
        <v>20400</v>
      </c>
      <c r="AD431" s="78">
        <f t="shared" si="72"/>
        <v>816</v>
      </c>
      <c r="AE431" s="72">
        <f t="shared" si="73"/>
        <v>21216</v>
      </c>
      <c r="AF431" s="75">
        <f t="shared" si="74"/>
        <v>4975.9499999999989</v>
      </c>
      <c r="AG431" s="78">
        <f t="shared" si="75"/>
        <v>199.03799999999995</v>
      </c>
      <c r="AH431" s="72">
        <f t="shared" si="76"/>
        <v>5174.9879999999985</v>
      </c>
      <c r="AI431" s="75">
        <f t="shared" si="77"/>
        <v>3675</v>
      </c>
      <c r="AJ431" s="78">
        <f t="shared" si="78"/>
        <v>147</v>
      </c>
      <c r="AK431" s="72">
        <f t="shared" si="79"/>
        <v>3822</v>
      </c>
    </row>
    <row r="432" spans="1:37" ht="15.95" customHeight="1">
      <c r="A432" s="25" t="s">
        <v>948</v>
      </c>
      <c r="B432" s="25" t="s">
        <v>252</v>
      </c>
      <c r="C432" s="26" t="s">
        <v>306</v>
      </c>
      <c r="D432" s="26" t="s">
        <v>375</v>
      </c>
      <c r="E432" s="26" t="s">
        <v>16</v>
      </c>
      <c r="F432" s="26" t="s">
        <v>1239</v>
      </c>
      <c r="G432" s="26" t="s">
        <v>303</v>
      </c>
      <c r="H432" s="27" t="s">
        <v>1238</v>
      </c>
      <c r="I432" s="26" t="s">
        <v>27</v>
      </c>
      <c r="J432" s="28" t="s">
        <v>308</v>
      </c>
      <c r="K432" s="123">
        <v>110</v>
      </c>
      <c r="L432" s="29">
        <v>21.181499999999996</v>
      </c>
      <c r="M432" s="110">
        <v>14.5</v>
      </c>
      <c r="N432" s="30">
        <v>0.28199999999999997</v>
      </c>
      <c r="O432" s="116">
        <v>4.0889999999999995</v>
      </c>
      <c r="P432" s="30">
        <v>7.4999999999999997E-2</v>
      </c>
      <c r="Q432" s="116">
        <v>1.0874999999999999</v>
      </c>
      <c r="R432" s="30">
        <v>7.0000000000000007E-2</v>
      </c>
      <c r="S432" s="116">
        <v>1.0150000000000001</v>
      </c>
      <c r="T432" s="117">
        <v>0.49</v>
      </c>
      <c r="U432" s="39">
        <v>300</v>
      </c>
      <c r="V432" s="32">
        <v>12</v>
      </c>
      <c r="W432" s="33"/>
      <c r="X432" s="32"/>
      <c r="Y432" s="32"/>
      <c r="Z432" s="32"/>
      <c r="AA432" s="34"/>
      <c r="AB432" s="35">
        <f t="shared" si="70"/>
        <v>312</v>
      </c>
      <c r="AC432" s="75">
        <f t="shared" si="71"/>
        <v>33000</v>
      </c>
      <c r="AD432" s="78">
        <f t="shared" si="72"/>
        <v>1320</v>
      </c>
      <c r="AE432" s="72">
        <f t="shared" si="73"/>
        <v>34320</v>
      </c>
      <c r="AF432" s="75">
        <f t="shared" si="74"/>
        <v>6354.4499999999989</v>
      </c>
      <c r="AG432" s="78">
        <f t="shared" si="75"/>
        <v>254.17799999999994</v>
      </c>
      <c r="AH432" s="72">
        <f t="shared" si="76"/>
        <v>6608.6279999999988</v>
      </c>
      <c r="AI432" s="75">
        <f t="shared" si="77"/>
        <v>4350</v>
      </c>
      <c r="AJ432" s="78">
        <f t="shared" si="78"/>
        <v>174</v>
      </c>
      <c r="AK432" s="72">
        <f t="shared" si="79"/>
        <v>4524</v>
      </c>
    </row>
    <row r="433" spans="1:37" ht="15.95" customHeight="1">
      <c r="A433" s="25" t="s">
        <v>948</v>
      </c>
      <c r="B433" s="25" t="s">
        <v>252</v>
      </c>
      <c r="C433" s="26" t="s">
        <v>293</v>
      </c>
      <c r="D433" s="26" t="s">
        <v>375</v>
      </c>
      <c r="E433" s="26" t="s">
        <v>16</v>
      </c>
      <c r="F433" s="26" t="s">
        <v>1240</v>
      </c>
      <c r="G433" s="26" t="s">
        <v>303</v>
      </c>
      <c r="H433" s="27" t="s">
        <v>1238</v>
      </c>
      <c r="I433" s="26" t="s">
        <v>27</v>
      </c>
      <c r="J433" s="28" t="s">
        <v>301</v>
      </c>
      <c r="K433" s="123">
        <v>125</v>
      </c>
      <c r="L433" s="29">
        <v>25.285</v>
      </c>
      <c r="M433" s="110">
        <v>19</v>
      </c>
      <c r="N433" s="30">
        <v>0.16</v>
      </c>
      <c r="O433" s="116">
        <v>3.04</v>
      </c>
      <c r="P433" s="30">
        <v>7.4999999999999997E-2</v>
      </c>
      <c r="Q433" s="116">
        <v>1.425</v>
      </c>
      <c r="R433" s="30">
        <v>7.0000000000000007E-2</v>
      </c>
      <c r="S433" s="116">
        <v>1.33</v>
      </c>
      <c r="T433" s="117">
        <v>0.49</v>
      </c>
      <c r="U433" s="39">
        <v>250</v>
      </c>
      <c r="V433" s="32">
        <v>185</v>
      </c>
      <c r="W433" s="33"/>
      <c r="X433" s="32"/>
      <c r="Y433" s="32"/>
      <c r="Z433" s="32"/>
      <c r="AA433" s="34"/>
      <c r="AB433" s="35">
        <f t="shared" si="70"/>
        <v>435</v>
      </c>
      <c r="AC433" s="75">
        <f t="shared" si="71"/>
        <v>31250</v>
      </c>
      <c r="AD433" s="78">
        <f t="shared" si="72"/>
        <v>23125</v>
      </c>
      <c r="AE433" s="72">
        <f t="shared" si="73"/>
        <v>54375</v>
      </c>
      <c r="AF433" s="75">
        <f t="shared" si="74"/>
        <v>6321.25</v>
      </c>
      <c r="AG433" s="78">
        <f t="shared" si="75"/>
        <v>4677.7250000000004</v>
      </c>
      <c r="AH433" s="72">
        <f t="shared" si="76"/>
        <v>10998.975</v>
      </c>
      <c r="AI433" s="75">
        <f t="shared" si="77"/>
        <v>4750</v>
      </c>
      <c r="AJ433" s="78">
        <f t="shared" si="78"/>
        <v>3515</v>
      </c>
      <c r="AK433" s="72">
        <f t="shared" si="79"/>
        <v>8265</v>
      </c>
    </row>
    <row r="434" spans="1:37" ht="15.95" customHeight="1">
      <c r="A434" s="25" t="s">
        <v>948</v>
      </c>
      <c r="B434" s="25" t="s">
        <v>252</v>
      </c>
      <c r="C434" s="26" t="s">
        <v>293</v>
      </c>
      <c r="D434" s="26" t="s">
        <v>375</v>
      </c>
      <c r="E434" s="26" t="s">
        <v>16</v>
      </c>
      <c r="F434" s="26" t="s">
        <v>1240</v>
      </c>
      <c r="G434" s="26" t="s">
        <v>303</v>
      </c>
      <c r="H434" s="27" t="s">
        <v>1238</v>
      </c>
      <c r="I434" s="26" t="s">
        <v>27</v>
      </c>
      <c r="J434" s="28" t="s">
        <v>301</v>
      </c>
      <c r="K434" s="123">
        <v>125</v>
      </c>
      <c r="L434" s="29">
        <v>25.285</v>
      </c>
      <c r="M434" s="110">
        <v>19</v>
      </c>
      <c r="N434" s="30">
        <v>0.16</v>
      </c>
      <c r="O434" s="116">
        <v>3.04</v>
      </c>
      <c r="P434" s="30">
        <v>7.4999999999999997E-2</v>
      </c>
      <c r="Q434" s="116">
        <v>1.425</v>
      </c>
      <c r="R434" s="30">
        <v>7.0000000000000007E-2</v>
      </c>
      <c r="S434" s="116">
        <v>1.33</v>
      </c>
      <c r="T434" s="117">
        <v>0.49</v>
      </c>
      <c r="U434" s="39">
        <v>250</v>
      </c>
      <c r="V434" s="32">
        <v>128</v>
      </c>
      <c r="W434" s="33"/>
      <c r="X434" s="32"/>
      <c r="Y434" s="32"/>
      <c r="Z434" s="32"/>
      <c r="AA434" s="34"/>
      <c r="AB434" s="35">
        <f t="shared" si="70"/>
        <v>378</v>
      </c>
      <c r="AC434" s="75">
        <f t="shared" si="71"/>
        <v>31250</v>
      </c>
      <c r="AD434" s="78">
        <f t="shared" si="72"/>
        <v>16000</v>
      </c>
      <c r="AE434" s="72">
        <f t="shared" si="73"/>
        <v>47250</v>
      </c>
      <c r="AF434" s="75">
        <f t="shared" si="74"/>
        <v>6321.25</v>
      </c>
      <c r="AG434" s="78">
        <f t="shared" si="75"/>
        <v>3236.48</v>
      </c>
      <c r="AH434" s="72">
        <f t="shared" si="76"/>
        <v>9557.73</v>
      </c>
      <c r="AI434" s="75">
        <f t="shared" si="77"/>
        <v>4750</v>
      </c>
      <c r="AJ434" s="78">
        <f t="shared" si="78"/>
        <v>2432</v>
      </c>
      <c r="AK434" s="72">
        <f t="shared" si="79"/>
        <v>7182</v>
      </c>
    </row>
    <row r="435" spans="1:37" ht="15.95" customHeight="1">
      <c r="A435" s="25" t="s">
        <v>948</v>
      </c>
      <c r="B435" s="25" t="s">
        <v>252</v>
      </c>
      <c r="C435" s="26" t="s">
        <v>1241</v>
      </c>
      <c r="D435" s="26" t="s">
        <v>375</v>
      </c>
      <c r="E435" s="26" t="s">
        <v>16</v>
      </c>
      <c r="F435" s="26" t="s">
        <v>1242</v>
      </c>
      <c r="G435" s="25" t="s">
        <v>297</v>
      </c>
      <c r="H435" s="42" t="s">
        <v>1222</v>
      </c>
      <c r="I435" s="43" t="s">
        <v>27</v>
      </c>
      <c r="J435" s="28" t="s">
        <v>261</v>
      </c>
      <c r="K435" s="123">
        <v>125</v>
      </c>
      <c r="L435" s="29">
        <v>26.176000000000002</v>
      </c>
      <c r="M435" s="110">
        <v>18</v>
      </c>
      <c r="N435" s="30">
        <v>0.28199999999999997</v>
      </c>
      <c r="O435" s="116">
        <v>5.0759999999999996</v>
      </c>
      <c r="P435" s="30">
        <v>7.4999999999999997E-2</v>
      </c>
      <c r="Q435" s="116">
        <v>1.3499999999999999</v>
      </c>
      <c r="R435" s="30">
        <v>7.0000000000000007E-2</v>
      </c>
      <c r="S435" s="116">
        <v>1.2600000000000002</v>
      </c>
      <c r="T435" s="117">
        <v>0.49</v>
      </c>
      <c r="U435" s="39">
        <v>300</v>
      </c>
      <c r="V435" s="32">
        <v>105</v>
      </c>
      <c r="W435" s="33"/>
      <c r="X435" s="32"/>
      <c r="Y435" s="32"/>
      <c r="Z435" s="32"/>
      <c r="AA435" s="34">
        <v>4</v>
      </c>
      <c r="AB435" s="35">
        <f t="shared" si="70"/>
        <v>409</v>
      </c>
      <c r="AC435" s="75">
        <f t="shared" si="71"/>
        <v>37500</v>
      </c>
      <c r="AD435" s="78">
        <f t="shared" si="72"/>
        <v>13625</v>
      </c>
      <c r="AE435" s="72">
        <f t="shared" si="73"/>
        <v>51125</v>
      </c>
      <c r="AF435" s="75">
        <f t="shared" si="74"/>
        <v>7852.8</v>
      </c>
      <c r="AG435" s="78">
        <f t="shared" si="75"/>
        <v>2820.48</v>
      </c>
      <c r="AH435" s="72">
        <f t="shared" si="76"/>
        <v>10673.28</v>
      </c>
      <c r="AI435" s="75">
        <f t="shared" si="77"/>
        <v>5400</v>
      </c>
      <c r="AJ435" s="78">
        <f t="shared" si="78"/>
        <v>1962</v>
      </c>
      <c r="AK435" s="72">
        <f t="shared" si="79"/>
        <v>7362</v>
      </c>
    </row>
    <row r="436" spans="1:37" ht="15.95" customHeight="1">
      <c r="A436" s="25" t="s">
        <v>948</v>
      </c>
      <c r="B436" s="25" t="s">
        <v>252</v>
      </c>
      <c r="C436" s="26" t="s">
        <v>306</v>
      </c>
      <c r="D436" s="26" t="s">
        <v>375</v>
      </c>
      <c r="E436" s="26" t="s">
        <v>16</v>
      </c>
      <c r="F436" s="26" t="s">
        <v>1243</v>
      </c>
      <c r="G436" s="25" t="s">
        <v>297</v>
      </c>
      <c r="H436" s="42" t="s">
        <v>1222</v>
      </c>
      <c r="I436" s="43" t="s">
        <v>27</v>
      </c>
      <c r="J436" s="28" t="s">
        <v>308</v>
      </c>
      <c r="K436" s="123">
        <v>118</v>
      </c>
      <c r="L436" s="29">
        <v>21.181499999999996</v>
      </c>
      <c r="M436" s="110">
        <v>14.5</v>
      </c>
      <c r="N436" s="30">
        <v>0.28199999999999997</v>
      </c>
      <c r="O436" s="116">
        <v>4.0889999999999995</v>
      </c>
      <c r="P436" s="30">
        <v>7.4999999999999997E-2</v>
      </c>
      <c r="Q436" s="116">
        <v>1.0874999999999999</v>
      </c>
      <c r="R436" s="30">
        <v>7.0000000000000007E-2</v>
      </c>
      <c r="S436" s="116">
        <v>1.0150000000000001</v>
      </c>
      <c r="T436" s="117">
        <v>0.49</v>
      </c>
      <c r="U436" s="39">
        <v>300</v>
      </c>
      <c r="V436" s="32">
        <v>101</v>
      </c>
      <c r="W436" s="33"/>
      <c r="X436" s="32"/>
      <c r="Y436" s="32"/>
      <c r="Z436" s="32"/>
      <c r="AA436" s="34"/>
      <c r="AB436" s="35">
        <f t="shared" si="70"/>
        <v>401</v>
      </c>
      <c r="AC436" s="75">
        <f t="shared" si="71"/>
        <v>35400</v>
      </c>
      <c r="AD436" s="78">
        <f t="shared" si="72"/>
        <v>11918</v>
      </c>
      <c r="AE436" s="72">
        <f t="shared" si="73"/>
        <v>47318</v>
      </c>
      <c r="AF436" s="75">
        <f t="shared" si="74"/>
        <v>6354.4499999999989</v>
      </c>
      <c r="AG436" s="78">
        <f t="shared" si="75"/>
        <v>2139.3314999999998</v>
      </c>
      <c r="AH436" s="72">
        <f t="shared" si="76"/>
        <v>8493.7814999999991</v>
      </c>
      <c r="AI436" s="75">
        <f t="shared" si="77"/>
        <v>4350</v>
      </c>
      <c r="AJ436" s="78">
        <f t="shared" si="78"/>
        <v>1464.5</v>
      </c>
      <c r="AK436" s="72">
        <f t="shared" si="79"/>
        <v>5814.5</v>
      </c>
    </row>
    <row r="437" spans="1:37" ht="15.95" customHeight="1">
      <c r="A437" s="25" t="s">
        <v>948</v>
      </c>
      <c r="B437" s="25" t="s">
        <v>252</v>
      </c>
      <c r="C437" s="26" t="s">
        <v>1241</v>
      </c>
      <c r="D437" s="26" t="s">
        <v>375</v>
      </c>
      <c r="E437" s="26" t="s">
        <v>16</v>
      </c>
      <c r="F437" s="26" t="s">
        <v>1242</v>
      </c>
      <c r="G437" s="26" t="s">
        <v>297</v>
      </c>
      <c r="H437" s="27" t="s">
        <v>1222</v>
      </c>
      <c r="I437" s="26" t="s">
        <v>27</v>
      </c>
      <c r="J437" s="28" t="s">
        <v>261</v>
      </c>
      <c r="K437" s="123">
        <v>125</v>
      </c>
      <c r="L437" s="29">
        <v>26.176000000000002</v>
      </c>
      <c r="M437" s="110">
        <v>18</v>
      </c>
      <c r="N437" s="30">
        <v>0.28199999999999997</v>
      </c>
      <c r="O437" s="116">
        <v>5.0759999999999996</v>
      </c>
      <c r="P437" s="30">
        <v>7.4999999999999997E-2</v>
      </c>
      <c r="Q437" s="116">
        <v>1.3499999999999999</v>
      </c>
      <c r="R437" s="30">
        <v>7.0000000000000007E-2</v>
      </c>
      <c r="S437" s="116">
        <v>1.2600000000000002</v>
      </c>
      <c r="T437" s="117">
        <v>0.49</v>
      </c>
      <c r="U437" s="39">
        <v>300</v>
      </c>
      <c r="V437" s="32">
        <v>286</v>
      </c>
      <c r="W437" s="33"/>
      <c r="X437" s="32"/>
      <c r="Y437" s="32"/>
      <c r="Z437" s="32"/>
      <c r="AA437" s="34">
        <v>4</v>
      </c>
      <c r="AB437" s="35">
        <f t="shared" si="70"/>
        <v>590</v>
      </c>
      <c r="AC437" s="75">
        <f t="shared" si="71"/>
        <v>37500</v>
      </c>
      <c r="AD437" s="78">
        <f t="shared" si="72"/>
        <v>36250</v>
      </c>
      <c r="AE437" s="72">
        <f t="shared" si="73"/>
        <v>73750</v>
      </c>
      <c r="AF437" s="75">
        <f t="shared" si="74"/>
        <v>7852.8</v>
      </c>
      <c r="AG437" s="78">
        <f t="shared" si="75"/>
        <v>7558.3360000000002</v>
      </c>
      <c r="AH437" s="72">
        <f t="shared" si="76"/>
        <v>15411.136</v>
      </c>
      <c r="AI437" s="75">
        <f t="shared" si="77"/>
        <v>5400</v>
      </c>
      <c r="AJ437" s="78">
        <f t="shared" si="78"/>
        <v>5220</v>
      </c>
      <c r="AK437" s="72">
        <f t="shared" si="79"/>
        <v>10620</v>
      </c>
    </row>
    <row r="438" spans="1:37" ht="15.95" customHeight="1">
      <c r="A438" s="25" t="s">
        <v>948</v>
      </c>
      <c r="B438" s="25" t="s">
        <v>252</v>
      </c>
      <c r="C438" s="26" t="s">
        <v>306</v>
      </c>
      <c r="D438" s="26" t="s">
        <v>375</v>
      </c>
      <c r="E438" s="26" t="s">
        <v>16</v>
      </c>
      <c r="F438" s="26" t="s">
        <v>1243</v>
      </c>
      <c r="G438" s="26" t="s">
        <v>297</v>
      </c>
      <c r="H438" s="27" t="s">
        <v>1222</v>
      </c>
      <c r="I438" s="26" t="s">
        <v>27</v>
      </c>
      <c r="J438" s="37" t="s">
        <v>308</v>
      </c>
      <c r="K438" s="123">
        <v>118</v>
      </c>
      <c r="L438" s="29">
        <v>21.181499999999996</v>
      </c>
      <c r="M438" s="110">
        <v>14.5</v>
      </c>
      <c r="N438" s="30">
        <v>0.28199999999999997</v>
      </c>
      <c r="O438" s="116">
        <v>4.0889999999999995</v>
      </c>
      <c r="P438" s="30">
        <v>7.4999999999999997E-2</v>
      </c>
      <c r="Q438" s="116">
        <v>1.0874999999999999</v>
      </c>
      <c r="R438" s="30">
        <v>7.0000000000000007E-2</v>
      </c>
      <c r="S438" s="116">
        <v>1.0150000000000001</v>
      </c>
      <c r="T438" s="117">
        <v>0.49</v>
      </c>
      <c r="U438" s="39">
        <v>300</v>
      </c>
      <c r="V438" s="32">
        <v>168</v>
      </c>
      <c r="W438" s="33"/>
      <c r="X438" s="32"/>
      <c r="Y438" s="32"/>
      <c r="Z438" s="32"/>
      <c r="AA438" s="34"/>
      <c r="AB438" s="35">
        <f t="shared" si="70"/>
        <v>468</v>
      </c>
      <c r="AC438" s="75">
        <f t="shared" si="71"/>
        <v>35400</v>
      </c>
      <c r="AD438" s="78">
        <f t="shared" si="72"/>
        <v>19824</v>
      </c>
      <c r="AE438" s="72">
        <f t="shared" si="73"/>
        <v>55224</v>
      </c>
      <c r="AF438" s="75">
        <f t="shared" si="74"/>
        <v>6354.4499999999989</v>
      </c>
      <c r="AG438" s="78">
        <f t="shared" si="75"/>
        <v>3558.4919999999993</v>
      </c>
      <c r="AH438" s="72">
        <f t="shared" si="76"/>
        <v>9912.9419999999991</v>
      </c>
      <c r="AI438" s="75">
        <f t="shared" si="77"/>
        <v>4350</v>
      </c>
      <c r="AJ438" s="78">
        <f t="shared" si="78"/>
        <v>2436</v>
      </c>
      <c r="AK438" s="72">
        <f t="shared" si="79"/>
        <v>6786</v>
      </c>
    </row>
    <row r="439" spans="1:37" ht="15.95" customHeight="1">
      <c r="A439" s="25" t="s">
        <v>948</v>
      </c>
      <c r="B439" s="25" t="s">
        <v>252</v>
      </c>
      <c r="C439" s="26" t="s">
        <v>14</v>
      </c>
      <c r="D439" s="26" t="s">
        <v>375</v>
      </c>
      <c r="E439" s="26" t="s">
        <v>16</v>
      </c>
      <c r="F439" s="26" t="s">
        <v>1244</v>
      </c>
      <c r="G439" s="26" t="s">
        <v>1030</v>
      </c>
      <c r="H439" s="27" t="s">
        <v>739</v>
      </c>
      <c r="I439" s="26" t="s">
        <v>27</v>
      </c>
      <c r="J439" s="28" t="s">
        <v>261</v>
      </c>
      <c r="K439" s="123">
        <v>150</v>
      </c>
      <c r="L439" s="29">
        <v>28.316499999999994</v>
      </c>
      <c r="M439" s="110">
        <v>19.5</v>
      </c>
      <c r="N439" s="30">
        <v>0.28199999999999997</v>
      </c>
      <c r="O439" s="116">
        <v>5.4989999999999997</v>
      </c>
      <c r="P439" s="30">
        <v>7.4999999999999997E-2</v>
      </c>
      <c r="Q439" s="116">
        <v>1.4624999999999999</v>
      </c>
      <c r="R439" s="30">
        <v>7.0000000000000007E-2</v>
      </c>
      <c r="S439" s="116">
        <v>1.3650000000000002</v>
      </c>
      <c r="T439" s="117">
        <v>0.49</v>
      </c>
      <c r="U439" s="39">
        <v>250</v>
      </c>
      <c r="V439" s="32">
        <v>110</v>
      </c>
      <c r="W439" s="33"/>
      <c r="X439" s="32"/>
      <c r="Y439" s="32"/>
      <c r="Z439" s="32"/>
      <c r="AA439" s="34"/>
      <c r="AB439" s="35">
        <f t="shared" si="70"/>
        <v>360</v>
      </c>
      <c r="AC439" s="75">
        <f t="shared" si="71"/>
        <v>37500</v>
      </c>
      <c r="AD439" s="78">
        <f t="shared" si="72"/>
        <v>16500</v>
      </c>
      <c r="AE439" s="72">
        <f t="shared" si="73"/>
        <v>54000</v>
      </c>
      <c r="AF439" s="75">
        <f t="shared" si="74"/>
        <v>7079.1249999999982</v>
      </c>
      <c r="AG439" s="78">
        <f t="shared" si="75"/>
        <v>3114.8149999999991</v>
      </c>
      <c r="AH439" s="72">
        <f t="shared" si="76"/>
        <v>10193.939999999997</v>
      </c>
      <c r="AI439" s="75">
        <f t="shared" si="77"/>
        <v>4875</v>
      </c>
      <c r="AJ439" s="78">
        <f t="shared" si="78"/>
        <v>2145</v>
      </c>
      <c r="AK439" s="72">
        <f t="shared" si="79"/>
        <v>7020</v>
      </c>
    </row>
    <row r="440" spans="1:37" ht="15.95" customHeight="1">
      <c r="A440" s="25" t="s">
        <v>948</v>
      </c>
      <c r="B440" s="25" t="s">
        <v>252</v>
      </c>
      <c r="C440" s="26" t="s">
        <v>21</v>
      </c>
      <c r="D440" s="26" t="s">
        <v>375</v>
      </c>
      <c r="E440" s="26" t="s">
        <v>16</v>
      </c>
      <c r="F440" s="26" t="s">
        <v>1245</v>
      </c>
      <c r="G440" s="26" t="s">
        <v>1030</v>
      </c>
      <c r="H440" s="27" t="s">
        <v>739</v>
      </c>
      <c r="I440" s="26" t="s">
        <v>27</v>
      </c>
      <c r="J440" s="28" t="s">
        <v>265</v>
      </c>
      <c r="K440" s="123">
        <v>125</v>
      </c>
      <c r="L440" s="29">
        <v>24.748999999999999</v>
      </c>
      <c r="M440" s="110">
        <v>17</v>
      </c>
      <c r="N440" s="30">
        <v>0.28199999999999997</v>
      </c>
      <c r="O440" s="116">
        <v>4.7939999999999996</v>
      </c>
      <c r="P440" s="30">
        <v>7.4999999999999997E-2</v>
      </c>
      <c r="Q440" s="116">
        <v>1.2749999999999999</v>
      </c>
      <c r="R440" s="30">
        <v>7.0000000000000007E-2</v>
      </c>
      <c r="S440" s="116">
        <v>1.1900000000000002</v>
      </c>
      <c r="T440" s="117">
        <v>0.49</v>
      </c>
      <c r="U440" s="39">
        <v>250</v>
      </c>
      <c r="V440" s="32">
        <v>110</v>
      </c>
      <c r="W440" s="33"/>
      <c r="X440" s="32"/>
      <c r="Y440" s="32"/>
      <c r="Z440" s="32"/>
      <c r="AA440" s="34"/>
      <c r="AB440" s="35">
        <f t="shared" si="70"/>
        <v>360</v>
      </c>
      <c r="AC440" s="75">
        <f t="shared" si="71"/>
        <v>31250</v>
      </c>
      <c r="AD440" s="78">
        <f t="shared" si="72"/>
        <v>13750</v>
      </c>
      <c r="AE440" s="72">
        <f t="shared" si="73"/>
        <v>45000</v>
      </c>
      <c r="AF440" s="75">
        <f t="shared" si="74"/>
        <v>6187.25</v>
      </c>
      <c r="AG440" s="78">
        <f t="shared" si="75"/>
        <v>2722.39</v>
      </c>
      <c r="AH440" s="72">
        <f t="shared" si="76"/>
        <v>8909.64</v>
      </c>
      <c r="AI440" s="75">
        <f t="shared" si="77"/>
        <v>4250</v>
      </c>
      <c r="AJ440" s="78">
        <f t="shared" si="78"/>
        <v>1870</v>
      </c>
      <c r="AK440" s="72">
        <f t="shared" si="79"/>
        <v>6120</v>
      </c>
    </row>
    <row r="441" spans="1:37" ht="15.95" customHeight="1">
      <c r="A441" s="25" t="s">
        <v>948</v>
      </c>
      <c r="B441" s="25" t="s">
        <v>252</v>
      </c>
      <c r="C441" s="26" t="s">
        <v>14</v>
      </c>
      <c r="D441" s="26" t="s">
        <v>375</v>
      </c>
      <c r="E441" s="26" t="s">
        <v>16</v>
      </c>
      <c r="F441" s="26" t="s">
        <v>1244</v>
      </c>
      <c r="G441" s="26" t="s">
        <v>1030</v>
      </c>
      <c r="H441" s="27" t="s">
        <v>739</v>
      </c>
      <c r="I441" s="26" t="s">
        <v>27</v>
      </c>
      <c r="J441" s="28" t="s">
        <v>261</v>
      </c>
      <c r="K441" s="123">
        <v>150</v>
      </c>
      <c r="L441" s="29">
        <v>28.316499999999994</v>
      </c>
      <c r="M441" s="110">
        <v>19.5</v>
      </c>
      <c r="N441" s="30">
        <v>0.28199999999999997</v>
      </c>
      <c r="O441" s="116">
        <v>5.4989999999999997</v>
      </c>
      <c r="P441" s="30">
        <v>7.4999999999999997E-2</v>
      </c>
      <c r="Q441" s="116">
        <v>1.4624999999999999</v>
      </c>
      <c r="R441" s="30">
        <v>7.0000000000000007E-2</v>
      </c>
      <c r="S441" s="116">
        <v>1.3650000000000002</v>
      </c>
      <c r="T441" s="117">
        <v>0.49</v>
      </c>
      <c r="U441" s="39">
        <v>300</v>
      </c>
      <c r="V441" s="32">
        <v>122</v>
      </c>
      <c r="W441" s="33"/>
      <c r="X441" s="32"/>
      <c r="Y441" s="32"/>
      <c r="Z441" s="32"/>
      <c r="AA441" s="34"/>
      <c r="AB441" s="35">
        <f t="shared" si="70"/>
        <v>422</v>
      </c>
      <c r="AC441" s="75">
        <f t="shared" si="71"/>
        <v>45000</v>
      </c>
      <c r="AD441" s="78">
        <f t="shared" si="72"/>
        <v>18300</v>
      </c>
      <c r="AE441" s="72">
        <f t="shared" si="73"/>
        <v>63300</v>
      </c>
      <c r="AF441" s="75">
        <f t="shared" si="74"/>
        <v>8494.9499999999989</v>
      </c>
      <c r="AG441" s="78">
        <f t="shared" si="75"/>
        <v>3454.6129999999994</v>
      </c>
      <c r="AH441" s="72">
        <f t="shared" si="76"/>
        <v>11949.562999999998</v>
      </c>
      <c r="AI441" s="75">
        <f t="shared" si="77"/>
        <v>5850</v>
      </c>
      <c r="AJ441" s="78">
        <f t="shared" si="78"/>
        <v>2379</v>
      </c>
      <c r="AK441" s="72">
        <f t="shared" si="79"/>
        <v>8229</v>
      </c>
    </row>
    <row r="442" spans="1:37" ht="15.95" customHeight="1">
      <c r="A442" s="25" t="s">
        <v>948</v>
      </c>
      <c r="B442" s="25" t="s">
        <v>252</v>
      </c>
      <c r="C442" s="26" t="s">
        <v>21</v>
      </c>
      <c r="D442" s="26" t="s">
        <v>375</v>
      </c>
      <c r="E442" s="26" t="s">
        <v>16</v>
      </c>
      <c r="F442" s="26" t="s">
        <v>1245</v>
      </c>
      <c r="G442" s="26" t="s">
        <v>1030</v>
      </c>
      <c r="H442" s="27" t="s">
        <v>739</v>
      </c>
      <c r="I442" s="26" t="s">
        <v>27</v>
      </c>
      <c r="J442" s="28" t="s">
        <v>265</v>
      </c>
      <c r="K442" s="123">
        <v>125</v>
      </c>
      <c r="L442" s="29">
        <v>24.748999999999999</v>
      </c>
      <c r="M442" s="110">
        <v>17</v>
      </c>
      <c r="N442" s="30">
        <v>0.28199999999999997</v>
      </c>
      <c r="O442" s="116">
        <v>4.7939999999999996</v>
      </c>
      <c r="P442" s="30">
        <v>7.4999999999999997E-2</v>
      </c>
      <c r="Q442" s="116">
        <v>1.2749999999999999</v>
      </c>
      <c r="R442" s="30">
        <v>7.0000000000000007E-2</v>
      </c>
      <c r="S442" s="116">
        <v>1.1900000000000002</v>
      </c>
      <c r="T442" s="117">
        <v>0.49</v>
      </c>
      <c r="U442" s="39">
        <v>300</v>
      </c>
      <c r="V442" s="32">
        <v>122</v>
      </c>
      <c r="W442" s="33"/>
      <c r="X442" s="32"/>
      <c r="Y442" s="32"/>
      <c r="Z442" s="32"/>
      <c r="AA442" s="34"/>
      <c r="AB442" s="35">
        <f t="shared" si="70"/>
        <v>422</v>
      </c>
      <c r="AC442" s="75">
        <f t="shared" si="71"/>
        <v>37500</v>
      </c>
      <c r="AD442" s="78">
        <f t="shared" si="72"/>
        <v>15250</v>
      </c>
      <c r="AE442" s="72">
        <f t="shared" si="73"/>
        <v>52750</v>
      </c>
      <c r="AF442" s="75">
        <f t="shared" si="74"/>
        <v>7424.7</v>
      </c>
      <c r="AG442" s="78">
        <f t="shared" si="75"/>
        <v>3019.3779999999997</v>
      </c>
      <c r="AH442" s="72">
        <f t="shared" si="76"/>
        <v>10444.078</v>
      </c>
      <c r="AI442" s="75">
        <f t="shared" si="77"/>
        <v>5100</v>
      </c>
      <c r="AJ442" s="78">
        <f t="shared" si="78"/>
        <v>2074</v>
      </c>
      <c r="AK442" s="72">
        <f t="shared" si="79"/>
        <v>7174</v>
      </c>
    </row>
    <row r="443" spans="1:37" ht="15.95" customHeight="1">
      <c r="A443" s="25" t="s">
        <v>948</v>
      </c>
      <c r="B443" s="25" t="s">
        <v>252</v>
      </c>
      <c r="C443" s="26" t="s">
        <v>1196</v>
      </c>
      <c r="D443" s="26" t="s">
        <v>375</v>
      </c>
      <c r="E443" s="26" t="s">
        <v>16</v>
      </c>
      <c r="F443" s="26" t="s">
        <v>1246</v>
      </c>
      <c r="G443" s="26" t="s">
        <v>1030</v>
      </c>
      <c r="H443" s="27" t="s">
        <v>739</v>
      </c>
      <c r="I443" s="26" t="s">
        <v>27</v>
      </c>
      <c r="J443" s="28" t="s">
        <v>256</v>
      </c>
      <c r="K443" s="123">
        <v>88</v>
      </c>
      <c r="L443" s="29">
        <v>17.703749999999999</v>
      </c>
      <c r="M443" s="110">
        <v>11.75</v>
      </c>
      <c r="N443" s="30">
        <v>0.32</v>
      </c>
      <c r="O443" s="116">
        <v>3.7600000000000002</v>
      </c>
      <c r="P443" s="30">
        <v>7.4999999999999997E-2</v>
      </c>
      <c r="Q443" s="116">
        <v>0.88124999999999998</v>
      </c>
      <c r="R443" s="30">
        <v>7.0000000000000007E-2</v>
      </c>
      <c r="S443" s="116">
        <v>0.82250000000000012</v>
      </c>
      <c r="T443" s="117">
        <v>0.49</v>
      </c>
      <c r="U443" s="39">
        <v>250</v>
      </c>
      <c r="V443" s="32">
        <v>122</v>
      </c>
      <c r="W443" s="33"/>
      <c r="X443" s="32"/>
      <c r="Y443" s="32"/>
      <c r="Z443" s="32"/>
      <c r="AA443" s="34">
        <v>10</v>
      </c>
      <c r="AB443" s="35">
        <f t="shared" si="70"/>
        <v>382</v>
      </c>
      <c r="AC443" s="75">
        <f t="shared" si="71"/>
        <v>22000</v>
      </c>
      <c r="AD443" s="78">
        <f t="shared" si="72"/>
        <v>11616</v>
      </c>
      <c r="AE443" s="72">
        <f t="shared" si="73"/>
        <v>33616</v>
      </c>
      <c r="AF443" s="75">
        <f t="shared" si="74"/>
        <v>4425.9375</v>
      </c>
      <c r="AG443" s="78">
        <f t="shared" si="75"/>
        <v>2277.3575000000001</v>
      </c>
      <c r="AH443" s="72">
        <f t="shared" si="76"/>
        <v>6703.2950000000001</v>
      </c>
      <c r="AI443" s="75">
        <f t="shared" si="77"/>
        <v>2937.5</v>
      </c>
      <c r="AJ443" s="78">
        <f t="shared" si="78"/>
        <v>1551</v>
      </c>
      <c r="AK443" s="72">
        <f t="shared" si="79"/>
        <v>4488.5</v>
      </c>
    </row>
    <row r="444" spans="1:37" ht="15.95" customHeight="1">
      <c r="A444" s="25" t="s">
        <v>948</v>
      </c>
      <c r="B444" s="25" t="s">
        <v>252</v>
      </c>
      <c r="C444" s="26" t="s">
        <v>1196</v>
      </c>
      <c r="D444" s="26" t="s">
        <v>375</v>
      </c>
      <c r="E444" s="26" t="s">
        <v>16</v>
      </c>
      <c r="F444" s="26" t="s">
        <v>1246</v>
      </c>
      <c r="G444" s="26" t="s">
        <v>1030</v>
      </c>
      <c r="H444" s="27" t="s">
        <v>739</v>
      </c>
      <c r="I444" s="26" t="s">
        <v>27</v>
      </c>
      <c r="J444" s="28" t="s">
        <v>256</v>
      </c>
      <c r="K444" s="123">
        <v>88</v>
      </c>
      <c r="L444" s="29">
        <v>17.703749999999999</v>
      </c>
      <c r="M444" s="110">
        <v>11.75</v>
      </c>
      <c r="N444" s="30">
        <v>0.32</v>
      </c>
      <c r="O444" s="116">
        <v>3.7600000000000002</v>
      </c>
      <c r="P444" s="30">
        <v>7.4999999999999997E-2</v>
      </c>
      <c r="Q444" s="116">
        <v>0.88124999999999998</v>
      </c>
      <c r="R444" s="30">
        <v>7.0000000000000007E-2</v>
      </c>
      <c r="S444" s="116">
        <v>0.82250000000000012</v>
      </c>
      <c r="T444" s="117">
        <v>0.49</v>
      </c>
      <c r="U444" s="39">
        <v>250</v>
      </c>
      <c r="V444" s="32">
        <v>107</v>
      </c>
      <c r="W444" s="33"/>
      <c r="X444" s="32"/>
      <c r="Y444" s="32"/>
      <c r="Z444" s="32"/>
      <c r="AA444" s="34">
        <v>10</v>
      </c>
      <c r="AB444" s="35">
        <f t="shared" si="70"/>
        <v>367</v>
      </c>
      <c r="AC444" s="75">
        <f t="shared" si="71"/>
        <v>22000</v>
      </c>
      <c r="AD444" s="78">
        <f t="shared" si="72"/>
        <v>10296</v>
      </c>
      <c r="AE444" s="72">
        <f t="shared" si="73"/>
        <v>32296</v>
      </c>
      <c r="AF444" s="75">
        <f t="shared" si="74"/>
        <v>4425.9375</v>
      </c>
      <c r="AG444" s="78">
        <f t="shared" si="75"/>
        <v>2011.80125</v>
      </c>
      <c r="AH444" s="72">
        <f t="shared" si="76"/>
        <v>6437.7387500000004</v>
      </c>
      <c r="AI444" s="75">
        <f t="shared" si="77"/>
        <v>2937.5</v>
      </c>
      <c r="AJ444" s="78">
        <f t="shared" si="78"/>
        <v>1374.75</v>
      </c>
      <c r="AK444" s="72">
        <f t="shared" si="79"/>
        <v>4312.25</v>
      </c>
    </row>
    <row r="445" spans="1:37" ht="15.95" customHeight="1">
      <c r="A445" s="25" t="s">
        <v>948</v>
      </c>
      <c r="B445" s="25" t="s">
        <v>252</v>
      </c>
      <c r="C445" s="26" t="s">
        <v>275</v>
      </c>
      <c r="D445" s="26" t="s">
        <v>375</v>
      </c>
      <c r="E445" s="26" t="s">
        <v>16</v>
      </c>
      <c r="F445" s="26" t="s">
        <v>1247</v>
      </c>
      <c r="G445" s="26" t="s">
        <v>1030</v>
      </c>
      <c r="H445" s="27" t="s">
        <v>739</v>
      </c>
      <c r="I445" s="26" t="s">
        <v>27</v>
      </c>
      <c r="J445" s="28" t="s">
        <v>259</v>
      </c>
      <c r="K445" s="123">
        <v>88</v>
      </c>
      <c r="L445" s="29">
        <v>21.043749999999996</v>
      </c>
      <c r="M445" s="110">
        <v>15.75</v>
      </c>
      <c r="N445" s="30">
        <v>0.16</v>
      </c>
      <c r="O445" s="116">
        <v>2.52</v>
      </c>
      <c r="P445" s="30">
        <v>7.4999999999999997E-2</v>
      </c>
      <c r="Q445" s="116">
        <v>1.1812499999999999</v>
      </c>
      <c r="R445" s="30">
        <v>7.0000000000000007E-2</v>
      </c>
      <c r="S445" s="116">
        <v>1.1025</v>
      </c>
      <c r="T445" s="117">
        <v>0.49</v>
      </c>
      <c r="U445" s="39">
        <v>200</v>
      </c>
      <c r="V445" s="32">
        <v>101</v>
      </c>
      <c r="W445" s="33"/>
      <c r="X445" s="32"/>
      <c r="Y445" s="32"/>
      <c r="Z445" s="32"/>
      <c r="AA445" s="34">
        <v>20</v>
      </c>
      <c r="AB445" s="35">
        <f t="shared" si="70"/>
        <v>321</v>
      </c>
      <c r="AC445" s="75">
        <f t="shared" si="71"/>
        <v>17600</v>
      </c>
      <c r="AD445" s="78">
        <f t="shared" si="72"/>
        <v>10648</v>
      </c>
      <c r="AE445" s="72">
        <f t="shared" si="73"/>
        <v>28248</v>
      </c>
      <c r="AF445" s="75">
        <f t="shared" si="74"/>
        <v>4208.7499999999991</v>
      </c>
      <c r="AG445" s="78">
        <f t="shared" si="75"/>
        <v>2440.4187499999994</v>
      </c>
      <c r="AH445" s="72">
        <f t="shared" si="76"/>
        <v>6649.1687499999989</v>
      </c>
      <c r="AI445" s="75">
        <f t="shared" si="77"/>
        <v>3150</v>
      </c>
      <c r="AJ445" s="78">
        <f t="shared" si="78"/>
        <v>1905.75</v>
      </c>
      <c r="AK445" s="72">
        <f t="shared" si="79"/>
        <v>5055.75</v>
      </c>
    </row>
    <row r="446" spans="1:37" ht="15.95" customHeight="1">
      <c r="A446" s="25" t="s">
        <v>948</v>
      </c>
      <c r="B446" s="25" t="s">
        <v>252</v>
      </c>
      <c r="C446" s="26" t="s">
        <v>44</v>
      </c>
      <c r="D446" s="26" t="s">
        <v>375</v>
      </c>
      <c r="E446" s="26" t="s">
        <v>16</v>
      </c>
      <c r="F446" s="26" t="s">
        <v>1248</v>
      </c>
      <c r="G446" s="26" t="s">
        <v>1030</v>
      </c>
      <c r="H446" s="27" t="s">
        <v>739</v>
      </c>
      <c r="I446" s="26" t="s">
        <v>27</v>
      </c>
      <c r="J446" s="28" t="s">
        <v>1227</v>
      </c>
      <c r="K446" s="123">
        <v>98</v>
      </c>
      <c r="L446" s="29">
        <v>19.461750000000002</v>
      </c>
      <c r="M446" s="110">
        <v>12.95</v>
      </c>
      <c r="N446" s="30">
        <v>0.32</v>
      </c>
      <c r="O446" s="116">
        <v>4.1440000000000001</v>
      </c>
      <c r="P446" s="30">
        <v>7.4999999999999997E-2</v>
      </c>
      <c r="Q446" s="116">
        <v>0.97124999999999995</v>
      </c>
      <c r="R446" s="30">
        <v>7.0000000000000007E-2</v>
      </c>
      <c r="S446" s="116">
        <v>0.90650000000000008</v>
      </c>
      <c r="T446" s="117">
        <v>0.49</v>
      </c>
      <c r="U446" s="39">
        <v>200</v>
      </c>
      <c r="V446" s="32">
        <v>120</v>
      </c>
      <c r="W446" s="33"/>
      <c r="X446" s="32"/>
      <c r="Y446" s="32"/>
      <c r="Z446" s="32"/>
      <c r="AA446" s="34">
        <v>10</v>
      </c>
      <c r="AB446" s="35">
        <f t="shared" si="70"/>
        <v>330</v>
      </c>
      <c r="AC446" s="75">
        <f t="shared" si="71"/>
        <v>19600</v>
      </c>
      <c r="AD446" s="78">
        <f t="shared" si="72"/>
        <v>12740</v>
      </c>
      <c r="AE446" s="72">
        <f t="shared" si="73"/>
        <v>32340</v>
      </c>
      <c r="AF446" s="75">
        <f t="shared" si="74"/>
        <v>3892.3500000000004</v>
      </c>
      <c r="AG446" s="78">
        <f t="shared" si="75"/>
        <v>2464.9100000000003</v>
      </c>
      <c r="AH446" s="72">
        <f t="shared" si="76"/>
        <v>6357.26</v>
      </c>
      <c r="AI446" s="75">
        <f t="shared" si="77"/>
        <v>2590</v>
      </c>
      <c r="AJ446" s="78">
        <f t="shared" si="78"/>
        <v>1683.5</v>
      </c>
      <c r="AK446" s="72">
        <f t="shared" si="79"/>
        <v>4273.5</v>
      </c>
    </row>
    <row r="447" spans="1:37" ht="15.95" customHeight="1">
      <c r="A447" s="25" t="s">
        <v>948</v>
      </c>
      <c r="B447" s="25" t="s">
        <v>252</v>
      </c>
      <c r="C447" s="26" t="s">
        <v>29</v>
      </c>
      <c r="D447" s="26" t="s">
        <v>375</v>
      </c>
      <c r="E447" s="26" t="s">
        <v>16</v>
      </c>
      <c r="F447" s="26" t="s">
        <v>1249</v>
      </c>
      <c r="G447" s="26" t="s">
        <v>1030</v>
      </c>
      <c r="H447" s="44" t="s">
        <v>739</v>
      </c>
      <c r="I447" s="26" t="s">
        <v>27</v>
      </c>
      <c r="J447" s="28" t="s">
        <v>682</v>
      </c>
      <c r="K447" s="125">
        <v>88</v>
      </c>
      <c r="L447" s="29">
        <v>18.327499999999997</v>
      </c>
      <c r="M447" s="110">
        <v>12.5</v>
      </c>
      <c r="N447" s="30">
        <v>0.28199999999999997</v>
      </c>
      <c r="O447" s="116">
        <v>3.5249999999999995</v>
      </c>
      <c r="P447" s="30">
        <v>7.4999999999999997E-2</v>
      </c>
      <c r="Q447" s="116">
        <v>0.9375</v>
      </c>
      <c r="R447" s="30">
        <v>7.0000000000000007E-2</v>
      </c>
      <c r="S447" s="116">
        <v>0.87500000000000011</v>
      </c>
      <c r="T447" s="117">
        <v>0.49</v>
      </c>
      <c r="U447" s="39">
        <v>200</v>
      </c>
      <c r="V447" s="32">
        <v>138</v>
      </c>
      <c r="W447" s="33"/>
      <c r="X447" s="32"/>
      <c r="Y447" s="32"/>
      <c r="Z447" s="32"/>
      <c r="AA447" s="34">
        <v>10</v>
      </c>
      <c r="AB447" s="35">
        <f t="shared" si="70"/>
        <v>348</v>
      </c>
      <c r="AC447" s="75">
        <f t="shared" si="71"/>
        <v>17600</v>
      </c>
      <c r="AD447" s="78">
        <f t="shared" si="72"/>
        <v>13024</v>
      </c>
      <c r="AE447" s="72">
        <f t="shared" si="73"/>
        <v>30624</v>
      </c>
      <c r="AF447" s="75">
        <f t="shared" si="74"/>
        <v>3665.4999999999995</v>
      </c>
      <c r="AG447" s="78">
        <f t="shared" si="75"/>
        <v>2654.1949999999997</v>
      </c>
      <c r="AH447" s="72">
        <f t="shared" si="76"/>
        <v>6319.6949999999997</v>
      </c>
      <c r="AI447" s="75">
        <f t="shared" si="77"/>
        <v>2500</v>
      </c>
      <c r="AJ447" s="78">
        <f t="shared" si="78"/>
        <v>1850</v>
      </c>
      <c r="AK447" s="72">
        <f t="shared" si="79"/>
        <v>4350</v>
      </c>
    </row>
    <row r="448" spans="1:37" ht="15.95" customHeight="1">
      <c r="A448" s="25" t="s">
        <v>948</v>
      </c>
      <c r="B448" s="25" t="s">
        <v>252</v>
      </c>
      <c r="C448" s="26" t="s">
        <v>44</v>
      </c>
      <c r="D448" s="26" t="s">
        <v>375</v>
      </c>
      <c r="E448" s="26" t="s">
        <v>16</v>
      </c>
      <c r="F448" s="26" t="s">
        <v>1248</v>
      </c>
      <c r="G448" s="26" t="s">
        <v>1030</v>
      </c>
      <c r="H448" s="44" t="s">
        <v>739</v>
      </c>
      <c r="I448" s="26" t="s">
        <v>27</v>
      </c>
      <c r="J448" s="28" t="s">
        <v>1227</v>
      </c>
      <c r="K448" s="125">
        <v>98</v>
      </c>
      <c r="L448" s="29">
        <v>19.461750000000002</v>
      </c>
      <c r="M448" s="110">
        <v>12.95</v>
      </c>
      <c r="N448" s="30">
        <v>0.32</v>
      </c>
      <c r="O448" s="116">
        <v>4.1440000000000001</v>
      </c>
      <c r="P448" s="30">
        <v>7.4999999999999997E-2</v>
      </c>
      <c r="Q448" s="116">
        <v>0.97124999999999995</v>
      </c>
      <c r="R448" s="30">
        <v>7.0000000000000007E-2</v>
      </c>
      <c r="S448" s="116">
        <v>0.90650000000000008</v>
      </c>
      <c r="T448" s="117">
        <v>0.49</v>
      </c>
      <c r="U448" s="39">
        <v>200</v>
      </c>
      <c r="V448" s="32">
        <v>113</v>
      </c>
      <c r="W448" s="33"/>
      <c r="X448" s="32"/>
      <c r="Y448" s="32"/>
      <c r="Z448" s="32"/>
      <c r="AA448" s="34">
        <v>10</v>
      </c>
      <c r="AB448" s="35">
        <f t="shared" si="70"/>
        <v>323</v>
      </c>
      <c r="AC448" s="75">
        <f t="shared" si="71"/>
        <v>19600</v>
      </c>
      <c r="AD448" s="78">
        <f t="shared" si="72"/>
        <v>12054</v>
      </c>
      <c r="AE448" s="72">
        <f t="shared" si="73"/>
        <v>31654</v>
      </c>
      <c r="AF448" s="75">
        <f t="shared" si="74"/>
        <v>3892.3500000000004</v>
      </c>
      <c r="AG448" s="78">
        <f t="shared" si="75"/>
        <v>2328.6777500000003</v>
      </c>
      <c r="AH448" s="72">
        <f t="shared" si="76"/>
        <v>6221.0277500000011</v>
      </c>
      <c r="AI448" s="75">
        <f t="shared" si="77"/>
        <v>2590</v>
      </c>
      <c r="AJ448" s="78">
        <f t="shared" si="78"/>
        <v>1592.85</v>
      </c>
      <c r="AK448" s="72">
        <f t="shared" si="79"/>
        <v>4182.8500000000004</v>
      </c>
    </row>
    <row r="449" spans="1:37" ht="15.95" customHeight="1">
      <c r="A449" s="25" t="s">
        <v>948</v>
      </c>
      <c r="B449" s="25" t="s">
        <v>252</v>
      </c>
      <c r="C449" s="26" t="s">
        <v>982</v>
      </c>
      <c r="D449" s="26" t="s">
        <v>375</v>
      </c>
      <c r="E449" s="26" t="s">
        <v>16</v>
      </c>
      <c r="F449" s="26" t="s">
        <v>1249</v>
      </c>
      <c r="G449" s="26" t="s">
        <v>1030</v>
      </c>
      <c r="H449" s="44" t="s">
        <v>739</v>
      </c>
      <c r="I449" s="26" t="s">
        <v>27</v>
      </c>
      <c r="J449" s="28" t="s">
        <v>682</v>
      </c>
      <c r="K449" s="125">
        <v>88</v>
      </c>
      <c r="L449" s="29">
        <v>18.327499999999997</v>
      </c>
      <c r="M449" s="110">
        <v>12.5</v>
      </c>
      <c r="N449" s="30">
        <v>0.28199999999999997</v>
      </c>
      <c r="O449" s="116">
        <v>3.5249999999999995</v>
      </c>
      <c r="P449" s="30">
        <v>7.4999999999999997E-2</v>
      </c>
      <c r="Q449" s="116">
        <v>0.9375</v>
      </c>
      <c r="R449" s="30">
        <v>7.0000000000000007E-2</v>
      </c>
      <c r="S449" s="116">
        <v>0.87500000000000011</v>
      </c>
      <c r="T449" s="117">
        <v>0.49</v>
      </c>
      <c r="U449" s="39">
        <v>200</v>
      </c>
      <c r="V449" s="32">
        <v>119</v>
      </c>
      <c r="W449" s="33"/>
      <c r="X449" s="32"/>
      <c r="Y449" s="32"/>
      <c r="Z449" s="32"/>
      <c r="AA449" s="34">
        <v>20</v>
      </c>
      <c r="AB449" s="35">
        <f t="shared" si="70"/>
        <v>339</v>
      </c>
      <c r="AC449" s="75">
        <f t="shared" si="71"/>
        <v>17600</v>
      </c>
      <c r="AD449" s="78">
        <f t="shared" si="72"/>
        <v>12232</v>
      </c>
      <c r="AE449" s="72">
        <f t="shared" si="73"/>
        <v>29832</v>
      </c>
      <c r="AF449" s="75">
        <f t="shared" si="74"/>
        <v>3665.4999999999995</v>
      </c>
      <c r="AG449" s="78">
        <f t="shared" si="75"/>
        <v>2430.9724999999999</v>
      </c>
      <c r="AH449" s="72">
        <f t="shared" si="76"/>
        <v>6096.4724999999999</v>
      </c>
      <c r="AI449" s="75">
        <f t="shared" si="77"/>
        <v>2500</v>
      </c>
      <c r="AJ449" s="78">
        <f t="shared" si="78"/>
        <v>1737.5</v>
      </c>
      <c r="AK449" s="72">
        <f t="shared" si="79"/>
        <v>4237.5</v>
      </c>
    </row>
    <row r="450" spans="1:37" ht="15.95" customHeight="1">
      <c r="A450" s="25" t="s">
        <v>948</v>
      </c>
      <c r="B450" s="25" t="s">
        <v>252</v>
      </c>
      <c r="C450" s="26" t="s">
        <v>164</v>
      </c>
      <c r="D450" s="26" t="s">
        <v>375</v>
      </c>
      <c r="E450" s="26" t="s">
        <v>16</v>
      </c>
      <c r="F450" s="26" t="s">
        <v>1250</v>
      </c>
      <c r="G450" s="26" t="s">
        <v>166</v>
      </c>
      <c r="H450" s="44" t="s">
        <v>1062</v>
      </c>
      <c r="I450" s="26" t="s">
        <v>167</v>
      </c>
      <c r="J450" s="28" t="s">
        <v>358</v>
      </c>
      <c r="K450" s="125">
        <v>225</v>
      </c>
      <c r="L450" s="29">
        <v>43.707499999999996</v>
      </c>
      <c r="M450" s="110">
        <v>29.5</v>
      </c>
      <c r="N450" s="30">
        <v>0.32</v>
      </c>
      <c r="O450" s="116">
        <v>9.44</v>
      </c>
      <c r="P450" s="30">
        <v>7.4999999999999997E-2</v>
      </c>
      <c r="Q450" s="116">
        <v>2.2124999999999999</v>
      </c>
      <c r="R450" s="30">
        <v>7.0000000000000007E-2</v>
      </c>
      <c r="S450" s="116">
        <v>2.0650000000000004</v>
      </c>
      <c r="T450" s="117">
        <v>0.49</v>
      </c>
      <c r="U450" s="39">
        <v>200</v>
      </c>
      <c r="V450" s="32"/>
      <c r="W450" s="33"/>
      <c r="X450" s="32"/>
      <c r="Y450" s="32"/>
      <c r="Z450" s="32"/>
      <c r="AA450" s="34"/>
      <c r="AB450" s="35">
        <f t="shared" si="70"/>
        <v>200</v>
      </c>
      <c r="AC450" s="75">
        <f t="shared" si="71"/>
        <v>45000</v>
      </c>
      <c r="AD450" s="78">
        <f t="shared" si="72"/>
        <v>0</v>
      </c>
      <c r="AE450" s="72">
        <f t="shared" si="73"/>
        <v>45000</v>
      </c>
      <c r="AF450" s="75">
        <f t="shared" si="74"/>
        <v>8741.5</v>
      </c>
      <c r="AG450" s="78">
        <f t="shared" si="75"/>
        <v>0</v>
      </c>
      <c r="AH450" s="72">
        <f t="shared" si="76"/>
        <v>8741.5</v>
      </c>
      <c r="AI450" s="75">
        <f t="shared" si="77"/>
        <v>5900</v>
      </c>
      <c r="AJ450" s="78">
        <f t="shared" si="78"/>
        <v>0</v>
      </c>
      <c r="AK450" s="72">
        <f t="shared" si="79"/>
        <v>5900</v>
      </c>
    </row>
    <row r="451" spans="1:37" ht="15.95" customHeight="1">
      <c r="A451" s="25" t="s">
        <v>948</v>
      </c>
      <c r="B451" s="25" t="s">
        <v>252</v>
      </c>
      <c r="C451" s="26" t="s">
        <v>164</v>
      </c>
      <c r="D451" s="26" t="s">
        <v>375</v>
      </c>
      <c r="E451" s="26" t="s">
        <v>16</v>
      </c>
      <c r="F451" s="26" t="s">
        <v>1251</v>
      </c>
      <c r="G451" s="26" t="s">
        <v>166</v>
      </c>
      <c r="H451" s="27" t="s">
        <v>1062</v>
      </c>
      <c r="I451" s="26" t="s">
        <v>167</v>
      </c>
      <c r="J451" s="28" t="s">
        <v>265</v>
      </c>
      <c r="K451" s="125">
        <v>210</v>
      </c>
      <c r="L451" s="29">
        <v>44.013500000000001</v>
      </c>
      <c r="M451" s="110">
        <v>30.5</v>
      </c>
      <c r="N451" s="30">
        <v>0.28199999999999997</v>
      </c>
      <c r="O451" s="116">
        <v>8.6009999999999991</v>
      </c>
      <c r="P451" s="30">
        <v>7.4999999999999997E-2</v>
      </c>
      <c r="Q451" s="116">
        <v>2.2875000000000001</v>
      </c>
      <c r="R451" s="30">
        <v>7.0000000000000007E-2</v>
      </c>
      <c r="S451" s="116">
        <v>2.1350000000000002</v>
      </c>
      <c r="T451" s="117">
        <v>0.49</v>
      </c>
      <c r="U451" s="39">
        <v>200</v>
      </c>
      <c r="V451" s="32"/>
      <c r="W451" s="33"/>
      <c r="X451" s="32"/>
      <c r="Y451" s="32"/>
      <c r="Z451" s="32"/>
      <c r="AA451" s="34"/>
      <c r="AB451" s="35">
        <f t="shared" si="70"/>
        <v>200</v>
      </c>
      <c r="AC451" s="75">
        <f t="shared" si="71"/>
        <v>42000</v>
      </c>
      <c r="AD451" s="78">
        <f t="shared" si="72"/>
        <v>0</v>
      </c>
      <c r="AE451" s="72">
        <f t="shared" si="73"/>
        <v>42000</v>
      </c>
      <c r="AF451" s="75">
        <f t="shared" si="74"/>
        <v>8802.7000000000007</v>
      </c>
      <c r="AG451" s="78">
        <f t="shared" si="75"/>
        <v>0</v>
      </c>
      <c r="AH451" s="72">
        <f t="shared" si="76"/>
        <v>8802.7000000000007</v>
      </c>
      <c r="AI451" s="75">
        <f t="shared" si="77"/>
        <v>6100</v>
      </c>
      <c r="AJ451" s="78">
        <f t="shared" si="78"/>
        <v>0</v>
      </c>
      <c r="AK451" s="72">
        <f t="shared" si="79"/>
        <v>6100</v>
      </c>
    </row>
    <row r="452" spans="1:37" ht="15.95" customHeight="1">
      <c r="A452" s="25" t="s">
        <v>948</v>
      </c>
      <c r="B452" s="25" t="s">
        <v>252</v>
      </c>
      <c r="C452" s="26" t="s">
        <v>164</v>
      </c>
      <c r="D452" s="26" t="s">
        <v>375</v>
      </c>
      <c r="E452" s="26" t="s">
        <v>16</v>
      </c>
      <c r="F452" s="26" t="s">
        <v>1250</v>
      </c>
      <c r="G452" s="26" t="s">
        <v>166</v>
      </c>
      <c r="H452" s="27" t="s">
        <v>1062</v>
      </c>
      <c r="I452" s="26" t="s">
        <v>167</v>
      </c>
      <c r="J452" s="28" t="s">
        <v>358</v>
      </c>
      <c r="K452" s="123">
        <v>225</v>
      </c>
      <c r="L452" s="29">
        <v>43.707499999999996</v>
      </c>
      <c r="M452" s="110">
        <v>29.5</v>
      </c>
      <c r="N452" s="30">
        <v>0.32</v>
      </c>
      <c r="O452" s="116">
        <v>9.44</v>
      </c>
      <c r="P452" s="30">
        <v>7.4999999999999997E-2</v>
      </c>
      <c r="Q452" s="116">
        <v>2.2124999999999999</v>
      </c>
      <c r="R452" s="30">
        <v>7.0000000000000007E-2</v>
      </c>
      <c r="S452" s="116">
        <v>2.0650000000000004</v>
      </c>
      <c r="T452" s="117">
        <v>0.49</v>
      </c>
      <c r="U452" s="39">
        <v>200</v>
      </c>
      <c r="V452" s="32">
        <v>11</v>
      </c>
      <c r="W452" s="33"/>
      <c r="X452" s="32"/>
      <c r="Y452" s="32"/>
      <c r="Z452" s="32"/>
      <c r="AA452" s="34"/>
      <c r="AB452" s="35">
        <f t="shared" si="70"/>
        <v>211</v>
      </c>
      <c r="AC452" s="75">
        <f t="shared" si="71"/>
        <v>45000</v>
      </c>
      <c r="AD452" s="78">
        <f t="shared" si="72"/>
        <v>2475</v>
      </c>
      <c r="AE452" s="72">
        <f t="shared" si="73"/>
        <v>47475</v>
      </c>
      <c r="AF452" s="75">
        <f t="shared" si="74"/>
        <v>8741.5</v>
      </c>
      <c r="AG452" s="78">
        <f t="shared" si="75"/>
        <v>480.78249999999997</v>
      </c>
      <c r="AH452" s="72">
        <f t="shared" si="76"/>
        <v>9222.2824999999993</v>
      </c>
      <c r="AI452" s="75">
        <f t="shared" si="77"/>
        <v>5900</v>
      </c>
      <c r="AJ452" s="78">
        <f t="shared" si="78"/>
        <v>324.5</v>
      </c>
      <c r="AK452" s="72">
        <f t="shared" si="79"/>
        <v>6224.5</v>
      </c>
    </row>
    <row r="453" spans="1:37" ht="15.95" customHeight="1">
      <c r="A453" s="25" t="s">
        <v>948</v>
      </c>
      <c r="B453" s="25" t="s">
        <v>252</v>
      </c>
      <c r="C453" s="26" t="s">
        <v>164</v>
      </c>
      <c r="D453" s="26" t="s">
        <v>375</v>
      </c>
      <c r="E453" s="26" t="s">
        <v>16</v>
      </c>
      <c r="F453" s="26" t="s">
        <v>1251</v>
      </c>
      <c r="G453" s="26" t="s">
        <v>166</v>
      </c>
      <c r="H453" s="27" t="s">
        <v>1062</v>
      </c>
      <c r="I453" s="26" t="s">
        <v>167</v>
      </c>
      <c r="J453" s="28" t="s">
        <v>265</v>
      </c>
      <c r="K453" s="123">
        <v>210</v>
      </c>
      <c r="L453" s="29">
        <v>44.013500000000001</v>
      </c>
      <c r="M453" s="110">
        <v>30.5</v>
      </c>
      <c r="N453" s="30">
        <v>0.28199999999999997</v>
      </c>
      <c r="O453" s="116">
        <v>8.6009999999999991</v>
      </c>
      <c r="P453" s="30">
        <v>7.4999999999999997E-2</v>
      </c>
      <c r="Q453" s="116">
        <v>2.2875000000000001</v>
      </c>
      <c r="R453" s="30">
        <v>7.0000000000000007E-2</v>
      </c>
      <c r="S453" s="116">
        <v>2.1350000000000002</v>
      </c>
      <c r="T453" s="117">
        <v>0.49</v>
      </c>
      <c r="U453" s="39">
        <v>200</v>
      </c>
      <c r="V453" s="32">
        <v>11</v>
      </c>
      <c r="W453" s="33"/>
      <c r="X453" s="32"/>
      <c r="Y453" s="32"/>
      <c r="Z453" s="32"/>
      <c r="AA453" s="34"/>
      <c r="AB453" s="35">
        <f t="shared" si="70"/>
        <v>211</v>
      </c>
      <c r="AC453" s="75">
        <f t="shared" si="71"/>
        <v>42000</v>
      </c>
      <c r="AD453" s="78">
        <f t="shared" si="72"/>
        <v>2310</v>
      </c>
      <c r="AE453" s="72">
        <f t="shared" si="73"/>
        <v>44310</v>
      </c>
      <c r="AF453" s="75">
        <f t="shared" si="74"/>
        <v>8802.7000000000007</v>
      </c>
      <c r="AG453" s="78">
        <f t="shared" si="75"/>
        <v>484.14850000000001</v>
      </c>
      <c r="AH453" s="72">
        <f t="shared" si="76"/>
        <v>9286.8485000000001</v>
      </c>
      <c r="AI453" s="75">
        <f t="shared" si="77"/>
        <v>6100</v>
      </c>
      <c r="AJ453" s="78">
        <f t="shared" si="78"/>
        <v>335.5</v>
      </c>
      <c r="AK453" s="72">
        <f t="shared" si="79"/>
        <v>6435.5</v>
      </c>
    </row>
    <row r="454" spans="1:37" ht="15.95" customHeight="1">
      <c r="A454" s="25" t="s">
        <v>948</v>
      </c>
      <c r="B454" s="25" t="s">
        <v>252</v>
      </c>
      <c r="C454" s="26" t="s">
        <v>164</v>
      </c>
      <c r="D454" s="26" t="s">
        <v>375</v>
      </c>
      <c r="E454" s="26" t="s">
        <v>16</v>
      </c>
      <c r="F454" s="26" t="s">
        <v>1252</v>
      </c>
      <c r="G454" s="26" t="s">
        <v>1253</v>
      </c>
      <c r="H454" s="27" t="s">
        <v>1254</v>
      </c>
      <c r="I454" s="26" t="s">
        <v>167</v>
      </c>
      <c r="J454" s="28" t="s">
        <v>261</v>
      </c>
      <c r="K454" s="123">
        <v>225</v>
      </c>
      <c r="L454" s="29">
        <v>46.8675</v>
      </c>
      <c r="M454" s="110">
        <v>32.5</v>
      </c>
      <c r="N454" s="30">
        <v>0.28199999999999997</v>
      </c>
      <c r="O454" s="116">
        <v>9.1649999999999991</v>
      </c>
      <c r="P454" s="30">
        <v>7.4999999999999997E-2</v>
      </c>
      <c r="Q454" s="116">
        <v>2.4375</v>
      </c>
      <c r="R454" s="30">
        <v>7.0000000000000007E-2</v>
      </c>
      <c r="S454" s="116">
        <v>2.2750000000000004</v>
      </c>
      <c r="T454" s="117">
        <v>0.49</v>
      </c>
      <c r="U454" s="39">
        <v>150</v>
      </c>
      <c r="V454" s="32">
        <v>122</v>
      </c>
      <c r="W454" s="33"/>
      <c r="X454" s="32"/>
      <c r="Y454" s="32"/>
      <c r="Z454" s="32"/>
      <c r="AA454" s="34"/>
      <c r="AB454" s="35">
        <f t="shared" si="70"/>
        <v>272</v>
      </c>
      <c r="AC454" s="75">
        <f t="shared" si="71"/>
        <v>33750</v>
      </c>
      <c r="AD454" s="78">
        <f t="shared" si="72"/>
        <v>27450</v>
      </c>
      <c r="AE454" s="72">
        <f t="shared" si="73"/>
        <v>61200</v>
      </c>
      <c r="AF454" s="75">
        <f t="shared" si="74"/>
        <v>7030.125</v>
      </c>
      <c r="AG454" s="78">
        <f t="shared" si="75"/>
        <v>5717.835</v>
      </c>
      <c r="AH454" s="72">
        <f t="shared" si="76"/>
        <v>12747.96</v>
      </c>
      <c r="AI454" s="75">
        <f t="shared" si="77"/>
        <v>4875</v>
      </c>
      <c r="AJ454" s="78">
        <f t="shared" si="78"/>
        <v>3965</v>
      </c>
      <c r="AK454" s="72">
        <f t="shared" si="79"/>
        <v>8840</v>
      </c>
    </row>
    <row r="455" spans="1:37" ht="15.95" customHeight="1">
      <c r="A455" s="25" t="s">
        <v>948</v>
      </c>
      <c r="B455" s="25" t="s">
        <v>252</v>
      </c>
      <c r="C455" s="26" t="s">
        <v>164</v>
      </c>
      <c r="D455" s="26" t="s">
        <v>375</v>
      </c>
      <c r="E455" s="26" t="s">
        <v>16</v>
      </c>
      <c r="F455" s="41" t="s">
        <v>1255</v>
      </c>
      <c r="G455" s="26" t="s">
        <v>1253</v>
      </c>
      <c r="H455" s="44" t="s">
        <v>1254</v>
      </c>
      <c r="I455" s="26" t="s">
        <v>167</v>
      </c>
      <c r="J455" s="28" t="s">
        <v>682</v>
      </c>
      <c r="K455" s="123">
        <v>175</v>
      </c>
      <c r="L455" s="29">
        <v>41.159500000000001</v>
      </c>
      <c r="M455" s="110">
        <v>28.5</v>
      </c>
      <c r="N455" s="30">
        <v>0.28199999999999997</v>
      </c>
      <c r="O455" s="116">
        <v>8.036999999999999</v>
      </c>
      <c r="P455" s="30">
        <v>7.4999999999999997E-2</v>
      </c>
      <c r="Q455" s="116">
        <v>2.1374999999999997</v>
      </c>
      <c r="R455" s="30">
        <v>7.0000000000000007E-2</v>
      </c>
      <c r="S455" s="116">
        <v>1.9950000000000001</v>
      </c>
      <c r="T455" s="117">
        <v>0.49</v>
      </c>
      <c r="U455" s="39">
        <v>150</v>
      </c>
      <c r="V455" s="32">
        <v>126</v>
      </c>
      <c r="W455" s="33"/>
      <c r="X455" s="32"/>
      <c r="Y455" s="32"/>
      <c r="Z455" s="32"/>
      <c r="AA455" s="34"/>
      <c r="AB455" s="35">
        <f t="shared" si="70"/>
        <v>276</v>
      </c>
      <c r="AC455" s="75">
        <f t="shared" si="71"/>
        <v>26250</v>
      </c>
      <c r="AD455" s="78">
        <f t="shared" si="72"/>
        <v>22050</v>
      </c>
      <c r="AE455" s="72">
        <f t="shared" si="73"/>
        <v>48300</v>
      </c>
      <c r="AF455" s="75">
        <f t="shared" si="74"/>
        <v>6173.9250000000002</v>
      </c>
      <c r="AG455" s="78">
        <f t="shared" si="75"/>
        <v>5186.0969999999998</v>
      </c>
      <c r="AH455" s="72">
        <f t="shared" si="76"/>
        <v>11360.022000000001</v>
      </c>
      <c r="AI455" s="75">
        <f t="shared" si="77"/>
        <v>4275</v>
      </c>
      <c r="AJ455" s="78">
        <f t="shared" si="78"/>
        <v>3591</v>
      </c>
      <c r="AK455" s="72">
        <f t="shared" si="79"/>
        <v>7866</v>
      </c>
    </row>
    <row r="456" spans="1:37" ht="15.95" customHeight="1">
      <c r="A456" s="25" t="s">
        <v>948</v>
      </c>
      <c r="B456" s="25" t="s">
        <v>252</v>
      </c>
      <c r="C456" s="26" t="s">
        <v>164</v>
      </c>
      <c r="D456" s="26" t="s">
        <v>375</v>
      </c>
      <c r="E456" s="26" t="s">
        <v>16</v>
      </c>
      <c r="F456" s="41" t="s">
        <v>1256</v>
      </c>
      <c r="G456" s="26" t="s">
        <v>1257</v>
      </c>
      <c r="H456" s="44" t="s">
        <v>1258</v>
      </c>
      <c r="I456" s="26" t="s">
        <v>167</v>
      </c>
      <c r="J456" s="28" t="s">
        <v>630</v>
      </c>
      <c r="K456" s="123">
        <v>195</v>
      </c>
      <c r="L456" s="29">
        <v>40.015700000000002</v>
      </c>
      <c r="M456" s="110">
        <v>26.98</v>
      </c>
      <c r="N456" s="30">
        <v>0.32</v>
      </c>
      <c r="O456" s="116">
        <v>8.6335999999999995</v>
      </c>
      <c r="P456" s="30">
        <v>7.4999999999999997E-2</v>
      </c>
      <c r="Q456" s="116">
        <v>2.0234999999999999</v>
      </c>
      <c r="R456" s="30">
        <v>7.0000000000000007E-2</v>
      </c>
      <c r="S456" s="116">
        <v>1.8886000000000003</v>
      </c>
      <c r="T456" s="117">
        <v>0.49</v>
      </c>
      <c r="U456" s="39">
        <v>200</v>
      </c>
      <c r="V456" s="32">
        <v>4</v>
      </c>
      <c r="W456" s="33"/>
      <c r="X456" s="32"/>
      <c r="Y456" s="32"/>
      <c r="Z456" s="32"/>
      <c r="AA456" s="34"/>
      <c r="AB456" s="35">
        <f t="shared" si="70"/>
        <v>204</v>
      </c>
      <c r="AC456" s="75">
        <f t="shared" si="71"/>
        <v>39000</v>
      </c>
      <c r="AD456" s="78">
        <f t="shared" si="72"/>
        <v>780</v>
      </c>
      <c r="AE456" s="72">
        <f t="shared" si="73"/>
        <v>39780</v>
      </c>
      <c r="AF456" s="75">
        <f t="shared" si="74"/>
        <v>8003.14</v>
      </c>
      <c r="AG456" s="78">
        <f t="shared" si="75"/>
        <v>160.06280000000001</v>
      </c>
      <c r="AH456" s="72">
        <f t="shared" si="76"/>
        <v>8163.2028</v>
      </c>
      <c r="AI456" s="75">
        <f t="shared" si="77"/>
        <v>5396</v>
      </c>
      <c r="AJ456" s="78">
        <f t="shared" si="78"/>
        <v>107.92</v>
      </c>
      <c r="AK456" s="72">
        <f t="shared" si="79"/>
        <v>5503.92</v>
      </c>
    </row>
    <row r="457" spans="1:37" ht="15.95" customHeight="1">
      <c r="A457" s="25" t="s">
        <v>948</v>
      </c>
      <c r="B457" s="25" t="s">
        <v>252</v>
      </c>
      <c r="C457" s="26" t="s">
        <v>164</v>
      </c>
      <c r="D457" s="26" t="s">
        <v>375</v>
      </c>
      <c r="E457" s="26" t="s">
        <v>16</v>
      </c>
      <c r="F457" s="41" t="s">
        <v>1259</v>
      </c>
      <c r="G457" s="26" t="s">
        <v>1074</v>
      </c>
      <c r="H457" s="44" t="s">
        <v>1260</v>
      </c>
      <c r="I457" s="26" t="s">
        <v>167</v>
      </c>
      <c r="J457" s="28" t="s">
        <v>879</v>
      </c>
      <c r="K457" s="123">
        <v>125</v>
      </c>
      <c r="L457" s="29">
        <v>22.759999999999998</v>
      </c>
      <c r="M457" s="110">
        <v>17</v>
      </c>
      <c r="N457" s="30">
        <v>0.16500000000000001</v>
      </c>
      <c r="O457" s="116">
        <v>2.8050000000000002</v>
      </c>
      <c r="P457" s="30">
        <v>7.4999999999999997E-2</v>
      </c>
      <c r="Q457" s="116">
        <v>1.2749999999999999</v>
      </c>
      <c r="R457" s="30">
        <v>7.0000000000000007E-2</v>
      </c>
      <c r="S457" s="116">
        <v>1.1900000000000002</v>
      </c>
      <c r="T457" s="117">
        <v>0.49</v>
      </c>
      <c r="U457" s="39">
        <v>250</v>
      </c>
      <c r="V457" s="32"/>
      <c r="W457" s="33"/>
      <c r="X457" s="32"/>
      <c r="Y457" s="32"/>
      <c r="Z457" s="32"/>
      <c r="AA457" s="34"/>
      <c r="AB457" s="35">
        <f t="shared" si="70"/>
        <v>250</v>
      </c>
      <c r="AC457" s="75">
        <f t="shared" si="71"/>
        <v>31250</v>
      </c>
      <c r="AD457" s="78">
        <f t="shared" si="72"/>
        <v>0</v>
      </c>
      <c r="AE457" s="72">
        <f t="shared" si="73"/>
        <v>31250</v>
      </c>
      <c r="AF457" s="75">
        <f t="shared" si="74"/>
        <v>5689.9999999999991</v>
      </c>
      <c r="AG457" s="78">
        <f t="shared" si="75"/>
        <v>0</v>
      </c>
      <c r="AH457" s="72">
        <f t="shared" si="76"/>
        <v>5689.9999999999991</v>
      </c>
      <c r="AI457" s="75">
        <f t="shared" si="77"/>
        <v>4250</v>
      </c>
      <c r="AJ457" s="78">
        <f t="shared" si="78"/>
        <v>0</v>
      </c>
      <c r="AK457" s="72">
        <f t="shared" si="79"/>
        <v>4250</v>
      </c>
    </row>
    <row r="458" spans="1:37" ht="15.95" customHeight="1">
      <c r="A458" s="25" t="s">
        <v>948</v>
      </c>
      <c r="B458" s="25" t="s">
        <v>252</v>
      </c>
      <c r="C458" s="26" t="s">
        <v>164</v>
      </c>
      <c r="D458" s="26" t="s">
        <v>375</v>
      </c>
      <c r="E458" s="26" t="s">
        <v>16</v>
      </c>
      <c r="F458" s="41" t="s">
        <v>1261</v>
      </c>
      <c r="G458" s="26" t="s">
        <v>1074</v>
      </c>
      <c r="H458" s="44" t="s">
        <v>1260</v>
      </c>
      <c r="I458" s="26" t="s">
        <v>167</v>
      </c>
      <c r="J458" s="28" t="s">
        <v>881</v>
      </c>
      <c r="K458" s="123">
        <v>125</v>
      </c>
      <c r="L458" s="29">
        <v>29.604999999999997</v>
      </c>
      <c r="M458" s="110">
        <v>22.5</v>
      </c>
      <c r="N458" s="30">
        <v>0.14899999999999999</v>
      </c>
      <c r="O458" s="116">
        <v>3.3525</v>
      </c>
      <c r="P458" s="30">
        <v>7.4999999999999997E-2</v>
      </c>
      <c r="Q458" s="116">
        <v>1.6875</v>
      </c>
      <c r="R458" s="30">
        <v>7.0000000000000007E-2</v>
      </c>
      <c r="S458" s="116">
        <v>1.5750000000000002</v>
      </c>
      <c r="T458" s="117">
        <v>0.49</v>
      </c>
      <c r="U458" s="39">
        <v>250</v>
      </c>
      <c r="V458" s="32"/>
      <c r="W458" s="33"/>
      <c r="X458" s="32"/>
      <c r="Y458" s="32"/>
      <c r="Z458" s="32"/>
      <c r="AA458" s="34"/>
      <c r="AB458" s="35">
        <f t="shared" si="70"/>
        <v>250</v>
      </c>
      <c r="AC458" s="75">
        <f t="shared" si="71"/>
        <v>31250</v>
      </c>
      <c r="AD458" s="78">
        <f t="shared" si="72"/>
        <v>0</v>
      </c>
      <c r="AE458" s="72">
        <f t="shared" si="73"/>
        <v>31250</v>
      </c>
      <c r="AF458" s="75">
        <f t="shared" si="74"/>
        <v>7401.2499999999991</v>
      </c>
      <c r="AG458" s="78">
        <f t="shared" si="75"/>
        <v>0</v>
      </c>
      <c r="AH458" s="72">
        <f t="shared" si="76"/>
        <v>7401.2499999999991</v>
      </c>
      <c r="AI458" s="75">
        <f t="shared" si="77"/>
        <v>5625</v>
      </c>
      <c r="AJ458" s="78">
        <f t="shared" si="78"/>
        <v>0</v>
      </c>
      <c r="AK458" s="72">
        <f t="shared" si="79"/>
        <v>5625</v>
      </c>
    </row>
    <row r="459" spans="1:37" ht="15.95" customHeight="1">
      <c r="A459" s="25" t="s">
        <v>948</v>
      </c>
      <c r="B459" s="25" t="s">
        <v>252</v>
      </c>
      <c r="C459" s="26" t="s">
        <v>164</v>
      </c>
      <c r="D459" s="26" t="s">
        <v>375</v>
      </c>
      <c r="E459" s="26" t="s">
        <v>16</v>
      </c>
      <c r="F459" s="26" t="s">
        <v>1259</v>
      </c>
      <c r="G459" s="26" t="s">
        <v>1074</v>
      </c>
      <c r="H459" s="44" t="s">
        <v>1260</v>
      </c>
      <c r="I459" s="26" t="s">
        <v>167</v>
      </c>
      <c r="J459" s="45" t="s">
        <v>1262</v>
      </c>
      <c r="K459" s="123">
        <v>125</v>
      </c>
      <c r="L459" s="29">
        <v>22.759999999999998</v>
      </c>
      <c r="M459" s="110">
        <v>17</v>
      </c>
      <c r="N459" s="30">
        <v>0.16500000000000001</v>
      </c>
      <c r="O459" s="116">
        <v>2.8050000000000002</v>
      </c>
      <c r="P459" s="30">
        <v>7.4999999999999997E-2</v>
      </c>
      <c r="Q459" s="116">
        <v>1.2749999999999999</v>
      </c>
      <c r="R459" s="30">
        <v>7.0000000000000007E-2</v>
      </c>
      <c r="S459" s="116">
        <v>1.1900000000000002</v>
      </c>
      <c r="T459" s="117">
        <v>0.49</v>
      </c>
      <c r="U459" s="39">
        <v>200</v>
      </c>
      <c r="V459" s="32"/>
      <c r="W459" s="33"/>
      <c r="X459" s="32"/>
      <c r="Y459" s="32"/>
      <c r="Z459" s="32"/>
      <c r="AA459" s="34"/>
      <c r="AB459" s="35">
        <f t="shared" si="70"/>
        <v>200</v>
      </c>
      <c r="AC459" s="75">
        <f t="shared" si="71"/>
        <v>25000</v>
      </c>
      <c r="AD459" s="78">
        <f t="shared" si="72"/>
        <v>0</v>
      </c>
      <c r="AE459" s="72">
        <f t="shared" si="73"/>
        <v>25000</v>
      </c>
      <c r="AF459" s="75">
        <f t="shared" si="74"/>
        <v>4552</v>
      </c>
      <c r="AG459" s="78">
        <f t="shared" si="75"/>
        <v>0</v>
      </c>
      <c r="AH459" s="72">
        <f t="shared" si="76"/>
        <v>4552</v>
      </c>
      <c r="AI459" s="75">
        <f t="shared" si="77"/>
        <v>3400</v>
      </c>
      <c r="AJ459" s="78">
        <f t="shared" si="78"/>
        <v>0</v>
      </c>
      <c r="AK459" s="72">
        <f t="shared" si="79"/>
        <v>3400</v>
      </c>
    </row>
    <row r="460" spans="1:37" ht="15.95" customHeight="1">
      <c r="A460" s="25" t="s">
        <v>948</v>
      </c>
      <c r="B460" s="25" t="s">
        <v>252</v>
      </c>
      <c r="C460" s="26" t="s">
        <v>164</v>
      </c>
      <c r="D460" s="26" t="s">
        <v>375</v>
      </c>
      <c r="E460" s="26" t="s">
        <v>16</v>
      </c>
      <c r="F460" s="26" t="s">
        <v>1261</v>
      </c>
      <c r="G460" s="26" t="s">
        <v>1074</v>
      </c>
      <c r="H460" s="27" t="s">
        <v>1263</v>
      </c>
      <c r="I460" s="26" t="s">
        <v>167</v>
      </c>
      <c r="J460" s="28" t="s">
        <v>881</v>
      </c>
      <c r="K460" s="123">
        <v>125</v>
      </c>
      <c r="L460" s="29">
        <v>29.604999999999997</v>
      </c>
      <c r="M460" s="110">
        <v>22.5</v>
      </c>
      <c r="N460" s="30">
        <v>0.14899999999999999</v>
      </c>
      <c r="O460" s="116">
        <v>3.3525</v>
      </c>
      <c r="P460" s="30">
        <v>7.4999999999999997E-2</v>
      </c>
      <c r="Q460" s="116">
        <v>1.6875</v>
      </c>
      <c r="R460" s="30">
        <v>7.0000000000000007E-2</v>
      </c>
      <c r="S460" s="116">
        <v>1.5750000000000002</v>
      </c>
      <c r="T460" s="117">
        <v>0.49</v>
      </c>
      <c r="U460" s="39">
        <v>200</v>
      </c>
      <c r="V460" s="32"/>
      <c r="W460" s="33"/>
      <c r="X460" s="32"/>
      <c r="Y460" s="32"/>
      <c r="Z460" s="32"/>
      <c r="AA460" s="34"/>
      <c r="AB460" s="35">
        <f t="shared" si="70"/>
        <v>200</v>
      </c>
      <c r="AC460" s="75">
        <f t="shared" si="71"/>
        <v>25000</v>
      </c>
      <c r="AD460" s="78">
        <f t="shared" si="72"/>
        <v>0</v>
      </c>
      <c r="AE460" s="72">
        <f t="shared" si="73"/>
        <v>25000</v>
      </c>
      <c r="AF460" s="75">
        <f t="shared" si="74"/>
        <v>5920.9999999999991</v>
      </c>
      <c r="AG460" s="78">
        <f t="shared" si="75"/>
        <v>0</v>
      </c>
      <c r="AH460" s="72">
        <f t="shared" si="76"/>
        <v>5920.9999999999991</v>
      </c>
      <c r="AI460" s="75">
        <f t="shared" si="77"/>
        <v>4500</v>
      </c>
      <c r="AJ460" s="78">
        <f t="shared" si="78"/>
        <v>0</v>
      </c>
      <c r="AK460" s="72">
        <f t="shared" si="79"/>
        <v>4500</v>
      </c>
    </row>
    <row r="461" spans="1:37" ht="15.95" customHeight="1">
      <c r="A461" s="25" t="s">
        <v>948</v>
      </c>
      <c r="B461" s="25" t="s">
        <v>252</v>
      </c>
      <c r="C461" s="26" t="s">
        <v>44</v>
      </c>
      <c r="D461" s="26" t="s">
        <v>375</v>
      </c>
      <c r="E461" s="26" t="s">
        <v>16</v>
      </c>
      <c r="F461" s="26" t="s">
        <v>1264</v>
      </c>
      <c r="G461" s="26" t="s">
        <v>297</v>
      </c>
      <c r="H461" s="27" t="s">
        <v>1222</v>
      </c>
      <c r="I461" s="26" t="s">
        <v>27</v>
      </c>
      <c r="J461" s="28" t="s">
        <v>630</v>
      </c>
      <c r="K461" s="123">
        <v>88</v>
      </c>
      <c r="L461" s="29">
        <v>16.604999999999997</v>
      </c>
      <c r="M461" s="110">
        <v>11</v>
      </c>
      <c r="N461" s="30">
        <v>0.32</v>
      </c>
      <c r="O461" s="116">
        <v>3.52</v>
      </c>
      <c r="P461" s="30">
        <v>7.4999999999999997E-2</v>
      </c>
      <c r="Q461" s="116">
        <v>0.82499999999999996</v>
      </c>
      <c r="R461" s="30">
        <v>7.0000000000000007E-2</v>
      </c>
      <c r="S461" s="116">
        <v>0.77</v>
      </c>
      <c r="T461" s="117">
        <v>0.49</v>
      </c>
      <c r="U461" s="39">
        <v>250</v>
      </c>
      <c r="V461" s="32">
        <v>164</v>
      </c>
      <c r="W461" s="33"/>
      <c r="X461" s="32"/>
      <c r="Y461" s="32"/>
      <c r="Z461" s="32"/>
      <c r="AA461" s="34"/>
      <c r="AB461" s="35">
        <f t="shared" si="70"/>
        <v>414</v>
      </c>
      <c r="AC461" s="75">
        <f t="shared" si="71"/>
        <v>22000</v>
      </c>
      <c r="AD461" s="78">
        <f t="shared" si="72"/>
        <v>14432</v>
      </c>
      <c r="AE461" s="72">
        <f t="shared" si="73"/>
        <v>36432</v>
      </c>
      <c r="AF461" s="75">
        <f t="shared" si="74"/>
        <v>4151.2499999999991</v>
      </c>
      <c r="AG461" s="78">
        <f t="shared" si="75"/>
        <v>2723.2199999999993</v>
      </c>
      <c r="AH461" s="72">
        <f t="shared" si="76"/>
        <v>6874.4699999999984</v>
      </c>
      <c r="AI461" s="75">
        <f t="shared" si="77"/>
        <v>2750</v>
      </c>
      <c r="AJ461" s="78">
        <f t="shared" si="78"/>
        <v>1804</v>
      </c>
      <c r="AK461" s="72">
        <f t="shared" si="79"/>
        <v>4554</v>
      </c>
    </row>
    <row r="462" spans="1:37" ht="15.95" customHeight="1">
      <c r="A462" s="25" t="s">
        <v>948</v>
      </c>
      <c r="B462" s="25" t="s">
        <v>252</v>
      </c>
      <c r="C462" s="26" t="s">
        <v>1201</v>
      </c>
      <c r="D462" s="26" t="s">
        <v>375</v>
      </c>
      <c r="E462" s="26" t="s">
        <v>16</v>
      </c>
      <c r="F462" s="26" t="s">
        <v>1265</v>
      </c>
      <c r="G462" s="26" t="s">
        <v>297</v>
      </c>
      <c r="H462" s="27" t="s">
        <v>1222</v>
      </c>
      <c r="I462" s="26" t="s">
        <v>27</v>
      </c>
      <c r="J462" s="37" t="s">
        <v>259</v>
      </c>
      <c r="K462" s="123">
        <v>88</v>
      </c>
      <c r="L462" s="29">
        <v>18.107499999999998</v>
      </c>
      <c r="M462" s="110">
        <v>13.5</v>
      </c>
      <c r="N462" s="30">
        <v>0.16</v>
      </c>
      <c r="O462" s="116">
        <v>2.16</v>
      </c>
      <c r="P462" s="30">
        <v>7.4999999999999997E-2</v>
      </c>
      <c r="Q462" s="116">
        <v>1.0125</v>
      </c>
      <c r="R462" s="30">
        <v>7.0000000000000007E-2</v>
      </c>
      <c r="S462" s="116">
        <v>0.94500000000000006</v>
      </c>
      <c r="T462" s="117">
        <v>0.49</v>
      </c>
      <c r="U462" s="39">
        <v>250</v>
      </c>
      <c r="V462" s="32">
        <v>164</v>
      </c>
      <c r="W462" s="33"/>
      <c r="X462" s="32"/>
      <c r="Y462" s="32"/>
      <c r="Z462" s="32"/>
      <c r="AA462" s="34">
        <v>4</v>
      </c>
      <c r="AB462" s="35">
        <f t="shared" si="70"/>
        <v>418</v>
      </c>
      <c r="AC462" s="75">
        <f t="shared" si="71"/>
        <v>22000</v>
      </c>
      <c r="AD462" s="78">
        <f t="shared" si="72"/>
        <v>14784</v>
      </c>
      <c r="AE462" s="72">
        <f t="shared" si="73"/>
        <v>36784</v>
      </c>
      <c r="AF462" s="75">
        <f t="shared" si="74"/>
        <v>4526.8749999999991</v>
      </c>
      <c r="AG462" s="78">
        <f t="shared" si="75"/>
        <v>3023.6299999999997</v>
      </c>
      <c r="AH462" s="72">
        <f t="shared" si="76"/>
        <v>7550.5049999999992</v>
      </c>
      <c r="AI462" s="75">
        <f t="shared" si="77"/>
        <v>3375</v>
      </c>
      <c r="AJ462" s="78">
        <f t="shared" si="78"/>
        <v>2268</v>
      </c>
      <c r="AK462" s="72">
        <f t="shared" si="79"/>
        <v>5643</v>
      </c>
    </row>
    <row r="463" spans="1:37" ht="15.95" customHeight="1">
      <c r="A463" s="25" t="s">
        <v>948</v>
      </c>
      <c r="B463" s="25" t="s">
        <v>252</v>
      </c>
      <c r="C463" s="26" t="s">
        <v>44</v>
      </c>
      <c r="D463" s="26" t="s">
        <v>375</v>
      </c>
      <c r="E463" s="26" t="s">
        <v>16</v>
      </c>
      <c r="F463" s="26" t="s">
        <v>1264</v>
      </c>
      <c r="G463" s="26" t="s">
        <v>297</v>
      </c>
      <c r="H463" s="27" t="s">
        <v>1222</v>
      </c>
      <c r="I463" s="26" t="s">
        <v>27</v>
      </c>
      <c r="J463" s="37" t="s">
        <v>630</v>
      </c>
      <c r="K463" s="123">
        <v>88</v>
      </c>
      <c r="L463" s="29">
        <v>16.604999999999997</v>
      </c>
      <c r="M463" s="110">
        <v>11</v>
      </c>
      <c r="N463" s="30">
        <v>0.32</v>
      </c>
      <c r="O463" s="116">
        <v>3.52</v>
      </c>
      <c r="P463" s="30">
        <v>7.4999999999999997E-2</v>
      </c>
      <c r="Q463" s="116">
        <v>0.82499999999999996</v>
      </c>
      <c r="R463" s="30">
        <v>7.0000000000000007E-2</v>
      </c>
      <c r="S463" s="116">
        <v>0.77</v>
      </c>
      <c r="T463" s="117">
        <v>0.49</v>
      </c>
      <c r="U463" s="39">
        <v>200</v>
      </c>
      <c r="V463" s="32">
        <v>160</v>
      </c>
      <c r="W463" s="33"/>
      <c r="X463" s="32"/>
      <c r="Y463" s="32"/>
      <c r="Z463" s="32"/>
      <c r="AA463" s="34"/>
      <c r="AB463" s="35">
        <f t="shared" si="70"/>
        <v>360</v>
      </c>
      <c r="AC463" s="75">
        <f t="shared" si="71"/>
        <v>17600</v>
      </c>
      <c r="AD463" s="78">
        <f t="shared" si="72"/>
        <v>14080</v>
      </c>
      <c r="AE463" s="72">
        <f t="shared" si="73"/>
        <v>31680</v>
      </c>
      <c r="AF463" s="75">
        <f t="shared" si="74"/>
        <v>3320.9999999999995</v>
      </c>
      <c r="AG463" s="78">
        <f t="shared" si="75"/>
        <v>2656.7999999999993</v>
      </c>
      <c r="AH463" s="72">
        <f t="shared" si="76"/>
        <v>5977.7999999999993</v>
      </c>
      <c r="AI463" s="75">
        <f t="shared" si="77"/>
        <v>2200</v>
      </c>
      <c r="AJ463" s="78">
        <f t="shared" si="78"/>
        <v>1760</v>
      </c>
      <c r="AK463" s="72">
        <f t="shared" si="79"/>
        <v>3960</v>
      </c>
    </row>
    <row r="464" spans="1:37" ht="15.95" customHeight="1">
      <c r="A464" s="25" t="s">
        <v>948</v>
      </c>
      <c r="B464" s="25" t="s">
        <v>252</v>
      </c>
      <c r="C464" s="26" t="s">
        <v>1201</v>
      </c>
      <c r="D464" s="26" t="s">
        <v>375</v>
      </c>
      <c r="E464" s="26" t="s">
        <v>16</v>
      </c>
      <c r="F464" s="26" t="s">
        <v>1265</v>
      </c>
      <c r="G464" s="26" t="s">
        <v>297</v>
      </c>
      <c r="H464" s="27" t="s">
        <v>1222</v>
      </c>
      <c r="I464" s="26" t="s">
        <v>27</v>
      </c>
      <c r="J464" s="37" t="s">
        <v>259</v>
      </c>
      <c r="K464" s="123">
        <v>88</v>
      </c>
      <c r="L464" s="29">
        <v>18.107499999999998</v>
      </c>
      <c r="M464" s="110">
        <v>13.5</v>
      </c>
      <c r="N464" s="30">
        <v>0.16</v>
      </c>
      <c r="O464" s="116">
        <v>2.16</v>
      </c>
      <c r="P464" s="30">
        <v>7.4999999999999997E-2</v>
      </c>
      <c r="Q464" s="116">
        <v>1.0125</v>
      </c>
      <c r="R464" s="30">
        <v>7.0000000000000007E-2</v>
      </c>
      <c r="S464" s="116">
        <v>0.94500000000000006</v>
      </c>
      <c r="T464" s="117">
        <v>0.49</v>
      </c>
      <c r="U464" s="39">
        <v>200</v>
      </c>
      <c r="V464" s="32">
        <v>160</v>
      </c>
      <c r="W464" s="33"/>
      <c r="X464" s="32"/>
      <c r="Y464" s="32"/>
      <c r="Z464" s="32"/>
      <c r="AA464" s="34">
        <v>6</v>
      </c>
      <c r="AB464" s="35">
        <f t="shared" si="70"/>
        <v>366</v>
      </c>
      <c r="AC464" s="75">
        <f t="shared" si="71"/>
        <v>17600</v>
      </c>
      <c r="AD464" s="78">
        <f t="shared" si="72"/>
        <v>14608</v>
      </c>
      <c r="AE464" s="72">
        <f t="shared" si="73"/>
        <v>32208</v>
      </c>
      <c r="AF464" s="75">
        <f t="shared" si="74"/>
        <v>3621.4999999999995</v>
      </c>
      <c r="AG464" s="78">
        <f t="shared" si="75"/>
        <v>2978.2</v>
      </c>
      <c r="AH464" s="72">
        <f t="shared" si="76"/>
        <v>6599.6999999999989</v>
      </c>
      <c r="AI464" s="75">
        <f t="shared" si="77"/>
        <v>2700</v>
      </c>
      <c r="AJ464" s="78">
        <f t="shared" si="78"/>
        <v>2241</v>
      </c>
      <c r="AK464" s="72">
        <f t="shared" si="79"/>
        <v>4941</v>
      </c>
    </row>
    <row r="465" spans="1:37" ht="15.95" customHeight="1">
      <c r="A465" s="25" t="s">
        <v>948</v>
      </c>
      <c r="B465" s="25" t="s">
        <v>252</v>
      </c>
      <c r="C465" s="26" t="s">
        <v>44</v>
      </c>
      <c r="D465" s="26" t="s">
        <v>375</v>
      </c>
      <c r="E465" s="26" t="s">
        <v>16</v>
      </c>
      <c r="F465" s="26" t="s">
        <v>1264</v>
      </c>
      <c r="G465" s="26" t="s">
        <v>297</v>
      </c>
      <c r="H465" s="27" t="s">
        <v>1222</v>
      </c>
      <c r="I465" s="26" t="s">
        <v>27</v>
      </c>
      <c r="J465" s="37" t="s">
        <v>630</v>
      </c>
      <c r="K465" s="123">
        <v>88</v>
      </c>
      <c r="L465" s="29">
        <v>16.604999999999997</v>
      </c>
      <c r="M465" s="110">
        <v>11</v>
      </c>
      <c r="N465" s="30">
        <v>0.32</v>
      </c>
      <c r="O465" s="116">
        <v>3.52</v>
      </c>
      <c r="P465" s="30">
        <v>7.4999999999999997E-2</v>
      </c>
      <c r="Q465" s="116">
        <v>0.82499999999999996</v>
      </c>
      <c r="R465" s="30">
        <v>7.0000000000000007E-2</v>
      </c>
      <c r="S465" s="116">
        <v>0.77</v>
      </c>
      <c r="T465" s="117">
        <v>0.49</v>
      </c>
      <c r="U465" s="39">
        <v>250</v>
      </c>
      <c r="V465" s="32">
        <v>176</v>
      </c>
      <c r="W465" s="33"/>
      <c r="X465" s="32"/>
      <c r="Y465" s="32"/>
      <c r="Z465" s="32"/>
      <c r="AA465" s="34"/>
      <c r="AB465" s="35">
        <f t="shared" si="70"/>
        <v>426</v>
      </c>
      <c r="AC465" s="75">
        <f t="shared" si="71"/>
        <v>22000</v>
      </c>
      <c r="AD465" s="78">
        <f t="shared" si="72"/>
        <v>15488</v>
      </c>
      <c r="AE465" s="72">
        <f t="shared" si="73"/>
        <v>37488</v>
      </c>
      <c r="AF465" s="75">
        <f t="shared" si="74"/>
        <v>4151.2499999999991</v>
      </c>
      <c r="AG465" s="78">
        <f t="shared" si="75"/>
        <v>2922.4799999999996</v>
      </c>
      <c r="AH465" s="72">
        <f t="shared" si="76"/>
        <v>7073.7299999999987</v>
      </c>
      <c r="AI465" s="75">
        <f t="shared" si="77"/>
        <v>2750</v>
      </c>
      <c r="AJ465" s="78">
        <f t="shared" si="78"/>
        <v>1936</v>
      </c>
      <c r="AK465" s="72">
        <f t="shared" si="79"/>
        <v>4686</v>
      </c>
    </row>
    <row r="466" spans="1:37" ht="15.95" customHeight="1">
      <c r="A466" s="25" t="s">
        <v>948</v>
      </c>
      <c r="B466" s="25" t="s">
        <v>252</v>
      </c>
      <c r="C466" s="26" t="s">
        <v>1201</v>
      </c>
      <c r="D466" s="26" t="s">
        <v>375</v>
      </c>
      <c r="E466" s="26" t="s">
        <v>16</v>
      </c>
      <c r="F466" s="26" t="s">
        <v>1265</v>
      </c>
      <c r="G466" s="26" t="s">
        <v>297</v>
      </c>
      <c r="H466" s="27" t="s">
        <v>1222</v>
      </c>
      <c r="I466" s="26" t="s">
        <v>27</v>
      </c>
      <c r="J466" s="28" t="s">
        <v>259</v>
      </c>
      <c r="K466" s="123">
        <v>88</v>
      </c>
      <c r="L466" s="29">
        <v>18.107499999999998</v>
      </c>
      <c r="M466" s="110">
        <v>13.5</v>
      </c>
      <c r="N466" s="30">
        <v>0.16</v>
      </c>
      <c r="O466" s="116">
        <v>2.16</v>
      </c>
      <c r="P466" s="30">
        <v>7.4999999999999997E-2</v>
      </c>
      <c r="Q466" s="116">
        <v>1.0125</v>
      </c>
      <c r="R466" s="30">
        <v>7.0000000000000007E-2</v>
      </c>
      <c r="S466" s="116">
        <v>0.94500000000000006</v>
      </c>
      <c r="T466" s="117">
        <v>0.49</v>
      </c>
      <c r="U466" s="39">
        <v>250</v>
      </c>
      <c r="V466" s="32">
        <v>176</v>
      </c>
      <c r="W466" s="33"/>
      <c r="X466" s="32"/>
      <c r="Y466" s="32"/>
      <c r="Z466" s="32"/>
      <c r="AA466" s="34">
        <v>4</v>
      </c>
      <c r="AB466" s="35">
        <f t="shared" si="70"/>
        <v>430</v>
      </c>
      <c r="AC466" s="75">
        <f t="shared" si="71"/>
        <v>22000</v>
      </c>
      <c r="AD466" s="78">
        <f t="shared" si="72"/>
        <v>15840</v>
      </c>
      <c r="AE466" s="72">
        <f t="shared" si="73"/>
        <v>37840</v>
      </c>
      <c r="AF466" s="75">
        <f t="shared" si="74"/>
        <v>4526.8749999999991</v>
      </c>
      <c r="AG466" s="78">
        <f t="shared" si="75"/>
        <v>3240.9199999999996</v>
      </c>
      <c r="AH466" s="72">
        <f t="shared" si="76"/>
        <v>7767.7949999999983</v>
      </c>
      <c r="AI466" s="75">
        <f t="shared" si="77"/>
        <v>3375</v>
      </c>
      <c r="AJ466" s="78">
        <f t="shared" si="78"/>
        <v>2430</v>
      </c>
      <c r="AK466" s="72">
        <f t="shared" si="79"/>
        <v>5805</v>
      </c>
    </row>
    <row r="467" spans="1:37" ht="15.95" customHeight="1">
      <c r="A467" s="25" t="s">
        <v>948</v>
      </c>
      <c r="B467" s="25" t="s">
        <v>252</v>
      </c>
      <c r="C467" s="26" t="s">
        <v>14</v>
      </c>
      <c r="D467" s="26" t="s">
        <v>375</v>
      </c>
      <c r="E467" s="26" t="s">
        <v>16</v>
      </c>
      <c r="F467" s="26" t="s">
        <v>1266</v>
      </c>
      <c r="G467" s="26" t="s">
        <v>1219</v>
      </c>
      <c r="H467" s="27" t="s">
        <v>1267</v>
      </c>
      <c r="I467" s="26" t="s">
        <v>27</v>
      </c>
      <c r="J467" s="28" t="s">
        <v>261</v>
      </c>
      <c r="K467" s="123">
        <v>145</v>
      </c>
      <c r="L467" s="29">
        <v>31.66995</v>
      </c>
      <c r="M467" s="110">
        <v>21.85</v>
      </c>
      <c r="N467" s="30">
        <v>0.28199999999999997</v>
      </c>
      <c r="O467" s="116">
        <v>6.1616999999999997</v>
      </c>
      <c r="P467" s="30">
        <v>7.4999999999999997E-2</v>
      </c>
      <c r="Q467" s="116">
        <v>1.6387500000000002</v>
      </c>
      <c r="R467" s="30">
        <v>7.0000000000000007E-2</v>
      </c>
      <c r="S467" s="116">
        <v>1.5295000000000003</v>
      </c>
      <c r="T467" s="117">
        <v>0.49</v>
      </c>
      <c r="U467" s="39">
        <v>200</v>
      </c>
      <c r="V467" s="32">
        <v>225</v>
      </c>
      <c r="W467" s="33"/>
      <c r="X467" s="32"/>
      <c r="Y467" s="32"/>
      <c r="Z467" s="32"/>
      <c r="AA467" s="34">
        <v>4</v>
      </c>
      <c r="AB467" s="35">
        <f t="shared" si="70"/>
        <v>429</v>
      </c>
      <c r="AC467" s="75">
        <f t="shared" si="71"/>
        <v>29000</v>
      </c>
      <c r="AD467" s="78">
        <f t="shared" si="72"/>
        <v>33205</v>
      </c>
      <c r="AE467" s="72">
        <f t="shared" si="73"/>
        <v>62205</v>
      </c>
      <c r="AF467" s="75">
        <f t="shared" si="74"/>
        <v>6333.99</v>
      </c>
      <c r="AG467" s="78">
        <f t="shared" si="75"/>
        <v>7213.1387500000001</v>
      </c>
      <c r="AH467" s="72">
        <f t="shared" si="76"/>
        <v>13547.12875</v>
      </c>
      <c r="AI467" s="75">
        <f t="shared" si="77"/>
        <v>4370</v>
      </c>
      <c r="AJ467" s="78">
        <f t="shared" si="78"/>
        <v>5003.6500000000005</v>
      </c>
      <c r="AK467" s="72">
        <f t="shared" si="79"/>
        <v>9373.6500000000015</v>
      </c>
    </row>
    <row r="468" spans="1:37" ht="15.95" customHeight="1">
      <c r="A468" s="25" t="s">
        <v>948</v>
      </c>
      <c r="B468" s="25" t="s">
        <v>252</v>
      </c>
      <c r="C468" s="26" t="s">
        <v>29</v>
      </c>
      <c r="D468" s="26" t="s">
        <v>375</v>
      </c>
      <c r="E468" s="26" t="s">
        <v>16</v>
      </c>
      <c r="F468" s="26" t="s">
        <v>1268</v>
      </c>
      <c r="G468" s="26" t="s">
        <v>1219</v>
      </c>
      <c r="H468" s="27" t="s">
        <v>1267</v>
      </c>
      <c r="I468" s="26" t="s">
        <v>27</v>
      </c>
      <c r="J468" s="28" t="s">
        <v>682</v>
      </c>
      <c r="K468" s="123">
        <v>78</v>
      </c>
      <c r="L468" s="29">
        <v>17.542649999999998</v>
      </c>
      <c r="M468" s="110">
        <v>11.95</v>
      </c>
      <c r="N468" s="30">
        <v>0.28199999999999997</v>
      </c>
      <c r="O468" s="116">
        <v>3.3698999999999995</v>
      </c>
      <c r="P468" s="30">
        <v>7.4999999999999997E-2</v>
      </c>
      <c r="Q468" s="116">
        <v>0.89624999999999988</v>
      </c>
      <c r="R468" s="30">
        <v>7.0000000000000007E-2</v>
      </c>
      <c r="S468" s="116">
        <v>0.83650000000000002</v>
      </c>
      <c r="T468" s="117">
        <v>0.49</v>
      </c>
      <c r="U468" s="39">
        <v>200</v>
      </c>
      <c r="V468" s="32">
        <v>219</v>
      </c>
      <c r="W468" s="33"/>
      <c r="X468" s="32"/>
      <c r="Y468" s="32"/>
      <c r="Z468" s="32"/>
      <c r="AA468" s="34">
        <v>10</v>
      </c>
      <c r="AB468" s="35">
        <f t="shared" si="70"/>
        <v>429</v>
      </c>
      <c r="AC468" s="75">
        <f t="shared" si="71"/>
        <v>15600</v>
      </c>
      <c r="AD468" s="78">
        <f t="shared" si="72"/>
        <v>17862</v>
      </c>
      <c r="AE468" s="72">
        <f t="shared" si="73"/>
        <v>33462</v>
      </c>
      <c r="AF468" s="75">
        <f t="shared" si="74"/>
        <v>3508.5299999999997</v>
      </c>
      <c r="AG468" s="78">
        <f t="shared" si="75"/>
        <v>3961.3403499999995</v>
      </c>
      <c r="AH468" s="72">
        <f t="shared" si="76"/>
        <v>7469.8703499999992</v>
      </c>
      <c r="AI468" s="75">
        <f t="shared" si="77"/>
        <v>2390</v>
      </c>
      <c r="AJ468" s="78">
        <f t="shared" si="78"/>
        <v>2736.5499999999997</v>
      </c>
      <c r="AK468" s="72">
        <f t="shared" si="79"/>
        <v>5126.5499999999993</v>
      </c>
    </row>
    <row r="469" spans="1:37" ht="15.95" customHeight="1">
      <c r="A469" s="25" t="s">
        <v>948</v>
      </c>
      <c r="B469" s="25" t="s">
        <v>252</v>
      </c>
      <c r="C469" s="26" t="s">
        <v>14</v>
      </c>
      <c r="D469" s="26" t="s">
        <v>375</v>
      </c>
      <c r="E469" s="26" t="s">
        <v>16</v>
      </c>
      <c r="F469" s="26" t="s">
        <v>1269</v>
      </c>
      <c r="G469" s="26" t="s">
        <v>1054</v>
      </c>
      <c r="H469" s="27" t="s">
        <v>1270</v>
      </c>
      <c r="I469" s="26" t="s">
        <v>27</v>
      </c>
      <c r="J469" s="28" t="s">
        <v>261</v>
      </c>
      <c r="K469" s="123">
        <v>165</v>
      </c>
      <c r="L469" s="29">
        <v>31.883999999999997</v>
      </c>
      <c r="M469" s="110">
        <v>22</v>
      </c>
      <c r="N469" s="30">
        <v>0.28199999999999997</v>
      </c>
      <c r="O469" s="116">
        <v>6.2039999999999997</v>
      </c>
      <c r="P469" s="30">
        <v>7.4999999999999997E-2</v>
      </c>
      <c r="Q469" s="116">
        <v>1.65</v>
      </c>
      <c r="R469" s="30">
        <v>7.0000000000000007E-2</v>
      </c>
      <c r="S469" s="116">
        <v>1.54</v>
      </c>
      <c r="T469" s="117">
        <v>0.49</v>
      </c>
      <c r="U469" s="39">
        <v>200</v>
      </c>
      <c r="V469" s="32">
        <v>105</v>
      </c>
      <c r="W469" s="33"/>
      <c r="X469" s="32"/>
      <c r="Y469" s="32"/>
      <c r="Z469" s="32"/>
      <c r="AA469" s="34"/>
      <c r="AB469" s="35">
        <f t="shared" si="70"/>
        <v>305</v>
      </c>
      <c r="AC469" s="75">
        <f t="shared" si="71"/>
        <v>33000</v>
      </c>
      <c r="AD469" s="78">
        <f t="shared" si="72"/>
        <v>17325</v>
      </c>
      <c r="AE469" s="72">
        <f t="shared" si="73"/>
        <v>50325</v>
      </c>
      <c r="AF469" s="75">
        <f t="shared" si="74"/>
        <v>6376.7999999999993</v>
      </c>
      <c r="AG469" s="78">
        <f t="shared" si="75"/>
        <v>3347.8199999999997</v>
      </c>
      <c r="AH469" s="72">
        <f t="shared" si="76"/>
        <v>9724.619999999999</v>
      </c>
      <c r="AI469" s="75">
        <f t="shared" si="77"/>
        <v>4400</v>
      </c>
      <c r="AJ469" s="78">
        <f t="shared" si="78"/>
        <v>2310</v>
      </c>
      <c r="AK469" s="72">
        <f t="shared" si="79"/>
        <v>6710</v>
      </c>
    </row>
    <row r="470" spans="1:37" ht="15.95" customHeight="1">
      <c r="A470" s="25" t="s">
        <v>948</v>
      </c>
      <c r="B470" s="25" t="s">
        <v>252</v>
      </c>
      <c r="C470" s="26" t="s">
        <v>21</v>
      </c>
      <c r="D470" s="26" t="s">
        <v>375</v>
      </c>
      <c r="E470" s="26" t="s">
        <v>16</v>
      </c>
      <c r="F470" s="26" t="s">
        <v>1271</v>
      </c>
      <c r="G470" s="26" t="s">
        <v>1054</v>
      </c>
      <c r="H470" s="44" t="s">
        <v>1270</v>
      </c>
      <c r="I470" s="26" t="s">
        <v>27</v>
      </c>
      <c r="J470" s="28" t="s">
        <v>265</v>
      </c>
      <c r="K470" s="123">
        <v>140</v>
      </c>
      <c r="L470" s="29">
        <v>29.001459999999998</v>
      </c>
      <c r="M470" s="110">
        <v>19.98</v>
      </c>
      <c r="N470" s="30">
        <v>0.28199999999999997</v>
      </c>
      <c r="O470" s="116">
        <v>5.6343599999999991</v>
      </c>
      <c r="P470" s="30">
        <v>7.4999999999999997E-2</v>
      </c>
      <c r="Q470" s="116">
        <v>1.4984999999999999</v>
      </c>
      <c r="R470" s="30">
        <v>7.0000000000000007E-2</v>
      </c>
      <c r="S470" s="116">
        <v>1.3986000000000001</v>
      </c>
      <c r="T470" s="117">
        <v>0.49</v>
      </c>
      <c r="U470" s="39">
        <v>200</v>
      </c>
      <c r="V470" s="32">
        <v>105</v>
      </c>
      <c r="W470" s="33"/>
      <c r="X470" s="32"/>
      <c r="Y470" s="32"/>
      <c r="Z470" s="32"/>
      <c r="AA470" s="34"/>
      <c r="AB470" s="35">
        <f t="shared" si="70"/>
        <v>305</v>
      </c>
      <c r="AC470" s="75">
        <f t="shared" si="71"/>
        <v>28000</v>
      </c>
      <c r="AD470" s="78">
        <f t="shared" si="72"/>
        <v>14700</v>
      </c>
      <c r="AE470" s="72">
        <f t="shared" si="73"/>
        <v>42700</v>
      </c>
      <c r="AF470" s="75">
        <f t="shared" si="74"/>
        <v>5800.2919999999995</v>
      </c>
      <c r="AG470" s="78">
        <f t="shared" si="75"/>
        <v>3045.1532999999999</v>
      </c>
      <c r="AH470" s="72">
        <f t="shared" si="76"/>
        <v>8845.4452999999994</v>
      </c>
      <c r="AI470" s="75">
        <f t="shared" si="77"/>
        <v>3996</v>
      </c>
      <c r="AJ470" s="78">
        <f t="shared" si="78"/>
        <v>2097.9</v>
      </c>
      <c r="AK470" s="72">
        <f t="shared" si="79"/>
        <v>6093.9</v>
      </c>
    </row>
    <row r="471" spans="1:37" ht="15.95" customHeight="1">
      <c r="A471" s="25" t="s">
        <v>948</v>
      </c>
      <c r="B471" s="25" t="s">
        <v>252</v>
      </c>
      <c r="C471" s="26" t="s">
        <v>14</v>
      </c>
      <c r="D471" s="26" t="s">
        <v>375</v>
      </c>
      <c r="E471" s="26" t="s">
        <v>16</v>
      </c>
      <c r="F471" s="26" t="s">
        <v>1269</v>
      </c>
      <c r="G471" s="26" t="s">
        <v>1054</v>
      </c>
      <c r="H471" s="44" t="s">
        <v>1270</v>
      </c>
      <c r="I471" s="26" t="s">
        <v>27</v>
      </c>
      <c r="J471" s="28" t="s">
        <v>261</v>
      </c>
      <c r="K471" s="123">
        <v>165</v>
      </c>
      <c r="L471" s="29">
        <v>31.883999999999997</v>
      </c>
      <c r="M471" s="110">
        <v>22</v>
      </c>
      <c r="N471" s="30">
        <v>0.28199999999999997</v>
      </c>
      <c r="O471" s="116">
        <v>6.2039999999999997</v>
      </c>
      <c r="P471" s="30">
        <v>7.4999999999999997E-2</v>
      </c>
      <c r="Q471" s="116">
        <v>1.65</v>
      </c>
      <c r="R471" s="30">
        <v>7.0000000000000007E-2</v>
      </c>
      <c r="S471" s="116">
        <v>1.54</v>
      </c>
      <c r="T471" s="117">
        <v>0.49</v>
      </c>
      <c r="U471" s="39">
        <v>200</v>
      </c>
      <c r="V471" s="32">
        <v>241</v>
      </c>
      <c r="W471" s="33"/>
      <c r="X471" s="32"/>
      <c r="Y471" s="32"/>
      <c r="Z471" s="32"/>
      <c r="AA471" s="34"/>
      <c r="AB471" s="35">
        <f t="shared" si="70"/>
        <v>441</v>
      </c>
      <c r="AC471" s="75">
        <f t="shared" si="71"/>
        <v>33000</v>
      </c>
      <c r="AD471" s="78">
        <f t="shared" si="72"/>
        <v>39765</v>
      </c>
      <c r="AE471" s="72">
        <f t="shared" si="73"/>
        <v>72765</v>
      </c>
      <c r="AF471" s="75">
        <f t="shared" si="74"/>
        <v>6376.7999999999993</v>
      </c>
      <c r="AG471" s="78">
        <f t="shared" si="75"/>
        <v>7684.043999999999</v>
      </c>
      <c r="AH471" s="72">
        <f t="shared" si="76"/>
        <v>14060.843999999997</v>
      </c>
      <c r="AI471" s="75">
        <f t="shared" si="77"/>
        <v>4400</v>
      </c>
      <c r="AJ471" s="78">
        <f t="shared" si="78"/>
        <v>5302</v>
      </c>
      <c r="AK471" s="72">
        <f t="shared" si="79"/>
        <v>9702</v>
      </c>
    </row>
    <row r="472" spans="1:37" ht="15.95" customHeight="1">
      <c r="A472" s="25" t="s">
        <v>948</v>
      </c>
      <c r="B472" s="25" t="s">
        <v>252</v>
      </c>
      <c r="C472" s="26" t="s">
        <v>21</v>
      </c>
      <c r="D472" s="26" t="s">
        <v>375</v>
      </c>
      <c r="E472" s="26" t="s">
        <v>16</v>
      </c>
      <c r="F472" s="26" t="s">
        <v>1271</v>
      </c>
      <c r="G472" s="26" t="s">
        <v>1054</v>
      </c>
      <c r="H472" s="44" t="s">
        <v>1270</v>
      </c>
      <c r="I472" s="26" t="s">
        <v>27</v>
      </c>
      <c r="J472" s="28" t="s">
        <v>265</v>
      </c>
      <c r="K472" s="123">
        <v>140</v>
      </c>
      <c r="L472" s="29">
        <v>29.001459999999998</v>
      </c>
      <c r="M472" s="110">
        <v>19.98</v>
      </c>
      <c r="N472" s="30">
        <v>0.28199999999999997</v>
      </c>
      <c r="O472" s="116">
        <v>5.6343599999999991</v>
      </c>
      <c r="P472" s="30">
        <v>7.4999999999999997E-2</v>
      </c>
      <c r="Q472" s="116">
        <v>1.4984999999999999</v>
      </c>
      <c r="R472" s="30">
        <v>7.0000000000000007E-2</v>
      </c>
      <c r="S472" s="116">
        <v>1.3986000000000001</v>
      </c>
      <c r="T472" s="117">
        <v>0.49</v>
      </c>
      <c r="U472" s="39">
        <v>200</v>
      </c>
      <c r="V472" s="32">
        <v>241</v>
      </c>
      <c r="W472" s="33"/>
      <c r="X472" s="32"/>
      <c r="Y472" s="32"/>
      <c r="Z472" s="32"/>
      <c r="AA472" s="34"/>
      <c r="AB472" s="35">
        <f t="shared" si="70"/>
        <v>441</v>
      </c>
      <c r="AC472" s="75">
        <f t="shared" si="71"/>
        <v>28000</v>
      </c>
      <c r="AD472" s="78">
        <f t="shared" si="72"/>
        <v>33740</v>
      </c>
      <c r="AE472" s="72">
        <f t="shared" si="73"/>
        <v>61740</v>
      </c>
      <c r="AF472" s="75">
        <f t="shared" si="74"/>
        <v>5800.2919999999995</v>
      </c>
      <c r="AG472" s="78">
        <f t="shared" si="75"/>
        <v>6989.3518599999998</v>
      </c>
      <c r="AH472" s="72">
        <f t="shared" si="76"/>
        <v>12789.64386</v>
      </c>
      <c r="AI472" s="75">
        <f t="shared" si="77"/>
        <v>3996</v>
      </c>
      <c r="AJ472" s="78">
        <f t="shared" si="78"/>
        <v>4815.18</v>
      </c>
      <c r="AK472" s="72">
        <f t="shared" si="79"/>
        <v>8811.18</v>
      </c>
    </row>
    <row r="473" spans="1:37" ht="15.95" customHeight="1">
      <c r="A473" s="25" t="s">
        <v>948</v>
      </c>
      <c r="B473" s="25" t="s">
        <v>252</v>
      </c>
      <c r="C473" s="26" t="s">
        <v>133</v>
      </c>
      <c r="D473" s="26" t="s">
        <v>375</v>
      </c>
      <c r="E473" s="26" t="s">
        <v>16</v>
      </c>
      <c r="F473" s="26" t="s">
        <v>1272</v>
      </c>
      <c r="G473" s="26" t="s">
        <v>140</v>
      </c>
      <c r="H473" s="44" t="s">
        <v>1105</v>
      </c>
      <c r="I473" s="26" t="s">
        <v>19</v>
      </c>
      <c r="J473" s="28" t="s">
        <v>1273</v>
      </c>
      <c r="K473" s="123">
        <v>110</v>
      </c>
      <c r="L473" s="29">
        <v>20.624500000000001</v>
      </c>
      <c r="M473" s="110">
        <v>15.5</v>
      </c>
      <c r="N473" s="30">
        <v>0.154</v>
      </c>
      <c r="O473" s="116">
        <v>2.387</v>
      </c>
      <c r="P473" s="30">
        <v>7.4999999999999997E-2</v>
      </c>
      <c r="Q473" s="116">
        <v>1.1624999999999999</v>
      </c>
      <c r="R473" s="30">
        <v>7.0000000000000007E-2</v>
      </c>
      <c r="S473" s="116">
        <v>1.0850000000000002</v>
      </c>
      <c r="T473" s="117">
        <v>0.49</v>
      </c>
      <c r="U473" s="39">
        <v>250</v>
      </c>
      <c r="V473" s="32">
        <v>248</v>
      </c>
      <c r="W473" s="33"/>
      <c r="X473" s="32">
        <v>40</v>
      </c>
      <c r="Y473" s="32"/>
      <c r="Z473" s="32"/>
      <c r="AA473" s="34">
        <v>4</v>
      </c>
      <c r="AB473" s="35">
        <f t="shared" si="70"/>
        <v>542</v>
      </c>
      <c r="AC473" s="75">
        <f t="shared" si="71"/>
        <v>27500</v>
      </c>
      <c r="AD473" s="78">
        <f t="shared" si="72"/>
        <v>32120</v>
      </c>
      <c r="AE473" s="72">
        <f t="shared" si="73"/>
        <v>59620</v>
      </c>
      <c r="AF473" s="75">
        <f t="shared" si="74"/>
        <v>5156.125</v>
      </c>
      <c r="AG473" s="78">
        <f t="shared" si="75"/>
        <v>5796.8760000000002</v>
      </c>
      <c r="AH473" s="72">
        <f t="shared" si="76"/>
        <v>10953.001</v>
      </c>
      <c r="AI473" s="75">
        <f t="shared" si="77"/>
        <v>3875</v>
      </c>
      <c r="AJ473" s="78">
        <f t="shared" si="78"/>
        <v>4526</v>
      </c>
      <c r="AK473" s="72">
        <f t="shared" si="79"/>
        <v>8401</v>
      </c>
    </row>
    <row r="474" spans="1:37" ht="15.95" customHeight="1">
      <c r="A474" s="25" t="s">
        <v>948</v>
      </c>
      <c r="B474" s="25" t="s">
        <v>252</v>
      </c>
      <c r="C474" s="26" t="s">
        <v>980</v>
      </c>
      <c r="D474" s="26" t="s">
        <v>375</v>
      </c>
      <c r="E474" s="26" t="s">
        <v>16</v>
      </c>
      <c r="F474" s="26" t="s">
        <v>1274</v>
      </c>
      <c r="G474" s="26" t="s">
        <v>140</v>
      </c>
      <c r="H474" s="27" t="s">
        <v>1107</v>
      </c>
      <c r="I474" s="26" t="s">
        <v>19</v>
      </c>
      <c r="J474" s="28" t="s">
        <v>1275</v>
      </c>
      <c r="K474" s="125">
        <v>135</v>
      </c>
      <c r="L474" s="29">
        <v>27.365499999999997</v>
      </c>
      <c r="M474" s="110">
        <v>20.5</v>
      </c>
      <c r="N474" s="30">
        <v>0.16600000000000001</v>
      </c>
      <c r="O474" s="116">
        <v>3.403</v>
      </c>
      <c r="P474" s="30">
        <v>7.4999999999999997E-2</v>
      </c>
      <c r="Q474" s="116">
        <v>1.5374999999999999</v>
      </c>
      <c r="R474" s="30">
        <v>7.0000000000000007E-2</v>
      </c>
      <c r="S474" s="116">
        <v>1.4350000000000001</v>
      </c>
      <c r="T474" s="117">
        <v>0.49</v>
      </c>
      <c r="U474" s="39">
        <v>200</v>
      </c>
      <c r="V474" s="32">
        <v>268</v>
      </c>
      <c r="W474" s="33"/>
      <c r="X474" s="32"/>
      <c r="Y474" s="32"/>
      <c r="Z474" s="32"/>
      <c r="AA474" s="34"/>
      <c r="AB474" s="35">
        <f t="shared" si="70"/>
        <v>468</v>
      </c>
      <c r="AC474" s="75">
        <f t="shared" si="71"/>
        <v>27000</v>
      </c>
      <c r="AD474" s="78">
        <f t="shared" si="72"/>
        <v>36180</v>
      </c>
      <c r="AE474" s="72">
        <f t="shared" si="73"/>
        <v>63180</v>
      </c>
      <c r="AF474" s="75">
        <f t="shared" si="74"/>
        <v>5473.0999999999995</v>
      </c>
      <c r="AG474" s="78">
        <f t="shared" si="75"/>
        <v>7333.9539999999997</v>
      </c>
      <c r="AH474" s="72">
        <f t="shared" si="76"/>
        <v>12807.054</v>
      </c>
      <c r="AI474" s="75">
        <f t="shared" si="77"/>
        <v>4100</v>
      </c>
      <c r="AJ474" s="78">
        <f t="shared" si="78"/>
        <v>5494</v>
      </c>
      <c r="AK474" s="72">
        <f t="shared" si="79"/>
        <v>9594</v>
      </c>
    </row>
    <row r="475" spans="1:37" ht="15.95" customHeight="1">
      <c r="A475" s="25" t="s">
        <v>948</v>
      </c>
      <c r="B475" s="25" t="s">
        <v>252</v>
      </c>
      <c r="C475" s="26" t="s">
        <v>275</v>
      </c>
      <c r="D475" s="26" t="s">
        <v>375</v>
      </c>
      <c r="E475" s="26" t="s">
        <v>16</v>
      </c>
      <c r="F475" s="26" t="s">
        <v>1276</v>
      </c>
      <c r="G475" s="26" t="s">
        <v>140</v>
      </c>
      <c r="H475" s="27" t="s">
        <v>1107</v>
      </c>
      <c r="I475" s="26" t="s">
        <v>19</v>
      </c>
      <c r="J475" s="28" t="s">
        <v>1195</v>
      </c>
      <c r="K475" s="125">
        <v>98</v>
      </c>
      <c r="L475" s="29">
        <v>20.490100000000002</v>
      </c>
      <c r="M475" s="110">
        <v>16.3</v>
      </c>
      <c r="N475" s="30">
        <v>8.2000000000000003E-2</v>
      </c>
      <c r="O475" s="116">
        <v>1.3366</v>
      </c>
      <c r="P475" s="30">
        <v>7.4999999999999997E-2</v>
      </c>
      <c r="Q475" s="116">
        <v>1.2224999999999999</v>
      </c>
      <c r="R475" s="30">
        <v>7.0000000000000007E-2</v>
      </c>
      <c r="S475" s="116">
        <v>1.1410000000000002</v>
      </c>
      <c r="T475" s="117">
        <v>0.49</v>
      </c>
      <c r="U475" s="39">
        <v>250</v>
      </c>
      <c r="V475" s="32">
        <v>272</v>
      </c>
      <c r="W475" s="33"/>
      <c r="X475" s="32">
        <v>40</v>
      </c>
      <c r="Y475" s="32"/>
      <c r="Z475" s="32"/>
      <c r="AA475" s="34">
        <v>20</v>
      </c>
      <c r="AB475" s="35">
        <f t="shared" si="70"/>
        <v>582</v>
      </c>
      <c r="AC475" s="75">
        <f t="shared" si="71"/>
        <v>24500</v>
      </c>
      <c r="AD475" s="78">
        <f t="shared" si="72"/>
        <v>32536</v>
      </c>
      <c r="AE475" s="72">
        <f t="shared" si="73"/>
        <v>57036</v>
      </c>
      <c r="AF475" s="75">
        <f t="shared" si="74"/>
        <v>5122.5250000000005</v>
      </c>
      <c r="AG475" s="78">
        <f t="shared" si="75"/>
        <v>6551.3072000000002</v>
      </c>
      <c r="AH475" s="72">
        <f t="shared" si="76"/>
        <v>11673.832200000001</v>
      </c>
      <c r="AI475" s="75">
        <f t="shared" si="77"/>
        <v>4075</v>
      </c>
      <c r="AJ475" s="78">
        <f t="shared" si="78"/>
        <v>5411.6</v>
      </c>
      <c r="AK475" s="72">
        <f t="shared" si="79"/>
        <v>9486.6</v>
      </c>
    </row>
    <row r="476" spans="1:37" ht="15.95" customHeight="1">
      <c r="A476" s="25" t="s">
        <v>948</v>
      </c>
      <c r="B476" s="25" t="s">
        <v>252</v>
      </c>
      <c r="C476" s="26" t="s">
        <v>133</v>
      </c>
      <c r="D476" s="26" t="s">
        <v>375</v>
      </c>
      <c r="E476" s="26" t="s">
        <v>16</v>
      </c>
      <c r="F476" s="26" t="s">
        <v>1277</v>
      </c>
      <c r="G476" s="26" t="s">
        <v>1101</v>
      </c>
      <c r="H476" s="27" t="s">
        <v>1102</v>
      </c>
      <c r="I476" s="26" t="s">
        <v>19</v>
      </c>
      <c r="J476" s="28" t="s">
        <v>661</v>
      </c>
      <c r="K476" s="125">
        <v>135</v>
      </c>
      <c r="L476" s="29">
        <v>29.689099999999996</v>
      </c>
      <c r="M476" s="110">
        <v>20.65</v>
      </c>
      <c r="N476" s="30">
        <v>0.26900000000000002</v>
      </c>
      <c r="O476" s="116">
        <v>5.5548500000000001</v>
      </c>
      <c r="P476" s="30">
        <v>7.4999999999999997E-2</v>
      </c>
      <c r="Q476" s="116">
        <v>1.5487499999999998</v>
      </c>
      <c r="R476" s="30">
        <v>7.0000000000000007E-2</v>
      </c>
      <c r="S476" s="116">
        <v>1.4455</v>
      </c>
      <c r="T476" s="117">
        <v>0.49</v>
      </c>
      <c r="U476" s="39">
        <v>200</v>
      </c>
      <c r="V476" s="32">
        <v>134</v>
      </c>
      <c r="W476" s="33"/>
      <c r="X476" s="32"/>
      <c r="Y476" s="32"/>
      <c r="Z476" s="32"/>
      <c r="AA476" s="34"/>
      <c r="AB476" s="35">
        <f t="shared" si="70"/>
        <v>334</v>
      </c>
      <c r="AC476" s="75">
        <f t="shared" si="71"/>
        <v>27000</v>
      </c>
      <c r="AD476" s="78">
        <f t="shared" si="72"/>
        <v>18090</v>
      </c>
      <c r="AE476" s="72">
        <f t="shared" si="73"/>
        <v>45090</v>
      </c>
      <c r="AF476" s="75">
        <f t="shared" si="74"/>
        <v>5937.82</v>
      </c>
      <c r="AG476" s="78">
        <f t="shared" si="75"/>
        <v>3978.3393999999994</v>
      </c>
      <c r="AH476" s="72">
        <f t="shared" si="76"/>
        <v>9916.1593999999986</v>
      </c>
      <c r="AI476" s="75">
        <f t="shared" si="77"/>
        <v>4130</v>
      </c>
      <c r="AJ476" s="78">
        <f t="shared" si="78"/>
        <v>2767.1</v>
      </c>
      <c r="AK476" s="72">
        <f t="shared" si="79"/>
        <v>6897.1</v>
      </c>
    </row>
    <row r="477" spans="1:37" ht="15.95" customHeight="1">
      <c r="A477" s="25" t="s">
        <v>948</v>
      </c>
      <c r="B477" s="25" t="s">
        <v>252</v>
      </c>
      <c r="C477" s="26" t="s">
        <v>29</v>
      </c>
      <c r="D477" s="26" t="s">
        <v>375</v>
      </c>
      <c r="E477" s="26" t="s">
        <v>16</v>
      </c>
      <c r="F477" s="26" t="s">
        <v>1278</v>
      </c>
      <c r="G477" s="26" t="s">
        <v>1101</v>
      </c>
      <c r="H477" s="27" t="s">
        <v>1102</v>
      </c>
      <c r="I477" s="26" t="s">
        <v>19</v>
      </c>
      <c r="J477" s="28" t="s">
        <v>663</v>
      </c>
      <c r="K477" s="125">
        <v>135</v>
      </c>
      <c r="L477" s="29">
        <v>27.249699999999997</v>
      </c>
      <c r="M477" s="110">
        <v>18.7</v>
      </c>
      <c r="N477" s="30">
        <v>0.28599999999999998</v>
      </c>
      <c r="O477" s="116">
        <v>5.3481999999999994</v>
      </c>
      <c r="P477" s="30">
        <v>7.4999999999999997E-2</v>
      </c>
      <c r="Q477" s="116">
        <v>1.4024999999999999</v>
      </c>
      <c r="R477" s="30">
        <v>7.0000000000000007E-2</v>
      </c>
      <c r="S477" s="116">
        <v>1.3090000000000002</v>
      </c>
      <c r="T477" s="117">
        <v>0.49</v>
      </c>
      <c r="U477" s="39">
        <v>200</v>
      </c>
      <c r="V477" s="32">
        <v>134</v>
      </c>
      <c r="W477" s="33"/>
      <c r="X477" s="32"/>
      <c r="Y477" s="32"/>
      <c r="Z477" s="32"/>
      <c r="AA477" s="34"/>
      <c r="AB477" s="35">
        <f t="shared" si="70"/>
        <v>334</v>
      </c>
      <c r="AC477" s="75">
        <f t="shared" si="71"/>
        <v>27000</v>
      </c>
      <c r="AD477" s="78">
        <f t="shared" si="72"/>
        <v>18090</v>
      </c>
      <c r="AE477" s="72">
        <f t="shared" si="73"/>
        <v>45090</v>
      </c>
      <c r="AF477" s="75">
        <f t="shared" si="74"/>
        <v>5449.94</v>
      </c>
      <c r="AG477" s="78">
        <f t="shared" si="75"/>
        <v>3651.4597999999996</v>
      </c>
      <c r="AH477" s="72">
        <f t="shared" si="76"/>
        <v>9101.3997999999992</v>
      </c>
      <c r="AI477" s="75">
        <f t="shared" si="77"/>
        <v>3740</v>
      </c>
      <c r="AJ477" s="78">
        <f t="shared" si="78"/>
        <v>2505.7999999999997</v>
      </c>
      <c r="AK477" s="72">
        <f t="shared" si="79"/>
        <v>6245.7999999999993</v>
      </c>
    </row>
    <row r="478" spans="1:37" ht="15.95" customHeight="1">
      <c r="A478" s="25" t="s">
        <v>948</v>
      </c>
      <c r="B478" s="25" t="s">
        <v>252</v>
      </c>
      <c r="C478" s="26" t="s">
        <v>1199</v>
      </c>
      <c r="D478" s="26" t="s">
        <v>375</v>
      </c>
      <c r="E478" s="26" t="s">
        <v>16</v>
      </c>
      <c r="F478" s="26" t="s">
        <v>1279</v>
      </c>
      <c r="G478" s="26" t="s">
        <v>1111</v>
      </c>
      <c r="H478" s="27" t="s">
        <v>1280</v>
      </c>
      <c r="I478" s="26" t="s">
        <v>27</v>
      </c>
      <c r="J478" s="28" t="s">
        <v>879</v>
      </c>
      <c r="K478" s="125">
        <v>58</v>
      </c>
      <c r="L478" s="29">
        <v>9.5945</v>
      </c>
      <c r="M478" s="110">
        <v>6.95</v>
      </c>
      <c r="N478" s="30">
        <v>0.16500000000000001</v>
      </c>
      <c r="O478" s="116">
        <v>1.1467500000000002</v>
      </c>
      <c r="P478" s="30">
        <v>7.4999999999999997E-2</v>
      </c>
      <c r="Q478" s="116">
        <v>0.52124999999999999</v>
      </c>
      <c r="R478" s="30">
        <v>7.0000000000000007E-2</v>
      </c>
      <c r="S478" s="116">
        <v>0.48650000000000004</v>
      </c>
      <c r="T478" s="117">
        <v>0.49</v>
      </c>
      <c r="U478" s="39">
        <v>200</v>
      </c>
      <c r="V478" s="32">
        <v>106</v>
      </c>
      <c r="W478" s="33"/>
      <c r="X478" s="32">
        <v>40</v>
      </c>
      <c r="Y478" s="32"/>
      <c r="Z478" s="32"/>
      <c r="AA478" s="34"/>
      <c r="AB478" s="35">
        <f t="shared" si="70"/>
        <v>346</v>
      </c>
      <c r="AC478" s="75">
        <f t="shared" si="71"/>
        <v>11600</v>
      </c>
      <c r="AD478" s="78">
        <f t="shared" si="72"/>
        <v>8468</v>
      </c>
      <c r="AE478" s="72">
        <f t="shared" si="73"/>
        <v>20068</v>
      </c>
      <c r="AF478" s="75">
        <f t="shared" si="74"/>
        <v>1918.9</v>
      </c>
      <c r="AG478" s="78">
        <f t="shared" si="75"/>
        <v>1295.0170000000001</v>
      </c>
      <c r="AH478" s="72">
        <f t="shared" si="76"/>
        <v>3213.9170000000004</v>
      </c>
      <c r="AI478" s="75">
        <f t="shared" si="77"/>
        <v>1390</v>
      </c>
      <c r="AJ478" s="78">
        <f t="shared" si="78"/>
        <v>1014.7</v>
      </c>
      <c r="AK478" s="72">
        <f t="shared" si="79"/>
        <v>2404.6999999999998</v>
      </c>
    </row>
    <row r="479" spans="1:37" ht="15.95" customHeight="1">
      <c r="A479" s="25" t="s">
        <v>948</v>
      </c>
      <c r="B479" s="25" t="s">
        <v>252</v>
      </c>
      <c r="C479" s="26" t="s">
        <v>275</v>
      </c>
      <c r="D479" s="26" t="s">
        <v>375</v>
      </c>
      <c r="E479" s="26" t="s">
        <v>16</v>
      </c>
      <c r="F479" s="26" t="s">
        <v>1281</v>
      </c>
      <c r="G479" s="26" t="s">
        <v>1111</v>
      </c>
      <c r="H479" s="27" t="s">
        <v>1280</v>
      </c>
      <c r="I479" s="26" t="s">
        <v>27</v>
      </c>
      <c r="J479" s="28" t="s">
        <v>358</v>
      </c>
      <c r="K479" s="125">
        <v>58</v>
      </c>
      <c r="L479" s="29">
        <v>10.928000000000001</v>
      </c>
      <c r="M479" s="110">
        <v>8.5</v>
      </c>
      <c r="N479" s="30">
        <v>8.3000000000000004E-2</v>
      </c>
      <c r="O479" s="116">
        <v>0.70550000000000002</v>
      </c>
      <c r="P479" s="30">
        <v>7.4999999999999997E-2</v>
      </c>
      <c r="Q479" s="116">
        <v>0.63749999999999996</v>
      </c>
      <c r="R479" s="30">
        <v>7.0000000000000007E-2</v>
      </c>
      <c r="S479" s="116">
        <v>0.59500000000000008</v>
      </c>
      <c r="T479" s="117">
        <v>0.49</v>
      </c>
      <c r="U479" s="39">
        <v>200</v>
      </c>
      <c r="V479" s="32">
        <v>106</v>
      </c>
      <c r="W479" s="33"/>
      <c r="X479" s="32">
        <v>40</v>
      </c>
      <c r="Y479" s="32"/>
      <c r="Z479" s="32"/>
      <c r="AA479" s="34">
        <v>4</v>
      </c>
      <c r="AB479" s="35">
        <f t="shared" si="70"/>
        <v>350</v>
      </c>
      <c r="AC479" s="75">
        <f t="shared" si="71"/>
        <v>11600</v>
      </c>
      <c r="AD479" s="78">
        <f t="shared" si="72"/>
        <v>8700</v>
      </c>
      <c r="AE479" s="72">
        <f t="shared" si="73"/>
        <v>20300</v>
      </c>
      <c r="AF479" s="75">
        <f t="shared" si="74"/>
        <v>2185.6000000000004</v>
      </c>
      <c r="AG479" s="78">
        <f t="shared" si="75"/>
        <v>1532.3680000000002</v>
      </c>
      <c r="AH479" s="72">
        <f t="shared" si="76"/>
        <v>3717.9680000000008</v>
      </c>
      <c r="AI479" s="75">
        <f t="shared" si="77"/>
        <v>1700</v>
      </c>
      <c r="AJ479" s="78">
        <f t="shared" si="78"/>
        <v>1275</v>
      </c>
      <c r="AK479" s="72">
        <f t="shared" si="79"/>
        <v>2975</v>
      </c>
    </row>
    <row r="480" spans="1:37" ht="15.95" customHeight="1">
      <c r="A480" s="25" t="s">
        <v>948</v>
      </c>
      <c r="B480" s="25" t="s">
        <v>252</v>
      </c>
      <c r="C480" s="26" t="s">
        <v>1199</v>
      </c>
      <c r="D480" s="26" t="s">
        <v>375</v>
      </c>
      <c r="E480" s="26" t="s">
        <v>16</v>
      </c>
      <c r="F480" s="26" t="s">
        <v>1279</v>
      </c>
      <c r="G480" s="26" t="s">
        <v>1111</v>
      </c>
      <c r="H480" s="27" t="s">
        <v>1280</v>
      </c>
      <c r="I480" s="26" t="s">
        <v>27</v>
      </c>
      <c r="J480" s="28" t="s">
        <v>879</v>
      </c>
      <c r="K480" s="123">
        <v>58</v>
      </c>
      <c r="L480" s="29">
        <v>9.5945</v>
      </c>
      <c r="M480" s="110">
        <v>6.95</v>
      </c>
      <c r="N480" s="30">
        <v>0.16500000000000001</v>
      </c>
      <c r="O480" s="116">
        <v>1.1467500000000002</v>
      </c>
      <c r="P480" s="30">
        <v>7.4999999999999997E-2</v>
      </c>
      <c r="Q480" s="116">
        <v>0.52124999999999999</v>
      </c>
      <c r="R480" s="30">
        <v>7.0000000000000007E-2</v>
      </c>
      <c r="S480" s="116">
        <v>0.48650000000000004</v>
      </c>
      <c r="T480" s="117">
        <v>0.49</v>
      </c>
      <c r="U480" s="39">
        <v>200</v>
      </c>
      <c r="V480" s="32">
        <v>183</v>
      </c>
      <c r="W480" s="33"/>
      <c r="X480" s="32">
        <v>40</v>
      </c>
      <c r="Y480" s="32"/>
      <c r="Z480" s="32"/>
      <c r="AA480" s="34"/>
      <c r="AB480" s="35">
        <f t="shared" si="70"/>
        <v>423</v>
      </c>
      <c r="AC480" s="75">
        <f t="shared" si="71"/>
        <v>11600</v>
      </c>
      <c r="AD480" s="78">
        <f t="shared" si="72"/>
        <v>12934</v>
      </c>
      <c r="AE480" s="72">
        <f t="shared" si="73"/>
        <v>24534</v>
      </c>
      <c r="AF480" s="75">
        <f t="shared" si="74"/>
        <v>1918.9</v>
      </c>
      <c r="AG480" s="78">
        <f t="shared" si="75"/>
        <v>2033.7935</v>
      </c>
      <c r="AH480" s="72">
        <f t="shared" si="76"/>
        <v>3952.6935000000003</v>
      </c>
      <c r="AI480" s="75">
        <f t="shared" si="77"/>
        <v>1390</v>
      </c>
      <c r="AJ480" s="78">
        <f t="shared" si="78"/>
        <v>1549.8500000000001</v>
      </c>
      <c r="AK480" s="72">
        <f t="shared" si="79"/>
        <v>2939.8500000000004</v>
      </c>
    </row>
    <row r="481" spans="1:37" ht="15.95" customHeight="1">
      <c r="A481" s="25" t="s">
        <v>948</v>
      </c>
      <c r="B481" s="25" t="s">
        <v>252</v>
      </c>
      <c r="C481" s="26" t="s">
        <v>275</v>
      </c>
      <c r="D481" s="26" t="s">
        <v>375</v>
      </c>
      <c r="E481" s="26" t="s">
        <v>16</v>
      </c>
      <c r="F481" s="26" t="s">
        <v>1281</v>
      </c>
      <c r="G481" s="26" t="s">
        <v>1111</v>
      </c>
      <c r="H481" s="27" t="s">
        <v>1280</v>
      </c>
      <c r="I481" s="26" t="s">
        <v>27</v>
      </c>
      <c r="J481" s="28" t="s">
        <v>358</v>
      </c>
      <c r="K481" s="123">
        <v>58</v>
      </c>
      <c r="L481" s="29">
        <v>10.928000000000001</v>
      </c>
      <c r="M481" s="110">
        <v>8.5</v>
      </c>
      <c r="N481" s="30">
        <v>8.3000000000000004E-2</v>
      </c>
      <c r="O481" s="116">
        <v>0.70550000000000002</v>
      </c>
      <c r="P481" s="30">
        <v>7.4999999999999997E-2</v>
      </c>
      <c r="Q481" s="116">
        <v>0.63749999999999996</v>
      </c>
      <c r="R481" s="30">
        <v>7.0000000000000007E-2</v>
      </c>
      <c r="S481" s="116">
        <v>0.59500000000000008</v>
      </c>
      <c r="T481" s="117">
        <v>0.49</v>
      </c>
      <c r="U481" s="39">
        <v>200</v>
      </c>
      <c r="V481" s="32">
        <v>183</v>
      </c>
      <c r="W481" s="33"/>
      <c r="X481" s="32">
        <v>40</v>
      </c>
      <c r="Y481" s="32"/>
      <c r="Z481" s="32"/>
      <c r="AA481" s="34">
        <v>20</v>
      </c>
      <c r="AB481" s="35">
        <f t="shared" si="70"/>
        <v>443</v>
      </c>
      <c r="AC481" s="75">
        <f t="shared" si="71"/>
        <v>11600</v>
      </c>
      <c r="AD481" s="78">
        <f t="shared" si="72"/>
        <v>14094</v>
      </c>
      <c r="AE481" s="72">
        <f t="shared" si="73"/>
        <v>25694</v>
      </c>
      <c r="AF481" s="75">
        <f t="shared" si="74"/>
        <v>2185.6000000000004</v>
      </c>
      <c r="AG481" s="78">
        <f t="shared" si="75"/>
        <v>2509.8240000000001</v>
      </c>
      <c r="AH481" s="72">
        <f t="shared" si="76"/>
        <v>4695.4240000000009</v>
      </c>
      <c r="AI481" s="75">
        <f t="shared" si="77"/>
        <v>1700</v>
      </c>
      <c r="AJ481" s="78">
        <f t="shared" si="78"/>
        <v>2065.5</v>
      </c>
      <c r="AK481" s="72">
        <f t="shared" si="79"/>
        <v>3765.5</v>
      </c>
    </row>
    <row r="482" spans="1:37" ht="15.95" customHeight="1">
      <c r="A482" s="25" t="s">
        <v>948</v>
      </c>
      <c r="B482" s="25" t="s">
        <v>252</v>
      </c>
      <c r="C482" s="26" t="s">
        <v>293</v>
      </c>
      <c r="D482" s="26" t="s">
        <v>375</v>
      </c>
      <c r="E482" s="26" t="s">
        <v>16</v>
      </c>
      <c r="F482" s="26" t="s">
        <v>1282</v>
      </c>
      <c r="G482" s="26" t="s">
        <v>1111</v>
      </c>
      <c r="H482" s="27" t="s">
        <v>1280</v>
      </c>
      <c r="I482" s="26" t="s">
        <v>27</v>
      </c>
      <c r="J482" s="28" t="s">
        <v>295</v>
      </c>
      <c r="K482" s="123">
        <v>118</v>
      </c>
      <c r="L482" s="29">
        <v>17.5</v>
      </c>
      <c r="M482" s="110">
        <v>13.5</v>
      </c>
      <c r="N482" s="30">
        <v>0.115</v>
      </c>
      <c r="O482" s="116">
        <v>1.5525</v>
      </c>
      <c r="P482" s="30">
        <v>7.4999999999999997E-2</v>
      </c>
      <c r="Q482" s="116">
        <v>1.0125</v>
      </c>
      <c r="R482" s="30">
        <v>7.0000000000000007E-2</v>
      </c>
      <c r="S482" s="116">
        <v>0.94500000000000006</v>
      </c>
      <c r="T482" s="117">
        <v>0.49</v>
      </c>
      <c r="U482" s="39">
        <v>250</v>
      </c>
      <c r="V482" s="32">
        <v>109</v>
      </c>
      <c r="W482" s="33"/>
      <c r="X482" s="32"/>
      <c r="Y482" s="32"/>
      <c r="Z482" s="32"/>
      <c r="AA482" s="34"/>
      <c r="AB482" s="35">
        <f t="shared" si="70"/>
        <v>359</v>
      </c>
      <c r="AC482" s="75">
        <f t="shared" si="71"/>
        <v>29500</v>
      </c>
      <c r="AD482" s="78">
        <f t="shared" si="72"/>
        <v>12862</v>
      </c>
      <c r="AE482" s="72">
        <f t="shared" si="73"/>
        <v>42362</v>
      </c>
      <c r="AF482" s="75">
        <f t="shared" si="74"/>
        <v>4375</v>
      </c>
      <c r="AG482" s="78">
        <f t="shared" si="75"/>
        <v>1907.5</v>
      </c>
      <c r="AH482" s="72">
        <f t="shared" si="76"/>
        <v>6282.5</v>
      </c>
      <c r="AI482" s="75">
        <f t="shared" si="77"/>
        <v>3375</v>
      </c>
      <c r="AJ482" s="78">
        <f t="shared" si="78"/>
        <v>1471.5</v>
      </c>
      <c r="AK482" s="72">
        <f t="shared" si="79"/>
        <v>4846.5</v>
      </c>
    </row>
    <row r="483" spans="1:37" ht="15.95" customHeight="1">
      <c r="A483" s="25" t="s">
        <v>948</v>
      </c>
      <c r="B483" s="25" t="s">
        <v>252</v>
      </c>
      <c r="C483" s="26" t="s">
        <v>133</v>
      </c>
      <c r="D483" s="26" t="s">
        <v>375</v>
      </c>
      <c r="E483" s="26" t="s">
        <v>16</v>
      </c>
      <c r="F483" s="26" t="s">
        <v>1283</v>
      </c>
      <c r="G483" s="26" t="s">
        <v>1111</v>
      </c>
      <c r="H483" s="27" t="s">
        <v>1280</v>
      </c>
      <c r="I483" s="26" t="s">
        <v>27</v>
      </c>
      <c r="J483" s="28" t="s">
        <v>928</v>
      </c>
      <c r="K483" s="123">
        <v>88</v>
      </c>
      <c r="L483" s="29">
        <v>18.606999999999999</v>
      </c>
      <c r="M483" s="110">
        <v>13.5</v>
      </c>
      <c r="N483" s="30">
        <v>0.19700000000000001</v>
      </c>
      <c r="O483" s="116">
        <v>2.6595</v>
      </c>
      <c r="P483" s="30">
        <v>7.4999999999999997E-2</v>
      </c>
      <c r="Q483" s="116">
        <v>1.0125</v>
      </c>
      <c r="R483" s="30">
        <v>7.0000000000000007E-2</v>
      </c>
      <c r="S483" s="116">
        <v>0.94500000000000006</v>
      </c>
      <c r="T483" s="117">
        <v>0.49</v>
      </c>
      <c r="U483" s="39">
        <v>250</v>
      </c>
      <c r="V483" s="32">
        <v>111</v>
      </c>
      <c r="W483" s="33"/>
      <c r="X483" s="32">
        <v>40</v>
      </c>
      <c r="Y483" s="32"/>
      <c r="Z483" s="32"/>
      <c r="AA483" s="34"/>
      <c r="AB483" s="35">
        <f t="shared" si="70"/>
        <v>401</v>
      </c>
      <c r="AC483" s="75">
        <f t="shared" si="71"/>
        <v>22000</v>
      </c>
      <c r="AD483" s="78">
        <f t="shared" si="72"/>
        <v>13288</v>
      </c>
      <c r="AE483" s="72">
        <f t="shared" si="73"/>
        <v>35288</v>
      </c>
      <c r="AF483" s="75">
        <f t="shared" si="74"/>
        <v>4651.75</v>
      </c>
      <c r="AG483" s="78">
        <f t="shared" si="75"/>
        <v>2605.377</v>
      </c>
      <c r="AH483" s="72">
        <f t="shared" si="76"/>
        <v>7257.1270000000004</v>
      </c>
      <c r="AI483" s="75">
        <f t="shared" si="77"/>
        <v>3375</v>
      </c>
      <c r="AJ483" s="78">
        <f t="shared" si="78"/>
        <v>2038.5</v>
      </c>
      <c r="AK483" s="72">
        <f t="shared" si="79"/>
        <v>5413.5</v>
      </c>
    </row>
    <row r="484" spans="1:37" ht="15.95" customHeight="1">
      <c r="A484" s="25" t="s">
        <v>948</v>
      </c>
      <c r="B484" s="25" t="s">
        <v>252</v>
      </c>
      <c r="C484" s="26" t="s">
        <v>982</v>
      </c>
      <c r="D484" s="26" t="s">
        <v>375</v>
      </c>
      <c r="E484" s="26" t="s">
        <v>16</v>
      </c>
      <c r="F484" s="26" t="s">
        <v>1284</v>
      </c>
      <c r="G484" s="26" t="s">
        <v>1111</v>
      </c>
      <c r="H484" s="27" t="s">
        <v>1280</v>
      </c>
      <c r="I484" s="26" t="s">
        <v>27</v>
      </c>
      <c r="J484" s="28" t="s">
        <v>881</v>
      </c>
      <c r="K484" s="123">
        <v>78</v>
      </c>
      <c r="L484" s="29">
        <v>16.018000000000001</v>
      </c>
      <c r="M484" s="110">
        <v>12</v>
      </c>
      <c r="N484" s="30">
        <v>0.14899999999999999</v>
      </c>
      <c r="O484" s="116">
        <v>1.7879999999999998</v>
      </c>
      <c r="P484" s="30">
        <v>7.4999999999999997E-2</v>
      </c>
      <c r="Q484" s="116">
        <v>0.89999999999999991</v>
      </c>
      <c r="R484" s="30">
        <v>7.0000000000000007E-2</v>
      </c>
      <c r="S484" s="116">
        <v>0.84000000000000008</v>
      </c>
      <c r="T484" s="117">
        <v>0.49</v>
      </c>
      <c r="U484" s="39">
        <v>250</v>
      </c>
      <c r="V484" s="32">
        <v>111</v>
      </c>
      <c r="W484" s="33"/>
      <c r="X484" s="32">
        <v>50</v>
      </c>
      <c r="Y484" s="32"/>
      <c r="Z484" s="32"/>
      <c r="AA484" s="34"/>
      <c r="AB484" s="35">
        <f t="shared" si="70"/>
        <v>411</v>
      </c>
      <c r="AC484" s="75">
        <f t="shared" si="71"/>
        <v>19500</v>
      </c>
      <c r="AD484" s="78">
        <f t="shared" si="72"/>
        <v>12558</v>
      </c>
      <c r="AE484" s="72">
        <f t="shared" si="73"/>
        <v>32058</v>
      </c>
      <c r="AF484" s="75">
        <f t="shared" si="74"/>
        <v>4004.5</v>
      </c>
      <c r="AG484" s="78">
        <f t="shared" si="75"/>
        <v>2377.998</v>
      </c>
      <c r="AH484" s="72">
        <f t="shared" si="76"/>
        <v>6382.4979999999996</v>
      </c>
      <c r="AI484" s="75">
        <f t="shared" si="77"/>
        <v>3000</v>
      </c>
      <c r="AJ484" s="78">
        <f t="shared" si="78"/>
        <v>1932</v>
      </c>
      <c r="AK484" s="72">
        <f t="shared" si="79"/>
        <v>4932</v>
      </c>
    </row>
    <row r="485" spans="1:37" ht="15.95" customHeight="1">
      <c r="A485" s="25" t="s">
        <v>948</v>
      </c>
      <c r="B485" s="25" t="s">
        <v>252</v>
      </c>
      <c r="C485" s="26" t="s">
        <v>133</v>
      </c>
      <c r="D485" s="26" t="s">
        <v>375</v>
      </c>
      <c r="E485" s="26" t="s">
        <v>16</v>
      </c>
      <c r="F485" s="26" t="s">
        <v>1283</v>
      </c>
      <c r="G485" s="26" t="s">
        <v>1111</v>
      </c>
      <c r="H485" s="27" t="s">
        <v>1280</v>
      </c>
      <c r="I485" s="26" t="s">
        <v>27</v>
      </c>
      <c r="J485" s="28" t="s">
        <v>928</v>
      </c>
      <c r="K485" s="123">
        <v>88</v>
      </c>
      <c r="L485" s="29">
        <v>18.512499999999999</v>
      </c>
      <c r="M485" s="110">
        <v>13.5</v>
      </c>
      <c r="N485" s="30">
        <v>0.19</v>
      </c>
      <c r="O485" s="116">
        <v>2.5649999999999999</v>
      </c>
      <c r="P485" s="30">
        <v>7.4999999999999997E-2</v>
      </c>
      <c r="Q485" s="116">
        <v>1.0125</v>
      </c>
      <c r="R485" s="30">
        <v>7.0000000000000007E-2</v>
      </c>
      <c r="S485" s="116">
        <v>0.94500000000000006</v>
      </c>
      <c r="T485" s="117">
        <v>0.49</v>
      </c>
      <c r="U485" s="39">
        <v>250</v>
      </c>
      <c r="V485" s="32">
        <v>192</v>
      </c>
      <c r="W485" s="33"/>
      <c r="X485" s="32">
        <v>40</v>
      </c>
      <c r="Y485" s="32"/>
      <c r="Z485" s="32"/>
      <c r="AA485" s="34"/>
      <c r="AB485" s="35">
        <f t="shared" si="70"/>
        <v>482</v>
      </c>
      <c r="AC485" s="75">
        <f t="shared" si="71"/>
        <v>22000</v>
      </c>
      <c r="AD485" s="78">
        <f t="shared" si="72"/>
        <v>20416</v>
      </c>
      <c r="AE485" s="72">
        <f t="shared" si="73"/>
        <v>42416</v>
      </c>
      <c r="AF485" s="75">
        <f t="shared" si="74"/>
        <v>4628.125</v>
      </c>
      <c r="AG485" s="78">
        <f t="shared" si="75"/>
        <v>4094.3999999999996</v>
      </c>
      <c r="AH485" s="72">
        <f t="shared" si="76"/>
        <v>8722.5249999999996</v>
      </c>
      <c r="AI485" s="75">
        <f t="shared" si="77"/>
        <v>3375</v>
      </c>
      <c r="AJ485" s="78">
        <f t="shared" si="78"/>
        <v>3132</v>
      </c>
      <c r="AK485" s="72">
        <f t="shared" si="79"/>
        <v>6507</v>
      </c>
    </row>
    <row r="486" spans="1:37" ht="15.95" customHeight="1">
      <c r="A486" s="25" t="s">
        <v>948</v>
      </c>
      <c r="B486" s="25" t="s">
        <v>252</v>
      </c>
      <c r="C486" s="26" t="s">
        <v>982</v>
      </c>
      <c r="D486" s="26" t="s">
        <v>375</v>
      </c>
      <c r="E486" s="26" t="s">
        <v>16</v>
      </c>
      <c r="F486" s="26" t="s">
        <v>1284</v>
      </c>
      <c r="G486" s="26" t="s">
        <v>1111</v>
      </c>
      <c r="H486" s="27" t="s">
        <v>1280</v>
      </c>
      <c r="I486" s="26" t="s">
        <v>27</v>
      </c>
      <c r="J486" s="28" t="s">
        <v>881</v>
      </c>
      <c r="K486" s="123">
        <v>78</v>
      </c>
      <c r="L486" s="29">
        <v>16.018000000000001</v>
      </c>
      <c r="M486" s="110">
        <v>12</v>
      </c>
      <c r="N486" s="30">
        <v>0.14899999999999999</v>
      </c>
      <c r="O486" s="116">
        <v>1.7879999999999998</v>
      </c>
      <c r="P486" s="30">
        <v>7.4999999999999997E-2</v>
      </c>
      <c r="Q486" s="116">
        <v>0.89999999999999991</v>
      </c>
      <c r="R486" s="30">
        <v>7.0000000000000007E-2</v>
      </c>
      <c r="S486" s="116">
        <v>0.84000000000000008</v>
      </c>
      <c r="T486" s="117">
        <v>0.49</v>
      </c>
      <c r="U486" s="39">
        <v>250</v>
      </c>
      <c r="V486" s="32">
        <v>192</v>
      </c>
      <c r="W486" s="33"/>
      <c r="X486" s="32">
        <v>50</v>
      </c>
      <c r="Y486" s="32"/>
      <c r="Z486" s="32"/>
      <c r="AA486" s="34"/>
      <c r="AB486" s="35">
        <f t="shared" si="70"/>
        <v>492</v>
      </c>
      <c r="AC486" s="75">
        <f t="shared" si="71"/>
        <v>19500</v>
      </c>
      <c r="AD486" s="78">
        <f t="shared" si="72"/>
        <v>18876</v>
      </c>
      <c r="AE486" s="72">
        <f t="shared" si="73"/>
        <v>38376</v>
      </c>
      <c r="AF486" s="75">
        <f t="shared" si="74"/>
        <v>4004.5</v>
      </c>
      <c r="AG486" s="78">
        <f t="shared" si="75"/>
        <v>3675.4560000000001</v>
      </c>
      <c r="AH486" s="72">
        <f t="shared" si="76"/>
        <v>7679.9560000000001</v>
      </c>
      <c r="AI486" s="75">
        <f t="shared" si="77"/>
        <v>3000</v>
      </c>
      <c r="AJ486" s="78">
        <f t="shared" si="78"/>
        <v>2904</v>
      </c>
      <c r="AK486" s="72">
        <f t="shared" si="79"/>
        <v>5904</v>
      </c>
    </row>
    <row r="487" spans="1:37" ht="15.95" customHeight="1">
      <c r="A487" s="25" t="s">
        <v>462</v>
      </c>
      <c r="B487" s="25" t="s">
        <v>361</v>
      </c>
      <c r="C487" s="26" t="s">
        <v>362</v>
      </c>
      <c r="D487" s="26" t="s">
        <v>363</v>
      </c>
      <c r="E487" s="26" t="s">
        <v>364</v>
      </c>
      <c r="F487" s="26" t="s">
        <v>1285</v>
      </c>
      <c r="G487" s="26" t="s">
        <v>366</v>
      </c>
      <c r="H487" s="27" t="s">
        <v>421</v>
      </c>
      <c r="I487" s="26" t="s">
        <v>27</v>
      </c>
      <c r="J487" s="28" t="s">
        <v>367</v>
      </c>
      <c r="K487" s="123">
        <v>18</v>
      </c>
      <c r="L487" s="29">
        <v>4.0447500000000005</v>
      </c>
      <c r="M487" s="110">
        <v>2.95</v>
      </c>
      <c r="N487" s="30">
        <v>0.13500000000000001</v>
      </c>
      <c r="O487" s="116">
        <v>0.39825000000000005</v>
      </c>
      <c r="P487" s="30"/>
      <c r="Q487" s="116"/>
      <c r="R487" s="30">
        <v>7.0000000000000007E-2</v>
      </c>
      <c r="S487" s="116">
        <v>0.20650000000000004</v>
      </c>
      <c r="T487" s="117">
        <v>0.49</v>
      </c>
      <c r="U487" s="31">
        <v>1000</v>
      </c>
      <c r="V487" s="32"/>
      <c r="W487" s="33"/>
      <c r="X487" s="32"/>
      <c r="Y487" s="32"/>
      <c r="Z487" s="32"/>
      <c r="AA487" s="34"/>
      <c r="AB487" s="35">
        <f>SUM(U487:AA487)</f>
        <v>1000</v>
      </c>
      <c r="AC487" s="75">
        <f>$K487*U487</f>
        <v>18000</v>
      </c>
      <c r="AD487" s="78">
        <f>$K487*SUM(V487:AA487)</f>
        <v>0</v>
      </c>
      <c r="AE487" s="72">
        <f>SUM(AC487:AD487)</f>
        <v>18000</v>
      </c>
      <c r="AF487" s="75">
        <f>$L487*U487</f>
        <v>4044.7500000000005</v>
      </c>
      <c r="AG487" s="78">
        <f>$L487*SUM(V487:W487)+M487*SUM(X487:AA487)</f>
        <v>0</v>
      </c>
      <c r="AH487" s="72">
        <f>SUM(AF487:AG487)</f>
        <v>4044.7500000000005</v>
      </c>
      <c r="AI487" s="75">
        <f>$M487*U487</f>
        <v>2950</v>
      </c>
      <c r="AJ487" s="78">
        <f>$M487*SUM(V487:AA487)</f>
        <v>0</v>
      </c>
      <c r="AK487" s="72">
        <f>SUM(AI487:AJ487)</f>
        <v>2950</v>
      </c>
    </row>
    <row r="488" spans="1:37" ht="15.95" customHeight="1">
      <c r="A488" s="25" t="s">
        <v>462</v>
      </c>
      <c r="B488" s="25" t="s">
        <v>361</v>
      </c>
      <c r="C488" s="26" t="s">
        <v>362</v>
      </c>
      <c r="D488" s="26" t="s">
        <v>363</v>
      </c>
      <c r="E488" s="26" t="s">
        <v>364</v>
      </c>
      <c r="F488" s="26" t="s">
        <v>1285</v>
      </c>
      <c r="G488" s="26" t="s">
        <v>366</v>
      </c>
      <c r="H488" s="27" t="s">
        <v>1286</v>
      </c>
      <c r="I488" s="26" t="s">
        <v>27</v>
      </c>
      <c r="J488" s="28" t="s">
        <v>367</v>
      </c>
      <c r="K488" s="123">
        <v>18</v>
      </c>
      <c r="L488" s="29">
        <v>4.0447500000000005</v>
      </c>
      <c r="M488" s="110">
        <v>2.95</v>
      </c>
      <c r="N488" s="30">
        <v>0.13500000000000001</v>
      </c>
      <c r="O488" s="116">
        <v>0.39825000000000005</v>
      </c>
      <c r="P488" s="30"/>
      <c r="Q488" s="116"/>
      <c r="R488" s="30">
        <v>7.0000000000000007E-2</v>
      </c>
      <c r="S488" s="116">
        <v>0.20650000000000004</v>
      </c>
      <c r="T488" s="117">
        <v>0.49</v>
      </c>
      <c r="U488" s="31">
        <v>1000</v>
      </c>
      <c r="V488" s="32"/>
      <c r="W488" s="33"/>
      <c r="X488" s="32"/>
      <c r="Y488" s="32"/>
      <c r="Z488" s="32"/>
      <c r="AA488" s="34"/>
      <c r="AB488" s="35">
        <f t="shared" ref="AB488:AB504" si="80">SUM(U488:AA488)</f>
        <v>1000</v>
      </c>
      <c r="AC488" s="75">
        <f t="shared" ref="AC488:AC504" si="81">$K488*U488</f>
        <v>18000</v>
      </c>
      <c r="AD488" s="78">
        <f t="shared" ref="AD488:AD504" si="82">$K488*SUM(V488:AA488)</f>
        <v>0</v>
      </c>
      <c r="AE488" s="72">
        <f t="shared" ref="AE488:AE504" si="83">SUM(AC488:AD488)</f>
        <v>18000</v>
      </c>
      <c r="AF488" s="75">
        <f t="shared" ref="AF488:AF504" si="84">$L488*U488</f>
        <v>4044.7500000000005</v>
      </c>
      <c r="AG488" s="78">
        <f t="shared" ref="AG488:AG504" si="85">$L488*SUM(V488:W488)+M488*SUM(X488:AA488)</f>
        <v>0</v>
      </c>
      <c r="AH488" s="72">
        <f t="shared" ref="AH488:AH504" si="86">SUM(AF488:AG488)</f>
        <v>4044.7500000000005</v>
      </c>
      <c r="AI488" s="75">
        <f t="shared" ref="AI488:AI504" si="87">$M488*U488</f>
        <v>2950</v>
      </c>
      <c r="AJ488" s="78">
        <f t="shared" ref="AJ488:AJ504" si="88">$M488*SUM(V488:AA488)</f>
        <v>0</v>
      </c>
      <c r="AK488" s="72">
        <f t="shared" ref="AK488:AK504" si="89">SUM(AI488:AJ488)</f>
        <v>2950</v>
      </c>
    </row>
    <row r="489" spans="1:37" ht="15.95" customHeight="1">
      <c r="A489" s="25" t="s">
        <v>462</v>
      </c>
      <c r="B489" s="25" t="s">
        <v>361</v>
      </c>
      <c r="C489" s="26" t="s">
        <v>362</v>
      </c>
      <c r="D489" s="26" t="s">
        <v>363</v>
      </c>
      <c r="E489" s="26" t="s">
        <v>364</v>
      </c>
      <c r="F489" s="26" t="s">
        <v>1287</v>
      </c>
      <c r="G489" s="26" t="s">
        <v>366</v>
      </c>
      <c r="H489" s="27" t="s">
        <v>1286</v>
      </c>
      <c r="I489" s="26" t="s">
        <v>27</v>
      </c>
      <c r="J489" s="28" t="s">
        <v>367</v>
      </c>
      <c r="K489" s="123">
        <v>18</v>
      </c>
      <c r="L489" s="29">
        <v>4.0447500000000005</v>
      </c>
      <c r="M489" s="110">
        <v>2.95</v>
      </c>
      <c r="N489" s="30">
        <v>0.13500000000000001</v>
      </c>
      <c r="O489" s="116">
        <v>0.39825000000000005</v>
      </c>
      <c r="P489" s="30"/>
      <c r="Q489" s="116"/>
      <c r="R489" s="30">
        <v>7.0000000000000007E-2</v>
      </c>
      <c r="S489" s="116">
        <v>0.20650000000000004</v>
      </c>
      <c r="T489" s="117">
        <v>0.49</v>
      </c>
      <c r="U489" s="31">
        <v>800</v>
      </c>
      <c r="V489" s="32"/>
      <c r="W489" s="33"/>
      <c r="X489" s="32"/>
      <c r="Y489" s="32"/>
      <c r="Z489" s="32"/>
      <c r="AA489" s="34"/>
      <c r="AB489" s="35">
        <f t="shared" si="80"/>
        <v>800</v>
      </c>
      <c r="AC489" s="75">
        <f t="shared" si="81"/>
        <v>14400</v>
      </c>
      <c r="AD489" s="78">
        <f t="shared" si="82"/>
        <v>0</v>
      </c>
      <c r="AE489" s="72">
        <f t="shared" si="83"/>
        <v>14400</v>
      </c>
      <c r="AF489" s="75">
        <f t="shared" si="84"/>
        <v>3235.8</v>
      </c>
      <c r="AG489" s="78">
        <f t="shared" si="85"/>
        <v>0</v>
      </c>
      <c r="AH489" s="72">
        <f t="shared" si="86"/>
        <v>3235.8</v>
      </c>
      <c r="AI489" s="75">
        <f t="shared" si="87"/>
        <v>2360</v>
      </c>
      <c r="AJ489" s="78">
        <f t="shared" si="88"/>
        <v>0</v>
      </c>
      <c r="AK489" s="72">
        <f t="shared" si="89"/>
        <v>2360</v>
      </c>
    </row>
    <row r="490" spans="1:37" ht="15.95" customHeight="1">
      <c r="A490" s="25" t="s">
        <v>462</v>
      </c>
      <c r="B490" s="25" t="s">
        <v>361</v>
      </c>
      <c r="C490" s="26" t="s">
        <v>362</v>
      </c>
      <c r="D490" s="26" t="s">
        <v>363</v>
      </c>
      <c r="E490" s="26" t="s">
        <v>364</v>
      </c>
      <c r="F490" s="26" t="s">
        <v>1287</v>
      </c>
      <c r="G490" s="26" t="s">
        <v>366</v>
      </c>
      <c r="H490" s="27" t="s">
        <v>1286</v>
      </c>
      <c r="I490" s="26" t="s">
        <v>27</v>
      </c>
      <c r="J490" s="28" t="s">
        <v>367</v>
      </c>
      <c r="K490" s="123">
        <v>18</v>
      </c>
      <c r="L490" s="29">
        <v>4.0447500000000005</v>
      </c>
      <c r="M490" s="110">
        <v>2.95</v>
      </c>
      <c r="N490" s="30">
        <v>0.13500000000000001</v>
      </c>
      <c r="O490" s="116">
        <v>0.39825000000000005</v>
      </c>
      <c r="P490" s="30"/>
      <c r="Q490" s="116"/>
      <c r="R490" s="30">
        <v>7.0000000000000007E-2</v>
      </c>
      <c r="S490" s="116">
        <v>0.20650000000000004</v>
      </c>
      <c r="T490" s="117">
        <v>0.49</v>
      </c>
      <c r="U490" s="31">
        <v>500</v>
      </c>
      <c r="V490" s="32"/>
      <c r="W490" s="33"/>
      <c r="X490" s="32"/>
      <c r="Y490" s="32"/>
      <c r="Z490" s="32"/>
      <c r="AA490" s="34"/>
      <c r="AB490" s="35">
        <f t="shared" si="80"/>
        <v>500</v>
      </c>
      <c r="AC490" s="75">
        <f t="shared" si="81"/>
        <v>9000</v>
      </c>
      <c r="AD490" s="78">
        <f t="shared" si="82"/>
        <v>0</v>
      </c>
      <c r="AE490" s="72">
        <f t="shared" si="83"/>
        <v>9000</v>
      </c>
      <c r="AF490" s="75">
        <f t="shared" si="84"/>
        <v>2022.3750000000002</v>
      </c>
      <c r="AG490" s="78">
        <f t="shared" si="85"/>
        <v>0</v>
      </c>
      <c r="AH490" s="72">
        <f t="shared" si="86"/>
        <v>2022.3750000000002</v>
      </c>
      <c r="AI490" s="75">
        <f t="shared" si="87"/>
        <v>1475</v>
      </c>
      <c r="AJ490" s="78">
        <f t="shared" si="88"/>
        <v>0</v>
      </c>
      <c r="AK490" s="72">
        <f t="shared" si="89"/>
        <v>1475</v>
      </c>
    </row>
    <row r="491" spans="1:37" ht="15.95" customHeight="1">
      <c r="A491" s="25" t="s">
        <v>462</v>
      </c>
      <c r="B491" s="25" t="s">
        <v>361</v>
      </c>
      <c r="C491" s="26" t="s">
        <v>362</v>
      </c>
      <c r="D491" s="26" t="s">
        <v>363</v>
      </c>
      <c r="E491" s="26" t="s">
        <v>364</v>
      </c>
      <c r="F491" s="26" t="s">
        <v>1287</v>
      </c>
      <c r="G491" s="36" t="s">
        <v>366</v>
      </c>
      <c r="H491" s="27" t="s">
        <v>421</v>
      </c>
      <c r="I491" s="26" t="s">
        <v>27</v>
      </c>
      <c r="J491" s="28" t="s">
        <v>367</v>
      </c>
      <c r="K491" s="123">
        <v>18</v>
      </c>
      <c r="L491" s="29">
        <v>4.0447500000000005</v>
      </c>
      <c r="M491" s="110">
        <v>2.95</v>
      </c>
      <c r="N491" s="30">
        <v>0.13500000000000001</v>
      </c>
      <c r="O491" s="116">
        <v>0.39825000000000005</v>
      </c>
      <c r="P491" s="30"/>
      <c r="Q491" s="116"/>
      <c r="R491" s="30">
        <v>7.0000000000000007E-2</v>
      </c>
      <c r="S491" s="116">
        <v>0.20650000000000004</v>
      </c>
      <c r="T491" s="117">
        <v>0.49</v>
      </c>
      <c r="U491" s="31">
        <v>500</v>
      </c>
      <c r="V491" s="32"/>
      <c r="W491" s="33"/>
      <c r="X491" s="32"/>
      <c r="Y491" s="32"/>
      <c r="Z491" s="32"/>
      <c r="AA491" s="34"/>
      <c r="AB491" s="35">
        <f t="shared" si="80"/>
        <v>500</v>
      </c>
      <c r="AC491" s="75">
        <f t="shared" si="81"/>
        <v>9000</v>
      </c>
      <c r="AD491" s="78">
        <f t="shared" si="82"/>
        <v>0</v>
      </c>
      <c r="AE491" s="72">
        <f t="shared" si="83"/>
        <v>9000</v>
      </c>
      <c r="AF491" s="75">
        <f t="shared" si="84"/>
        <v>2022.3750000000002</v>
      </c>
      <c r="AG491" s="78">
        <f t="shared" si="85"/>
        <v>0</v>
      </c>
      <c r="AH491" s="72">
        <f t="shared" si="86"/>
        <v>2022.3750000000002</v>
      </c>
      <c r="AI491" s="75">
        <f t="shared" si="87"/>
        <v>1475</v>
      </c>
      <c r="AJ491" s="78">
        <f t="shared" si="88"/>
        <v>0</v>
      </c>
      <c r="AK491" s="72">
        <f t="shared" si="89"/>
        <v>1475</v>
      </c>
    </row>
    <row r="492" spans="1:37" ht="15.95" customHeight="1">
      <c r="A492" s="25" t="s">
        <v>462</v>
      </c>
      <c r="B492" s="25" t="s">
        <v>361</v>
      </c>
      <c r="C492" s="26" t="s">
        <v>362</v>
      </c>
      <c r="D492" s="26" t="s">
        <v>363</v>
      </c>
      <c r="E492" s="26" t="s">
        <v>364</v>
      </c>
      <c r="F492" s="26" t="s">
        <v>1287</v>
      </c>
      <c r="G492" s="36" t="s">
        <v>366</v>
      </c>
      <c r="H492" s="27" t="s">
        <v>1286</v>
      </c>
      <c r="I492" s="26" t="s">
        <v>27</v>
      </c>
      <c r="J492" s="28" t="s">
        <v>367</v>
      </c>
      <c r="K492" s="123">
        <v>18</v>
      </c>
      <c r="L492" s="29">
        <v>4.0447500000000005</v>
      </c>
      <c r="M492" s="110">
        <v>2.95</v>
      </c>
      <c r="N492" s="30">
        <v>0.13500000000000001</v>
      </c>
      <c r="O492" s="116">
        <v>0.39825000000000005</v>
      </c>
      <c r="P492" s="30"/>
      <c r="Q492" s="116"/>
      <c r="R492" s="30">
        <v>7.0000000000000007E-2</v>
      </c>
      <c r="S492" s="116">
        <v>0.20650000000000004</v>
      </c>
      <c r="T492" s="117">
        <v>0.49</v>
      </c>
      <c r="U492" s="31">
        <v>500</v>
      </c>
      <c r="V492" s="32">
        <v>100</v>
      </c>
      <c r="W492" s="33"/>
      <c r="X492" s="32"/>
      <c r="Y492" s="32"/>
      <c r="Z492" s="32"/>
      <c r="AA492" s="34"/>
      <c r="AB492" s="35">
        <f t="shared" si="80"/>
        <v>600</v>
      </c>
      <c r="AC492" s="75">
        <f t="shared" si="81"/>
        <v>9000</v>
      </c>
      <c r="AD492" s="78">
        <f t="shared" si="82"/>
        <v>1800</v>
      </c>
      <c r="AE492" s="72">
        <f t="shared" si="83"/>
        <v>10800</v>
      </c>
      <c r="AF492" s="75">
        <f t="shared" si="84"/>
        <v>2022.3750000000002</v>
      </c>
      <c r="AG492" s="78">
        <f t="shared" si="85"/>
        <v>404.47500000000002</v>
      </c>
      <c r="AH492" s="72">
        <f t="shared" si="86"/>
        <v>2426.8500000000004</v>
      </c>
      <c r="AI492" s="75">
        <f t="shared" si="87"/>
        <v>1475</v>
      </c>
      <c r="AJ492" s="78">
        <f t="shared" si="88"/>
        <v>295</v>
      </c>
      <c r="AK492" s="72">
        <f t="shared" si="89"/>
        <v>1770</v>
      </c>
    </row>
    <row r="493" spans="1:37" ht="15.95" customHeight="1">
      <c r="A493" s="25" t="s">
        <v>462</v>
      </c>
      <c r="B493" s="25" t="s">
        <v>361</v>
      </c>
      <c r="C493" s="26" t="s">
        <v>362</v>
      </c>
      <c r="D493" s="26" t="s">
        <v>363</v>
      </c>
      <c r="E493" s="26" t="s">
        <v>364</v>
      </c>
      <c r="F493" s="26" t="s">
        <v>1287</v>
      </c>
      <c r="G493" s="26" t="s">
        <v>366</v>
      </c>
      <c r="H493" s="27" t="s">
        <v>421</v>
      </c>
      <c r="I493" s="26" t="s">
        <v>27</v>
      </c>
      <c r="J493" s="37" t="s">
        <v>367</v>
      </c>
      <c r="K493" s="123">
        <v>18</v>
      </c>
      <c r="L493" s="29">
        <v>4.0447500000000005</v>
      </c>
      <c r="M493" s="110">
        <v>2.95</v>
      </c>
      <c r="N493" s="30">
        <v>0.13500000000000001</v>
      </c>
      <c r="O493" s="116">
        <v>0.39825000000000005</v>
      </c>
      <c r="P493" s="30"/>
      <c r="Q493" s="116"/>
      <c r="R493" s="30">
        <v>7.0000000000000007E-2</v>
      </c>
      <c r="S493" s="116">
        <v>0.20650000000000004</v>
      </c>
      <c r="T493" s="117">
        <v>0.49</v>
      </c>
      <c r="U493" s="31">
        <v>500</v>
      </c>
      <c r="V493" s="32">
        <v>100</v>
      </c>
      <c r="W493" s="33"/>
      <c r="X493" s="32"/>
      <c r="Y493" s="32"/>
      <c r="Z493" s="32"/>
      <c r="AA493" s="34"/>
      <c r="AB493" s="35">
        <f t="shared" si="80"/>
        <v>600</v>
      </c>
      <c r="AC493" s="75">
        <f t="shared" si="81"/>
        <v>9000</v>
      </c>
      <c r="AD493" s="78">
        <f t="shared" si="82"/>
        <v>1800</v>
      </c>
      <c r="AE493" s="72">
        <f t="shared" si="83"/>
        <v>10800</v>
      </c>
      <c r="AF493" s="75">
        <f t="shared" si="84"/>
        <v>2022.3750000000002</v>
      </c>
      <c r="AG493" s="78">
        <f t="shared" si="85"/>
        <v>404.47500000000002</v>
      </c>
      <c r="AH493" s="72">
        <f t="shared" si="86"/>
        <v>2426.8500000000004</v>
      </c>
      <c r="AI493" s="75">
        <f t="shared" si="87"/>
        <v>1475</v>
      </c>
      <c r="AJ493" s="78">
        <f t="shared" si="88"/>
        <v>295</v>
      </c>
      <c r="AK493" s="72">
        <f t="shared" si="89"/>
        <v>1770</v>
      </c>
    </row>
    <row r="494" spans="1:37" ht="15.95" customHeight="1">
      <c r="A494" s="25" t="s">
        <v>462</v>
      </c>
      <c r="B494" s="25" t="s">
        <v>361</v>
      </c>
      <c r="C494" s="26" t="s">
        <v>362</v>
      </c>
      <c r="D494" s="26" t="s">
        <v>363</v>
      </c>
      <c r="E494" s="26" t="s">
        <v>364</v>
      </c>
      <c r="F494" s="26" t="s">
        <v>1287</v>
      </c>
      <c r="G494" s="26" t="s">
        <v>366</v>
      </c>
      <c r="H494" s="27" t="s">
        <v>1286</v>
      </c>
      <c r="I494" s="26" t="s">
        <v>27</v>
      </c>
      <c r="J494" s="37" t="s">
        <v>367</v>
      </c>
      <c r="K494" s="123">
        <v>18</v>
      </c>
      <c r="L494" s="29">
        <v>4.0447500000000005</v>
      </c>
      <c r="M494" s="110">
        <v>2.95</v>
      </c>
      <c r="N494" s="30">
        <v>0.13500000000000001</v>
      </c>
      <c r="O494" s="116">
        <v>0.39825000000000005</v>
      </c>
      <c r="P494" s="30"/>
      <c r="Q494" s="116"/>
      <c r="R494" s="30">
        <v>7.0000000000000007E-2</v>
      </c>
      <c r="S494" s="116">
        <v>0.20650000000000004</v>
      </c>
      <c r="T494" s="117">
        <v>0.49</v>
      </c>
      <c r="U494" s="31">
        <v>500</v>
      </c>
      <c r="V494" s="32">
        <v>100</v>
      </c>
      <c r="W494" s="33"/>
      <c r="X494" s="32"/>
      <c r="Y494" s="32"/>
      <c r="Z494" s="32"/>
      <c r="AA494" s="34"/>
      <c r="AB494" s="35">
        <f t="shared" si="80"/>
        <v>600</v>
      </c>
      <c r="AC494" s="75">
        <f t="shared" si="81"/>
        <v>9000</v>
      </c>
      <c r="AD494" s="78">
        <f t="shared" si="82"/>
        <v>1800</v>
      </c>
      <c r="AE494" s="72">
        <f t="shared" si="83"/>
        <v>10800</v>
      </c>
      <c r="AF494" s="75">
        <f t="shared" si="84"/>
        <v>2022.3750000000002</v>
      </c>
      <c r="AG494" s="78">
        <f t="shared" si="85"/>
        <v>404.47500000000002</v>
      </c>
      <c r="AH494" s="72">
        <f t="shared" si="86"/>
        <v>2426.8500000000004</v>
      </c>
      <c r="AI494" s="75">
        <f t="shared" si="87"/>
        <v>1475</v>
      </c>
      <c r="AJ494" s="78">
        <f t="shared" si="88"/>
        <v>295</v>
      </c>
      <c r="AK494" s="72">
        <f t="shared" si="89"/>
        <v>1770</v>
      </c>
    </row>
    <row r="495" spans="1:37" ht="15.95" customHeight="1">
      <c r="A495" s="25" t="s">
        <v>462</v>
      </c>
      <c r="B495" s="25" t="s">
        <v>361</v>
      </c>
      <c r="C495" s="26" t="s">
        <v>362</v>
      </c>
      <c r="D495" s="26" t="s">
        <v>363</v>
      </c>
      <c r="E495" s="26" t="s">
        <v>364</v>
      </c>
      <c r="F495" s="26" t="s">
        <v>1288</v>
      </c>
      <c r="G495" s="26" t="s">
        <v>366</v>
      </c>
      <c r="H495" s="27" t="s">
        <v>421</v>
      </c>
      <c r="I495" s="26" t="s">
        <v>27</v>
      </c>
      <c r="J495" s="28" t="s">
        <v>367</v>
      </c>
      <c r="K495" s="123">
        <v>18</v>
      </c>
      <c r="L495" s="29">
        <v>4.1050000000000004</v>
      </c>
      <c r="M495" s="110">
        <v>3</v>
      </c>
      <c r="N495" s="30">
        <v>0.13500000000000001</v>
      </c>
      <c r="O495" s="116">
        <v>0.40500000000000003</v>
      </c>
      <c r="P495" s="30"/>
      <c r="Q495" s="116"/>
      <c r="R495" s="30">
        <v>7.0000000000000007E-2</v>
      </c>
      <c r="S495" s="116">
        <v>0.21000000000000002</v>
      </c>
      <c r="T495" s="117">
        <v>0.49</v>
      </c>
      <c r="U495" s="31">
        <v>1100</v>
      </c>
      <c r="V495" s="32"/>
      <c r="W495" s="33"/>
      <c r="X495" s="32"/>
      <c r="Y495" s="32"/>
      <c r="Z495" s="32"/>
      <c r="AA495" s="34"/>
      <c r="AB495" s="35">
        <f t="shared" si="80"/>
        <v>1100</v>
      </c>
      <c r="AC495" s="75">
        <f t="shared" si="81"/>
        <v>19800</v>
      </c>
      <c r="AD495" s="78">
        <f t="shared" si="82"/>
        <v>0</v>
      </c>
      <c r="AE495" s="72">
        <f t="shared" si="83"/>
        <v>19800</v>
      </c>
      <c r="AF495" s="75">
        <f t="shared" si="84"/>
        <v>4515.5000000000009</v>
      </c>
      <c r="AG495" s="78">
        <f t="shared" si="85"/>
        <v>0</v>
      </c>
      <c r="AH495" s="72">
        <f t="shared" si="86"/>
        <v>4515.5000000000009</v>
      </c>
      <c r="AI495" s="75">
        <f t="shared" si="87"/>
        <v>3300</v>
      </c>
      <c r="AJ495" s="78">
        <f t="shared" si="88"/>
        <v>0</v>
      </c>
      <c r="AK495" s="72">
        <f t="shared" si="89"/>
        <v>3300</v>
      </c>
    </row>
    <row r="496" spans="1:37" ht="15.95" customHeight="1">
      <c r="A496" s="25" t="s">
        <v>948</v>
      </c>
      <c r="B496" s="25" t="s">
        <v>361</v>
      </c>
      <c r="C496" s="26" t="s">
        <v>362</v>
      </c>
      <c r="D496" s="26" t="s">
        <v>363</v>
      </c>
      <c r="E496" s="26" t="s">
        <v>364</v>
      </c>
      <c r="F496" s="26" t="s">
        <v>1289</v>
      </c>
      <c r="G496" s="36" t="s">
        <v>366</v>
      </c>
      <c r="H496" s="27" t="s">
        <v>1286</v>
      </c>
      <c r="I496" s="26" t="s">
        <v>27</v>
      </c>
      <c r="J496" s="28" t="s">
        <v>367</v>
      </c>
      <c r="K496" s="123">
        <v>18</v>
      </c>
      <c r="L496" s="29">
        <v>4.2014000000000005</v>
      </c>
      <c r="M496" s="110">
        <v>3.08</v>
      </c>
      <c r="N496" s="30">
        <v>0.13500000000000001</v>
      </c>
      <c r="O496" s="116">
        <v>0.41580000000000006</v>
      </c>
      <c r="P496" s="30"/>
      <c r="Q496" s="116"/>
      <c r="R496" s="30">
        <v>7.0000000000000007E-2</v>
      </c>
      <c r="S496" s="116">
        <v>0.21560000000000001</v>
      </c>
      <c r="T496" s="117">
        <v>0.49</v>
      </c>
      <c r="U496" s="31">
        <v>250</v>
      </c>
      <c r="V496" s="32">
        <v>200</v>
      </c>
      <c r="W496" s="33"/>
      <c r="X496" s="32"/>
      <c r="Y496" s="32"/>
      <c r="Z496" s="32"/>
      <c r="AA496" s="34"/>
      <c r="AB496" s="35">
        <f t="shared" si="80"/>
        <v>450</v>
      </c>
      <c r="AC496" s="75">
        <f t="shared" si="81"/>
        <v>4500</v>
      </c>
      <c r="AD496" s="78">
        <f t="shared" si="82"/>
        <v>3600</v>
      </c>
      <c r="AE496" s="72">
        <f t="shared" si="83"/>
        <v>8100</v>
      </c>
      <c r="AF496" s="75">
        <f t="shared" si="84"/>
        <v>1050.3500000000001</v>
      </c>
      <c r="AG496" s="78">
        <f t="shared" si="85"/>
        <v>840.28000000000009</v>
      </c>
      <c r="AH496" s="72">
        <f t="shared" si="86"/>
        <v>1890.63</v>
      </c>
      <c r="AI496" s="75">
        <f t="shared" si="87"/>
        <v>770</v>
      </c>
      <c r="AJ496" s="78">
        <f t="shared" si="88"/>
        <v>616</v>
      </c>
      <c r="AK496" s="72">
        <f t="shared" si="89"/>
        <v>1386</v>
      </c>
    </row>
    <row r="497" spans="1:37" ht="15.95" customHeight="1">
      <c r="A497" s="25" t="s">
        <v>948</v>
      </c>
      <c r="B497" s="25" t="s">
        <v>361</v>
      </c>
      <c r="C497" s="26" t="s">
        <v>362</v>
      </c>
      <c r="D497" s="26" t="s">
        <v>363</v>
      </c>
      <c r="E497" s="26" t="s">
        <v>364</v>
      </c>
      <c r="F497" s="26" t="s">
        <v>1289</v>
      </c>
      <c r="G497" s="36" t="s">
        <v>366</v>
      </c>
      <c r="H497" s="27" t="s">
        <v>1286</v>
      </c>
      <c r="I497" s="26" t="s">
        <v>27</v>
      </c>
      <c r="J497" s="28" t="s">
        <v>367</v>
      </c>
      <c r="K497" s="123">
        <v>18</v>
      </c>
      <c r="L497" s="29">
        <v>4.2014000000000005</v>
      </c>
      <c r="M497" s="110">
        <v>3.08</v>
      </c>
      <c r="N497" s="30">
        <v>0.13500000000000001</v>
      </c>
      <c r="O497" s="116">
        <v>0.41580000000000006</v>
      </c>
      <c r="P497" s="30"/>
      <c r="Q497" s="116"/>
      <c r="R497" s="30">
        <v>7.0000000000000007E-2</v>
      </c>
      <c r="S497" s="116">
        <v>0.21560000000000001</v>
      </c>
      <c r="T497" s="117">
        <v>0.49</v>
      </c>
      <c r="U497" s="31">
        <v>250</v>
      </c>
      <c r="V497" s="32">
        <v>200</v>
      </c>
      <c r="W497" s="33"/>
      <c r="X497" s="32"/>
      <c r="Y497" s="32"/>
      <c r="Z497" s="32"/>
      <c r="AA497" s="34"/>
      <c r="AB497" s="35">
        <f t="shared" si="80"/>
        <v>450</v>
      </c>
      <c r="AC497" s="75">
        <f t="shared" si="81"/>
        <v>4500</v>
      </c>
      <c r="AD497" s="78">
        <f t="shared" si="82"/>
        <v>3600</v>
      </c>
      <c r="AE497" s="72">
        <f t="shared" si="83"/>
        <v>8100</v>
      </c>
      <c r="AF497" s="75">
        <f t="shared" si="84"/>
        <v>1050.3500000000001</v>
      </c>
      <c r="AG497" s="78">
        <f t="shared" si="85"/>
        <v>840.28000000000009</v>
      </c>
      <c r="AH497" s="72">
        <f t="shared" si="86"/>
        <v>1890.63</v>
      </c>
      <c r="AI497" s="75">
        <f t="shared" si="87"/>
        <v>770</v>
      </c>
      <c r="AJ497" s="78">
        <f t="shared" si="88"/>
        <v>616</v>
      </c>
      <c r="AK497" s="72">
        <f t="shared" si="89"/>
        <v>1386</v>
      </c>
    </row>
    <row r="498" spans="1:37" ht="15.95" customHeight="1">
      <c r="A498" s="25" t="s">
        <v>948</v>
      </c>
      <c r="B498" s="25" t="s">
        <v>361</v>
      </c>
      <c r="C498" s="26" t="s">
        <v>816</v>
      </c>
      <c r="D498" s="26" t="s">
        <v>375</v>
      </c>
      <c r="E498" s="26" t="s">
        <v>16</v>
      </c>
      <c r="F498" s="26" t="s">
        <v>1290</v>
      </c>
      <c r="G498" s="36"/>
      <c r="H498" s="27"/>
      <c r="I498" s="26" t="s">
        <v>1291</v>
      </c>
      <c r="J498" s="28" t="s">
        <v>1292</v>
      </c>
      <c r="K498" s="123"/>
      <c r="L498" s="29">
        <v>10.39</v>
      </c>
      <c r="M498" s="110">
        <v>8.25</v>
      </c>
      <c r="N498" s="30">
        <v>0.04</v>
      </c>
      <c r="O498" s="116">
        <v>0.33</v>
      </c>
      <c r="P498" s="30">
        <v>7.4999999999999997E-2</v>
      </c>
      <c r="Q498" s="116">
        <v>0.74250000000000005</v>
      </c>
      <c r="R498" s="30">
        <v>7.0000000000000007E-2</v>
      </c>
      <c r="S498" s="116">
        <v>0.57750000000000001</v>
      </c>
      <c r="T498" s="117">
        <v>0.49</v>
      </c>
      <c r="U498" s="31"/>
      <c r="V498" s="32"/>
      <c r="W498" s="33"/>
      <c r="X498" s="32"/>
      <c r="Y498" s="32"/>
      <c r="Z498" s="32"/>
      <c r="AA498" s="34"/>
      <c r="AB498" s="35">
        <f t="shared" si="80"/>
        <v>0</v>
      </c>
      <c r="AC498" s="75">
        <f t="shared" si="81"/>
        <v>0</v>
      </c>
      <c r="AD498" s="78">
        <f t="shared" si="82"/>
        <v>0</v>
      </c>
      <c r="AE498" s="72">
        <f t="shared" si="83"/>
        <v>0</v>
      </c>
      <c r="AF498" s="75">
        <f t="shared" si="84"/>
        <v>0</v>
      </c>
      <c r="AG498" s="78">
        <f t="shared" si="85"/>
        <v>0</v>
      </c>
      <c r="AH498" s="72">
        <f t="shared" si="86"/>
        <v>0</v>
      </c>
      <c r="AI498" s="75">
        <f t="shared" si="87"/>
        <v>0</v>
      </c>
      <c r="AJ498" s="78">
        <f t="shared" si="88"/>
        <v>0</v>
      </c>
      <c r="AK498" s="72">
        <f t="shared" si="89"/>
        <v>0</v>
      </c>
    </row>
    <row r="499" spans="1:37" ht="15.95" customHeight="1">
      <c r="A499" s="25" t="s">
        <v>948</v>
      </c>
      <c r="B499" s="25" t="s">
        <v>361</v>
      </c>
      <c r="C499" s="26" t="s">
        <v>816</v>
      </c>
      <c r="D499" s="26" t="s">
        <v>1293</v>
      </c>
      <c r="E499" s="26" t="s">
        <v>16</v>
      </c>
      <c r="F499" s="26" t="s">
        <v>1294</v>
      </c>
      <c r="G499" s="36"/>
      <c r="H499" s="27" t="s">
        <v>1295</v>
      </c>
      <c r="I499" s="26" t="s">
        <v>19</v>
      </c>
      <c r="J499" s="28" t="s">
        <v>372</v>
      </c>
      <c r="K499" s="123"/>
      <c r="L499" s="29">
        <v>0.49</v>
      </c>
      <c r="M499" s="110"/>
      <c r="N499" s="30">
        <v>7.0000000000000007E-2</v>
      </c>
      <c r="O499" s="116">
        <v>0</v>
      </c>
      <c r="P499" s="30">
        <v>0.25</v>
      </c>
      <c r="Q499" s="116">
        <v>0</v>
      </c>
      <c r="R499" s="30">
        <v>7.0000000000000007E-2</v>
      </c>
      <c r="S499" s="116">
        <v>0</v>
      </c>
      <c r="T499" s="117">
        <v>0.49</v>
      </c>
      <c r="U499" s="31"/>
      <c r="V499" s="32"/>
      <c r="W499" s="33"/>
      <c r="X499" s="32"/>
      <c r="Y499" s="32"/>
      <c r="Z499" s="32"/>
      <c r="AA499" s="34"/>
      <c r="AB499" s="35">
        <f t="shared" si="80"/>
        <v>0</v>
      </c>
      <c r="AC499" s="75">
        <f t="shared" si="81"/>
        <v>0</v>
      </c>
      <c r="AD499" s="78">
        <f t="shared" si="82"/>
        <v>0</v>
      </c>
      <c r="AE499" s="72">
        <f t="shared" si="83"/>
        <v>0</v>
      </c>
      <c r="AF499" s="75">
        <f t="shared" si="84"/>
        <v>0</v>
      </c>
      <c r="AG499" s="78">
        <f t="shared" si="85"/>
        <v>0</v>
      </c>
      <c r="AH499" s="72">
        <f t="shared" si="86"/>
        <v>0</v>
      </c>
      <c r="AI499" s="75">
        <f t="shared" si="87"/>
        <v>0</v>
      </c>
      <c r="AJ499" s="78">
        <f t="shared" si="88"/>
        <v>0</v>
      </c>
      <c r="AK499" s="72">
        <f t="shared" si="89"/>
        <v>0</v>
      </c>
    </row>
    <row r="500" spans="1:37" ht="15.95" customHeight="1">
      <c r="A500" s="25" t="s">
        <v>948</v>
      </c>
      <c r="B500" s="25" t="s">
        <v>361</v>
      </c>
      <c r="C500" s="26" t="s">
        <v>816</v>
      </c>
      <c r="D500" s="26" t="s">
        <v>10</v>
      </c>
      <c r="E500" s="26" t="s">
        <v>16</v>
      </c>
      <c r="F500" s="26" t="s">
        <v>1296</v>
      </c>
      <c r="G500" s="36"/>
      <c r="H500" s="27" t="s">
        <v>1297</v>
      </c>
      <c r="I500" s="26" t="s">
        <v>19</v>
      </c>
      <c r="J500" s="28" t="s">
        <v>1298</v>
      </c>
      <c r="K500" s="123">
        <v>118</v>
      </c>
      <c r="L500" s="29">
        <v>25.225999999999999</v>
      </c>
      <c r="M500" s="110">
        <v>16</v>
      </c>
      <c r="N500" s="30">
        <v>0.17599999999999999</v>
      </c>
      <c r="O500" s="116">
        <v>2.8159999999999998</v>
      </c>
      <c r="P500" s="30">
        <v>0.25</v>
      </c>
      <c r="Q500" s="116">
        <v>4.8</v>
      </c>
      <c r="R500" s="30">
        <v>7.0000000000000007E-2</v>
      </c>
      <c r="S500" s="116">
        <v>1.1200000000000001</v>
      </c>
      <c r="T500" s="117">
        <v>0.49</v>
      </c>
      <c r="U500" s="31">
        <v>200</v>
      </c>
      <c r="V500" s="32"/>
      <c r="W500" s="33"/>
      <c r="X500" s="32"/>
      <c r="Y500" s="32"/>
      <c r="Z500" s="32"/>
      <c r="AA500" s="34"/>
      <c r="AB500" s="35">
        <f t="shared" si="80"/>
        <v>200</v>
      </c>
      <c r="AC500" s="75">
        <f t="shared" si="81"/>
        <v>23600</v>
      </c>
      <c r="AD500" s="78">
        <f t="shared" si="82"/>
        <v>0</v>
      </c>
      <c r="AE500" s="72">
        <f t="shared" si="83"/>
        <v>23600</v>
      </c>
      <c r="AF500" s="75">
        <f t="shared" si="84"/>
        <v>5045.2</v>
      </c>
      <c r="AG500" s="78">
        <f t="shared" si="85"/>
        <v>0</v>
      </c>
      <c r="AH500" s="72">
        <f t="shared" si="86"/>
        <v>5045.2</v>
      </c>
      <c r="AI500" s="75">
        <f t="shared" si="87"/>
        <v>3200</v>
      </c>
      <c r="AJ500" s="78">
        <f t="shared" si="88"/>
        <v>0</v>
      </c>
      <c r="AK500" s="72">
        <f t="shared" si="89"/>
        <v>3200</v>
      </c>
    </row>
    <row r="501" spans="1:37" ht="15.95" customHeight="1">
      <c r="A501" s="25" t="s">
        <v>948</v>
      </c>
      <c r="B501" s="25" t="s">
        <v>361</v>
      </c>
      <c r="C501" s="26" t="s">
        <v>816</v>
      </c>
      <c r="D501" s="26" t="s">
        <v>10</v>
      </c>
      <c r="E501" s="26" t="s">
        <v>16</v>
      </c>
      <c r="F501" s="26" t="s">
        <v>1299</v>
      </c>
      <c r="G501" s="26"/>
      <c r="H501" s="27" t="s">
        <v>1300</v>
      </c>
      <c r="I501" s="26" t="s">
        <v>19</v>
      </c>
      <c r="J501" s="28" t="s">
        <v>1298</v>
      </c>
      <c r="K501" s="123">
        <v>88</v>
      </c>
      <c r="L501" s="29">
        <v>16.722999999999999</v>
      </c>
      <c r="M501" s="110">
        <v>10.5</v>
      </c>
      <c r="N501" s="30">
        <v>0.17599999999999999</v>
      </c>
      <c r="O501" s="116">
        <v>1.8479999999999999</v>
      </c>
      <c r="P501" s="30">
        <v>0.25</v>
      </c>
      <c r="Q501" s="116">
        <v>3.15</v>
      </c>
      <c r="R501" s="30">
        <v>7.0000000000000007E-2</v>
      </c>
      <c r="S501" s="116">
        <v>0.7350000000000001</v>
      </c>
      <c r="T501" s="117">
        <v>0.49</v>
      </c>
      <c r="U501" s="31">
        <v>5200</v>
      </c>
      <c r="V501" s="32"/>
      <c r="W501" s="38"/>
      <c r="X501" s="32"/>
      <c r="Y501" s="32"/>
      <c r="Z501" s="32"/>
      <c r="AA501" s="34"/>
      <c r="AB501" s="35">
        <f t="shared" si="80"/>
        <v>5200</v>
      </c>
      <c r="AC501" s="75">
        <f t="shared" si="81"/>
        <v>457600</v>
      </c>
      <c r="AD501" s="78">
        <f t="shared" si="82"/>
        <v>0</v>
      </c>
      <c r="AE501" s="72">
        <f t="shared" si="83"/>
        <v>457600</v>
      </c>
      <c r="AF501" s="75">
        <f t="shared" si="84"/>
        <v>86959.599999999991</v>
      </c>
      <c r="AG501" s="78">
        <f t="shared" si="85"/>
        <v>0</v>
      </c>
      <c r="AH501" s="72">
        <f t="shared" si="86"/>
        <v>86959.599999999991</v>
      </c>
      <c r="AI501" s="75">
        <f t="shared" si="87"/>
        <v>54600</v>
      </c>
      <c r="AJ501" s="78">
        <f t="shared" si="88"/>
        <v>0</v>
      </c>
      <c r="AK501" s="72">
        <f t="shared" si="89"/>
        <v>54600</v>
      </c>
    </row>
    <row r="502" spans="1:37" ht="15.95" customHeight="1">
      <c r="A502" s="25" t="s">
        <v>948</v>
      </c>
      <c r="B502" s="25" t="s">
        <v>361</v>
      </c>
      <c r="C502" s="26" t="s">
        <v>816</v>
      </c>
      <c r="D502" s="26" t="s">
        <v>10</v>
      </c>
      <c r="E502" s="26" t="s">
        <v>16</v>
      </c>
      <c r="F502" s="26" t="s">
        <v>1301</v>
      </c>
      <c r="G502" s="26"/>
      <c r="H502" s="27" t="s">
        <v>1297</v>
      </c>
      <c r="I502" s="26" t="s">
        <v>19</v>
      </c>
      <c r="J502" s="28" t="s">
        <v>1298</v>
      </c>
      <c r="K502" s="123">
        <v>128</v>
      </c>
      <c r="L502" s="29">
        <v>28.7818</v>
      </c>
      <c r="M502" s="110">
        <v>18.3</v>
      </c>
      <c r="N502" s="30">
        <v>0.17599999999999999</v>
      </c>
      <c r="O502" s="116">
        <v>3.2208000000000001</v>
      </c>
      <c r="P502" s="30">
        <v>0.25</v>
      </c>
      <c r="Q502" s="116">
        <v>5.49</v>
      </c>
      <c r="R502" s="30">
        <v>7.0000000000000007E-2</v>
      </c>
      <c r="S502" s="116">
        <v>1.2810000000000001</v>
      </c>
      <c r="T502" s="117">
        <v>0.49</v>
      </c>
      <c r="U502" s="31">
        <v>200</v>
      </c>
      <c r="V502" s="32"/>
      <c r="W502" s="38"/>
      <c r="X502" s="32"/>
      <c r="Y502" s="32"/>
      <c r="Z502" s="32"/>
      <c r="AA502" s="34"/>
      <c r="AB502" s="35">
        <f t="shared" si="80"/>
        <v>200</v>
      </c>
      <c r="AC502" s="75">
        <f t="shared" si="81"/>
        <v>25600</v>
      </c>
      <c r="AD502" s="78">
        <f t="shared" si="82"/>
        <v>0</v>
      </c>
      <c r="AE502" s="72">
        <f t="shared" si="83"/>
        <v>25600</v>
      </c>
      <c r="AF502" s="75">
        <f t="shared" si="84"/>
        <v>5756.36</v>
      </c>
      <c r="AG502" s="78">
        <f t="shared" si="85"/>
        <v>0</v>
      </c>
      <c r="AH502" s="72">
        <f t="shared" si="86"/>
        <v>5756.36</v>
      </c>
      <c r="AI502" s="75">
        <f t="shared" si="87"/>
        <v>3660</v>
      </c>
      <c r="AJ502" s="78">
        <f t="shared" si="88"/>
        <v>0</v>
      </c>
      <c r="AK502" s="72">
        <f t="shared" si="89"/>
        <v>3660</v>
      </c>
    </row>
    <row r="503" spans="1:37" ht="15.95" customHeight="1">
      <c r="A503" s="25" t="s">
        <v>948</v>
      </c>
      <c r="B503" s="25" t="s">
        <v>361</v>
      </c>
      <c r="C503" s="26" t="s">
        <v>816</v>
      </c>
      <c r="D503" s="26" t="s">
        <v>10</v>
      </c>
      <c r="E503" s="26" t="s">
        <v>16</v>
      </c>
      <c r="F503" s="26" t="s">
        <v>1302</v>
      </c>
      <c r="G503" s="26"/>
      <c r="H503" s="27" t="s">
        <v>1297</v>
      </c>
      <c r="I503" s="26" t="s">
        <v>19</v>
      </c>
      <c r="J503" s="28" t="s">
        <v>1298</v>
      </c>
      <c r="K503" s="123">
        <v>68</v>
      </c>
      <c r="L503" s="29">
        <v>13.167199999999998</v>
      </c>
      <c r="M503" s="110">
        <v>8.1999999999999993</v>
      </c>
      <c r="N503" s="30">
        <v>0.17599999999999999</v>
      </c>
      <c r="O503" s="116">
        <v>1.4431999999999998</v>
      </c>
      <c r="P503" s="30">
        <v>0.25</v>
      </c>
      <c r="Q503" s="116">
        <v>2.46</v>
      </c>
      <c r="R503" s="30">
        <v>7.0000000000000007E-2</v>
      </c>
      <c r="S503" s="116">
        <v>0.57399999999999995</v>
      </c>
      <c r="T503" s="117">
        <v>0.49</v>
      </c>
      <c r="U503" s="31">
        <v>200</v>
      </c>
      <c r="V503" s="32"/>
      <c r="W503" s="33"/>
      <c r="X503" s="32"/>
      <c r="Y503" s="32"/>
      <c r="Z503" s="32"/>
      <c r="AA503" s="34"/>
      <c r="AB503" s="35">
        <f t="shared" si="80"/>
        <v>200</v>
      </c>
      <c r="AC503" s="75">
        <f t="shared" si="81"/>
        <v>13600</v>
      </c>
      <c r="AD503" s="78">
        <f t="shared" si="82"/>
        <v>0</v>
      </c>
      <c r="AE503" s="72">
        <f t="shared" si="83"/>
        <v>13600</v>
      </c>
      <c r="AF503" s="75">
        <f t="shared" si="84"/>
        <v>2633.4399999999996</v>
      </c>
      <c r="AG503" s="78">
        <f t="shared" si="85"/>
        <v>0</v>
      </c>
      <c r="AH503" s="72">
        <f t="shared" si="86"/>
        <v>2633.4399999999996</v>
      </c>
      <c r="AI503" s="75">
        <f t="shared" si="87"/>
        <v>1639.9999999999998</v>
      </c>
      <c r="AJ503" s="78">
        <f t="shared" si="88"/>
        <v>0</v>
      </c>
      <c r="AK503" s="72">
        <f t="shared" si="89"/>
        <v>1639.9999999999998</v>
      </c>
    </row>
    <row r="504" spans="1:37" ht="15.95" customHeight="1">
      <c r="A504" s="46" t="s">
        <v>948</v>
      </c>
      <c r="B504" s="46" t="s">
        <v>361</v>
      </c>
      <c r="C504" s="47" t="s">
        <v>816</v>
      </c>
      <c r="D504" s="47" t="s">
        <v>10</v>
      </c>
      <c r="E504" s="47" t="s">
        <v>16</v>
      </c>
      <c r="F504" s="47" t="s">
        <v>1303</v>
      </c>
      <c r="G504" s="47"/>
      <c r="H504" s="48" t="s">
        <v>1297</v>
      </c>
      <c r="I504" s="47" t="s">
        <v>19</v>
      </c>
      <c r="J504" s="49" t="s">
        <v>1298</v>
      </c>
      <c r="K504" s="127">
        <v>58</v>
      </c>
      <c r="L504" s="50">
        <v>11.311999999999999</v>
      </c>
      <c r="M504" s="113">
        <v>7</v>
      </c>
      <c r="N504" s="51">
        <v>0.17599999999999999</v>
      </c>
      <c r="O504" s="120">
        <v>1.232</v>
      </c>
      <c r="P504" s="51">
        <v>0.25</v>
      </c>
      <c r="Q504" s="120">
        <v>2.1</v>
      </c>
      <c r="R504" s="51">
        <v>7.0000000000000007E-2</v>
      </c>
      <c r="S504" s="120">
        <v>0.49000000000000005</v>
      </c>
      <c r="T504" s="121">
        <v>0.49</v>
      </c>
      <c r="U504" s="131">
        <v>200</v>
      </c>
      <c r="V504" s="52"/>
      <c r="W504" s="53"/>
      <c r="X504" s="52"/>
      <c r="Y504" s="52"/>
      <c r="Z504" s="52"/>
      <c r="AA504" s="54"/>
      <c r="AB504" s="55">
        <f t="shared" si="80"/>
        <v>200</v>
      </c>
      <c r="AC504" s="132">
        <f t="shared" si="81"/>
        <v>11600</v>
      </c>
      <c r="AD504" s="133">
        <f t="shared" si="82"/>
        <v>0</v>
      </c>
      <c r="AE504" s="73">
        <f t="shared" si="83"/>
        <v>11600</v>
      </c>
      <c r="AF504" s="132">
        <f t="shared" si="84"/>
        <v>2262.4</v>
      </c>
      <c r="AG504" s="133">
        <f t="shared" si="85"/>
        <v>0</v>
      </c>
      <c r="AH504" s="73">
        <f t="shared" si="86"/>
        <v>2262.4</v>
      </c>
      <c r="AI504" s="132">
        <f t="shared" si="87"/>
        <v>1400</v>
      </c>
      <c r="AJ504" s="133">
        <f t="shared" si="88"/>
        <v>0</v>
      </c>
      <c r="AK504" s="73">
        <f t="shared" si="89"/>
        <v>1400</v>
      </c>
    </row>
    <row r="505" spans="1:37" ht="15.95" customHeight="1">
      <c r="A505" s="141" t="s">
        <v>399</v>
      </c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3"/>
      <c r="U505" s="105">
        <f>SUM(U4:U504)</f>
        <v>215474</v>
      </c>
      <c r="V505" s="106">
        <f t="shared" ref="V505:AK505" si="90">SUM(V4:V504)</f>
        <v>59561</v>
      </c>
      <c r="W505" s="107">
        <f t="shared" si="90"/>
        <v>7051</v>
      </c>
      <c r="X505" s="106">
        <f t="shared" si="90"/>
        <v>1110</v>
      </c>
      <c r="Y505" s="106">
        <f t="shared" si="90"/>
        <v>149</v>
      </c>
      <c r="Z505" s="106">
        <f t="shared" si="90"/>
        <v>144</v>
      </c>
      <c r="AA505" s="108">
        <f t="shared" si="90"/>
        <v>1512</v>
      </c>
      <c r="AB505" s="69">
        <f t="shared" si="90"/>
        <v>285001</v>
      </c>
      <c r="AC505" s="76">
        <f t="shared" si="90"/>
        <v>22091000</v>
      </c>
      <c r="AD505" s="79">
        <f t="shared" si="90"/>
        <v>7581484</v>
      </c>
      <c r="AE505" s="70">
        <f t="shared" si="90"/>
        <v>29672484</v>
      </c>
      <c r="AF505" s="76">
        <f t="shared" si="90"/>
        <v>4143096.1953700003</v>
      </c>
      <c r="AG505" s="79">
        <f t="shared" si="90"/>
        <v>1447098.9515299986</v>
      </c>
      <c r="AH505" s="70">
        <f t="shared" si="90"/>
        <v>5590195.1468999982</v>
      </c>
      <c r="AI505" s="76">
        <f t="shared" si="90"/>
        <v>2909105.41</v>
      </c>
      <c r="AJ505" s="79">
        <f t="shared" si="90"/>
        <v>1031942.5400000003</v>
      </c>
      <c r="AK505" s="70">
        <f t="shared" si="90"/>
        <v>3941047.9499999997</v>
      </c>
    </row>
    <row r="506" spans="1:37" s="10" customFormat="1" ht="12" customHeight="1">
      <c r="A506" s="2"/>
      <c r="B506" s="6"/>
      <c r="C506" s="6"/>
      <c r="D506" s="7"/>
      <c r="E506" s="6"/>
      <c r="F506" s="3"/>
      <c r="G506" s="4"/>
      <c r="H506" s="7"/>
      <c r="I506" s="6"/>
      <c r="J506" s="5"/>
      <c r="K506" s="11"/>
      <c r="L506" s="11"/>
      <c r="M506" s="11"/>
      <c r="N506" s="12"/>
      <c r="O506" s="13"/>
      <c r="P506" s="12"/>
      <c r="Q506" s="13"/>
      <c r="R506" s="12"/>
      <c r="S506" s="13"/>
      <c r="T506" s="13"/>
      <c r="U506" s="1"/>
      <c r="V506" s="1"/>
      <c r="W506" s="8"/>
      <c r="X506" s="1"/>
      <c r="Y506" s="9"/>
      <c r="Z506" s="9"/>
      <c r="AA506" s="9"/>
      <c r="AB506" s="2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spans="1:37" s="10" customFormat="1" ht="12" customHeight="1">
      <c r="A507" s="2"/>
      <c r="B507" s="6"/>
      <c r="C507" s="6"/>
      <c r="D507" s="7"/>
      <c r="E507" s="6"/>
      <c r="F507" s="3"/>
      <c r="G507" s="4"/>
      <c r="H507" s="7"/>
      <c r="I507" s="6"/>
      <c r="J507" s="5"/>
      <c r="K507" s="11"/>
      <c r="L507" s="11"/>
      <c r="M507" s="11"/>
      <c r="N507" s="12"/>
      <c r="O507" s="13"/>
      <c r="P507" s="12"/>
      <c r="Q507" s="13"/>
      <c r="R507" s="12"/>
      <c r="S507" s="13"/>
      <c r="T507" s="13"/>
      <c r="U507" s="1"/>
      <c r="V507" s="1"/>
      <c r="W507" s="8"/>
      <c r="X507" s="1"/>
      <c r="Y507" s="9"/>
      <c r="Z507" s="9"/>
      <c r="AA507" s="9"/>
      <c r="AB507" s="2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spans="1:37" s="10" customFormat="1" ht="12" customHeight="1">
      <c r="A508" s="2"/>
      <c r="B508" s="6"/>
      <c r="C508" s="6"/>
      <c r="D508" s="7"/>
      <c r="E508" s="6"/>
      <c r="F508" s="3"/>
      <c r="G508" s="4"/>
      <c r="H508" s="7"/>
      <c r="I508" s="6"/>
      <c r="J508" s="5"/>
      <c r="K508" s="11"/>
      <c r="L508" s="11"/>
      <c r="M508" s="11"/>
      <c r="N508" s="12"/>
      <c r="O508" s="13"/>
      <c r="P508" s="12"/>
      <c r="Q508" s="13"/>
      <c r="R508" s="12"/>
      <c r="S508" s="13"/>
      <c r="T508" s="13"/>
      <c r="U508" s="1"/>
      <c r="V508" s="1"/>
      <c r="W508" s="8"/>
      <c r="X508" s="1"/>
      <c r="Y508" s="9"/>
      <c r="Z508" s="9"/>
      <c r="AA508" s="9"/>
      <c r="AB508" s="2"/>
      <c r="AD508" s="11"/>
      <c r="AE508" s="11"/>
      <c r="AF508" s="11"/>
      <c r="AG508" s="11"/>
      <c r="AH508" s="11"/>
      <c r="AI508" s="11"/>
      <c r="AJ508" s="11"/>
      <c r="AK508" s="11"/>
    </row>
    <row r="509" spans="1:37" s="10" customFormat="1" ht="12" customHeight="1">
      <c r="A509" s="2"/>
      <c r="B509" s="6"/>
      <c r="C509" s="6"/>
      <c r="D509" s="7"/>
      <c r="E509" s="6"/>
      <c r="F509" s="3"/>
      <c r="G509" s="4"/>
      <c r="H509" s="7"/>
      <c r="I509" s="6"/>
      <c r="J509" s="5"/>
      <c r="K509" s="11"/>
      <c r="L509" s="11"/>
      <c r="M509" s="11"/>
      <c r="N509" s="12"/>
      <c r="O509" s="13"/>
      <c r="P509" s="12"/>
      <c r="Q509" s="13"/>
      <c r="R509" s="12"/>
      <c r="S509" s="13"/>
      <c r="T509" s="13"/>
      <c r="U509" s="1"/>
      <c r="V509" s="1"/>
      <c r="W509" s="8"/>
      <c r="X509" s="1"/>
      <c r="Y509" s="9"/>
      <c r="Z509" s="9"/>
      <c r="AA509" s="9"/>
      <c r="AB509" s="2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spans="1:37" s="10" customFormat="1" ht="12" customHeight="1">
      <c r="A510" s="2"/>
      <c r="B510" s="6"/>
      <c r="C510" s="6"/>
      <c r="D510" s="7"/>
      <c r="E510" s="6"/>
      <c r="F510" s="3"/>
      <c r="G510" s="4"/>
      <c r="H510" s="7"/>
      <c r="I510" s="6"/>
      <c r="J510" s="5"/>
      <c r="K510" s="11"/>
      <c r="L510" s="11"/>
      <c r="M510" s="11"/>
      <c r="N510" s="12"/>
      <c r="O510" s="13"/>
      <c r="P510" s="12"/>
      <c r="Q510" s="13"/>
      <c r="R510" s="12"/>
      <c r="S510" s="13"/>
      <c r="T510" s="13"/>
      <c r="U510" s="1"/>
      <c r="V510" s="1"/>
      <c r="W510" s="8"/>
      <c r="X510" s="1"/>
      <c r="Y510" s="9"/>
      <c r="Z510" s="9"/>
      <c r="AA510" s="9"/>
      <c r="AB510" s="2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spans="1:37" s="10" customFormat="1" ht="12" customHeight="1">
      <c r="A511" s="2"/>
      <c r="B511" s="6"/>
      <c r="C511" s="6"/>
      <c r="D511" s="7"/>
      <c r="E511" s="6"/>
      <c r="F511" s="3"/>
      <c r="G511" s="4"/>
      <c r="H511" s="7"/>
      <c r="I511" s="6"/>
      <c r="J511" s="5"/>
      <c r="K511" s="11"/>
      <c r="L511" s="11"/>
      <c r="M511" s="11"/>
      <c r="N511" s="12"/>
      <c r="O511" s="13"/>
      <c r="P511" s="12"/>
      <c r="Q511" s="13"/>
      <c r="R511" s="12"/>
      <c r="S511" s="13"/>
      <c r="T511" s="13"/>
      <c r="U511" s="1"/>
      <c r="V511" s="1"/>
      <c r="W511" s="8"/>
      <c r="X511" s="1"/>
      <c r="Y511" s="9"/>
      <c r="Z511" s="9"/>
      <c r="AA511" s="9"/>
      <c r="AB511" s="2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spans="1:37" s="10" customFormat="1" ht="12" customHeight="1">
      <c r="A512" s="2"/>
      <c r="B512" s="6"/>
      <c r="C512" s="6"/>
      <c r="D512" s="7"/>
      <c r="E512" s="6"/>
      <c r="F512" s="3"/>
      <c r="G512" s="4"/>
      <c r="H512" s="7"/>
      <c r="I512" s="6"/>
      <c r="J512" s="5"/>
      <c r="K512" s="11"/>
      <c r="L512" s="11"/>
      <c r="M512" s="11"/>
      <c r="N512" s="12"/>
      <c r="O512" s="13"/>
      <c r="P512" s="12"/>
      <c r="Q512" s="13"/>
      <c r="R512" s="12"/>
      <c r="S512" s="13"/>
      <c r="T512" s="13"/>
      <c r="U512" s="1"/>
      <c r="V512" s="1"/>
      <c r="W512" s="8"/>
      <c r="X512" s="1"/>
      <c r="Y512" s="9"/>
      <c r="Z512" s="9"/>
      <c r="AA512" s="9"/>
      <c r="AB512" s="2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spans="1:37" s="10" customFormat="1" ht="12" customHeight="1">
      <c r="A513" s="2"/>
      <c r="B513" s="6"/>
      <c r="C513" s="6"/>
      <c r="D513" s="7"/>
      <c r="E513" s="6"/>
      <c r="F513" s="3"/>
      <c r="G513" s="4"/>
      <c r="H513" s="7"/>
      <c r="I513" s="6"/>
      <c r="J513" s="5"/>
      <c r="K513" s="11"/>
      <c r="L513" s="11"/>
      <c r="M513" s="11"/>
      <c r="N513" s="12"/>
      <c r="O513" s="13"/>
      <c r="P513" s="12"/>
      <c r="Q513" s="13"/>
      <c r="R513" s="12"/>
      <c r="S513" s="13"/>
      <c r="T513" s="13"/>
      <c r="U513" s="1"/>
      <c r="V513" s="1"/>
      <c r="W513" s="8"/>
      <c r="X513" s="1"/>
      <c r="Y513" s="9"/>
      <c r="Z513" s="9"/>
      <c r="AA513" s="9"/>
      <c r="AB513" s="2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spans="1:37" s="10" customFormat="1" ht="12" customHeight="1">
      <c r="A514" s="2"/>
      <c r="B514" s="6"/>
      <c r="C514" s="6"/>
      <c r="D514" s="7"/>
      <c r="E514" s="6"/>
      <c r="F514" s="3"/>
      <c r="G514" s="4"/>
      <c r="H514" s="7"/>
      <c r="I514" s="6"/>
      <c r="J514" s="5"/>
      <c r="K514" s="11"/>
      <c r="L514" s="11"/>
      <c r="M514" s="11"/>
      <c r="N514" s="12"/>
      <c r="O514" s="13"/>
      <c r="P514" s="12"/>
      <c r="Q514" s="13"/>
      <c r="R514" s="12"/>
      <c r="S514" s="13"/>
      <c r="T514" s="13"/>
      <c r="U514" s="1"/>
      <c r="V514" s="1"/>
      <c r="W514" s="8"/>
      <c r="X514" s="1"/>
      <c r="Y514" s="9"/>
      <c r="Z514" s="9"/>
      <c r="AA514" s="9"/>
      <c r="AB514" s="2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spans="1:37" s="10" customFormat="1" ht="12" customHeight="1">
      <c r="A515" s="2"/>
      <c r="B515" s="6"/>
      <c r="C515" s="6"/>
      <c r="D515" s="7"/>
      <c r="E515" s="6"/>
      <c r="F515" s="3"/>
      <c r="G515" s="4"/>
      <c r="H515" s="7"/>
      <c r="I515" s="6"/>
      <c r="J515" s="5"/>
      <c r="K515" s="11"/>
      <c r="L515" s="11"/>
      <c r="M515" s="11"/>
      <c r="N515" s="12"/>
      <c r="O515" s="13"/>
      <c r="P515" s="12"/>
      <c r="Q515" s="13"/>
      <c r="R515" s="12"/>
      <c r="S515" s="13"/>
      <c r="T515" s="13"/>
      <c r="U515" s="1"/>
      <c r="V515" s="1"/>
      <c r="W515" s="8"/>
      <c r="X515" s="1"/>
      <c r="Y515" s="9"/>
      <c r="Z515" s="9"/>
      <c r="AA515" s="9"/>
      <c r="AB515" s="2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spans="1:37" s="10" customFormat="1" ht="12" customHeight="1">
      <c r="A516" s="2"/>
      <c r="B516" s="6"/>
      <c r="C516" s="6"/>
      <c r="D516" s="7"/>
      <c r="E516" s="6"/>
      <c r="F516" s="3"/>
      <c r="G516" s="4"/>
      <c r="H516" s="7"/>
      <c r="I516" s="6"/>
      <c r="J516" s="5"/>
      <c r="K516" s="11"/>
      <c r="L516" s="11"/>
      <c r="M516" s="11"/>
      <c r="N516" s="12"/>
      <c r="O516" s="13"/>
      <c r="P516" s="12"/>
      <c r="Q516" s="13"/>
      <c r="R516" s="12"/>
      <c r="S516" s="13"/>
      <c r="T516" s="13"/>
      <c r="U516" s="1"/>
      <c r="V516" s="1"/>
      <c r="W516" s="8"/>
      <c r="X516" s="1"/>
      <c r="Y516" s="9"/>
      <c r="Z516" s="9"/>
      <c r="AA516" s="9"/>
      <c r="AB516" s="2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spans="1:37" s="10" customFormat="1" ht="12" customHeight="1">
      <c r="A517" s="2"/>
      <c r="B517" s="6"/>
      <c r="C517" s="6"/>
      <c r="D517" s="7"/>
      <c r="E517" s="6"/>
      <c r="F517" s="3"/>
      <c r="G517" s="4"/>
      <c r="H517" s="7"/>
      <c r="I517" s="6"/>
      <c r="J517" s="5"/>
      <c r="K517" s="11"/>
      <c r="L517" s="11"/>
      <c r="M517" s="11"/>
      <c r="N517" s="12"/>
      <c r="O517" s="13"/>
      <c r="P517" s="12"/>
      <c r="Q517" s="13"/>
      <c r="R517" s="12"/>
      <c r="S517" s="13"/>
      <c r="T517" s="13"/>
      <c r="U517" s="1"/>
      <c r="V517" s="1"/>
      <c r="W517" s="8"/>
      <c r="X517" s="1"/>
      <c r="Y517" s="9"/>
      <c r="Z517" s="9"/>
      <c r="AA517" s="9"/>
      <c r="AB517" s="2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spans="1:37" s="10" customFormat="1" ht="12" customHeight="1">
      <c r="A518" s="2"/>
      <c r="B518" s="6"/>
      <c r="C518" s="6"/>
      <c r="D518" s="7"/>
      <c r="E518" s="6"/>
      <c r="F518" s="3"/>
      <c r="G518" s="4"/>
      <c r="H518" s="7"/>
      <c r="I518" s="6"/>
      <c r="J518" s="5"/>
      <c r="K518" s="11"/>
      <c r="L518" s="11"/>
      <c r="M518" s="11"/>
      <c r="N518" s="12"/>
      <c r="O518" s="13"/>
      <c r="P518" s="12"/>
      <c r="Q518" s="13"/>
      <c r="R518" s="12"/>
      <c r="S518" s="13"/>
      <c r="T518" s="13"/>
      <c r="U518" s="1"/>
      <c r="V518" s="1"/>
      <c r="W518" s="8"/>
      <c r="X518" s="1"/>
      <c r="Y518" s="9"/>
      <c r="Z518" s="9"/>
      <c r="AA518" s="9"/>
      <c r="AB518" s="2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spans="1:37" s="10" customFormat="1" ht="12" customHeight="1">
      <c r="A519" s="2"/>
      <c r="B519" s="6"/>
      <c r="C519" s="6"/>
      <c r="D519" s="7"/>
      <c r="E519" s="6"/>
      <c r="F519" s="3"/>
      <c r="G519" s="4"/>
      <c r="H519" s="7"/>
      <c r="I519" s="6"/>
      <c r="J519" s="5"/>
      <c r="K519" s="11"/>
      <c r="L519" s="11"/>
      <c r="M519" s="11"/>
      <c r="N519" s="12"/>
      <c r="O519" s="13"/>
      <c r="P519" s="12"/>
      <c r="Q519" s="13"/>
      <c r="R519" s="12"/>
      <c r="S519" s="13"/>
      <c r="T519" s="13"/>
      <c r="U519" s="1"/>
      <c r="V519" s="1"/>
      <c r="W519" s="8"/>
      <c r="X519" s="1"/>
      <c r="Y519" s="9"/>
      <c r="Z519" s="9"/>
      <c r="AA519" s="9"/>
      <c r="AB519" s="2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spans="1:37" s="10" customFormat="1" ht="12" customHeight="1">
      <c r="A520" s="2"/>
      <c r="B520" s="6"/>
      <c r="C520" s="6"/>
      <c r="D520" s="7"/>
      <c r="E520" s="6"/>
      <c r="F520" s="3"/>
      <c r="G520" s="4"/>
      <c r="H520" s="7"/>
      <c r="I520" s="6"/>
      <c r="J520" s="5"/>
      <c r="K520" s="11"/>
      <c r="L520" s="11"/>
      <c r="M520" s="11"/>
      <c r="N520" s="12"/>
      <c r="O520" s="13"/>
      <c r="P520" s="12"/>
      <c r="Q520" s="13"/>
      <c r="R520" s="12"/>
      <c r="S520" s="13"/>
      <c r="T520" s="13"/>
      <c r="U520" s="1"/>
      <c r="V520" s="1"/>
      <c r="W520" s="8"/>
      <c r="X520" s="1"/>
      <c r="Y520" s="9"/>
      <c r="Z520" s="9"/>
      <c r="AA520" s="9"/>
      <c r="AB520" s="2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spans="1:37" s="10" customFormat="1" ht="12" customHeight="1">
      <c r="A521" s="2"/>
      <c r="B521" s="6"/>
      <c r="C521" s="6"/>
      <c r="D521" s="7"/>
      <c r="E521" s="6"/>
      <c r="F521" s="3"/>
      <c r="G521" s="4"/>
      <c r="H521" s="7"/>
      <c r="I521" s="6"/>
      <c r="J521" s="5"/>
      <c r="K521" s="11"/>
      <c r="L521" s="11"/>
      <c r="M521" s="11"/>
      <c r="N521" s="12"/>
      <c r="O521" s="13"/>
      <c r="P521" s="12"/>
      <c r="Q521" s="13"/>
      <c r="R521" s="12"/>
      <c r="S521" s="13"/>
      <c r="T521" s="13"/>
      <c r="U521" s="1"/>
      <c r="V521" s="1"/>
      <c r="W521" s="8"/>
      <c r="X521" s="1"/>
      <c r="Y521" s="9"/>
      <c r="Z521" s="9"/>
      <c r="AA521" s="9"/>
      <c r="AB521" s="2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spans="1:37" s="10" customFormat="1" ht="12" customHeight="1">
      <c r="A522" s="2"/>
      <c r="B522" s="6"/>
      <c r="C522" s="6"/>
      <c r="D522" s="7"/>
      <c r="E522" s="6"/>
      <c r="F522" s="3"/>
      <c r="G522" s="4"/>
      <c r="H522" s="7"/>
      <c r="I522" s="6"/>
      <c r="J522" s="5"/>
      <c r="K522" s="11"/>
      <c r="L522" s="11"/>
      <c r="M522" s="11"/>
      <c r="N522" s="12"/>
      <c r="O522" s="13"/>
      <c r="P522" s="12"/>
      <c r="Q522" s="13"/>
      <c r="R522" s="12"/>
      <c r="S522" s="13"/>
      <c r="T522" s="13"/>
      <c r="U522" s="1"/>
      <c r="V522" s="1"/>
      <c r="W522" s="8"/>
      <c r="X522" s="1"/>
      <c r="Y522" s="9"/>
      <c r="Z522" s="9"/>
      <c r="AA522" s="9"/>
      <c r="AB522" s="2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spans="1:37" s="10" customFormat="1" ht="12" customHeight="1">
      <c r="A523" s="2"/>
      <c r="B523" s="6"/>
      <c r="C523" s="6"/>
      <c r="D523" s="7"/>
      <c r="E523" s="6"/>
      <c r="F523" s="3"/>
      <c r="G523" s="4"/>
      <c r="H523" s="7"/>
      <c r="I523" s="6"/>
      <c r="J523" s="5"/>
      <c r="K523" s="11"/>
      <c r="L523" s="11"/>
      <c r="M523" s="11"/>
      <c r="N523" s="12"/>
      <c r="O523" s="13"/>
      <c r="P523" s="12"/>
      <c r="Q523" s="13"/>
      <c r="R523" s="12"/>
      <c r="S523" s="13"/>
      <c r="T523" s="13"/>
      <c r="U523" s="1"/>
      <c r="V523" s="1"/>
      <c r="W523" s="8"/>
      <c r="X523" s="1"/>
      <c r="Y523" s="9"/>
      <c r="Z523" s="9"/>
      <c r="AA523" s="9"/>
      <c r="AB523" s="2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spans="1:37" s="10" customFormat="1" ht="12" customHeight="1">
      <c r="A524" s="2"/>
      <c r="B524" s="6"/>
      <c r="C524" s="6"/>
      <c r="D524" s="7"/>
      <c r="E524" s="6"/>
      <c r="F524" s="3"/>
      <c r="G524" s="4"/>
      <c r="H524" s="7"/>
      <c r="I524" s="6"/>
      <c r="J524" s="5"/>
      <c r="K524" s="11"/>
      <c r="L524" s="11"/>
      <c r="M524" s="11"/>
      <c r="N524" s="12"/>
      <c r="O524" s="13"/>
      <c r="P524" s="12"/>
      <c r="Q524" s="13"/>
      <c r="R524" s="12"/>
      <c r="S524" s="13"/>
      <c r="T524" s="13"/>
      <c r="U524" s="1"/>
      <c r="V524" s="1"/>
      <c r="W524" s="8"/>
      <c r="X524" s="1"/>
      <c r="Y524" s="9"/>
      <c r="Z524" s="9"/>
      <c r="AA524" s="9"/>
      <c r="AB524" s="2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spans="1:37" s="10" customFormat="1" ht="12" customHeight="1">
      <c r="A525" s="2"/>
      <c r="B525" s="6"/>
      <c r="C525" s="6"/>
      <c r="D525" s="7"/>
      <c r="E525" s="6"/>
      <c r="F525" s="3"/>
      <c r="G525" s="4"/>
      <c r="H525" s="7"/>
      <c r="I525" s="6"/>
      <c r="J525" s="5"/>
      <c r="K525" s="11"/>
      <c r="L525" s="11"/>
      <c r="M525" s="11"/>
      <c r="N525" s="12"/>
      <c r="O525" s="13"/>
      <c r="P525" s="12"/>
      <c r="Q525" s="13"/>
      <c r="R525" s="12"/>
      <c r="S525" s="13"/>
      <c r="T525" s="13"/>
      <c r="U525" s="1"/>
      <c r="V525" s="1"/>
      <c r="W525" s="8"/>
      <c r="X525" s="1"/>
      <c r="Y525" s="9"/>
      <c r="Z525" s="9"/>
      <c r="AA525" s="9"/>
      <c r="AB525" s="2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spans="1:37" s="10" customFormat="1" ht="12" customHeight="1">
      <c r="A526" s="2"/>
      <c r="B526" s="6"/>
      <c r="C526" s="6"/>
      <c r="D526" s="7"/>
      <c r="E526" s="6"/>
      <c r="F526" s="3"/>
      <c r="G526" s="4"/>
      <c r="H526" s="7"/>
      <c r="I526" s="6"/>
      <c r="J526" s="5"/>
      <c r="K526" s="11"/>
      <c r="L526" s="11"/>
      <c r="M526" s="11"/>
      <c r="N526" s="12"/>
      <c r="O526" s="13"/>
      <c r="P526" s="12"/>
      <c r="Q526" s="13"/>
      <c r="R526" s="12"/>
      <c r="S526" s="13"/>
      <c r="T526" s="13"/>
      <c r="U526" s="1"/>
      <c r="V526" s="1"/>
      <c r="W526" s="8"/>
      <c r="X526" s="1"/>
      <c r="Y526" s="9"/>
      <c r="Z526" s="9"/>
      <c r="AA526" s="9"/>
      <c r="AB526" s="2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spans="1:37" s="10" customFormat="1" ht="12" customHeight="1">
      <c r="A527" s="2"/>
      <c r="B527" s="6"/>
      <c r="C527" s="6"/>
      <c r="D527" s="7"/>
      <c r="E527" s="6"/>
      <c r="F527" s="3"/>
      <c r="G527" s="4"/>
      <c r="H527" s="7"/>
      <c r="I527" s="6"/>
      <c r="J527" s="5"/>
      <c r="K527" s="11"/>
      <c r="L527" s="11"/>
      <c r="M527" s="11"/>
      <c r="N527" s="12"/>
      <c r="O527" s="13"/>
      <c r="P527" s="12"/>
      <c r="Q527" s="13"/>
      <c r="R527" s="12"/>
      <c r="S527" s="13"/>
      <c r="T527" s="13"/>
      <c r="U527" s="1"/>
      <c r="V527" s="1"/>
      <c r="W527" s="8"/>
      <c r="X527" s="1"/>
      <c r="Y527" s="9"/>
      <c r="Z527" s="9"/>
      <c r="AA527" s="9"/>
      <c r="AB527" s="2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spans="1:37" s="10" customFormat="1" ht="12" customHeight="1">
      <c r="A528" s="2"/>
      <c r="B528" s="6"/>
      <c r="C528" s="6"/>
      <c r="D528" s="7"/>
      <c r="E528" s="6"/>
      <c r="F528" s="3"/>
      <c r="G528" s="4"/>
      <c r="H528" s="7"/>
      <c r="I528" s="6"/>
      <c r="J528" s="5"/>
      <c r="K528" s="11"/>
      <c r="L528" s="11"/>
      <c r="M528" s="11"/>
      <c r="N528" s="12"/>
      <c r="O528" s="13"/>
      <c r="P528" s="12"/>
      <c r="Q528" s="13"/>
      <c r="R528" s="12"/>
      <c r="S528" s="13"/>
      <c r="T528" s="13"/>
      <c r="U528" s="1"/>
      <c r="V528" s="1"/>
      <c r="W528" s="8"/>
      <c r="X528" s="1"/>
      <c r="Y528" s="9"/>
      <c r="Z528" s="9"/>
      <c r="AA528" s="9"/>
      <c r="AB528" s="2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spans="1:37" s="10" customFormat="1" ht="12" customHeight="1">
      <c r="A529" s="2"/>
      <c r="B529" s="6"/>
      <c r="C529" s="6"/>
      <c r="D529" s="7"/>
      <c r="E529" s="6"/>
      <c r="F529" s="3"/>
      <c r="G529" s="4"/>
      <c r="H529" s="7"/>
      <c r="I529" s="6"/>
      <c r="J529" s="5"/>
      <c r="K529" s="11"/>
      <c r="L529" s="11"/>
      <c r="M529" s="11"/>
      <c r="N529" s="12"/>
      <c r="O529" s="13"/>
      <c r="P529" s="12"/>
      <c r="Q529" s="13"/>
      <c r="R529" s="12"/>
      <c r="S529" s="13"/>
      <c r="T529" s="13"/>
      <c r="U529" s="1"/>
      <c r="V529" s="1"/>
      <c r="W529" s="8"/>
      <c r="X529" s="1"/>
      <c r="Y529" s="9"/>
      <c r="Z529" s="9"/>
      <c r="AA529" s="9"/>
      <c r="AB529" s="2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spans="1:37" s="10" customFormat="1" ht="12" customHeight="1">
      <c r="A530" s="2"/>
      <c r="B530" s="6"/>
      <c r="C530" s="6"/>
      <c r="D530" s="7"/>
      <c r="E530" s="6"/>
      <c r="F530" s="3"/>
      <c r="G530" s="4"/>
      <c r="H530" s="7"/>
      <c r="I530" s="6"/>
      <c r="J530" s="5"/>
      <c r="K530" s="11"/>
      <c r="L530" s="11"/>
      <c r="M530" s="11"/>
      <c r="N530" s="12"/>
      <c r="O530" s="13"/>
      <c r="P530" s="12"/>
      <c r="Q530" s="13"/>
      <c r="R530" s="12"/>
      <c r="S530" s="13"/>
      <c r="T530" s="13"/>
      <c r="U530" s="1"/>
      <c r="V530" s="1"/>
      <c r="W530" s="8"/>
      <c r="X530" s="1"/>
      <c r="Y530" s="9"/>
      <c r="Z530" s="9"/>
      <c r="AA530" s="9"/>
      <c r="AB530" s="2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spans="1:37" s="10" customFormat="1" ht="12" customHeight="1">
      <c r="A531" s="2"/>
      <c r="B531" s="6"/>
      <c r="C531" s="6"/>
      <c r="D531" s="7"/>
      <c r="E531" s="6"/>
      <c r="F531" s="3"/>
      <c r="G531" s="4"/>
      <c r="H531" s="7"/>
      <c r="I531" s="6"/>
      <c r="J531" s="5"/>
      <c r="K531" s="11"/>
      <c r="L531" s="11"/>
      <c r="M531" s="11"/>
      <c r="N531" s="12"/>
      <c r="O531" s="13"/>
      <c r="P531" s="12"/>
      <c r="Q531" s="13"/>
      <c r="R531" s="12"/>
      <c r="S531" s="13"/>
      <c r="T531" s="13"/>
      <c r="U531" s="1"/>
      <c r="V531" s="1"/>
      <c r="W531" s="8"/>
      <c r="X531" s="1"/>
      <c r="Y531" s="9"/>
      <c r="Z531" s="9"/>
      <c r="AA531" s="9"/>
      <c r="AB531" s="2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spans="1:37" s="10" customFormat="1" ht="12" customHeight="1">
      <c r="A532" s="2"/>
      <c r="B532" s="6"/>
      <c r="C532" s="6"/>
      <c r="D532" s="7"/>
      <c r="E532" s="6"/>
      <c r="F532" s="3"/>
      <c r="G532" s="4"/>
      <c r="H532" s="7"/>
      <c r="I532" s="6"/>
      <c r="J532" s="5"/>
      <c r="K532" s="11"/>
      <c r="L532" s="11"/>
      <c r="M532" s="11"/>
      <c r="N532" s="12"/>
      <c r="O532" s="13"/>
      <c r="P532" s="12"/>
      <c r="Q532" s="13"/>
      <c r="R532" s="12"/>
      <c r="S532" s="13"/>
      <c r="T532" s="13"/>
      <c r="U532" s="1"/>
      <c r="V532" s="1"/>
      <c r="W532" s="8"/>
      <c r="X532" s="1"/>
      <c r="Y532" s="9"/>
      <c r="Z532" s="9"/>
      <c r="AA532" s="9"/>
      <c r="AB532" s="2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spans="1:37" s="10" customFormat="1" ht="12" customHeight="1">
      <c r="A533" s="2"/>
      <c r="B533" s="6"/>
      <c r="C533" s="6"/>
      <c r="D533" s="7"/>
      <c r="E533" s="6"/>
      <c r="F533" s="3"/>
      <c r="G533" s="4"/>
      <c r="H533" s="7"/>
      <c r="I533" s="6"/>
      <c r="J533" s="5"/>
      <c r="K533" s="11"/>
      <c r="L533" s="11"/>
      <c r="M533" s="11"/>
      <c r="N533" s="12"/>
      <c r="O533" s="13"/>
      <c r="P533" s="12"/>
      <c r="Q533" s="13"/>
      <c r="R533" s="12"/>
      <c r="S533" s="13"/>
      <c r="T533" s="13"/>
      <c r="U533" s="1"/>
      <c r="V533" s="1"/>
      <c r="W533" s="8"/>
      <c r="X533" s="1"/>
      <c r="Y533" s="9"/>
      <c r="Z533" s="9"/>
      <c r="AA533" s="9"/>
      <c r="AB533" s="2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spans="1:37" s="10" customFormat="1" ht="12" customHeight="1">
      <c r="A534" s="2"/>
      <c r="B534" s="6"/>
      <c r="C534" s="6"/>
      <c r="D534" s="7"/>
      <c r="E534" s="6"/>
      <c r="F534" s="3"/>
      <c r="G534" s="4"/>
      <c r="H534" s="7"/>
      <c r="I534" s="6"/>
      <c r="J534" s="5"/>
      <c r="K534" s="11"/>
      <c r="L534" s="11"/>
      <c r="M534" s="11"/>
      <c r="N534" s="12"/>
      <c r="O534" s="13"/>
      <c r="P534" s="12"/>
      <c r="Q534" s="13"/>
      <c r="R534" s="12"/>
      <c r="S534" s="13"/>
      <c r="T534" s="13"/>
      <c r="U534" s="1"/>
      <c r="V534" s="1"/>
      <c r="W534" s="8"/>
      <c r="X534" s="1"/>
      <c r="Y534" s="9"/>
      <c r="Z534" s="9"/>
      <c r="AA534" s="9"/>
      <c r="AB534" s="2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spans="1:37" s="10" customFormat="1" ht="12" customHeight="1">
      <c r="A535" s="2"/>
      <c r="B535" s="6"/>
      <c r="C535" s="6"/>
      <c r="D535" s="7"/>
      <c r="E535" s="6"/>
      <c r="F535" s="3"/>
      <c r="G535" s="4"/>
      <c r="H535" s="7"/>
      <c r="I535" s="6"/>
      <c r="J535" s="5"/>
      <c r="K535" s="11"/>
      <c r="L535" s="11"/>
      <c r="M535" s="11"/>
      <c r="N535" s="12"/>
      <c r="O535" s="13"/>
      <c r="P535" s="12"/>
      <c r="Q535" s="13"/>
      <c r="R535" s="12"/>
      <c r="S535" s="13"/>
      <c r="T535" s="13"/>
      <c r="U535" s="1"/>
      <c r="V535" s="1"/>
      <c r="W535" s="8"/>
      <c r="X535" s="1"/>
      <c r="Y535" s="9"/>
      <c r="Z535" s="9"/>
      <c r="AA535" s="9"/>
      <c r="AB535" s="2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spans="1:37" s="10" customFormat="1" ht="12" customHeight="1">
      <c r="A536" s="2"/>
      <c r="B536" s="6"/>
      <c r="C536" s="6"/>
      <c r="D536" s="7"/>
      <c r="E536" s="6"/>
      <c r="F536" s="3"/>
      <c r="G536" s="4"/>
      <c r="H536" s="7"/>
      <c r="I536" s="6"/>
      <c r="J536" s="5"/>
      <c r="K536" s="11"/>
      <c r="L536" s="11"/>
      <c r="M536" s="11"/>
      <c r="N536" s="12"/>
      <c r="O536" s="13"/>
      <c r="P536" s="12"/>
      <c r="Q536" s="13"/>
      <c r="R536" s="12"/>
      <c r="S536" s="13"/>
      <c r="T536" s="13"/>
      <c r="U536" s="1"/>
      <c r="V536" s="1"/>
      <c r="W536" s="8"/>
      <c r="X536" s="1"/>
      <c r="Y536" s="9"/>
      <c r="Z536" s="9"/>
      <c r="AA536" s="9"/>
      <c r="AB536" s="2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spans="1:37" s="10" customFormat="1" ht="12" customHeight="1">
      <c r="A537" s="2"/>
      <c r="B537" s="6"/>
      <c r="C537" s="6"/>
      <c r="D537" s="7"/>
      <c r="E537" s="6"/>
      <c r="F537" s="3"/>
      <c r="G537" s="4"/>
      <c r="H537" s="7"/>
      <c r="I537" s="6"/>
      <c r="J537" s="5"/>
      <c r="K537" s="11"/>
      <c r="L537" s="11"/>
      <c r="M537" s="11"/>
      <c r="N537" s="12"/>
      <c r="O537" s="13"/>
      <c r="P537" s="12"/>
      <c r="Q537" s="13"/>
      <c r="R537" s="12"/>
      <c r="S537" s="13"/>
      <c r="T537" s="13"/>
      <c r="U537" s="1"/>
      <c r="V537" s="1"/>
      <c r="W537" s="8"/>
      <c r="X537" s="1"/>
      <c r="Y537" s="9"/>
      <c r="Z537" s="9"/>
      <c r="AA537" s="9"/>
      <c r="AB537" s="2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spans="1:37" s="10" customFormat="1" ht="12" customHeight="1">
      <c r="A538" s="2"/>
      <c r="B538" s="6"/>
      <c r="C538" s="6"/>
      <c r="D538" s="7"/>
      <c r="E538" s="6"/>
      <c r="F538" s="3"/>
      <c r="G538" s="4"/>
      <c r="H538" s="7"/>
      <c r="I538" s="6"/>
      <c r="J538" s="5"/>
      <c r="K538" s="11"/>
      <c r="L538" s="11"/>
      <c r="M538" s="11"/>
      <c r="N538" s="12"/>
      <c r="O538" s="13"/>
      <c r="P538" s="12"/>
      <c r="Q538" s="13"/>
      <c r="R538" s="12"/>
      <c r="S538" s="13"/>
      <c r="T538" s="13"/>
      <c r="U538" s="1"/>
      <c r="V538" s="1"/>
      <c r="W538" s="8"/>
      <c r="X538" s="1"/>
      <c r="Y538" s="9"/>
      <c r="Z538" s="9"/>
      <c r="AA538" s="9"/>
      <c r="AB538" s="2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spans="1:37" s="10" customFormat="1" ht="12" customHeight="1">
      <c r="A539" s="2"/>
      <c r="B539" s="6"/>
      <c r="C539" s="6"/>
      <c r="D539" s="7"/>
      <c r="E539" s="6"/>
      <c r="F539" s="3"/>
      <c r="G539" s="4"/>
      <c r="H539" s="7"/>
      <c r="I539" s="6"/>
      <c r="J539" s="5"/>
      <c r="K539" s="11"/>
      <c r="L539" s="11"/>
      <c r="M539" s="11"/>
      <c r="N539" s="12"/>
      <c r="O539" s="13"/>
      <c r="P539" s="12"/>
      <c r="Q539" s="13"/>
      <c r="R539" s="12"/>
      <c r="S539" s="13"/>
      <c r="T539" s="13"/>
      <c r="U539" s="1"/>
      <c r="V539" s="1"/>
      <c r="W539" s="8"/>
      <c r="X539" s="1"/>
      <c r="Y539" s="9"/>
      <c r="Z539" s="9"/>
      <c r="AA539" s="9"/>
      <c r="AB539" s="2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spans="1:37" ht="12" customHeight="1"/>
  </sheetData>
  <mergeCells count="5">
    <mergeCell ref="U2:AB2"/>
    <mergeCell ref="AC2:AE2"/>
    <mergeCell ref="AF2:AH2"/>
    <mergeCell ref="AI2:AK2"/>
    <mergeCell ref="A505:T505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27D-8A4F-41BF-A4D5-AE34E32DC281}">
  <dimension ref="A3:H24"/>
  <sheetViews>
    <sheetView workbookViewId="0">
      <selection activeCell="G7" sqref="G7"/>
    </sheetView>
  </sheetViews>
  <sheetFormatPr defaultRowHeight="16.5"/>
  <cols>
    <col min="1" max="1" width="18.875" bestFit="1" customWidth="1"/>
    <col min="2" max="2" width="20.75" bestFit="1" customWidth="1"/>
    <col min="3" max="3" width="22.5" bestFit="1" customWidth="1"/>
    <col min="6" max="6" width="12.875" customWidth="1"/>
  </cols>
  <sheetData>
    <row r="3" spans="1:8">
      <c r="A3" s="98" t="s">
        <v>442</v>
      </c>
      <c r="B3" t="s">
        <v>1315</v>
      </c>
      <c r="C3" t="s">
        <v>1314</v>
      </c>
    </row>
    <row r="4" spans="1:8">
      <c r="A4" s="99" t="s">
        <v>14</v>
      </c>
      <c r="B4" s="100">
        <v>698976.85681999999</v>
      </c>
      <c r="C4" s="100">
        <v>3715090</v>
      </c>
      <c r="F4" s="99" t="s">
        <v>14</v>
      </c>
      <c r="G4" s="134">
        <f>+B4/C4</f>
        <v>0.18814533613452164</v>
      </c>
      <c r="H4" s="137">
        <f>1/G4</f>
        <v>5.3150400671373115</v>
      </c>
    </row>
    <row r="5" spans="1:8">
      <c r="A5" s="99" t="s">
        <v>21</v>
      </c>
      <c r="B5" s="100">
        <v>546512.81676000007</v>
      </c>
      <c r="C5" s="100">
        <v>2924565</v>
      </c>
      <c r="F5" s="99" t="s">
        <v>21</v>
      </c>
      <c r="G5" s="134">
        <f t="shared" ref="G5:G7" si="0">+B5/C5</f>
        <v>0.18686977952618597</v>
      </c>
      <c r="H5" s="137">
        <f t="shared" ref="H5:H8" si="1">1/G5</f>
        <v>5.3513200611438112</v>
      </c>
    </row>
    <row r="6" spans="1:8">
      <c r="A6" s="99" t="s">
        <v>167</v>
      </c>
      <c r="B6" s="100">
        <v>291685.53869999992</v>
      </c>
      <c r="C6" s="100">
        <v>1229355</v>
      </c>
      <c r="F6" s="99" t="s">
        <v>167</v>
      </c>
      <c r="G6" s="134">
        <f t="shared" si="0"/>
        <v>0.23726713496101606</v>
      </c>
      <c r="H6" s="137">
        <f t="shared" si="1"/>
        <v>4.2146587228117536</v>
      </c>
    </row>
    <row r="7" spans="1:8">
      <c r="A7" s="99" t="s">
        <v>267</v>
      </c>
      <c r="B7" s="100">
        <v>134080.49110000001</v>
      </c>
      <c r="C7" s="100">
        <v>671150</v>
      </c>
      <c r="F7" s="99" t="s">
        <v>267</v>
      </c>
      <c r="G7" s="134">
        <f t="shared" si="0"/>
        <v>0.19977723474633094</v>
      </c>
      <c r="H7" s="137">
        <f t="shared" si="1"/>
        <v>5.0055753413033255</v>
      </c>
    </row>
    <row r="8" spans="1:8">
      <c r="A8" s="99" t="s">
        <v>24</v>
      </c>
      <c r="B8" s="100">
        <v>98171.621999999974</v>
      </c>
      <c r="C8" s="100">
        <v>553622</v>
      </c>
      <c r="F8" s="99" t="s">
        <v>48</v>
      </c>
      <c r="G8" s="134">
        <f>+B20/C20</f>
        <v>0.22905999999999996</v>
      </c>
      <c r="H8" s="137">
        <f t="shared" si="1"/>
        <v>4.3656683838295649</v>
      </c>
    </row>
    <row r="9" spans="1:8">
      <c r="A9" s="99" t="s">
        <v>468</v>
      </c>
      <c r="B9" s="100">
        <v>107472.70250000001</v>
      </c>
      <c r="C9" s="100">
        <v>549980</v>
      </c>
    </row>
    <row r="10" spans="1:8">
      <c r="A10" s="99" t="s">
        <v>76</v>
      </c>
      <c r="B10" s="100">
        <v>91222.830700000006</v>
      </c>
      <c r="C10" s="100">
        <v>431820</v>
      </c>
    </row>
    <row r="11" spans="1:8">
      <c r="A11" s="99" t="s">
        <v>293</v>
      </c>
      <c r="B11" s="100">
        <v>75853.309000000008</v>
      </c>
      <c r="C11" s="100">
        <v>345995</v>
      </c>
    </row>
    <row r="12" spans="1:8">
      <c r="A12" s="99" t="s">
        <v>124</v>
      </c>
      <c r="B12" s="100">
        <v>54712.177599999995</v>
      </c>
      <c r="C12" s="100">
        <v>281745</v>
      </c>
    </row>
    <row r="13" spans="1:8">
      <c r="A13" s="99" t="s">
        <v>44</v>
      </c>
      <c r="B13" s="100">
        <v>47015.22830000001</v>
      </c>
      <c r="C13" s="100">
        <v>248652</v>
      </c>
    </row>
    <row r="14" spans="1:8">
      <c r="A14" s="99" t="s">
        <v>81</v>
      </c>
      <c r="B14" s="100">
        <v>46218.2</v>
      </c>
      <c r="C14" s="100">
        <v>225632</v>
      </c>
    </row>
    <row r="15" spans="1:8">
      <c r="A15" s="99" t="s">
        <v>527</v>
      </c>
      <c r="B15" s="100">
        <v>43689.036099999998</v>
      </c>
      <c r="C15" s="100">
        <v>207750</v>
      </c>
    </row>
    <row r="16" spans="1:8">
      <c r="A16" s="99" t="s">
        <v>619</v>
      </c>
      <c r="B16" s="100">
        <v>30646.333999999995</v>
      </c>
      <c r="C16" s="100">
        <v>157190</v>
      </c>
    </row>
    <row r="17" spans="1:5">
      <c r="A17" s="99" t="s">
        <v>309</v>
      </c>
      <c r="B17" s="100">
        <v>27277.249999999996</v>
      </c>
      <c r="C17" s="100">
        <v>97240</v>
      </c>
    </row>
    <row r="18" spans="1:5">
      <c r="A18" s="99" t="s">
        <v>347</v>
      </c>
      <c r="B18" s="100">
        <v>20119.067999999999</v>
      </c>
      <c r="C18" s="100">
        <v>94000</v>
      </c>
    </row>
    <row r="19" spans="1:5">
      <c r="A19" s="99" t="s">
        <v>585</v>
      </c>
      <c r="B19" s="100">
        <v>15864.119999999999</v>
      </c>
      <c r="C19" s="100">
        <v>76400</v>
      </c>
    </row>
    <row r="20" spans="1:5">
      <c r="A20" s="99" t="s">
        <v>48</v>
      </c>
      <c r="B20" s="100">
        <v>15168.353199999998</v>
      </c>
      <c r="C20" s="100">
        <v>66220</v>
      </c>
    </row>
    <row r="21" spans="1:5">
      <c r="A21" s="99" t="s">
        <v>275</v>
      </c>
      <c r="B21" s="100">
        <v>9690</v>
      </c>
      <c r="C21" s="100">
        <v>52800</v>
      </c>
    </row>
    <row r="22" spans="1:5">
      <c r="A22" s="99" t="s">
        <v>643</v>
      </c>
      <c r="B22" s="100">
        <v>10204.4</v>
      </c>
      <c r="C22" s="100">
        <v>50000</v>
      </c>
    </row>
    <row r="23" spans="1:5">
      <c r="A23" s="99" t="s">
        <v>257</v>
      </c>
      <c r="B23" s="100">
        <v>7388.079999999999</v>
      </c>
      <c r="C23" s="100">
        <v>31200</v>
      </c>
    </row>
    <row r="24" spans="1:5">
      <c r="A24" s="99" t="s">
        <v>443</v>
      </c>
      <c r="B24" s="100">
        <v>2371968.4147799998</v>
      </c>
      <c r="C24" s="100">
        <v>12010406</v>
      </c>
      <c r="D24" s="134">
        <f>+B24/C24</f>
        <v>0.19749277541325411</v>
      </c>
      <c r="E24">
        <f>1/D24</f>
        <v>5.0634763621479193</v>
      </c>
    </row>
  </sheetData>
  <autoFilter ref="A3:C24" xr:uid="{2DD5327D-8A4F-41BF-A4D5-AE34E32DC281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8C77-9013-4E42-B1CD-51DA8C222857}">
  <dimension ref="A2:AK312"/>
  <sheetViews>
    <sheetView showGridLines="0" topLeftCell="C1" zoomScale="90" zoomScaleNormal="90" workbookViewId="0">
      <pane ySplit="3" topLeftCell="A4" activePane="bottomLeft" state="frozen"/>
      <selection activeCell="L1" sqref="L1"/>
      <selection pane="bottomLeft" activeCell="G17" sqref="G17"/>
    </sheetView>
  </sheetViews>
  <sheetFormatPr defaultColWidth="12.125" defaultRowHeight="13.5"/>
  <cols>
    <col min="1" max="1" width="22.125" style="2" customWidth="1"/>
    <col min="2" max="2" width="13.75" style="6" bestFit="1" customWidth="1"/>
    <col min="3" max="3" width="15.875" style="6" bestFit="1" customWidth="1"/>
    <col min="4" max="4" width="26.875" style="7" bestFit="1" customWidth="1"/>
    <col min="5" max="5" width="13.75" style="6" bestFit="1" customWidth="1"/>
    <col min="6" max="6" width="13.75" style="3" customWidth="1"/>
    <col min="7" max="7" width="14.5" style="4" customWidth="1"/>
    <col min="8" max="8" width="88.75" style="7" customWidth="1"/>
    <col min="9" max="9" width="12.75" style="6" customWidth="1"/>
    <col min="10" max="10" width="13" style="5" customWidth="1"/>
    <col min="11" max="13" width="10.625" style="11" customWidth="1"/>
    <col min="14" max="14" width="8.625" style="12" customWidth="1"/>
    <col min="15" max="15" width="8.625" style="13" customWidth="1"/>
    <col min="16" max="16" width="8.625" style="12" customWidth="1"/>
    <col min="17" max="17" width="8.625" style="13" customWidth="1"/>
    <col min="18" max="18" width="8.625" style="12" customWidth="1"/>
    <col min="19" max="20" width="8.625" style="13" customWidth="1"/>
    <col min="21" max="21" width="9.125" style="1" bestFit="1" customWidth="1"/>
    <col min="22" max="22" width="7.625" style="1" customWidth="1"/>
    <col min="23" max="23" width="7.625" style="8" customWidth="1"/>
    <col min="24" max="24" width="7.625" style="1" customWidth="1"/>
    <col min="25" max="27" width="7.625" style="9" customWidth="1"/>
    <col min="28" max="28" width="11.375" style="2" bestFit="1" customWidth="1"/>
    <col min="29" max="29" width="12.875" style="11" bestFit="1" customWidth="1"/>
    <col min="30" max="30" width="10.625" style="11" customWidth="1"/>
    <col min="31" max="31" width="14" style="11" bestFit="1" customWidth="1"/>
    <col min="32" max="32" width="12.125" style="11"/>
    <col min="33" max="33" width="10.625" style="11" customWidth="1"/>
    <col min="34" max="35" width="12.125" style="11"/>
    <col min="36" max="36" width="10.625" style="11" customWidth="1"/>
    <col min="37" max="37" width="12.125" style="11"/>
    <col min="38" max="16384" width="12.125" style="1"/>
  </cols>
  <sheetData>
    <row r="2" spans="1:37" ht="30" customHeight="1">
      <c r="L2" s="128" t="s">
        <v>461</v>
      </c>
      <c r="M2" s="11" t="s">
        <v>456</v>
      </c>
      <c r="O2" s="13" t="s">
        <v>457</v>
      </c>
      <c r="Q2" s="13" t="s">
        <v>460</v>
      </c>
      <c r="S2" s="13" t="s">
        <v>458</v>
      </c>
      <c r="T2" s="13" t="s">
        <v>459</v>
      </c>
      <c r="U2" s="144" t="s">
        <v>697</v>
      </c>
      <c r="V2" s="144"/>
      <c r="W2" s="144"/>
      <c r="X2" s="144"/>
      <c r="Y2" s="144"/>
      <c r="Z2" s="144"/>
      <c r="AA2" s="144"/>
      <c r="AB2" s="145"/>
      <c r="AC2" s="139" t="s">
        <v>698</v>
      </c>
      <c r="AD2" s="139"/>
      <c r="AE2" s="140"/>
      <c r="AF2" s="139" t="s">
        <v>699</v>
      </c>
      <c r="AG2" s="139"/>
      <c r="AH2" s="140"/>
      <c r="AI2" s="139" t="s">
        <v>700</v>
      </c>
      <c r="AJ2" s="139"/>
      <c r="AK2" s="140"/>
    </row>
    <row r="3" spans="1:37" ht="30" customHeight="1">
      <c r="A3" s="56" t="s">
        <v>0</v>
      </c>
      <c r="B3" s="57" t="s">
        <v>1</v>
      </c>
      <c r="C3" s="57" t="s">
        <v>2</v>
      </c>
      <c r="D3" s="57" t="s">
        <v>3</v>
      </c>
      <c r="E3" s="57" t="s">
        <v>4</v>
      </c>
      <c r="F3" s="58" t="s">
        <v>5</v>
      </c>
      <c r="G3" s="59" t="s">
        <v>6</v>
      </c>
      <c r="H3" s="57" t="s">
        <v>7</v>
      </c>
      <c r="I3" s="57" t="s">
        <v>8</v>
      </c>
      <c r="J3" s="60" t="s">
        <v>9</v>
      </c>
      <c r="K3" s="61" t="s">
        <v>11</v>
      </c>
      <c r="L3" s="61" t="s">
        <v>397</v>
      </c>
      <c r="M3" s="61" t="s">
        <v>396</v>
      </c>
      <c r="N3" s="62" t="s">
        <v>430</v>
      </c>
      <c r="O3" s="63" t="s">
        <v>431</v>
      </c>
      <c r="P3" s="62" t="s">
        <v>432</v>
      </c>
      <c r="Q3" s="63" t="s">
        <v>433</v>
      </c>
      <c r="R3" s="62" t="s">
        <v>434</v>
      </c>
      <c r="S3" s="63" t="s">
        <v>435</v>
      </c>
      <c r="T3" s="97" t="s">
        <v>398</v>
      </c>
      <c r="U3" s="64" t="s">
        <v>423</v>
      </c>
      <c r="V3" s="65" t="s">
        <v>422</v>
      </c>
      <c r="W3" s="66" t="s">
        <v>426</v>
      </c>
      <c r="X3" s="66" t="s">
        <v>427</v>
      </c>
      <c r="Y3" s="67" t="s">
        <v>424</v>
      </c>
      <c r="Z3" s="67" t="s">
        <v>425</v>
      </c>
      <c r="AA3" s="68" t="s">
        <v>428</v>
      </c>
      <c r="AB3" s="101" t="s">
        <v>429</v>
      </c>
      <c r="AC3" s="102" t="s">
        <v>436</v>
      </c>
      <c r="AD3" s="103" t="s">
        <v>437</v>
      </c>
      <c r="AE3" s="96" t="s">
        <v>446</v>
      </c>
      <c r="AF3" s="102" t="s">
        <v>438</v>
      </c>
      <c r="AG3" s="103" t="s">
        <v>439</v>
      </c>
      <c r="AH3" s="96" t="s">
        <v>447</v>
      </c>
      <c r="AI3" s="102" t="s">
        <v>440</v>
      </c>
      <c r="AJ3" s="103" t="s">
        <v>441</v>
      </c>
      <c r="AK3" s="96" t="s">
        <v>448</v>
      </c>
    </row>
    <row r="4" spans="1:37" ht="15.95" customHeight="1">
      <c r="A4" s="14" t="s">
        <v>462</v>
      </c>
      <c r="B4" s="14" t="s">
        <v>463</v>
      </c>
      <c r="C4" s="15" t="s">
        <v>44</v>
      </c>
      <c r="D4" s="15" t="s">
        <v>464</v>
      </c>
      <c r="E4" s="15" t="s">
        <v>16</v>
      </c>
      <c r="F4" s="15" t="s">
        <v>465</v>
      </c>
      <c r="G4" s="15"/>
      <c r="H4" s="16" t="s">
        <v>466</v>
      </c>
      <c r="I4" s="15" t="s">
        <v>27</v>
      </c>
      <c r="J4" s="17" t="s">
        <v>46</v>
      </c>
      <c r="K4" s="122">
        <v>98</v>
      </c>
      <c r="L4" s="18">
        <v>19.461750000000002</v>
      </c>
      <c r="M4" s="109">
        <v>12.95</v>
      </c>
      <c r="N4" s="19">
        <v>0.32</v>
      </c>
      <c r="O4" s="114">
        <v>4.1440000000000001</v>
      </c>
      <c r="P4" s="19">
        <v>7.4999999999999997E-2</v>
      </c>
      <c r="Q4" s="114">
        <v>0.97124999999999995</v>
      </c>
      <c r="R4" s="19">
        <v>7.0000000000000007E-2</v>
      </c>
      <c r="S4" s="114">
        <v>0.90650000000000008</v>
      </c>
      <c r="T4" s="115">
        <v>0.49</v>
      </c>
      <c r="U4" s="20">
        <v>250</v>
      </c>
      <c r="V4" s="21">
        <v>98</v>
      </c>
      <c r="W4" s="22">
        <v>156</v>
      </c>
      <c r="X4" s="21"/>
      <c r="Y4" s="21"/>
      <c r="Z4" s="21"/>
      <c r="AA4" s="23"/>
      <c r="AB4" s="24">
        <f>SUM(U4:AA4)</f>
        <v>504</v>
      </c>
      <c r="AC4" s="74">
        <f>$K4*U4</f>
        <v>24500</v>
      </c>
      <c r="AD4" s="77">
        <f>$K4*SUM(V4:AA4)</f>
        <v>24892</v>
      </c>
      <c r="AE4" s="71">
        <f>SUM(AC4:AD4)</f>
        <v>49392</v>
      </c>
      <c r="AF4" s="74">
        <f>$L4*U4</f>
        <v>4865.4375000000009</v>
      </c>
      <c r="AG4" s="77">
        <f>$L4*SUM(V4:W4)+M4*SUM(X4:AA4)</f>
        <v>4943.2845000000007</v>
      </c>
      <c r="AH4" s="71">
        <f>SUM(AF4:AG4)</f>
        <v>9808.7220000000016</v>
      </c>
      <c r="AI4" s="74">
        <f>$M4*U4</f>
        <v>3237.5</v>
      </c>
      <c r="AJ4" s="77">
        <f>$M4*SUM(V4:AA4)</f>
        <v>3289.2999999999997</v>
      </c>
      <c r="AK4" s="71">
        <f>SUM(AI4:AJ4)</f>
        <v>6526.7999999999993</v>
      </c>
    </row>
    <row r="5" spans="1:37" ht="15.95" customHeight="1">
      <c r="A5" s="25" t="s">
        <v>462</v>
      </c>
      <c r="B5" s="25" t="s">
        <v>463</v>
      </c>
      <c r="C5" s="26" t="s">
        <v>44</v>
      </c>
      <c r="D5" s="26" t="s">
        <v>464</v>
      </c>
      <c r="E5" s="26" t="s">
        <v>16</v>
      </c>
      <c r="F5" s="26" t="s">
        <v>465</v>
      </c>
      <c r="G5" s="26"/>
      <c r="H5" s="27" t="s">
        <v>467</v>
      </c>
      <c r="I5" s="26" t="s">
        <v>27</v>
      </c>
      <c r="J5" s="28" t="s">
        <v>46</v>
      </c>
      <c r="K5" s="123">
        <v>98</v>
      </c>
      <c r="L5" s="29">
        <v>19.461750000000002</v>
      </c>
      <c r="M5" s="110">
        <v>12.95</v>
      </c>
      <c r="N5" s="30">
        <v>0.32</v>
      </c>
      <c r="O5" s="116">
        <v>4.1440000000000001</v>
      </c>
      <c r="P5" s="30">
        <v>7.4999999999999997E-2</v>
      </c>
      <c r="Q5" s="116">
        <v>0.97124999999999995</v>
      </c>
      <c r="R5" s="30">
        <v>7.0000000000000007E-2</v>
      </c>
      <c r="S5" s="116">
        <v>0.90650000000000008</v>
      </c>
      <c r="T5" s="117">
        <v>0.49</v>
      </c>
      <c r="U5" s="31">
        <v>250</v>
      </c>
      <c r="V5" s="32">
        <v>70</v>
      </c>
      <c r="W5" s="33">
        <v>185</v>
      </c>
      <c r="X5" s="32"/>
      <c r="Y5" s="32"/>
      <c r="Z5" s="32"/>
      <c r="AA5" s="34"/>
      <c r="AB5" s="35">
        <f t="shared" ref="AB5:AB68" si="0">SUM(U5:AA5)</f>
        <v>505</v>
      </c>
      <c r="AC5" s="75">
        <f t="shared" ref="AC5:AC68" si="1">$K5*U5</f>
        <v>24500</v>
      </c>
      <c r="AD5" s="78">
        <f t="shared" ref="AD5:AD68" si="2">$K5*SUM(V5:AA5)</f>
        <v>24990</v>
      </c>
      <c r="AE5" s="72">
        <f t="shared" ref="AE5:AE68" si="3">SUM(AC5:AD5)</f>
        <v>49490</v>
      </c>
      <c r="AF5" s="75">
        <f t="shared" ref="AF5:AF68" si="4">$L5*U5</f>
        <v>4865.4375000000009</v>
      </c>
      <c r="AG5" s="78">
        <f t="shared" ref="AG5:AG68" si="5">$L5*SUM(V5:W5)+M5*SUM(X5:AA5)</f>
        <v>4962.7462500000001</v>
      </c>
      <c r="AH5" s="72">
        <f t="shared" ref="AH5:AH68" si="6">SUM(AF5:AG5)</f>
        <v>9828.1837500000001</v>
      </c>
      <c r="AI5" s="75">
        <f t="shared" ref="AI5:AI68" si="7">$M5*U5</f>
        <v>3237.5</v>
      </c>
      <c r="AJ5" s="78">
        <f t="shared" ref="AJ5:AJ68" si="8">$M5*SUM(V5:AA5)</f>
        <v>3302.25</v>
      </c>
      <c r="AK5" s="72">
        <f t="shared" ref="AK5:AK68" si="9">SUM(AI5:AJ5)</f>
        <v>6539.75</v>
      </c>
    </row>
    <row r="6" spans="1:37" ht="15.95" customHeight="1">
      <c r="A6" s="25" t="s">
        <v>462</v>
      </c>
      <c r="B6" s="25" t="s">
        <v>463</v>
      </c>
      <c r="C6" s="26" t="s">
        <v>468</v>
      </c>
      <c r="D6" s="26" t="s">
        <v>464</v>
      </c>
      <c r="E6" s="26" t="s">
        <v>16</v>
      </c>
      <c r="F6" s="26" t="s">
        <v>469</v>
      </c>
      <c r="G6" s="26"/>
      <c r="H6" s="27" t="s">
        <v>95</v>
      </c>
      <c r="I6" s="26" t="s">
        <v>27</v>
      </c>
      <c r="J6" s="28" t="s">
        <v>41</v>
      </c>
      <c r="K6" s="123">
        <v>110</v>
      </c>
      <c r="L6" s="29">
        <v>18.829999999999998</v>
      </c>
      <c r="M6" s="110">
        <v>14</v>
      </c>
      <c r="N6" s="30">
        <v>0.16500000000000001</v>
      </c>
      <c r="O6" s="116">
        <v>2.31</v>
      </c>
      <c r="P6" s="30">
        <v>7.4999999999999997E-2</v>
      </c>
      <c r="Q6" s="116">
        <v>1.05</v>
      </c>
      <c r="R6" s="30">
        <v>7.0000000000000007E-2</v>
      </c>
      <c r="S6" s="116">
        <v>0.98000000000000009</v>
      </c>
      <c r="T6" s="117">
        <v>0.49</v>
      </c>
      <c r="U6" s="31">
        <v>351</v>
      </c>
      <c r="V6" s="32">
        <v>12</v>
      </c>
      <c r="W6" s="33">
        <v>125</v>
      </c>
      <c r="X6" s="32"/>
      <c r="Y6" s="32"/>
      <c r="Z6" s="32"/>
      <c r="AA6" s="34">
        <v>18</v>
      </c>
      <c r="AB6" s="35">
        <f t="shared" si="0"/>
        <v>506</v>
      </c>
      <c r="AC6" s="75">
        <f t="shared" si="1"/>
        <v>38610</v>
      </c>
      <c r="AD6" s="78">
        <f t="shared" si="2"/>
        <v>17050</v>
      </c>
      <c r="AE6" s="72">
        <f t="shared" si="3"/>
        <v>55660</v>
      </c>
      <c r="AF6" s="75">
        <f t="shared" si="4"/>
        <v>6609.329999999999</v>
      </c>
      <c r="AG6" s="78">
        <f t="shared" si="5"/>
        <v>2831.7099999999996</v>
      </c>
      <c r="AH6" s="72">
        <f t="shared" si="6"/>
        <v>9441.0399999999991</v>
      </c>
      <c r="AI6" s="75">
        <f t="shared" si="7"/>
        <v>4914</v>
      </c>
      <c r="AJ6" s="78">
        <f t="shared" si="8"/>
        <v>2170</v>
      </c>
      <c r="AK6" s="72">
        <f t="shared" si="9"/>
        <v>7084</v>
      </c>
    </row>
    <row r="7" spans="1:37" ht="15.95" customHeight="1">
      <c r="A7" s="25" t="s">
        <v>462</v>
      </c>
      <c r="B7" s="25" t="s">
        <v>463</v>
      </c>
      <c r="C7" s="26" t="s">
        <v>468</v>
      </c>
      <c r="D7" s="26" t="s">
        <v>464</v>
      </c>
      <c r="E7" s="26" t="s">
        <v>16</v>
      </c>
      <c r="F7" s="26" t="s">
        <v>469</v>
      </c>
      <c r="G7" s="26"/>
      <c r="H7" s="27" t="s">
        <v>95</v>
      </c>
      <c r="I7" s="26" t="s">
        <v>27</v>
      </c>
      <c r="J7" s="28" t="s">
        <v>41</v>
      </c>
      <c r="K7" s="123">
        <v>110</v>
      </c>
      <c r="L7" s="29">
        <v>18.829999999999998</v>
      </c>
      <c r="M7" s="110">
        <v>14</v>
      </c>
      <c r="N7" s="30">
        <v>0.16500000000000001</v>
      </c>
      <c r="O7" s="116">
        <v>2.31</v>
      </c>
      <c r="P7" s="30">
        <v>7.4999999999999997E-2</v>
      </c>
      <c r="Q7" s="116">
        <v>1.05</v>
      </c>
      <c r="R7" s="30">
        <v>7.0000000000000007E-2</v>
      </c>
      <c r="S7" s="116">
        <v>0.98000000000000009</v>
      </c>
      <c r="T7" s="117">
        <v>0.49</v>
      </c>
      <c r="U7" s="31">
        <v>251</v>
      </c>
      <c r="V7" s="32">
        <v>8</v>
      </c>
      <c r="W7" s="33">
        <v>223</v>
      </c>
      <c r="X7" s="32"/>
      <c r="Y7" s="32"/>
      <c r="Z7" s="32"/>
      <c r="AA7" s="34">
        <v>18</v>
      </c>
      <c r="AB7" s="35">
        <f t="shared" si="0"/>
        <v>500</v>
      </c>
      <c r="AC7" s="75">
        <f t="shared" si="1"/>
        <v>27610</v>
      </c>
      <c r="AD7" s="78">
        <f t="shared" si="2"/>
        <v>27390</v>
      </c>
      <c r="AE7" s="72">
        <f t="shared" si="3"/>
        <v>55000</v>
      </c>
      <c r="AF7" s="75">
        <f t="shared" si="4"/>
        <v>4726.33</v>
      </c>
      <c r="AG7" s="78">
        <f t="shared" si="5"/>
        <v>4601.7299999999996</v>
      </c>
      <c r="AH7" s="72">
        <f t="shared" si="6"/>
        <v>9328.06</v>
      </c>
      <c r="AI7" s="75">
        <f t="shared" si="7"/>
        <v>3514</v>
      </c>
      <c r="AJ7" s="78">
        <f t="shared" si="8"/>
        <v>3486</v>
      </c>
      <c r="AK7" s="72">
        <f t="shared" si="9"/>
        <v>7000</v>
      </c>
    </row>
    <row r="8" spans="1:37" ht="15.95" customHeight="1">
      <c r="A8" s="25" t="s">
        <v>462</v>
      </c>
      <c r="B8" s="25" t="s">
        <v>463</v>
      </c>
      <c r="C8" s="26" t="s">
        <v>267</v>
      </c>
      <c r="D8" s="26" t="s">
        <v>464</v>
      </c>
      <c r="E8" s="26" t="s">
        <v>16</v>
      </c>
      <c r="F8" s="26" t="s">
        <v>470</v>
      </c>
      <c r="G8" s="36"/>
      <c r="H8" s="27" t="s">
        <v>466</v>
      </c>
      <c r="I8" s="26" t="s">
        <v>27</v>
      </c>
      <c r="J8" s="28" t="s">
        <v>35</v>
      </c>
      <c r="K8" s="123">
        <v>85</v>
      </c>
      <c r="L8" s="29">
        <v>17.613999999999997</v>
      </c>
      <c r="M8" s="110">
        <v>12</v>
      </c>
      <c r="N8" s="30">
        <v>0.28199999999999997</v>
      </c>
      <c r="O8" s="116">
        <v>3.3839999999999995</v>
      </c>
      <c r="P8" s="30">
        <v>7.4999999999999997E-2</v>
      </c>
      <c r="Q8" s="116">
        <v>0.89999999999999991</v>
      </c>
      <c r="R8" s="30">
        <v>7.0000000000000007E-2</v>
      </c>
      <c r="S8" s="116">
        <v>0.84000000000000008</v>
      </c>
      <c r="T8" s="117">
        <v>0.49</v>
      </c>
      <c r="U8" s="31">
        <v>250</v>
      </c>
      <c r="V8" s="32">
        <v>76</v>
      </c>
      <c r="W8" s="33">
        <v>172</v>
      </c>
      <c r="X8" s="32"/>
      <c r="Y8" s="32"/>
      <c r="Z8" s="32"/>
      <c r="AA8" s="34">
        <v>6</v>
      </c>
      <c r="AB8" s="35">
        <f t="shared" si="0"/>
        <v>504</v>
      </c>
      <c r="AC8" s="75">
        <f t="shared" si="1"/>
        <v>21250</v>
      </c>
      <c r="AD8" s="78">
        <f t="shared" si="2"/>
        <v>21590</v>
      </c>
      <c r="AE8" s="72">
        <f t="shared" si="3"/>
        <v>42840</v>
      </c>
      <c r="AF8" s="75">
        <f t="shared" si="4"/>
        <v>4403.4999999999991</v>
      </c>
      <c r="AG8" s="78">
        <f t="shared" si="5"/>
        <v>4440.271999999999</v>
      </c>
      <c r="AH8" s="72">
        <f t="shared" si="6"/>
        <v>8843.7719999999972</v>
      </c>
      <c r="AI8" s="75">
        <f t="shared" si="7"/>
        <v>3000</v>
      </c>
      <c r="AJ8" s="78">
        <f t="shared" si="8"/>
        <v>3048</v>
      </c>
      <c r="AK8" s="72">
        <f t="shared" si="9"/>
        <v>6048</v>
      </c>
    </row>
    <row r="9" spans="1:37" ht="15.95" customHeight="1">
      <c r="A9" s="25" t="s">
        <v>462</v>
      </c>
      <c r="B9" s="25" t="s">
        <v>463</v>
      </c>
      <c r="C9" s="26" t="s">
        <v>267</v>
      </c>
      <c r="D9" s="26" t="s">
        <v>464</v>
      </c>
      <c r="E9" s="26" t="s">
        <v>16</v>
      </c>
      <c r="F9" s="26" t="s">
        <v>470</v>
      </c>
      <c r="G9" s="36"/>
      <c r="H9" s="27" t="s">
        <v>467</v>
      </c>
      <c r="I9" s="26" t="s">
        <v>27</v>
      </c>
      <c r="J9" s="28" t="s">
        <v>35</v>
      </c>
      <c r="K9" s="123">
        <v>85</v>
      </c>
      <c r="L9" s="29">
        <v>17.613999999999997</v>
      </c>
      <c r="M9" s="110">
        <v>12</v>
      </c>
      <c r="N9" s="30">
        <v>0.28199999999999997</v>
      </c>
      <c r="O9" s="116">
        <v>3.3839999999999995</v>
      </c>
      <c r="P9" s="30">
        <v>7.4999999999999997E-2</v>
      </c>
      <c r="Q9" s="116">
        <v>0.89999999999999991</v>
      </c>
      <c r="R9" s="30">
        <v>7.0000000000000007E-2</v>
      </c>
      <c r="S9" s="116">
        <v>0.84000000000000008</v>
      </c>
      <c r="T9" s="117">
        <v>0.49</v>
      </c>
      <c r="U9" s="31">
        <v>250</v>
      </c>
      <c r="V9" s="32">
        <v>212</v>
      </c>
      <c r="W9" s="33">
        <v>29</v>
      </c>
      <c r="X9" s="32"/>
      <c r="Y9" s="32"/>
      <c r="Z9" s="32"/>
      <c r="AA9" s="34">
        <v>6</v>
      </c>
      <c r="AB9" s="35">
        <f t="shared" si="0"/>
        <v>497</v>
      </c>
      <c r="AC9" s="75">
        <f t="shared" si="1"/>
        <v>21250</v>
      </c>
      <c r="AD9" s="78">
        <f t="shared" si="2"/>
        <v>20995</v>
      </c>
      <c r="AE9" s="72">
        <f t="shared" si="3"/>
        <v>42245</v>
      </c>
      <c r="AF9" s="75">
        <f t="shared" si="4"/>
        <v>4403.4999999999991</v>
      </c>
      <c r="AG9" s="78">
        <f t="shared" si="5"/>
        <v>4316.9739999999993</v>
      </c>
      <c r="AH9" s="72">
        <f t="shared" si="6"/>
        <v>8720.4739999999983</v>
      </c>
      <c r="AI9" s="75">
        <f t="shared" si="7"/>
        <v>3000</v>
      </c>
      <c r="AJ9" s="78">
        <f t="shared" si="8"/>
        <v>2964</v>
      </c>
      <c r="AK9" s="72">
        <f t="shared" si="9"/>
        <v>5964</v>
      </c>
    </row>
    <row r="10" spans="1:37" ht="15.95" customHeight="1">
      <c r="A10" s="25" t="s">
        <v>462</v>
      </c>
      <c r="B10" s="25" t="s">
        <v>463</v>
      </c>
      <c r="C10" s="26" t="s">
        <v>24</v>
      </c>
      <c r="D10" s="26" t="s">
        <v>464</v>
      </c>
      <c r="E10" s="26" t="s">
        <v>16</v>
      </c>
      <c r="F10" s="26" t="s">
        <v>471</v>
      </c>
      <c r="G10" s="26"/>
      <c r="H10" s="27" t="s">
        <v>466</v>
      </c>
      <c r="I10" s="26" t="s">
        <v>27</v>
      </c>
      <c r="J10" s="37" t="s">
        <v>28</v>
      </c>
      <c r="K10" s="123">
        <v>78</v>
      </c>
      <c r="L10" s="29">
        <v>17.044499999999999</v>
      </c>
      <c r="M10" s="110">
        <v>11.3</v>
      </c>
      <c r="N10" s="30">
        <v>0.32</v>
      </c>
      <c r="O10" s="116">
        <v>3.6160000000000001</v>
      </c>
      <c r="P10" s="30">
        <v>7.4999999999999997E-2</v>
      </c>
      <c r="Q10" s="116">
        <v>0.84750000000000003</v>
      </c>
      <c r="R10" s="30">
        <v>7.0000000000000007E-2</v>
      </c>
      <c r="S10" s="116">
        <v>0.79100000000000015</v>
      </c>
      <c r="T10" s="117">
        <v>0.49</v>
      </c>
      <c r="U10" s="31">
        <v>301</v>
      </c>
      <c r="V10" s="32">
        <v>93</v>
      </c>
      <c r="W10" s="33"/>
      <c r="X10" s="32"/>
      <c r="Y10" s="32"/>
      <c r="Z10" s="32"/>
      <c r="AA10" s="34"/>
      <c r="AB10" s="35">
        <f t="shared" si="0"/>
        <v>394</v>
      </c>
      <c r="AC10" s="75">
        <f t="shared" si="1"/>
        <v>23478</v>
      </c>
      <c r="AD10" s="78">
        <f t="shared" si="2"/>
        <v>7254</v>
      </c>
      <c r="AE10" s="72">
        <f t="shared" si="3"/>
        <v>30732</v>
      </c>
      <c r="AF10" s="75">
        <f t="shared" si="4"/>
        <v>5130.3944999999994</v>
      </c>
      <c r="AG10" s="78">
        <f t="shared" si="5"/>
        <v>1585.1385</v>
      </c>
      <c r="AH10" s="72">
        <f t="shared" si="6"/>
        <v>6715.5329999999994</v>
      </c>
      <c r="AI10" s="75">
        <f t="shared" si="7"/>
        <v>3401.3</v>
      </c>
      <c r="AJ10" s="78">
        <f t="shared" si="8"/>
        <v>1050.9000000000001</v>
      </c>
      <c r="AK10" s="72">
        <f t="shared" si="9"/>
        <v>4452.2000000000007</v>
      </c>
    </row>
    <row r="11" spans="1:37" ht="15.95" customHeight="1">
      <c r="A11" s="25" t="s">
        <v>462</v>
      </c>
      <c r="B11" s="25" t="s">
        <v>463</v>
      </c>
      <c r="C11" s="26" t="s">
        <v>24</v>
      </c>
      <c r="D11" s="26" t="s">
        <v>464</v>
      </c>
      <c r="E11" s="26" t="s">
        <v>16</v>
      </c>
      <c r="F11" s="26" t="s">
        <v>471</v>
      </c>
      <c r="G11" s="26"/>
      <c r="H11" s="27" t="s">
        <v>467</v>
      </c>
      <c r="I11" s="26" t="s">
        <v>27</v>
      </c>
      <c r="J11" s="37" t="s">
        <v>28</v>
      </c>
      <c r="K11" s="123">
        <v>78</v>
      </c>
      <c r="L11" s="29">
        <v>17.044499999999999</v>
      </c>
      <c r="M11" s="110">
        <v>11.3</v>
      </c>
      <c r="N11" s="30">
        <v>0.32</v>
      </c>
      <c r="O11" s="116">
        <v>3.6160000000000001</v>
      </c>
      <c r="P11" s="30">
        <v>7.4999999999999997E-2</v>
      </c>
      <c r="Q11" s="116">
        <v>0.84750000000000003</v>
      </c>
      <c r="R11" s="30">
        <v>7.0000000000000007E-2</v>
      </c>
      <c r="S11" s="116">
        <v>0.79100000000000015</v>
      </c>
      <c r="T11" s="117">
        <v>0.49</v>
      </c>
      <c r="U11" s="31">
        <v>301</v>
      </c>
      <c r="V11" s="32">
        <v>207</v>
      </c>
      <c r="W11" s="33"/>
      <c r="X11" s="32"/>
      <c r="Y11" s="32"/>
      <c r="Z11" s="32"/>
      <c r="AA11" s="34"/>
      <c r="AB11" s="35">
        <f t="shared" si="0"/>
        <v>508</v>
      </c>
      <c r="AC11" s="75">
        <f t="shared" si="1"/>
        <v>23478</v>
      </c>
      <c r="AD11" s="78">
        <f t="shared" si="2"/>
        <v>16146</v>
      </c>
      <c r="AE11" s="72">
        <f t="shared" si="3"/>
        <v>39624</v>
      </c>
      <c r="AF11" s="75">
        <f t="shared" si="4"/>
        <v>5130.3944999999994</v>
      </c>
      <c r="AG11" s="78">
        <f t="shared" si="5"/>
        <v>3528.2114999999999</v>
      </c>
      <c r="AH11" s="72">
        <f t="shared" si="6"/>
        <v>8658.6059999999998</v>
      </c>
      <c r="AI11" s="75">
        <f t="shared" si="7"/>
        <v>3401.3</v>
      </c>
      <c r="AJ11" s="78">
        <f t="shared" si="8"/>
        <v>2339.1000000000004</v>
      </c>
      <c r="AK11" s="72">
        <f t="shared" si="9"/>
        <v>5740.4000000000005</v>
      </c>
    </row>
    <row r="12" spans="1:37" ht="15.95" customHeight="1">
      <c r="A12" s="25" t="s">
        <v>462</v>
      </c>
      <c r="B12" s="25" t="s">
        <v>463</v>
      </c>
      <c r="C12" s="26" t="s">
        <v>267</v>
      </c>
      <c r="D12" s="26" t="s">
        <v>464</v>
      </c>
      <c r="E12" s="26" t="s">
        <v>16</v>
      </c>
      <c r="F12" s="26" t="s">
        <v>472</v>
      </c>
      <c r="G12" s="26"/>
      <c r="H12" s="27" t="s">
        <v>473</v>
      </c>
      <c r="I12" s="26" t="s">
        <v>19</v>
      </c>
      <c r="J12" s="28" t="s">
        <v>31</v>
      </c>
      <c r="K12" s="123">
        <v>78</v>
      </c>
      <c r="L12" s="29">
        <v>16.866</v>
      </c>
      <c r="M12" s="110">
        <v>11.5</v>
      </c>
      <c r="N12" s="30">
        <v>0.27900000000000003</v>
      </c>
      <c r="O12" s="116">
        <v>3.2085000000000004</v>
      </c>
      <c r="P12" s="30">
        <v>7.4999999999999997E-2</v>
      </c>
      <c r="Q12" s="116">
        <v>0.86249999999999993</v>
      </c>
      <c r="R12" s="30">
        <v>7.0000000000000007E-2</v>
      </c>
      <c r="S12" s="116">
        <v>0.80500000000000005</v>
      </c>
      <c r="T12" s="117">
        <v>0.49</v>
      </c>
      <c r="U12" s="31">
        <v>299</v>
      </c>
      <c r="V12" s="32">
        <v>208</v>
      </c>
      <c r="W12" s="33"/>
      <c r="X12" s="32"/>
      <c r="Y12" s="32"/>
      <c r="Z12" s="32"/>
      <c r="AA12" s="34"/>
      <c r="AB12" s="35">
        <f t="shared" si="0"/>
        <v>507</v>
      </c>
      <c r="AC12" s="75">
        <f t="shared" si="1"/>
        <v>23322</v>
      </c>
      <c r="AD12" s="78">
        <f t="shared" si="2"/>
        <v>16224</v>
      </c>
      <c r="AE12" s="72">
        <f t="shared" si="3"/>
        <v>39546</v>
      </c>
      <c r="AF12" s="75">
        <f t="shared" si="4"/>
        <v>5042.9340000000002</v>
      </c>
      <c r="AG12" s="78">
        <f t="shared" si="5"/>
        <v>3508.1279999999997</v>
      </c>
      <c r="AH12" s="72">
        <f t="shared" si="6"/>
        <v>8551.0619999999999</v>
      </c>
      <c r="AI12" s="75">
        <f t="shared" si="7"/>
        <v>3438.5</v>
      </c>
      <c r="AJ12" s="78">
        <f t="shared" si="8"/>
        <v>2392</v>
      </c>
      <c r="AK12" s="72">
        <f t="shared" si="9"/>
        <v>5830.5</v>
      </c>
    </row>
    <row r="13" spans="1:37" ht="15.95" customHeight="1">
      <c r="A13" s="25" t="s">
        <v>462</v>
      </c>
      <c r="B13" s="25" t="s">
        <v>463</v>
      </c>
      <c r="C13" s="26" t="s">
        <v>267</v>
      </c>
      <c r="D13" s="26" t="s">
        <v>464</v>
      </c>
      <c r="E13" s="26" t="s">
        <v>16</v>
      </c>
      <c r="F13" s="26" t="s">
        <v>472</v>
      </c>
      <c r="G13" s="36"/>
      <c r="H13" s="27" t="s">
        <v>474</v>
      </c>
      <c r="I13" s="26" t="s">
        <v>19</v>
      </c>
      <c r="J13" s="28" t="s">
        <v>31</v>
      </c>
      <c r="K13" s="123">
        <v>78</v>
      </c>
      <c r="L13" s="29">
        <v>16.866</v>
      </c>
      <c r="M13" s="110">
        <v>11.5</v>
      </c>
      <c r="N13" s="30">
        <v>0.27900000000000003</v>
      </c>
      <c r="O13" s="116">
        <v>3.2085000000000004</v>
      </c>
      <c r="P13" s="30">
        <v>7.4999999999999997E-2</v>
      </c>
      <c r="Q13" s="116">
        <v>0.86249999999999993</v>
      </c>
      <c r="R13" s="30">
        <v>7.0000000000000007E-2</v>
      </c>
      <c r="S13" s="116">
        <v>0.80500000000000005</v>
      </c>
      <c r="T13" s="117">
        <v>0.49</v>
      </c>
      <c r="U13" s="31">
        <v>299</v>
      </c>
      <c r="V13" s="32">
        <v>55</v>
      </c>
      <c r="W13" s="33">
        <v>146</v>
      </c>
      <c r="X13" s="32"/>
      <c r="Y13" s="32"/>
      <c r="Z13" s="32"/>
      <c r="AA13" s="34"/>
      <c r="AB13" s="35">
        <f t="shared" si="0"/>
        <v>500</v>
      </c>
      <c r="AC13" s="75">
        <f t="shared" si="1"/>
        <v>23322</v>
      </c>
      <c r="AD13" s="78">
        <f t="shared" si="2"/>
        <v>15678</v>
      </c>
      <c r="AE13" s="72">
        <f t="shared" si="3"/>
        <v>39000</v>
      </c>
      <c r="AF13" s="75">
        <f t="shared" si="4"/>
        <v>5042.9340000000002</v>
      </c>
      <c r="AG13" s="78">
        <f t="shared" si="5"/>
        <v>3390.0659999999998</v>
      </c>
      <c r="AH13" s="72">
        <f t="shared" si="6"/>
        <v>8433</v>
      </c>
      <c r="AI13" s="75">
        <f t="shared" si="7"/>
        <v>3438.5</v>
      </c>
      <c r="AJ13" s="78">
        <f t="shared" si="8"/>
        <v>2311.5</v>
      </c>
      <c r="AK13" s="72">
        <f t="shared" si="9"/>
        <v>5750</v>
      </c>
    </row>
    <row r="14" spans="1:37" ht="15.95" customHeight="1">
      <c r="A14" s="25" t="s">
        <v>462</v>
      </c>
      <c r="B14" s="25" t="s">
        <v>463</v>
      </c>
      <c r="C14" s="26" t="s">
        <v>267</v>
      </c>
      <c r="D14" s="26" t="s">
        <v>464</v>
      </c>
      <c r="E14" s="26" t="s">
        <v>16</v>
      </c>
      <c r="F14" s="26" t="s">
        <v>472</v>
      </c>
      <c r="G14" s="36"/>
      <c r="H14" s="27" t="s">
        <v>474</v>
      </c>
      <c r="I14" s="26" t="s">
        <v>19</v>
      </c>
      <c r="J14" s="28" t="s">
        <v>31</v>
      </c>
      <c r="K14" s="123">
        <v>78</v>
      </c>
      <c r="L14" s="29">
        <v>16.866</v>
      </c>
      <c r="M14" s="110">
        <v>11.5</v>
      </c>
      <c r="N14" s="30">
        <v>0.27900000000000003</v>
      </c>
      <c r="O14" s="116">
        <v>3.2085000000000004</v>
      </c>
      <c r="P14" s="30">
        <v>7.4999999999999997E-2</v>
      </c>
      <c r="Q14" s="116">
        <v>0.86249999999999993</v>
      </c>
      <c r="R14" s="30">
        <v>7.0000000000000007E-2</v>
      </c>
      <c r="S14" s="116">
        <v>0.80500000000000005</v>
      </c>
      <c r="T14" s="117">
        <v>0.49</v>
      </c>
      <c r="U14" s="31">
        <v>299</v>
      </c>
      <c r="V14" s="32">
        <v>51</v>
      </c>
      <c r="W14" s="33">
        <v>150</v>
      </c>
      <c r="X14" s="32"/>
      <c r="Y14" s="32"/>
      <c r="Z14" s="32"/>
      <c r="AA14" s="34"/>
      <c r="AB14" s="35">
        <f t="shared" si="0"/>
        <v>500</v>
      </c>
      <c r="AC14" s="75">
        <f t="shared" si="1"/>
        <v>23322</v>
      </c>
      <c r="AD14" s="78">
        <f t="shared" si="2"/>
        <v>15678</v>
      </c>
      <c r="AE14" s="72">
        <f t="shared" si="3"/>
        <v>39000</v>
      </c>
      <c r="AF14" s="75">
        <f t="shared" si="4"/>
        <v>5042.9340000000002</v>
      </c>
      <c r="AG14" s="78">
        <f t="shared" si="5"/>
        <v>3390.0659999999998</v>
      </c>
      <c r="AH14" s="72">
        <f t="shared" si="6"/>
        <v>8433</v>
      </c>
      <c r="AI14" s="75">
        <f t="shared" si="7"/>
        <v>3438.5</v>
      </c>
      <c r="AJ14" s="78">
        <f t="shared" si="8"/>
        <v>2311.5</v>
      </c>
      <c r="AK14" s="72">
        <f t="shared" si="9"/>
        <v>5750</v>
      </c>
    </row>
    <row r="15" spans="1:37" ht="15.95" customHeight="1">
      <c r="A15" s="25" t="s">
        <v>462</v>
      </c>
      <c r="B15" s="25" t="s">
        <v>463</v>
      </c>
      <c r="C15" s="26" t="s">
        <v>468</v>
      </c>
      <c r="D15" s="26" t="s">
        <v>464</v>
      </c>
      <c r="E15" s="26" t="s">
        <v>16</v>
      </c>
      <c r="F15" s="26" t="s">
        <v>475</v>
      </c>
      <c r="G15" s="36"/>
      <c r="H15" s="27" t="s">
        <v>476</v>
      </c>
      <c r="I15" s="26" t="s">
        <v>27</v>
      </c>
      <c r="J15" s="28" t="s">
        <v>168</v>
      </c>
      <c r="K15" s="123">
        <v>125</v>
      </c>
      <c r="L15" s="29">
        <v>22.391749999999998</v>
      </c>
      <c r="M15" s="110">
        <v>14.95</v>
      </c>
      <c r="N15" s="30">
        <v>0.32</v>
      </c>
      <c r="O15" s="116">
        <v>4.7839999999999998</v>
      </c>
      <c r="P15" s="30">
        <v>7.4999999999999997E-2</v>
      </c>
      <c r="Q15" s="116">
        <v>1.1212499999999999</v>
      </c>
      <c r="R15" s="30">
        <v>7.0000000000000007E-2</v>
      </c>
      <c r="S15" s="116">
        <v>1.0465</v>
      </c>
      <c r="T15" s="117">
        <v>0.49</v>
      </c>
      <c r="U15" s="31">
        <v>301</v>
      </c>
      <c r="V15" s="32">
        <v>26</v>
      </c>
      <c r="W15" s="33">
        <v>166</v>
      </c>
      <c r="X15" s="32"/>
      <c r="Y15" s="32"/>
      <c r="Z15" s="32"/>
      <c r="AA15" s="34">
        <v>12</v>
      </c>
      <c r="AB15" s="35">
        <f t="shared" si="0"/>
        <v>505</v>
      </c>
      <c r="AC15" s="75">
        <f t="shared" si="1"/>
        <v>37625</v>
      </c>
      <c r="AD15" s="78">
        <f t="shared" si="2"/>
        <v>25500</v>
      </c>
      <c r="AE15" s="72">
        <f t="shared" si="3"/>
        <v>63125</v>
      </c>
      <c r="AF15" s="75">
        <f t="shared" si="4"/>
        <v>6739.9167499999994</v>
      </c>
      <c r="AG15" s="78">
        <f t="shared" si="5"/>
        <v>4478.6159999999991</v>
      </c>
      <c r="AH15" s="72">
        <f t="shared" si="6"/>
        <v>11218.532749999998</v>
      </c>
      <c r="AI15" s="75">
        <f t="shared" si="7"/>
        <v>4499.95</v>
      </c>
      <c r="AJ15" s="78">
        <f t="shared" si="8"/>
        <v>3049.7999999999997</v>
      </c>
      <c r="AK15" s="72">
        <f t="shared" si="9"/>
        <v>7549.75</v>
      </c>
    </row>
    <row r="16" spans="1:37" ht="15.95" customHeight="1">
      <c r="A16" s="25" t="s">
        <v>462</v>
      </c>
      <c r="B16" s="25" t="s">
        <v>463</v>
      </c>
      <c r="C16" s="26" t="s">
        <v>468</v>
      </c>
      <c r="D16" s="26" t="s">
        <v>464</v>
      </c>
      <c r="E16" s="26" t="s">
        <v>16</v>
      </c>
      <c r="F16" s="26" t="s">
        <v>475</v>
      </c>
      <c r="G16" s="36"/>
      <c r="H16" s="27" t="s">
        <v>476</v>
      </c>
      <c r="I16" s="26" t="s">
        <v>27</v>
      </c>
      <c r="J16" s="28" t="s">
        <v>168</v>
      </c>
      <c r="K16" s="123">
        <v>125</v>
      </c>
      <c r="L16" s="29">
        <v>22.391749999999998</v>
      </c>
      <c r="M16" s="110">
        <v>14.95</v>
      </c>
      <c r="N16" s="30">
        <v>0.32</v>
      </c>
      <c r="O16" s="116">
        <v>4.7839999999999998</v>
      </c>
      <c r="P16" s="30">
        <v>7.4999999999999997E-2</v>
      </c>
      <c r="Q16" s="116">
        <v>1.1212499999999999</v>
      </c>
      <c r="R16" s="30">
        <v>7.0000000000000007E-2</v>
      </c>
      <c r="S16" s="116">
        <v>1.0465</v>
      </c>
      <c r="T16" s="117">
        <v>0.49</v>
      </c>
      <c r="U16" s="31">
        <v>301</v>
      </c>
      <c r="V16" s="32"/>
      <c r="W16" s="33">
        <v>187</v>
      </c>
      <c r="X16" s="32"/>
      <c r="Y16" s="32"/>
      <c r="Z16" s="32"/>
      <c r="AA16" s="34">
        <v>12</v>
      </c>
      <c r="AB16" s="35">
        <f t="shared" si="0"/>
        <v>500</v>
      </c>
      <c r="AC16" s="75">
        <f t="shared" si="1"/>
        <v>37625</v>
      </c>
      <c r="AD16" s="78">
        <f t="shared" si="2"/>
        <v>24875</v>
      </c>
      <c r="AE16" s="72">
        <f t="shared" si="3"/>
        <v>62500</v>
      </c>
      <c r="AF16" s="75">
        <f t="shared" si="4"/>
        <v>6739.9167499999994</v>
      </c>
      <c r="AG16" s="78">
        <f t="shared" si="5"/>
        <v>4366.6572499999993</v>
      </c>
      <c r="AH16" s="72">
        <f t="shared" si="6"/>
        <v>11106.573999999999</v>
      </c>
      <c r="AI16" s="75">
        <f t="shared" si="7"/>
        <v>4499.95</v>
      </c>
      <c r="AJ16" s="78">
        <f t="shared" si="8"/>
        <v>2975.0499999999997</v>
      </c>
      <c r="AK16" s="72">
        <f t="shared" si="9"/>
        <v>7475</v>
      </c>
    </row>
    <row r="17" spans="1:37" ht="15.95" customHeight="1">
      <c r="A17" s="25" t="s">
        <v>462</v>
      </c>
      <c r="B17" s="25" t="s">
        <v>463</v>
      </c>
      <c r="C17" s="26" t="s">
        <v>267</v>
      </c>
      <c r="D17" s="26" t="s">
        <v>464</v>
      </c>
      <c r="E17" s="26" t="s">
        <v>16</v>
      </c>
      <c r="F17" s="26" t="s">
        <v>477</v>
      </c>
      <c r="G17" s="36"/>
      <c r="H17" s="27" t="s">
        <v>476</v>
      </c>
      <c r="I17" s="26" t="s">
        <v>27</v>
      </c>
      <c r="J17" s="28" t="s">
        <v>35</v>
      </c>
      <c r="K17" s="123">
        <v>90</v>
      </c>
      <c r="L17" s="29">
        <v>15.4735</v>
      </c>
      <c r="M17" s="110">
        <v>10.5</v>
      </c>
      <c r="N17" s="30">
        <v>0.28199999999999997</v>
      </c>
      <c r="O17" s="116">
        <v>2.9609999999999999</v>
      </c>
      <c r="P17" s="30">
        <v>7.4999999999999997E-2</v>
      </c>
      <c r="Q17" s="116">
        <v>0.78749999999999998</v>
      </c>
      <c r="R17" s="30">
        <v>7.0000000000000007E-2</v>
      </c>
      <c r="S17" s="116">
        <v>0.7350000000000001</v>
      </c>
      <c r="T17" s="117">
        <v>0.49</v>
      </c>
      <c r="U17" s="31">
        <v>299</v>
      </c>
      <c r="V17" s="32">
        <v>228</v>
      </c>
      <c r="W17" s="33"/>
      <c r="X17" s="32"/>
      <c r="Y17" s="32"/>
      <c r="Z17" s="32"/>
      <c r="AA17" s="34"/>
      <c r="AB17" s="35">
        <f t="shared" si="0"/>
        <v>527</v>
      </c>
      <c r="AC17" s="75">
        <f t="shared" si="1"/>
        <v>26910</v>
      </c>
      <c r="AD17" s="78">
        <f t="shared" si="2"/>
        <v>20520</v>
      </c>
      <c r="AE17" s="72">
        <f t="shared" si="3"/>
        <v>47430</v>
      </c>
      <c r="AF17" s="75">
        <f t="shared" si="4"/>
        <v>4626.5765000000001</v>
      </c>
      <c r="AG17" s="78">
        <f t="shared" si="5"/>
        <v>3527.9580000000001</v>
      </c>
      <c r="AH17" s="72">
        <f t="shared" si="6"/>
        <v>8154.5344999999998</v>
      </c>
      <c r="AI17" s="75">
        <f t="shared" si="7"/>
        <v>3139.5</v>
      </c>
      <c r="AJ17" s="78">
        <f t="shared" si="8"/>
        <v>2394</v>
      </c>
      <c r="AK17" s="72">
        <f t="shared" si="9"/>
        <v>5533.5</v>
      </c>
    </row>
    <row r="18" spans="1:37" ht="15.95" customHeight="1">
      <c r="A18" s="25" t="s">
        <v>462</v>
      </c>
      <c r="B18" s="25" t="s">
        <v>463</v>
      </c>
      <c r="C18" s="26" t="s">
        <v>267</v>
      </c>
      <c r="D18" s="26" t="s">
        <v>464</v>
      </c>
      <c r="E18" s="26" t="s">
        <v>16</v>
      </c>
      <c r="F18" s="26" t="s">
        <v>477</v>
      </c>
      <c r="G18" s="26"/>
      <c r="H18" s="27" t="s">
        <v>478</v>
      </c>
      <c r="I18" s="26" t="s">
        <v>27</v>
      </c>
      <c r="J18" s="28" t="s">
        <v>35</v>
      </c>
      <c r="K18" s="123">
        <v>90</v>
      </c>
      <c r="L18" s="29">
        <v>15.4735</v>
      </c>
      <c r="M18" s="110">
        <v>10.5</v>
      </c>
      <c r="N18" s="30">
        <v>0.28199999999999997</v>
      </c>
      <c r="O18" s="116">
        <v>2.9609999999999999</v>
      </c>
      <c r="P18" s="30">
        <v>7.4999999999999997E-2</v>
      </c>
      <c r="Q18" s="116">
        <v>0.78749999999999998</v>
      </c>
      <c r="R18" s="30">
        <v>7.0000000000000007E-2</v>
      </c>
      <c r="S18" s="116">
        <v>0.7350000000000001</v>
      </c>
      <c r="T18" s="117">
        <v>0.49</v>
      </c>
      <c r="U18" s="31">
        <v>299</v>
      </c>
      <c r="V18" s="32">
        <v>47</v>
      </c>
      <c r="W18" s="38">
        <v>160</v>
      </c>
      <c r="X18" s="32"/>
      <c r="Y18" s="32"/>
      <c r="Z18" s="32"/>
      <c r="AA18" s="34"/>
      <c r="AB18" s="35">
        <f t="shared" si="0"/>
        <v>506</v>
      </c>
      <c r="AC18" s="75">
        <f t="shared" si="1"/>
        <v>26910</v>
      </c>
      <c r="AD18" s="78">
        <f t="shared" si="2"/>
        <v>18630</v>
      </c>
      <c r="AE18" s="72">
        <f t="shared" si="3"/>
        <v>45540</v>
      </c>
      <c r="AF18" s="75">
        <f t="shared" si="4"/>
        <v>4626.5765000000001</v>
      </c>
      <c r="AG18" s="78">
        <f t="shared" si="5"/>
        <v>3203.0144999999998</v>
      </c>
      <c r="AH18" s="72">
        <f t="shared" si="6"/>
        <v>7829.5910000000003</v>
      </c>
      <c r="AI18" s="75">
        <f t="shared" si="7"/>
        <v>3139.5</v>
      </c>
      <c r="AJ18" s="78">
        <f t="shared" si="8"/>
        <v>2173.5</v>
      </c>
      <c r="AK18" s="72">
        <f t="shared" si="9"/>
        <v>5313</v>
      </c>
    </row>
    <row r="19" spans="1:37" ht="15.95" customHeight="1">
      <c r="A19" s="25" t="s">
        <v>462</v>
      </c>
      <c r="B19" s="25" t="s">
        <v>463</v>
      </c>
      <c r="C19" s="26" t="s">
        <v>468</v>
      </c>
      <c r="D19" s="26" t="s">
        <v>464</v>
      </c>
      <c r="E19" s="26" t="s">
        <v>16</v>
      </c>
      <c r="F19" s="26" t="s">
        <v>479</v>
      </c>
      <c r="G19" s="26"/>
      <c r="H19" s="27" t="s">
        <v>476</v>
      </c>
      <c r="I19" s="26" t="s">
        <v>27</v>
      </c>
      <c r="J19" s="28" t="s">
        <v>46</v>
      </c>
      <c r="K19" s="123">
        <v>90</v>
      </c>
      <c r="L19" s="29">
        <v>16.018999999999998</v>
      </c>
      <c r="M19" s="110">
        <v>10.6</v>
      </c>
      <c r="N19" s="30">
        <v>0.32</v>
      </c>
      <c r="O19" s="116">
        <v>3.3919999999999999</v>
      </c>
      <c r="P19" s="30">
        <v>7.4999999999999997E-2</v>
      </c>
      <c r="Q19" s="116">
        <v>0.79499999999999993</v>
      </c>
      <c r="R19" s="30">
        <v>7.0000000000000007E-2</v>
      </c>
      <c r="S19" s="116">
        <v>0.74199999999999999</v>
      </c>
      <c r="T19" s="117">
        <v>0.49</v>
      </c>
      <c r="U19" s="31">
        <v>250</v>
      </c>
      <c r="V19" s="32">
        <v>126</v>
      </c>
      <c r="W19" s="38">
        <v>123</v>
      </c>
      <c r="X19" s="32"/>
      <c r="Y19" s="32"/>
      <c r="Z19" s="32"/>
      <c r="AA19" s="34"/>
      <c r="AB19" s="35">
        <f t="shared" si="0"/>
        <v>499</v>
      </c>
      <c r="AC19" s="75">
        <f t="shared" si="1"/>
        <v>22500</v>
      </c>
      <c r="AD19" s="78">
        <f t="shared" si="2"/>
        <v>22410</v>
      </c>
      <c r="AE19" s="72">
        <f t="shared" si="3"/>
        <v>44910</v>
      </c>
      <c r="AF19" s="75">
        <f t="shared" si="4"/>
        <v>4004.7499999999995</v>
      </c>
      <c r="AG19" s="78">
        <f t="shared" si="5"/>
        <v>3988.7309999999998</v>
      </c>
      <c r="AH19" s="72">
        <f t="shared" si="6"/>
        <v>7993.4809999999998</v>
      </c>
      <c r="AI19" s="75">
        <f t="shared" si="7"/>
        <v>2650</v>
      </c>
      <c r="AJ19" s="78">
        <f t="shared" si="8"/>
        <v>2639.4</v>
      </c>
      <c r="AK19" s="72">
        <f t="shared" si="9"/>
        <v>5289.4</v>
      </c>
    </row>
    <row r="20" spans="1:37" ht="15.95" customHeight="1">
      <c r="A20" s="25" t="s">
        <v>462</v>
      </c>
      <c r="B20" s="25" t="s">
        <v>463</v>
      </c>
      <c r="C20" s="26" t="s">
        <v>468</v>
      </c>
      <c r="D20" s="26" t="s">
        <v>464</v>
      </c>
      <c r="E20" s="26" t="s">
        <v>16</v>
      </c>
      <c r="F20" s="26" t="s">
        <v>479</v>
      </c>
      <c r="G20" s="26"/>
      <c r="H20" s="27" t="s">
        <v>476</v>
      </c>
      <c r="I20" s="26" t="s">
        <v>27</v>
      </c>
      <c r="J20" s="28" t="s">
        <v>46</v>
      </c>
      <c r="K20" s="123">
        <v>90</v>
      </c>
      <c r="L20" s="29">
        <v>16.018999999999998</v>
      </c>
      <c r="M20" s="110">
        <v>10.6</v>
      </c>
      <c r="N20" s="30">
        <v>0.32</v>
      </c>
      <c r="O20" s="116">
        <v>3.3919999999999999</v>
      </c>
      <c r="P20" s="30">
        <v>7.4999999999999997E-2</v>
      </c>
      <c r="Q20" s="116">
        <v>0.79499999999999993</v>
      </c>
      <c r="R20" s="30">
        <v>7.0000000000000007E-2</v>
      </c>
      <c r="S20" s="116">
        <v>0.74199999999999999</v>
      </c>
      <c r="T20" s="117">
        <v>0.49</v>
      </c>
      <c r="U20" s="31">
        <v>301</v>
      </c>
      <c r="V20" s="32">
        <v>47</v>
      </c>
      <c r="W20" s="33">
        <v>158</v>
      </c>
      <c r="X20" s="32"/>
      <c r="Y20" s="32"/>
      <c r="Z20" s="32"/>
      <c r="AA20" s="34"/>
      <c r="AB20" s="35">
        <f t="shared" si="0"/>
        <v>506</v>
      </c>
      <c r="AC20" s="75">
        <f t="shared" si="1"/>
        <v>27090</v>
      </c>
      <c r="AD20" s="78">
        <f t="shared" si="2"/>
        <v>18450</v>
      </c>
      <c r="AE20" s="72">
        <f t="shared" si="3"/>
        <v>45540</v>
      </c>
      <c r="AF20" s="75">
        <f t="shared" si="4"/>
        <v>4821.7189999999991</v>
      </c>
      <c r="AG20" s="78">
        <f t="shared" si="5"/>
        <v>3283.8949999999995</v>
      </c>
      <c r="AH20" s="72">
        <f t="shared" si="6"/>
        <v>8105.6139999999987</v>
      </c>
      <c r="AI20" s="75">
        <f t="shared" si="7"/>
        <v>3190.6</v>
      </c>
      <c r="AJ20" s="78">
        <f t="shared" si="8"/>
        <v>2173</v>
      </c>
      <c r="AK20" s="72">
        <f t="shared" si="9"/>
        <v>5363.6</v>
      </c>
    </row>
    <row r="21" spans="1:37" ht="15.95" customHeight="1">
      <c r="A21" s="25" t="s">
        <v>462</v>
      </c>
      <c r="B21" s="25" t="s">
        <v>463</v>
      </c>
      <c r="C21" s="26" t="s">
        <v>14</v>
      </c>
      <c r="D21" s="26" t="s">
        <v>464</v>
      </c>
      <c r="E21" s="26" t="s">
        <v>16</v>
      </c>
      <c r="F21" s="26" t="s">
        <v>480</v>
      </c>
      <c r="G21" s="26"/>
      <c r="H21" s="27" t="s">
        <v>481</v>
      </c>
      <c r="I21" s="26" t="s">
        <v>27</v>
      </c>
      <c r="J21" s="28" t="s">
        <v>53</v>
      </c>
      <c r="K21" s="123">
        <v>150</v>
      </c>
      <c r="L21" s="29">
        <v>27.817049999999995</v>
      </c>
      <c r="M21" s="110">
        <v>19.149999999999999</v>
      </c>
      <c r="N21" s="30">
        <v>0.28199999999999997</v>
      </c>
      <c r="O21" s="116">
        <v>5.4002999999999988</v>
      </c>
      <c r="P21" s="30">
        <v>7.4999999999999997E-2</v>
      </c>
      <c r="Q21" s="116">
        <v>1.4362499999999998</v>
      </c>
      <c r="R21" s="30">
        <v>7.0000000000000007E-2</v>
      </c>
      <c r="S21" s="116">
        <v>1.3405</v>
      </c>
      <c r="T21" s="117">
        <v>0.49</v>
      </c>
      <c r="U21" s="39">
        <v>501</v>
      </c>
      <c r="V21" s="32">
        <v>132</v>
      </c>
      <c r="W21" s="33"/>
      <c r="X21" s="32"/>
      <c r="Y21" s="32"/>
      <c r="Z21" s="32"/>
      <c r="AA21" s="34"/>
      <c r="AB21" s="35">
        <f t="shared" si="0"/>
        <v>633</v>
      </c>
      <c r="AC21" s="75">
        <f t="shared" si="1"/>
        <v>75150</v>
      </c>
      <c r="AD21" s="78">
        <f t="shared" si="2"/>
        <v>19800</v>
      </c>
      <c r="AE21" s="72">
        <f t="shared" si="3"/>
        <v>94950</v>
      </c>
      <c r="AF21" s="75">
        <f t="shared" si="4"/>
        <v>13936.342049999997</v>
      </c>
      <c r="AG21" s="78">
        <f t="shared" si="5"/>
        <v>3671.8505999999993</v>
      </c>
      <c r="AH21" s="72">
        <f t="shared" si="6"/>
        <v>17608.192649999997</v>
      </c>
      <c r="AI21" s="75">
        <f t="shared" si="7"/>
        <v>9594.15</v>
      </c>
      <c r="AJ21" s="78">
        <f t="shared" si="8"/>
        <v>2527.7999999999997</v>
      </c>
      <c r="AK21" s="72">
        <f t="shared" si="9"/>
        <v>12121.949999999999</v>
      </c>
    </row>
    <row r="22" spans="1:37" ht="15.95" customHeight="1">
      <c r="A22" s="25" t="s">
        <v>462</v>
      </c>
      <c r="B22" s="25" t="s">
        <v>463</v>
      </c>
      <c r="C22" s="26" t="s">
        <v>21</v>
      </c>
      <c r="D22" s="26" t="s">
        <v>464</v>
      </c>
      <c r="E22" s="26" t="s">
        <v>16</v>
      </c>
      <c r="F22" s="26" t="s">
        <v>482</v>
      </c>
      <c r="G22" s="26"/>
      <c r="H22" s="27" t="s">
        <v>481</v>
      </c>
      <c r="I22" s="26" t="s">
        <v>27</v>
      </c>
      <c r="J22" s="28" t="s">
        <v>483</v>
      </c>
      <c r="K22" s="123">
        <v>125</v>
      </c>
      <c r="L22" s="29">
        <v>24.677649999999996</v>
      </c>
      <c r="M22" s="110">
        <v>16.95</v>
      </c>
      <c r="N22" s="30">
        <v>0.28199999999999997</v>
      </c>
      <c r="O22" s="116">
        <v>4.7798999999999996</v>
      </c>
      <c r="P22" s="30">
        <v>7.4999999999999997E-2</v>
      </c>
      <c r="Q22" s="116">
        <v>1.27125</v>
      </c>
      <c r="R22" s="30">
        <v>7.0000000000000007E-2</v>
      </c>
      <c r="S22" s="116">
        <v>1.1865000000000001</v>
      </c>
      <c r="T22" s="117">
        <v>0.49</v>
      </c>
      <c r="U22" s="39">
        <v>501</v>
      </c>
      <c r="V22" s="32">
        <v>133</v>
      </c>
      <c r="W22" s="33"/>
      <c r="X22" s="32"/>
      <c r="Y22" s="32"/>
      <c r="Z22" s="32"/>
      <c r="AA22" s="34"/>
      <c r="AB22" s="35">
        <f t="shared" si="0"/>
        <v>634</v>
      </c>
      <c r="AC22" s="75">
        <f t="shared" si="1"/>
        <v>62625</v>
      </c>
      <c r="AD22" s="78">
        <f t="shared" si="2"/>
        <v>16625</v>
      </c>
      <c r="AE22" s="72">
        <f t="shared" si="3"/>
        <v>79250</v>
      </c>
      <c r="AF22" s="75">
        <f t="shared" si="4"/>
        <v>12363.502649999999</v>
      </c>
      <c r="AG22" s="78">
        <f t="shared" si="5"/>
        <v>3282.1274499999995</v>
      </c>
      <c r="AH22" s="72">
        <f t="shared" si="6"/>
        <v>15645.630099999998</v>
      </c>
      <c r="AI22" s="75">
        <f t="shared" si="7"/>
        <v>8491.9499999999989</v>
      </c>
      <c r="AJ22" s="78">
        <f t="shared" si="8"/>
        <v>2254.35</v>
      </c>
      <c r="AK22" s="72">
        <f t="shared" si="9"/>
        <v>10746.3</v>
      </c>
    </row>
    <row r="23" spans="1:37" ht="15.95" customHeight="1">
      <c r="A23" s="25" t="s">
        <v>462</v>
      </c>
      <c r="B23" s="25" t="s">
        <v>463</v>
      </c>
      <c r="C23" s="26" t="s">
        <v>14</v>
      </c>
      <c r="D23" s="26" t="s">
        <v>464</v>
      </c>
      <c r="E23" s="26" t="s">
        <v>16</v>
      </c>
      <c r="F23" s="26" t="s">
        <v>480</v>
      </c>
      <c r="G23" s="26"/>
      <c r="H23" s="27" t="s">
        <v>481</v>
      </c>
      <c r="I23" s="26" t="s">
        <v>27</v>
      </c>
      <c r="J23" s="28" t="s">
        <v>53</v>
      </c>
      <c r="K23" s="123">
        <v>150</v>
      </c>
      <c r="L23" s="29">
        <v>27.817049999999995</v>
      </c>
      <c r="M23" s="110">
        <v>19.149999999999999</v>
      </c>
      <c r="N23" s="30">
        <v>0.28199999999999997</v>
      </c>
      <c r="O23" s="116">
        <v>5.4002999999999988</v>
      </c>
      <c r="P23" s="30">
        <v>7.4999999999999997E-2</v>
      </c>
      <c r="Q23" s="116">
        <v>1.4362499999999998</v>
      </c>
      <c r="R23" s="30">
        <v>7.0000000000000007E-2</v>
      </c>
      <c r="S23" s="116">
        <v>1.3405</v>
      </c>
      <c r="T23" s="117">
        <v>0.49</v>
      </c>
      <c r="U23" s="39">
        <v>600</v>
      </c>
      <c r="V23" s="32">
        <v>147</v>
      </c>
      <c r="W23" s="33"/>
      <c r="X23" s="32"/>
      <c r="Y23" s="32"/>
      <c r="Z23" s="32"/>
      <c r="AA23" s="34"/>
      <c r="AB23" s="35">
        <f t="shared" si="0"/>
        <v>747</v>
      </c>
      <c r="AC23" s="75">
        <f t="shared" si="1"/>
        <v>90000</v>
      </c>
      <c r="AD23" s="78">
        <f t="shared" si="2"/>
        <v>22050</v>
      </c>
      <c r="AE23" s="72">
        <f t="shared" si="3"/>
        <v>112050</v>
      </c>
      <c r="AF23" s="75">
        <f t="shared" si="4"/>
        <v>16690.229999999996</v>
      </c>
      <c r="AG23" s="78">
        <f t="shared" si="5"/>
        <v>4089.1063499999991</v>
      </c>
      <c r="AH23" s="72">
        <f t="shared" si="6"/>
        <v>20779.336349999994</v>
      </c>
      <c r="AI23" s="75">
        <f t="shared" si="7"/>
        <v>11490</v>
      </c>
      <c r="AJ23" s="78">
        <f t="shared" si="8"/>
        <v>2815.0499999999997</v>
      </c>
      <c r="AK23" s="72">
        <f t="shared" si="9"/>
        <v>14305.05</v>
      </c>
    </row>
    <row r="24" spans="1:37" ht="15.95" customHeight="1">
      <c r="A24" s="25" t="s">
        <v>462</v>
      </c>
      <c r="B24" s="25" t="s">
        <v>463</v>
      </c>
      <c r="C24" s="26" t="s">
        <v>21</v>
      </c>
      <c r="D24" s="26" t="s">
        <v>464</v>
      </c>
      <c r="E24" s="26" t="s">
        <v>16</v>
      </c>
      <c r="F24" s="26" t="s">
        <v>482</v>
      </c>
      <c r="G24" s="26"/>
      <c r="H24" s="27" t="s">
        <v>484</v>
      </c>
      <c r="I24" s="26" t="s">
        <v>27</v>
      </c>
      <c r="J24" s="28" t="s">
        <v>483</v>
      </c>
      <c r="K24" s="123">
        <v>125</v>
      </c>
      <c r="L24" s="29">
        <v>24.677649999999996</v>
      </c>
      <c r="M24" s="110">
        <v>16.95</v>
      </c>
      <c r="N24" s="30">
        <v>0.28199999999999997</v>
      </c>
      <c r="O24" s="116">
        <v>4.7798999999999996</v>
      </c>
      <c r="P24" s="30">
        <v>7.4999999999999997E-2</v>
      </c>
      <c r="Q24" s="116">
        <v>1.27125</v>
      </c>
      <c r="R24" s="30">
        <v>7.0000000000000007E-2</v>
      </c>
      <c r="S24" s="116">
        <v>1.1865000000000001</v>
      </c>
      <c r="T24" s="117">
        <v>0.49</v>
      </c>
      <c r="U24" s="39">
        <v>600</v>
      </c>
      <c r="V24" s="32">
        <v>141</v>
      </c>
      <c r="W24" s="33"/>
      <c r="X24" s="32"/>
      <c r="Y24" s="32"/>
      <c r="Z24" s="32"/>
      <c r="AA24" s="34"/>
      <c r="AB24" s="35">
        <f t="shared" si="0"/>
        <v>741</v>
      </c>
      <c r="AC24" s="75">
        <f t="shared" si="1"/>
        <v>75000</v>
      </c>
      <c r="AD24" s="78">
        <f t="shared" si="2"/>
        <v>17625</v>
      </c>
      <c r="AE24" s="72">
        <f t="shared" si="3"/>
        <v>92625</v>
      </c>
      <c r="AF24" s="75">
        <f t="shared" si="4"/>
        <v>14806.589999999998</v>
      </c>
      <c r="AG24" s="78">
        <f t="shared" si="5"/>
        <v>3479.5486499999993</v>
      </c>
      <c r="AH24" s="72">
        <f t="shared" si="6"/>
        <v>18286.138649999997</v>
      </c>
      <c r="AI24" s="75">
        <f t="shared" si="7"/>
        <v>10170</v>
      </c>
      <c r="AJ24" s="78">
        <f t="shared" si="8"/>
        <v>2389.9499999999998</v>
      </c>
      <c r="AK24" s="72">
        <f t="shared" si="9"/>
        <v>12559.95</v>
      </c>
    </row>
    <row r="25" spans="1:37" ht="15.95" customHeight="1">
      <c r="A25" s="25" t="s">
        <v>462</v>
      </c>
      <c r="B25" s="25" t="s">
        <v>463</v>
      </c>
      <c r="C25" s="26" t="s">
        <v>14</v>
      </c>
      <c r="D25" s="26" t="s">
        <v>373</v>
      </c>
      <c r="E25" s="26" t="s">
        <v>16</v>
      </c>
      <c r="F25" s="26" t="s">
        <v>485</v>
      </c>
      <c r="G25" s="26"/>
      <c r="H25" s="27" t="s">
        <v>486</v>
      </c>
      <c r="I25" s="26" t="s">
        <v>19</v>
      </c>
      <c r="J25" s="28" t="s">
        <v>20</v>
      </c>
      <c r="K25" s="123">
        <v>135</v>
      </c>
      <c r="L25" s="29">
        <v>22.971819999999997</v>
      </c>
      <c r="M25" s="110">
        <v>15.81</v>
      </c>
      <c r="N25" s="30">
        <v>0.27700000000000002</v>
      </c>
      <c r="O25" s="116">
        <v>4.3793700000000007</v>
      </c>
      <c r="P25" s="30">
        <v>7.4999999999999997E-2</v>
      </c>
      <c r="Q25" s="116">
        <v>1.1857500000000001</v>
      </c>
      <c r="R25" s="30">
        <v>7.0000000000000007E-2</v>
      </c>
      <c r="S25" s="116">
        <v>1.1067000000000002</v>
      </c>
      <c r="T25" s="117">
        <v>0.49</v>
      </c>
      <c r="U25" s="39">
        <v>250</v>
      </c>
      <c r="V25" s="32">
        <v>298</v>
      </c>
      <c r="W25" s="33"/>
      <c r="X25" s="32"/>
      <c r="Y25" s="32"/>
      <c r="Z25" s="32"/>
      <c r="AA25" s="34">
        <v>18</v>
      </c>
      <c r="AB25" s="35">
        <f t="shared" si="0"/>
        <v>566</v>
      </c>
      <c r="AC25" s="75">
        <f t="shared" si="1"/>
        <v>33750</v>
      </c>
      <c r="AD25" s="78">
        <f t="shared" si="2"/>
        <v>42660</v>
      </c>
      <c r="AE25" s="72">
        <f t="shared" si="3"/>
        <v>76410</v>
      </c>
      <c r="AF25" s="75">
        <f t="shared" si="4"/>
        <v>5742.954999999999</v>
      </c>
      <c r="AG25" s="78">
        <f t="shared" si="5"/>
        <v>7130.1823599999989</v>
      </c>
      <c r="AH25" s="72">
        <f t="shared" si="6"/>
        <v>12873.137359999997</v>
      </c>
      <c r="AI25" s="75">
        <f t="shared" si="7"/>
        <v>3952.5</v>
      </c>
      <c r="AJ25" s="78">
        <f t="shared" si="8"/>
        <v>4995.96</v>
      </c>
      <c r="AK25" s="72">
        <f t="shared" si="9"/>
        <v>8948.4599999999991</v>
      </c>
    </row>
    <row r="26" spans="1:37" ht="15.95" customHeight="1">
      <c r="A26" s="25" t="s">
        <v>462</v>
      </c>
      <c r="B26" s="25" t="s">
        <v>463</v>
      </c>
      <c r="C26" s="26" t="s">
        <v>21</v>
      </c>
      <c r="D26" s="26" t="s">
        <v>373</v>
      </c>
      <c r="E26" s="26" t="s">
        <v>16</v>
      </c>
      <c r="F26" s="26" t="s">
        <v>487</v>
      </c>
      <c r="G26" s="26"/>
      <c r="H26" s="27" t="s">
        <v>486</v>
      </c>
      <c r="I26" s="26" t="s">
        <v>19</v>
      </c>
      <c r="J26" s="28" t="s">
        <v>23</v>
      </c>
      <c r="K26" s="123">
        <v>125</v>
      </c>
      <c r="L26" s="29">
        <v>18.574799999999996</v>
      </c>
      <c r="M26" s="110">
        <v>12.7</v>
      </c>
      <c r="N26" s="30">
        <v>0.27900000000000003</v>
      </c>
      <c r="O26" s="116">
        <v>3.5433000000000003</v>
      </c>
      <c r="P26" s="30">
        <v>7.4999999999999997E-2</v>
      </c>
      <c r="Q26" s="116">
        <v>0.9524999999999999</v>
      </c>
      <c r="R26" s="30">
        <v>7.0000000000000007E-2</v>
      </c>
      <c r="S26" s="116">
        <v>0.88900000000000001</v>
      </c>
      <c r="T26" s="117">
        <v>0.49</v>
      </c>
      <c r="U26" s="39">
        <v>251</v>
      </c>
      <c r="V26" s="32">
        <v>298</v>
      </c>
      <c r="W26" s="33"/>
      <c r="X26" s="32"/>
      <c r="Y26" s="32"/>
      <c r="Z26" s="32"/>
      <c r="AA26" s="34">
        <v>18</v>
      </c>
      <c r="AB26" s="35">
        <f t="shared" si="0"/>
        <v>567</v>
      </c>
      <c r="AC26" s="75">
        <f t="shared" si="1"/>
        <v>31375</v>
      </c>
      <c r="AD26" s="78">
        <f t="shared" si="2"/>
        <v>39500</v>
      </c>
      <c r="AE26" s="72">
        <f t="shared" si="3"/>
        <v>70875</v>
      </c>
      <c r="AF26" s="75">
        <f t="shared" si="4"/>
        <v>4662.2747999999992</v>
      </c>
      <c r="AG26" s="78">
        <f t="shared" si="5"/>
        <v>5763.8903999999993</v>
      </c>
      <c r="AH26" s="72">
        <f t="shared" si="6"/>
        <v>10426.165199999999</v>
      </c>
      <c r="AI26" s="75">
        <f t="shared" si="7"/>
        <v>3187.7</v>
      </c>
      <c r="AJ26" s="78">
        <f t="shared" si="8"/>
        <v>4013.2</v>
      </c>
      <c r="AK26" s="72">
        <f t="shared" si="9"/>
        <v>7200.9</v>
      </c>
    </row>
    <row r="27" spans="1:37" ht="15.95" customHeight="1">
      <c r="A27" s="25" t="s">
        <v>462</v>
      </c>
      <c r="B27" s="25" t="s">
        <v>463</v>
      </c>
      <c r="C27" s="26" t="s">
        <v>14</v>
      </c>
      <c r="D27" s="26" t="s">
        <v>373</v>
      </c>
      <c r="E27" s="26" t="s">
        <v>16</v>
      </c>
      <c r="F27" s="26" t="s">
        <v>485</v>
      </c>
      <c r="G27" s="26"/>
      <c r="H27" s="27" t="s">
        <v>486</v>
      </c>
      <c r="I27" s="26" t="s">
        <v>19</v>
      </c>
      <c r="J27" s="28" t="s">
        <v>20</v>
      </c>
      <c r="K27" s="123">
        <v>135</v>
      </c>
      <c r="L27" s="29">
        <v>22.971819999999997</v>
      </c>
      <c r="M27" s="110">
        <v>15.81</v>
      </c>
      <c r="N27" s="30">
        <v>0.27700000000000002</v>
      </c>
      <c r="O27" s="116">
        <v>4.3793700000000007</v>
      </c>
      <c r="P27" s="30">
        <v>7.4999999999999997E-2</v>
      </c>
      <c r="Q27" s="116">
        <v>1.1857500000000001</v>
      </c>
      <c r="R27" s="30">
        <v>7.0000000000000007E-2</v>
      </c>
      <c r="S27" s="116">
        <v>1.1067000000000002</v>
      </c>
      <c r="T27" s="117">
        <v>0.49</v>
      </c>
      <c r="U27" s="39">
        <v>250</v>
      </c>
      <c r="V27" s="32">
        <v>268</v>
      </c>
      <c r="W27" s="33"/>
      <c r="X27" s="32"/>
      <c r="Y27" s="32"/>
      <c r="Z27" s="32"/>
      <c r="AA27" s="34">
        <v>18</v>
      </c>
      <c r="AB27" s="35">
        <f t="shared" si="0"/>
        <v>536</v>
      </c>
      <c r="AC27" s="75">
        <f t="shared" si="1"/>
        <v>33750</v>
      </c>
      <c r="AD27" s="78">
        <f t="shared" si="2"/>
        <v>38610</v>
      </c>
      <c r="AE27" s="72">
        <f t="shared" si="3"/>
        <v>72360</v>
      </c>
      <c r="AF27" s="75">
        <f t="shared" si="4"/>
        <v>5742.954999999999</v>
      </c>
      <c r="AG27" s="78">
        <f t="shared" si="5"/>
        <v>6441.027759999999</v>
      </c>
      <c r="AH27" s="72">
        <f t="shared" si="6"/>
        <v>12183.982759999999</v>
      </c>
      <c r="AI27" s="75">
        <f t="shared" si="7"/>
        <v>3952.5</v>
      </c>
      <c r="AJ27" s="78">
        <f t="shared" si="8"/>
        <v>4521.66</v>
      </c>
      <c r="AK27" s="72">
        <f t="shared" si="9"/>
        <v>8474.16</v>
      </c>
    </row>
    <row r="28" spans="1:37" ht="15.95" customHeight="1">
      <c r="A28" s="25" t="s">
        <v>462</v>
      </c>
      <c r="B28" s="25" t="s">
        <v>463</v>
      </c>
      <c r="C28" s="26" t="s">
        <v>21</v>
      </c>
      <c r="D28" s="26" t="s">
        <v>373</v>
      </c>
      <c r="E28" s="26" t="s">
        <v>16</v>
      </c>
      <c r="F28" s="26" t="s">
        <v>487</v>
      </c>
      <c r="G28" s="36"/>
      <c r="H28" s="27" t="s">
        <v>488</v>
      </c>
      <c r="I28" s="26" t="s">
        <v>19</v>
      </c>
      <c r="J28" s="28" t="s">
        <v>23</v>
      </c>
      <c r="K28" s="123">
        <v>125</v>
      </c>
      <c r="L28" s="29">
        <v>18.574799999999996</v>
      </c>
      <c r="M28" s="110">
        <v>12.7</v>
      </c>
      <c r="N28" s="30">
        <v>0.27900000000000003</v>
      </c>
      <c r="O28" s="116">
        <v>3.5433000000000003</v>
      </c>
      <c r="P28" s="30">
        <v>7.4999999999999997E-2</v>
      </c>
      <c r="Q28" s="116">
        <v>0.9524999999999999</v>
      </c>
      <c r="R28" s="30">
        <v>7.0000000000000007E-2</v>
      </c>
      <c r="S28" s="116">
        <v>0.88900000000000001</v>
      </c>
      <c r="T28" s="117">
        <v>0.49</v>
      </c>
      <c r="U28" s="39">
        <v>300</v>
      </c>
      <c r="V28" s="32">
        <v>279</v>
      </c>
      <c r="W28" s="33"/>
      <c r="X28" s="32"/>
      <c r="Y28" s="32"/>
      <c r="Z28" s="32"/>
      <c r="AA28" s="34">
        <v>18</v>
      </c>
      <c r="AB28" s="35">
        <f t="shared" si="0"/>
        <v>597</v>
      </c>
      <c r="AC28" s="75">
        <f t="shared" si="1"/>
        <v>37500</v>
      </c>
      <c r="AD28" s="78">
        <f t="shared" si="2"/>
        <v>37125</v>
      </c>
      <c r="AE28" s="72">
        <f t="shared" si="3"/>
        <v>74625</v>
      </c>
      <c r="AF28" s="75">
        <f t="shared" si="4"/>
        <v>5572.4399999999987</v>
      </c>
      <c r="AG28" s="78">
        <f t="shared" si="5"/>
        <v>5410.9691999999995</v>
      </c>
      <c r="AH28" s="72">
        <f t="shared" si="6"/>
        <v>10983.409199999998</v>
      </c>
      <c r="AI28" s="75">
        <f t="shared" si="7"/>
        <v>3810</v>
      </c>
      <c r="AJ28" s="78">
        <f t="shared" si="8"/>
        <v>3771.8999999999996</v>
      </c>
      <c r="AK28" s="72">
        <f t="shared" si="9"/>
        <v>7581.9</v>
      </c>
    </row>
    <row r="29" spans="1:37" ht="15.95" customHeight="1">
      <c r="A29" s="25" t="s">
        <v>489</v>
      </c>
      <c r="B29" s="25" t="s">
        <v>463</v>
      </c>
      <c r="C29" s="26" t="s">
        <v>14</v>
      </c>
      <c r="D29" s="26" t="s">
        <v>373</v>
      </c>
      <c r="E29" s="26" t="s">
        <v>16</v>
      </c>
      <c r="F29" s="26" t="s">
        <v>118</v>
      </c>
      <c r="G29" s="36"/>
      <c r="H29" s="27" t="s">
        <v>120</v>
      </c>
      <c r="I29" s="26" t="s">
        <v>27</v>
      </c>
      <c r="J29" s="28" t="s">
        <v>41</v>
      </c>
      <c r="K29" s="123">
        <v>140</v>
      </c>
      <c r="L29" s="29">
        <v>19.754499999999997</v>
      </c>
      <c r="M29" s="110">
        <v>13.5</v>
      </c>
      <c r="N29" s="30">
        <v>0.28199999999999997</v>
      </c>
      <c r="O29" s="116">
        <v>3.8069999999999995</v>
      </c>
      <c r="P29" s="30">
        <v>7.4999999999999997E-2</v>
      </c>
      <c r="Q29" s="116">
        <v>1.0125</v>
      </c>
      <c r="R29" s="30">
        <v>7.0000000000000007E-2</v>
      </c>
      <c r="S29" s="116">
        <v>0.94500000000000006</v>
      </c>
      <c r="T29" s="117">
        <v>0.49</v>
      </c>
      <c r="U29" s="39">
        <v>400</v>
      </c>
      <c r="V29" s="32"/>
      <c r="W29" s="33"/>
      <c r="X29" s="32"/>
      <c r="Y29" s="32"/>
      <c r="Z29" s="32"/>
      <c r="AA29" s="34"/>
      <c r="AB29" s="35">
        <f t="shared" si="0"/>
        <v>400</v>
      </c>
      <c r="AC29" s="75">
        <f t="shared" si="1"/>
        <v>56000</v>
      </c>
      <c r="AD29" s="78">
        <f t="shared" si="2"/>
        <v>0</v>
      </c>
      <c r="AE29" s="72">
        <f t="shared" si="3"/>
        <v>56000</v>
      </c>
      <c r="AF29" s="75">
        <f t="shared" si="4"/>
        <v>7901.7999999999984</v>
      </c>
      <c r="AG29" s="78">
        <f t="shared" si="5"/>
        <v>0</v>
      </c>
      <c r="AH29" s="72">
        <f t="shared" si="6"/>
        <v>7901.7999999999984</v>
      </c>
      <c r="AI29" s="75">
        <f t="shared" si="7"/>
        <v>5400</v>
      </c>
      <c r="AJ29" s="78">
        <f t="shared" si="8"/>
        <v>0</v>
      </c>
      <c r="AK29" s="72">
        <f t="shared" si="9"/>
        <v>5400</v>
      </c>
    </row>
    <row r="30" spans="1:37" ht="15.95" customHeight="1">
      <c r="A30" s="25" t="s">
        <v>489</v>
      </c>
      <c r="B30" s="25" t="s">
        <v>463</v>
      </c>
      <c r="C30" s="26" t="s">
        <v>21</v>
      </c>
      <c r="D30" s="26" t="s">
        <v>373</v>
      </c>
      <c r="E30" s="26" t="s">
        <v>16</v>
      </c>
      <c r="F30" s="26" t="s">
        <v>121</v>
      </c>
      <c r="G30" s="26"/>
      <c r="H30" s="27" t="s">
        <v>415</v>
      </c>
      <c r="I30" s="26" t="s">
        <v>27</v>
      </c>
      <c r="J30" s="28" t="s">
        <v>41</v>
      </c>
      <c r="K30" s="123">
        <v>110</v>
      </c>
      <c r="L30" s="29">
        <v>16.900500000000001</v>
      </c>
      <c r="M30" s="110">
        <v>11.5</v>
      </c>
      <c r="N30" s="30">
        <v>0.28199999999999997</v>
      </c>
      <c r="O30" s="116">
        <v>3.2429999999999999</v>
      </c>
      <c r="P30" s="30">
        <v>7.4999999999999997E-2</v>
      </c>
      <c r="Q30" s="116">
        <v>0.86249999999999993</v>
      </c>
      <c r="R30" s="30">
        <v>7.0000000000000007E-2</v>
      </c>
      <c r="S30" s="116">
        <v>0.80500000000000005</v>
      </c>
      <c r="T30" s="117">
        <v>0.49</v>
      </c>
      <c r="U30" s="39">
        <v>400</v>
      </c>
      <c r="V30" s="32"/>
      <c r="W30" s="33"/>
      <c r="X30" s="32"/>
      <c r="Y30" s="32"/>
      <c r="Z30" s="32"/>
      <c r="AA30" s="34"/>
      <c r="AB30" s="35">
        <f t="shared" si="0"/>
        <v>400</v>
      </c>
      <c r="AC30" s="75">
        <f t="shared" si="1"/>
        <v>44000</v>
      </c>
      <c r="AD30" s="78">
        <f t="shared" si="2"/>
        <v>0</v>
      </c>
      <c r="AE30" s="72">
        <f t="shared" si="3"/>
        <v>44000</v>
      </c>
      <c r="AF30" s="75">
        <f t="shared" si="4"/>
        <v>6760.2000000000007</v>
      </c>
      <c r="AG30" s="78">
        <f t="shared" si="5"/>
        <v>0</v>
      </c>
      <c r="AH30" s="72">
        <f t="shared" si="6"/>
        <v>6760.2000000000007</v>
      </c>
      <c r="AI30" s="75">
        <f t="shared" si="7"/>
        <v>4600</v>
      </c>
      <c r="AJ30" s="78">
        <f t="shared" si="8"/>
        <v>0</v>
      </c>
      <c r="AK30" s="72">
        <f t="shared" si="9"/>
        <v>4600</v>
      </c>
    </row>
    <row r="31" spans="1:37" ht="15.95" customHeight="1">
      <c r="A31" s="25" t="s">
        <v>489</v>
      </c>
      <c r="B31" s="25" t="s">
        <v>463</v>
      </c>
      <c r="C31" s="26" t="s">
        <v>14</v>
      </c>
      <c r="D31" s="26" t="s">
        <v>373</v>
      </c>
      <c r="E31" s="26" t="s">
        <v>16</v>
      </c>
      <c r="F31" s="26" t="s">
        <v>490</v>
      </c>
      <c r="G31" s="26"/>
      <c r="H31" s="27" t="s">
        <v>120</v>
      </c>
      <c r="I31" s="26" t="s">
        <v>27</v>
      </c>
      <c r="J31" s="28" t="s">
        <v>41</v>
      </c>
      <c r="K31" s="123">
        <v>140</v>
      </c>
      <c r="L31" s="29">
        <v>19.754499999999997</v>
      </c>
      <c r="M31" s="110">
        <v>13.5</v>
      </c>
      <c r="N31" s="30">
        <v>0.28199999999999997</v>
      </c>
      <c r="O31" s="116">
        <v>3.8069999999999995</v>
      </c>
      <c r="P31" s="30">
        <v>7.4999999999999997E-2</v>
      </c>
      <c r="Q31" s="116">
        <v>1.0125</v>
      </c>
      <c r="R31" s="30">
        <v>7.0000000000000007E-2</v>
      </c>
      <c r="S31" s="116">
        <v>0.94500000000000006</v>
      </c>
      <c r="T31" s="117">
        <v>0.49</v>
      </c>
      <c r="U31" s="39">
        <v>400</v>
      </c>
      <c r="V31" s="32"/>
      <c r="W31" s="33"/>
      <c r="X31" s="32"/>
      <c r="Y31" s="32"/>
      <c r="Z31" s="32"/>
      <c r="AA31" s="34"/>
      <c r="AB31" s="35">
        <f t="shared" si="0"/>
        <v>400</v>
      </c>
      <c r="AC31" s="75">
        <f t="shared" si="1"/>
        <v>56000</v>
      </c>
      <c r="AD31" s="78">
        <f t="shared" si="2"/>
        <v>0</v>
      </c>
      <c r="AE31" s="72">
        <f t="shared" si="3"/>
        <v>56000</v>
      </c>
      <c r="AF31" s="75">
        <f t="shared" si="4"/>
        <v>7901.7999999999984</v>
      </c>
      <c r="AG31" s="78">
        <f t="shared" si="5"/>
        <v>0</v>
      </c>
      <c r="AH31" s="72">
        <f t="shared" si="6"/>
        <v>7901.7999999999984</v>
      </c>
      <c r="AI31" s="75">
        <f t="shared" si="7"/>
        <v>5400</v>
      </c>
      <c r="AJ31" s="78">
        <f t="shared" si="8"/>
        <v>0</v>
      </c>
      <c r="AK31" s="72">
        <f t="shared" si="9"/>
        <v>5400</v>
      </c>
    </row>
    <row r="32" spans="1:37" ht="15.95" customHeight="1">
      <c r="A32" s="25" t="s">
        <v>489</v>
      </c>
      <c r="B32" s="25" t="s">
        <v>463</v>
      </c>
      <c r="C32" s="26" t="s">
        <v>21</v>
      </c>
      <c r="D32" s="26" t="s">
        <v>373</v>
      </c>
      <c r="E32" s="26" t="s">
        <v>16</v>
      </c>
      <c r="F32" s="26" t="s">
        <v>491</v>
      </c>
      <c r="G32" s="26"/>
      <c r="H32" s="27" t="s">
        <v>120</v>
      </c>
      <c r="I32" s="26" t="s">
        <v>27</v>
      </c>
      <c r="J32" s="28" t="s">
        <v>41</v>
      </c>
      <c r="K32" s="123">
        <v>110</v>
      </c>
      <c r="L32" s="29">
        <v>16.900500000000001</v>
      </c>
      <c r="M32" s="110">
        <v>11.5</v>
      </c>
      <c r="N32" s="30">
        <v>0.28199999999999997</v>
      </c>
      <c r="O32" s="116">
        <v>3.2429999999999999</v>
      </c>
      <c r="P32" s="30">
        <v>7.4999999999999997E-2</v>
      </c>
      <c r="Q32" s="116">
        <v>0.86249999999999993</v>
      </c>
      <c r="R32" s="30">
        <v>7.0000000000000007E-2</v>
      </c>
      <c r="S32" s="116">
        <v>0.80500000000000005</v>
      </c>
      <c r="T32" s="117">
        <v>0.49</v>
      </c>
      <c r="U32" s="39">
        <v>400</v>
      </c>
      <c r="V32" s="32"/>
      <c r="W32" s="33"/>
      <c r="X32" s="32"/>
      <c r="Y32" s="32"/>
      <c r="Z32" s="32"/>
      <c r="AA32" s="34"/>
      <c r="AB32" s="35">
        <f t="shared" si="0"/>
        <v>400</v>
      </c>
      <c r="AC32" s="75">
        <f t="shared" si="1"/>
        <v>44000</v>
      </c>
      <c r="AD32" s="78">
        <f t="shared" si="2"/>
        <v>0</v>
      </c>
      <c r="AE32" s="72">
        <f t="shared" si="3"/>
        <v>44000</v>
      </c>
      <c r="AF32" s="75">
        <f t="shared" si="4"/>
        <v>6760.2000000000007</v>
      </c>
      <c r="AG32" s="78">
        <f t="shared" si="5"/>
        <v>0</v>
      </c>
      <c r="AH32" s="72">
        <f t="shared" si="6"/>
        <v>6760.2000000000007</v>
      </c>
      <c r="AI32" s="75">
        <f t="shared" si="7"/>
        <v>4600</v>
      </c>
      <c r="AJ32" s="78">
        <f t="shared" si="8"/>
        <v>0</v>
      </c>
      <c r="AK32" s="72">
        <f t="shared" si="9"/>
        <v>4600</v>
      </c>
    </row>
    <row r="33" spans="1:37" ht="15.95" customHeight="1">
      <c r="A33" s="25" t="s">
        <v>462</v>
      </c>
      <c r="B33" s="25" t="s">
        <v>463</v>
      </c>
      <c r="C33" s="26" t="s">
        <v>14</v>
      </c>
      <c r="D33" s="26" t="s">
        <v>373</v>
      </c>
      <c r="E33" s="26" t="s">
        <v>16</v>
      </c>
      <c r="F33" s="26" t="s">
        <v>492</v>
      </c>
      <c r="G33" s="26"/>
      <c r="H33" s="27" t="s">
        <v>493</v>
      </c>
      <c r="I33" s="26" t="s">
        <v>19</v>
      </c>
      <c r="J33" s="37" t="s">
        <v>20</v>
      </c>
      <c r="K33" s="123">
        <v>135</v>
      </c>
      <c r="L33" s="29">
        <v>24.194740000000003</v>
      </c>
      <c r="M33" s="110">
        <v>16.670000000000002</v>
      </c>
      <c r="N33" s="30">
        <v>0.27700000000000002</v>
      </c>
      <c r="O33" s="116">
        <v>4.6175900000000007</v>
      </c>
      <c r="P33" s="30">
        <v>7.4999999999999997E-2</v>
      </c>
      <c r="Q33" s="116">
        <v>1.2502500000000001</v>
      </c>
      <c r="R33" s="30">
        <v>7.0000000000000007E-2</v>
      </c>
      <c r="S33" s="116">
        <v>1.1669000000000003</v>
      </c>
      <c r="T33" s="117">
        <v>0.49</v>
      </c>
      <c r="U33" s="39">
        <v>301</v>
      </c>
      <c r="V33" s="32">
        <v>104</v>
      </c>
      <c r="W33" s="33">
        <v>65</v>
      </c>
      <c r="X33" s="32"/>
      <c r="Y33" s="32"/>
      <c r="Z33" s="32"/>
      <c r="AA33" s="34">
        <v>18</v>
      </c>
      <c r="AB33" s="35">
        <f t="shared" si="0"/>
        <v>488</v>
      </c>
      <c r="AC33" s="75">
        <f t="shared" si="1"/>
        <v>40635</v>
      </c>
      <c r="AD33" s="78">
        <f t="shared" si="2"/>
        <v>25245</v>
      </c>
      <c r="AE33" s="72">
        <f t="shared" si="3"/>
        <v>65880</v>
      </c>
      <c r="AF33" s="75">
        <f t="shared" si="4"/>
        <v>7282.6167400000013</v>
      </c>
      <c r="AG33" s="78">
        <f t="shared" si="5"/>
        <v>4388.9710600000008</v>
      </c>
      <c r="AH33" s="72">
        <f t="shared" si="6"/>
        <v>11671.587800000001</v>
      </c>
      <c r="AI33" s="75">
        <f t="shared" si="7"/>
        <v>5017.67</v>
      </c>
      <c r="AJ33" s="78">
        <f t="shared" si="8"/>
        <v>3117.2900000000004</v>
      </c>
      <c r="AK33" s="72">
        <f t="shared" si="9"/>
        <v>8134.9600000000009</v>
      </c>
    </row>
    <row r="34" spans="1:37" ht="15.95" customHeight="1">
      <c r="A34" s="25" t="s">
        <v>462</v>
      </c>
      <c r="B34" s="25" t="s">
        <v>463</v>
      </c>
      <c r="C34" s="26" t="s">
        <v>21</v>
      </c>
      <c r="D34" s="26" t="s">
        <v>373</v>
      </c>
      <c r="E34" s="26" t="s">
        <v>16</v>
      </c>
      <c r="F34" s="26" t="s">
        <v>494</v>
      </c>
      <c r="G34" s="26"/>
      <c r="H34" s="27" t="s">
        <v>495</v>
      </c>
      <c r="I34" s="26" t="s">
        <v>19</v>
      </c>
      <c r="J34" s="28" t="s">
        <v>23</v>
      </c>
      <c r="K34" s="123">
        <v>125</v>
      </c>
      <c r="L34" s="29">
        <v>21.16648</v>
      </c>
      <c r="M34" s="110">
        <v>14.52</v>
      </c>
      <c r="N34" s="30">
        <v>0.27900000000000003</v>
      </c>
      <c r="O34" s="116">
        <v>4.0510800000000007</v>
      </c>
      <c r="P34" s="30">
        <v>7.4999999999999997E-2</v>
      </c>
      <c r="Q34" s="116">
        <v>1.089</v>
      </c>
      <c r="R34" s="30">
        <v>7.0000000000000007E-2</v>
      </c>
      <c r="S34" s="116">
        <v>1.0164</v>
      </c>
      <c r="T34" s="117">
        <v>0.49</v>
      </c>
      <c r="U34" s="39">
        <v>300</v>
      </c>
      <c r="V34" s="32">
        <v>68</v>
      </c>
      <c r="W34" s="33">
        <v>102</v>
      </c>
      <c r="X34" s="32"/>
      <c r="Y34" s="32"/>
      <c r="Z34" s="32"/>
      <c r="AA34" s="34">
        <v>18</v>
      </c>
      <c r="AB34" s="35">
        <f t="shared" si="0"/>
        <v>488</v>
      </c>
      <c r="AC34" s="75">
        <f t="shared" si="1"/>
        <v>37500</v>
      </c>
      <c r="AD34" s="78">
        <f t="shared" si="2"/>
        <v>23500</v>
      </c>
      <c r="AE34" s="72">
        <f t="shared" si="3"/>
        <v>61000</v>
      </c>
      <c r="AF34" s="75">
        <f t="shared" si="4"/>
        <v>6349.9440000000004</v>
      </c>
      <c r="AG34" s="78">
        <f t="shared" si="5"/>
        <v>3859.6615999999999</v>
      </c>
      <c r="AH34" s="72">
        <f t="shared" si="6"/>
        <v>10209.605600000001</v>
      </c>
      <c r="AI34" s="75">
        <f t="shared" si="7"/>
        <v>4356</v>
      </c>
      <c r="AJ34" s="78">
        <f t="shared" si="8"/>
        <v>2729.7599999999998</v>
      </c>
      <c r="AK34" s="72">
        <f t="shared" si="9"/>
        <v>7085.76</v>
      </c>
    </row>
    <row r="35" spans="1:37" ht="15.95" customHeight="1">
      <c r="A35" s="25" t="s">
        <v>462</v>
      </c>
      <c r="B35" s="25" t="s">
        <v>463</v>
      </c>
      <c r="C35" s="26" t="s">
        <v>267</v>
      </c>
      <c r="D35" s="26" t="s">
        <v>373</v>
      </c>
      <c r="E35" s="26" t="s">
        <v>16</v>
      </c>
      <c r="F35" s="26" t="s">
        <v>496</v>
      </c>
      <c r="G35" s="26"/>
      <c r="H35" s="27" t="s">
        <v>495</v>
      </c>
      <c r="I35" s="26" t="s">
        <v>19</v>
      </c>
      <c r="J35" s="37" t="s">
        <v>31</v>
      </c>
      <c r="K35" s="123">
        <v>78</v>
      </c>
      <c r="L35" s="29">
        <v>15.273719999999999</v>
      </c>
      <c r="M35" s="110">
        <v>10.36</v>
      </c>
      <c r="N35" s="30">
        <v>0.28199999999999997</v>
      </c>
      <c r="O35" s="116">
        <v>2.9215199999999997</v>
      </c>
      <c r="P35" s="30">
        <v>7.4999999999999997E-2</v>
      </c>
      <c r="Q35" s="116">
        <v>0.77699999999999991</v>
      </c>
      <c r="R35" s="30">
        <v>7.0000000000000007E-2</v>
      </c>
      <c r="S35" s="116">
        <v>0.72520000000000007</v>
      </c>
      <c r="T35" s="117">
        <v>0.49</v>
      </c>
      <c r="U35" s="39">
        <v>250</v>
      </c>
      <c r="V35" s="32">
        <v>80</v>
      </c>
      <c r="W35" s="33">
        <v>170</v>
      </c>
      <c r="X35" s="32"/>
      <c r="Y35" s="32"/>
      <c r="Z35" s="32"/>
      <c r="AA35" s="34"/>
      <c r="AB35" s="35">
        <f t="shared" si="0"/>
        <v>500</v>
      </c>
      <c r="AC35" s="75">
        <f t="shared" si="1"/>
        <v>19500</v>
      </c>
      <c r="AD35" s="78">
        <f t="shared" si="2"/>
        <v>19500</v>
      </c>
      <c r="AE35" s="72">
        <f t="shared" si="3"/>
        <v>39000</v>
      </c>
      <c r="AF35" s="75">
        <f t="shared" si="4"/>
        <v>3818.43</v>
      </c>
      <c r="AG35" s="78">
        <f t="shared" si="5"/>
        <v>3818.43</v>
      </c>
      <c r="AH35" s="72">
        <f t="shared" si="6"/>
        <v>7636.86</v>
      </c>
      <c r="AI35" s="75">
        <f t="shared" si="7"/>
        <v>2590</v>
      </c>
      <c r="AJ35" s="78">
        <f t="shared" si="8"/>
        <v>2590</v>
      </c>
      <c r="AK35" s="72">
        <f t="shared" si="9"/>
        <v>5180</v>
      </c>
    </row>
    <row r="36" spans="1:37" ht="15.95" customHeight="1">
      <c r="A36" s="25" t="s">
        <v>462</v>
      </c>
      <c r="B36" s="25" t="s">
        <v>463</v>
      </c>
      <c r="C36" s="26" t="s">
        <v>14</v>
      </c>
      <c r="D36" s="26" t="s">
        <v>373</v>
      </c>
      <c r="E36" s="26" t="s">
        <v>16</v>
      </c>
      <c r="F36" s="26" t="s">
        <v>492</v>
      </c>
      <c r="G36" s="26"/>
      <c r="H36" s="27" t="s">
        <v>495</v>
      </c>
      <c r="I36" s="26" t="s">
        <v>19</v>
      </c>
      <c r="J36" s="28" t="s">
        <v>20</v>
      </c>
      <c r="K36" s="123">
        <v>135</v>
      </c>
      <c r="L36" s="29">
        <v>24.194740000000003</v>
      </c>
      <c r="M36" s="110">
        <v>16.670000000000002</v>
      </c>
      <c r="N36" s="30">
        <v>0.27700000000000002</v>
      </c>
      <c r="O36" s="116">
        <v>4.6175900000000007</v>
      </c>
      <c r="P36" s="30">
        <v>7.4999999999999997E-2</v>
      </c>
      <c r="Q36" s="116">
        <v>1.2502500000000001</v>
      </c>
      <c r="R36" s="30">
        <v>7.0000000000000007E-2</v>
      </c>
      <c r="S36" s="116">
        <v>1.1669000000000003</v>
      </c>
      <c r="T36" s="117">
        <v>0.49</v>
      </c>
      <c r="U36" s="39">
        <v>301</v>
      </c>
      <c r="V36" s="32">
        <v>208</v>
      </c>
      <c r="W36" s="33"/>
      <c r="X36" s="32"/>
      <c r="Y36" s="32"/>
      <c r="Z36" s="32"/>
      <c r="AA36" s="34">
        <v>18</v>
      </c>
      <c r="AB36" s="35">
        <f t="shared" si="0"/>
        <v>527</v>
      </c>
      <c r="AC36" s="75">
        <f t="shared" si="1"/>
        <v>40635</v>
      </c>
      <c r="AD36" s="78">
        <f t="shared" si="2"/>
        <v>30510</v>
      </c>
      <c r="AE36" s="72">
        <f t="shared" si="3"/>
        <v>71145</v>
      </c>
      <c r="AF36" s="75">
        <f t="shared" si="4"/>
        <v>7282.6167400000013</v>
      </c>
      <c r="AG36" s="78">
        <f t="shared" si="5"/>
        <v>5332.5659200000009</v>
      </c>
      <c r="AH36" s="72">
        <f t="shared" si="6"/>
        <v>12615.182660000002</v>
      </c>
      <c r="AI36" s="75">
        <f t="shared" si="7"/>
        <v>5017.67</v>
      </c>
      <c r="AJ36" s="78">
        <f t="shared" si="8"/>
        <v>3767.4200000000005</v>
      </c>
      <c r="AK36" s="72">
        <f t="shared" si="9"/>
        <v>8785.09</v>
      </c>
    </row>
    <row r="37" spans="1:37" ht="15.95" customHeight="1">
      <c r="A37" s="25" t="s">
        <v>462</v>
      </c>
      <c r="B37" s="25" t="s">
        <v>463</v>
      </c>
      <c r="C37" s="26" t="s">
        <v>21</v>
      </c>
      <c r="D37" s="26" t="s">
        <v>374</v>
      </c>
      <c r="E37" s="26" t="s">
        <v>16</v>
      </c>
      <c r="F37" s="26" t="s">
        <v>494</v>
      </c>
      <c r="G37" s="26"/>
      <c r="H37" s="27" t="s">
        <v>495</v>
      </c>
      <c r="I37" s="26" t="s">
        <v>19</v>
      </c>
      <c r="J37" s="28" t="s">
        <v>23</v>
      </c>
      <c r="K37" s="123">
        <v>125</v>
      </c>
      <c r="L37" s="29">
        <v>21.16648</v>
      </c>
      <c r="M37" s="110">
        <v>14.52</v>
      </c>
      <c r="N37" s="30">
        <v>0.27900000000000003</v>
      </c>
      <c r="O37" s="116">
        <v>4.0510800000000007</v>
      </c>
      <c r="P37" s="30">
        <v>7.4999999999999997E-2</v>
      </c>
      <c r="Q37" s="116">
        <v>1.089</v>
      </c>
      <c r="R37" s="30">
        <v>7.0000000000000007E-2</v>
      </c>
      <c r="S37" s="116">
        <v>1.0164</v>
      </c>
      <c r="T37" s="117">
        <v>0.49</v>
      </c>
      <c r="U37" s="39">
        <v>300</v>
      </c>
      <c r="V37" s="32">
        <v>187</v>
      </c>
      <c r="W37" s="33"/>
      <c r="X37" s="32"/>
      <c r="Y37" s="32"/>
      <c r="Z37" s="32"/>
      <c r="AA37" s="34">
        <v>18</v>
      </c>
      <c r="AB37" s="35">
        <f t="shared" si="0"/>
        <v>505</v>
      </c>
      <c r="AC37" s="75">
        <f t="shared" si="1"/>
        <v>37500</v>
      </c>
      <c r="AD37" s="78">
        <f t="shared" si="2"/>
        <v>25625</v>
      </c>
      <c r="AE37" s="72">
        <f t="shared" si="3"/>
        <v>63125</v>
      </c>
      <c r="AF37" s="75">
        <f t="shared" si="4"/>
        <v>6349.9440000000004</v>
      </c>
      <c r="AG37" s="78">
        <f t="shared" si="5"/>
        <v>4219.4917599999999</v>
      </c>
      <c r="AH37" s="72">
        <f t="shared" si="6"/>
        <v>10569.43576</v>
      </c>
      <c r="AI37" s="75">
        <f t="shared" si="7"/>
        <v>4356</v>
      </c>
      <c r="AJ37" s="78">
        <f t="shared" si="8"/>
        <v>2976.6</v>
      </c>
      <c r="AK37" s="72">
        <f t="shared" si="9"/>
        <v>7332.6</v>
      </c>
    </row>
    <row r="38" spans="1:37" ht="15.95" customHeight="1">
      <c r="A38" s="25" t="s">
        <v>462</v>
      </c>
      <c r="B38" s="25" t="s">
        <v>463</v>
      </c>
      <c r="C38" s="26" t="s">
        <v>267</v>
      </c>
      <c r="D38" s="26" t="s">
        <v>373</v>
      </c>
      <c r="E38" s="26" t="s">
        <v>16</v>
      </c>
      <c r="F38" s="26" t="s">
        <v>496</v>
      </c>
      <c r="G38" s="26"/>
      <c r="H38" s="27" t="s">
        <v>495</v>
      </c>
      <c r="I38" s="26" t="s">
        <v>19</v>
      </c>
      <c r="J38" s="28" t="s">
        <v>31</v>
      </c>
      <c r="K38" s="123">
        <v>78</v>
      </c>
      <c r="L38" s="29">
        <v>15.273719999999999</v>
      </c>
      <c r="M38" s="110">
        <v>10.36</v>
      </c>
      <c r="N38" s="30">
        <v>0.28199999999999997</v>
      </c>
      <c r="O38" s="116">
        <v>2.9215199999999997</v>
      </c>
      <c r="P38" s="30">
        <v>7.4999999999999997E-2</v>
      </c>
      <c r="Q38" s="116">
        <v>0.77699999999999991</v>
      </c>
      <c r="R38" s="30">
        <v>7.0000000000000007E-2</v>
      </c>
      <c r="S38" s="116">
        <v>0.72520000000000007</v>
      </c>
      <c r="T38" s="117">
        <v>0.49</v>
      </c>
      <c r="U38" s="39">
        <v>250</v>
      </c>
      <c r="V38" s="32">
        <v>55</v>
      </c>
      <c r="W38" s="33">
        <v>195</v>
      </c>
      <c r="X38" s="32"/>
      <c r="Y38" s="32"/>
      <c r="Z38" s="32"/>
      <c r="AA38" s="34"/>
      <c r="AB38" s="35">
        <f t="shared" si="0"/>
        <v>500</v>
      </c>
      <c r="AC38" s="75">
        <f t="shared" si="1"/>
        <v>19500</v>
      </c>
      <c r="AD38" s="78">
        <f t="shared" si="2"/>
        <v>19500</v>
      </c>
      <c r="AE38" s="72">
        <f t="shared" si="3"/>
        <v>39000</v>
      </c>
      <c r="AF38" s="75">
        <f t="shared" si="4"/>
        <v>3818.43</v>
      </c>
      <c r="AG38" s="78">
        <f t="shared" si="5"/>
        <v>3818.43</v>
      </c>
      <c r="AH38" s="72">
        <f t="shared" si="6"/>
        <v>7636.86</v>
      </c>
      <c r="AI38" s="75">
        <f t="shared" si="7"/>
        <v>2590</v>
      </c>
      <c r="AJ38" s="78">
        <f t="shared" si="8"/>
        <v>2590</v>
      </c>
      <c r="AK38" s="72">
        <f t="shared" si="9"/>
        <v>5180</v>
      </c>
    </row>
    <row r="39" spans="1:37" ht="15.95" customHeight="1">
      <c r="A39" s="25" t="s">
        <v>462</v>
      </c>
      <c r="B39" s="25" t="s">
        <v>463</v>
      </c>
      <c r="C39" s="26" t="s">
        <v>76</v>
      </c>
      <c r="D39" s="26" t="s">
        <v>373</v>
      </c>
      <c r="E39" s="26" t="s">
        <v>16</v>
      </c>
      <c r="F39" s="26" t="s">
        <v>85</v>
      </c>
      <c r="G39" s="26"/>
      <c r="H39" s="27" t="s">
        <v>79</v>
      </c>
      <c r="I39" s="26" t="s">
        <v>27</v>
      </c>
      <c r="J39" s="37" t="s">
        <v>80</v>
      </c>
      <c r="K39" s="123">
        <v>150</v>
      </c>
      <c r="L39" s="29">
        <v>30.229499999999998</v>
      </c>
      <c r="M39" s="110">
        <v>20.3</v>
      </c>
      <c r="N39" s="30">
        <v>0.32</v>
      </c>
      <c r="O39" s="116">
        <v>6.4960000000000004</v>
      </c>
      <c r="P39" s="30">
        <v>7.4999999999999997E-2</v>
      </c>
      <c r="Q39" s="116">
        <v>1.5225</v>
      </c>
      <c r="R39" s="30">
        <v>7.0000000000000007E-2</v>
      </c>
      <c r="S39" s="116">
        <v>1.4210000000000003</v>
      </c>
      <c r="T39" s="117">
        <v>0.49</v>
      </c>
      <c r="U39" s="39">
        <v>400</v>
      </c>
      <c r="V39" s="32">
        <v>172</v>
      </c>
      <c r="W39" s="33"/>
      <c r="X39" s="32"/>
      <c r="Y39" s="32"/>
      <c r="Z39" s="32"/>
      <c r="AA39" s="34">
        <v>6</v>
      </c>
      <c r="AB39" s="35">
        <f t="shared" si="0"/>
        <v>578</v>
      </c>
      <c r="AC39" s="75">
        <f t="shared" si="1"/>
        <v>60000</v>
      </c>
      <c r="AD39" s="78">
        <f t="shared" si="2"/>
        <v>26700</v>
      </c>
      <c r="AE39" s="72">
        <f t="shared" si="3"/>
        <v>86700</v>
      </c>
      <c r="AF39" s="75">
        <f t="shared" si="4"/>
        <v>12091.8</v>
      </c>
      <c r="AG39" s="78">
        <f t="shared" si="5"/>
        <v>5321.2739999999994</v>
      </c>
      <c r="AH39" s="72">
        <f t="shared" si="6"/>
        <v>17413.074000000001</v>
      </c>
      <c r="AI39" s="75">
        <f t="shared" si="7"/>
        <v>8120</v>
      </c>
      <c r="AJ39" s="78">
        <f t="shared" si="8"/>
        <v>3613.4</v>
      </c>
      <c r="AK39" s="72">
        <f t="shared" si="9"/>
        <v>11733.4</v>
      </c>
    </row>
    <row r="40" spans="1:37" ht="15.95" customHeight="1">
      <c r="A40" s="25" t="s">
        <v>462</v>
      </c>
      <c r="B40" s="25" t="s">
        <v>463</v>
      </c>
      <c r="C40" s="26" t="s">
        <v>81</v>
      </c>
      <c r="D40" s="26" t="s">
        <v>373</v>
      </c>
      <c r="E40" s="26" t="s">
        <v>16</v>
      </c>
      <c r="F40" s="26" t="s">
        <v>86</v>
      </c>
      <c r="G40" s="26"/>
      <c r="H40" s="27" t="s">
        <v>79</v>
      </c>
      <c r="I40" s="26" t="s">
        <v>27</v>
      </c>
      <c r="J40" s="37" t="s">
        <v>83</v>
      </c>
      <c r="K40" s="123">
        <v>125</v>
      </c>
      <c r="L40" s="29">
        <v>26.176000000000002</v>
      </c>
      <c r="M40" s="110">
        <v>18</v>
      </c>
      <c r="N40" s="30">
        <v>0.28199999999999997</v>
      </c>
      <c r="O40" s="116">
        <v>5.0759999999999996</v>
      </c>
      <c r="P40" s="30">
        <v>7.4999999999999997E-2</v>
      </c>
      <c r="Q40" s="116">
        <v>1.3499999999999999</v>
      </c>
      <c r="R40" s="30">
        <v>7.0000000000000007E-2</v>
      </c>
      <c r="S40" s="116">
        <v>1.2600000000000002</v>
      </c>
      <c r="T40" s="117">
        <v>0.49</v>
      </c>
      <c r="U40" s="39">
        <v>400</v>
      </c>
      <c r="V40" s="32">
        <v>173</v>
      </c>
      <c r="W40" s="33"/>
      <c r="X40" s="32"/>
      <c r="Y40" s="32"/>
      <c r="Z40" s="32"/>
      <c r="AA40" s="34">
        <v>6</v>
      </c>
      <c r="AB40" s="35">
        <f t="shared" si="0"/>
        <v>579</v>
      </c>
      <c r="AC40" s="75">
        <f t="shared" si="1"/>
        <v>50000</v>
      </c>
      <c r="AD40" s="78">
        <f t="shared" si="2"/>
        <v>22375</v>
      </c>
      <c r="AE40" s="72">
        <f t="shared" si="3"/>
        <v>72375</v>
      </c>
      <c r="AF40" s="75">
        <f t="shared" si="4"/>
        <v>10470.400000000001</v>
      </c>
      <c r="AG40" s="78">
        <f t="shared" si="5"/>
        <v>4636.4480000000003</v>
      </c>
      <c r="AH40" s="72">
        <f t="shared" si="6"/>
        <v>15106.848000000002</v>
      </c>
      <c r="AI40" s="75">
        <f t="shared" si="7"/>
        <v>7200</v>
      </c>
      <c r="AJ40" s="78">
        <f t="shared" si="8"/>
        <v>3222</v>
      </c>
      <c r="AK40" s="72">
        <f t="shared" si="9"/>
        <v>10422</v>
      </c>
    </row>
    <row r="41" spans="1:37" ht="15.95" customHeight="1">
      <c r="A41" s="25" t="s">
        <v>462</v>
      </c>
      <c r="B41" s="25" t="s">
        <v>463</v>
      </c>
      <c r="C41" s="26" t="s">
        <v>76</v>
      </c>
      <c r="D41" s="26" t="s">
        <v>373</v>
      </c>
      <c r="E41" s="26" t="s">
        <v>16</v>
      </c>
      <c r="F41" s="26" t="s">
        <v>85</v>
      </c>
      <c r="G41" s="26"/>
      <c r="H41" s="27" t="s">
        <v>79</v>
      </c>
      <c r="I41" s="26" t="s">
        <v>27</v>
      </c>
      <c r="J41" s="28" t="s">
        <v>80</v>
      </c>
      <c r="K41" s="123">
        <v>150</v>
      </c>
      <c r="L41" s="29">
        <v>30.229499999999998</v>
      </c>
      <c r="M41" s="110">
        <v>20.3</v>
      </c>
      <c r="N41" s="30">
        <v>0.32</v>
      </c>
      <c r="O41" s="116">
        <v>6.4960000000000004</v>
      </c>
      <c r="P41" s="30">
        <v>7.4999999999999997E-2</v>
      </c>
      <c r="Q41" s="116">
        <v>1.5225</v>
      </c>
      <c r="R41" s="30">
        <v>7.0000000000000007E-2</v>
      </c>
      <c r="S41" s="116">
        <v>1.4210000000000003</v>
      </c>
      <c r="T41" s="117">
        <v>0.49</v>
      </c>
      <c r="U41" s="39">
        <v>400</v>
      </c>
      <c r="V41" s="32">
        <v>145</v>
      </c>
      <c r="W41" s="33"/>
      <c r="X41" s="32"/>
      <c r="Y41" s="32"/>
      <c r="Z41" s="32"/>
      <c r="AA41" s="34">
        <v>6</v>
      </c>
      <c r="AB41" s="35">
        <f t="shared" si="0"/>
        <v>551</v>
      </c>
      <c r="AC41" s="75">
        <f t="shared" si="1"/>
        <v>60000</v>
      </c>
      <c r="AD41" s="78">
        <f t="shared" si="2"/>
        <v>22650</v>
      </c>
      <c r="AE41" s="72">
        <f t="shared" si="3"/>
        <v>82650</v>
      </c>
      <c r="AF41" s="75">
        <f t="shared" si="4"/>
        <v>12091.8</v>
      </c>
      <c r="AG41" s="78">
        <f t="shared" si="5"/>
        <v>4505.0775000000003</v>
      </c>
      <c r="AH41" s="72">
        <f t="shared" si="6"/>
        <v>16596.877499999999</v>
      </c>
      <c r="AI41" s="75">
        <f t="shared" si="7"/>
        <v>8120</v>
      </c>
      <c r="AJ41" s="78">
        <f t="shared" si="8"/>
        <v>3065.3</v>
      </c>
      <c r="AK41" s="72">
        <f t="shared" si="9"/>
        <v>11185.3</v>
      </c>
    </row>
    <row r="42" spans="1:37" ht="15.95" customHeight="1">
      <c r="A42" s="25" t="s">
        <v>462</v>
      </c>
      <c r="B42" s="25" t="s">
        <v>463</v>
      </c>
      <c r="C42" s="26" t="s">
        <v>81</v>
      </c>
      <c r="D42" s="26" t="s">
        <v>373</v>
      </c>
      <c r="E42" s="26" t="s">
        <v>16</v>
      </c>
      <c r="F42" s="26" t="s">
        <v>86</v>
      </c>
      <c r="G42" s="26"/>
      <c r="H42" s="27" t="s">
        <v>79</v>
      </c>
      <c r="I42" s="26" t="s">
        <v>27</v>
      </c>
      <c r="J42" s="28" t="s">
        <v>83</v>
      </c>
      <c r="K42" s="123">
        <v>125</v>
      </c>
      <c r="L42" s="29">
        <v>26.176000000000002</v>
      </c>
      <c r="M42" s="110">
        <v>18</v>
      </c>
      <c r="N42" s="30">
        <v>0.28199999999999997</v>
      </c>
      <c r="O42" s="116">
        <v>5.0759999999999996</v>
      </c>
      <c r="P42" s="30">
        <v>7.4999999999999997E-2</v>
      </c>
      <c r="Q42" s="116">
        <v>1.3499999999999999</v>
      </c>
      <c r="R42" s="30">
        <v>7.0000000000000007E-2</v>
      </c>
      <c r="S42" s="116">
        <v>1.2600000000000002</v>
      </c>
      <c r="T42" s="117">
        <v>0.49</v>
      </c>
      <c r="U42" s="39">
        <v>400</v>
      </c>
      <c r="V42" s="32">
        <v>165</v>
      </c>
      <c r="W42" s="33"/>
      <c r="X42" s="32"/>
      <c r="Y42" s="32"/>
      <c r="Z42" s="32"/>
      <c r="AA42" s="34">
        <v>6</v>
      </c>
      <c r="AB42" s="35">
        <f t="shared" si="0"/>
        <v>571</v>
      </c>
      <c r="AC42" s="75">
        <f t="shared" si="1"/>
        <v>50000</v>
      </c>
      <c r="AD42" s="78">
        <f t="shared" si="2"/>
        <v>21375</v>
      </c>
      <c r="AE42" s="72">
        <f t="shared" si="3"/>
        <v>71375</v>
      </c>
      <c r="AF42" s="75">
        <f t="shared" si="4"/>
        <v>10470.400000000001</v>
      </c>
      <c r="AG42" s="78">
        <f t="shared" si="5"/>
        <v>4427.04</v>
      </c>
      <c r="AH42" s="72">
        <f t="shared" si="6"/>
        <v>14897.440000000002</v>
      </c>
      <c r="AI42" s="75">
        <f t="shared" si="7"/>
        <v>7200</v>
      </c>
      <c r="AJ42" s="78">
        <f t="shared" si="8"/>
        <v>3078</v>
      </c>
      <c r="AK42" s="72">
        <f t="shared" si="9"/>
        <v>10278</v>
      </c>
    </row>
    <row r="43" spans="1:37" ht="15.95" customHeight="1">
      <c r="A43" s="25" t="s">
        <v>462</v>
      </c>
      <c r="B43" s="25" t="s">
        <v>463</v>
      </c>
      <c r="C43" s="26" t="s">
        <v>48</v>
      </c>
      <c r="D43" s="26" t="s">
        <v>373</v>
      </c>
      <c r="E43" s="26" t="s">
        <v>16</v>
      </c>
      <c r="F43" s="26" t="s">
        <v>497</v>
      </c>
      <c r="G43" s="26"/>
      <c r="H43" s="27" t="s">
        <v>498</v>
      </c>
      <c r="I43" s="26" t="s">
        <v>27</v>
      </c>
      <c r="J43" s="28" t="s">
        <v>41</v>
      </c>
      <c r="K43" s="123">
        <v>110</v>
      </c>
      <c r="L43" s="29">
        <v>25.196599999999997</v>
      </c>
      <c r="M43" s="110">
        <v>18.86</v>
      </c>
      <c r="N43" s="30">
        <v>0.16500000000000001</v>
      </c>
      <c r="O43" s="116">
        <v>3.1118999999999999</v>
      </c>
      <c r="P43" s="30">
        <v>7.4999999999999997E-2</v>
      </c>
      <c r="Q43" s="116">
        <v>1.4144999999999999</v>
      </c>
      <c r="R43" s="30">
        <v>7.0000000000000007E-2</v>
      </c>
      <c r="S43" s="116">
        <v>1.3202</v>
      </c>
      <c r="T43" s="117">
        <v>0.49</v>
      </c>
      <c r="U43" s="39">
        <v>301</v>
      </c>
      <c r="V43" s="32">
        <v>105</v>
      </c>
      <c r="W43" s="33">
        <v>68</v>
      </c>
      <c r="X43" s="32"/>
      <c r="Y43" s="32"/>
      <c r="Z43" s="32"/>
      <c r="AA43" s="34">
        <v>32</v>
      </c>
      <c r="AB43" s="35">
        <f t="shared" si="0"/>
        <v>506</v>
      </c>
      <c r="AC43" s="75">
        <f t="shared" si="1"/>
        <v>33110</v>
      </c>
      <c r="AD43" s="78">
        <f t="shared" si="2"/>
        <v>22550</v>
      </c>
      <c r="AE43" s="72">
        <f t="shared" si="3"/>
        <v>55660</v>
      </c>
      <c r="AF43" s="75">
        <f t="shared" si="4"/>
        <v>7584.1765999999989</v>
      </c>
      <c r="AG43" s="78">
        <f t="shared" si="5"/>
        <v>4962.5317999999988</v>
      </c>
      <c r="AH43" s="72">
        <f t="shared" si="6"/>
        <v>12546.708399999998</v>
      </c>
      <c r="AI43" s="75">
        <f t="shared" si="7"/>
        <v>5676.86</v>
      </c>
      <c r="AJ43" s="78">
        <f t="shared" si="8"/>
        <v>3866.2999999999997</v>
      </c>
      <c r="AK43" s="72">
        <f t="shared" si="9"/>
        <v>9543.16</v>
      </c>
    </row>
    <row r="44" spans="1:37" ht="15.95" customHeight="1">
      <c r="A44" s="25" t="s">
        <v>462</v>
      </c>
      <c r="B44" s="25" t="s">
        <v>463</v>
      </c>
      <c r="C44" s="26" t="s">
        <v>267</v>
      </c>
      <c r="D44" s="26" t="s">
        <v>373</v>
      </c>
      <c r="E44" s="26" t="s">
        <v>16</v>
      </c>
      <c r="F44" s="26" t="s">
        <v>499</v>
      </c>
      <c r="G44" s="26"/>
      <c r="H44" s="27" t="s">
        <v>498</v>
      </c>
      <c r="I44" s="26" t="s">
        <v>27</v>
      </c>
      <c r="J44" s="28" t="s">
        <v>174</v>
      </c>
      <c r="K44" s="123">
        <v>85</v>
      </c>
      <c r="L44" s="29">
        <v>18.460559999999997</v>
      </c>
      <c r="M44" s="110">
        <v>13.76</v>
      </c>
      <c r="N44" s="30">
        <v>0.161</v>
      </c>
      <c r="O44" s="116">
        <v>2.21536</v>
      </c>
      <c r="P44" s="30">
        <v>7.4999999999999997E-2</v>
      </c>
      <c r="Q44" s="116">
        <v>1.032</v>
      </c>
      <c r="R44" s="30">
        <v>7.0000000000000007E-2</v>
      </c>
      <c r="S44" s="116">
        <v>0.96320000000000006</v>
      </c>
      <c r="T44" s="117">
        <v>0.49</v>
      </c>
      <c r="U44" s="39">
        <v>250</v>
      </c>
      <c r="V44" s="32">
        <v>56</v>
      </c>
      <c r="W44" s="33">
        <v>194</v>
      </c>
      <c r="X44" s="32"/>
      <c r="Y44" s="32"/>
      <c r="Z44" s="32"/>
      <c r="AA44" s="34">
        <v>6</v>
      </c>
      <c r="AB44" s="35">
        <f t="shared" si="0"/>
        <v>506</v>
      </c>
      <c r="AC44" s="75">
        <f t="shared" si="1"/>
        <v>21250</v>
      </c>
      <c r="AD44" s="78">
        <f t="shared" si="2"/>
        <v>21760</v>
      </c>
      <c r="AE44" s="72">
        <f t="shared" si="3"/>
        <v>43010</v>
      </c>
      <c r="AF44" s="75">
        <f t="shared" si="4"/>
        <v>4615.1399999999994</v>
      </c>
      <c r="AG44" s="78">
        <f t="shared" si="5"/>
        <v>4697.7</v>
      </c>
      <c r="AH44" s="72">
        <f t="shared" si="6"/>
        <v>9312.84</v>
      </c>
      <c r="AI44" s="75">
        <f t="shared" si="7"/>
        <v>3440</v>
      </c>
      <c r="AJ44" s="78">
        <f t="shared" si="8"/>
        <v>3522.56</v>
      </c>
      <c r="AK44" s="72">
        <f t="shared" si="9"/>
        <v>6962.5599999999995</v>
      </c>
    </row>
    <row r="45" spans="1:37" ht="15.95" customHeight="1">
      <c r="A45" s="25" t="s">
        <v>462</v>
      </c>
      <c r="B45" s="25" t="s">
        <v>463</v>
      </c>
      <c r="C45" s="26" t="s">
        <v>48</v>
      </c>
      <c r="D45" s="26" t="s">
        <v>373</v>
      </c>
      <c r="E45" s="26" t="s">
        <v>16</v>
      </c>
      <c r="F45" s="26" t="s">
        <v>497</v>
      </c>
      <c r="G45" s="26"/>
      <c r="H45" s="27" t="s">
        <v>498</v>
      </c>
      <c r="I45" s="26" t="s">
        <v>27</v>
      </c>
      <c r="J45" s="28" t="s">
        <v>41</v>
      </c>
      <c r="K45" s="123">
        <v>110</v>
      </c>
      <c r="L45" s="29">
        <v>25.196599999999997</v>
      </c>
      <c r="M45" s="110">
        <v>18.86</v>
      </c>
      <c r="N45" s="30">
        <v>0.16500000000000001</v>
      </c>
      <c r="O45" s="116">
        <v>3.1118999999999999</v>
      </c>
      <c r="P45" s="30">
        <v>7.4999999999999997E-2</v>
      </c>
      <c r="Q45" s="116">
        <v>1.4144999999999999</v>
      </c>
      <c r="R45" s="30">
        <v>7.0000000000000007E-2</v>
      </c>
      <c r="S45" s="116">
        <v>1.3202</v>
      </c>
      <c r="T45" s="117">
        <v>0.49</v>
      </c>
      <c r="U45" s="39">
        <v>301</v>
      </c>
      <c r="V45" s="32">
        <v>103</v>
      </c>
      <c r="W45" s="33">
        <v>69</v>
      </c>
      <c r="X45" s="32"/>
      <c r="Y45" s="32"/>
      <c r="Z45" s="32"/>
      <c r="AA45" s="34">
        <v>32</v>
      </c>
      <c r="AB45" s="35">
        <f t="shared" si="0"/>
        <v>505</v>
      </c>
      <c r="AC45" s="75">
        <f t="shared" si="1"/>
        <v>33110</v>
      </c>
      <c r="AD45" s="78">
        <f t="shared" si="2"/>
        <v>22440</v>
      </c>
      <c r="AE45" s="72">
        <f t="shared" si="3"/>
        <v>55550</v>
      </c>
      <c r="AF45" s="75">
        <f t="shared" si="4"/>
        <v>7584.1765999999989</v>
      </c>
      <c r="AG45" s="78">
        <f t="shared" si="5"/>
        <v>4937.3351999999995</v>
      </c>
      <c r="AH45" s="72">
        <f t="shared" si="6"/>
        <v>12521.511799999998</v>
      </c>
      <c r="AI45" s="75">
        <f t="shared" si="7"/>
        <v>5676.86</v>
      </c>
      <c r="AJ45" s="78">
        <f t="shared" si="8"/>
        <v>3847.44</v>
      </c>
      <c r="AK45" s="72">
        <f t="shared" si="9"/>
        <v>9524.2999999999993</v>
      </c>
    </row>
    <row r="46" spans="1:37" ht="15.95" customHeight="1">
      <c r="A46" s="25" t="s">
        <v>462</v>
      </c>
      <c r="B46" s="25" t="s">
        <v>463</v>
      </c>
      <c r="C46" s="26" t="s">
        <v>267</v>
      </c>
      <c r="D46" s="26" t="s">
        <v>373</v>
      </c>
      <c r="E46" s="26" t="s">
        <v>16</v>
      </c>
      <c r="F46" s="26" t="s">
        <v>499</v>
      </c>
      <c r="G46" s="26"/>
      <c r="H46" s="27" t="s">
        <v>498</v>
      </c>
      <c r="I46" s="26" t="s">
        <v>27</v>
      </c>
      <c r="J46" s="28" t="s">
        <v>174</v>
      </c>
      <c r="K46" s="123">
        <v>85</v>
      </c>
      <c r="L46" s="29">
        <v>18.460559999999997</v>
      </c>
      <c r="M46" s="110">
        <v>13.76</v>
      </c>
      <c r="N46" s="30">
        <v>0.161</v>
      </c>
      <c r="O46" s="116">
        <v>2.21536</v>
      </c>
      <c r="P46" s="30">
        <v>7.4999999999999997E-2</v>
      </c>
      <c r="Q46" s="116">
        <v>1.032</v>
      </c>
      <c r="R46" s="30">
        <v>7.0000000000000007E-2</v>
      </c>
      <c r="S46" s="116">
        <v>0.96320000000000006</v>
      </c>
      <c r="T46" s="117">
        <v>0.49</v>
      </c>
      <c r="U46" s="39">
        <v>250</v>
      </c>
      <c r="V46" s="32">
        <v>80</v>
      </c>
      <c r="W46" s="33">
        <v>169</v>
      </c>
      <c r="X46" s="32"/>
      <c r="Y46" s="32"/>
      <c r="Z46" s="32"/>
      <c r="AA46" s="34">
        <v>6</v>
      </c>
      <c r="AB46" s="35">
        <f t="shared" si="0"/>
        <v>505</v>
      </c>
      <c r="AC46" s="75">
        <f t="shared" si="1"/>
        <v>21250</v>
      </c>
      <c r="AD46" s="78">
        <f t="shared" si="2"/>
        <v>21675</v>
      </c>
      <c r="AE46" s="72">
        <f t="shared" si="3"/>
        <v>42925</v>
      </c>
      <c r="AF46" s="75">
        <f t="shared" si="4"/>
        <v>4615.1399999999994</v>
      </c>
      <c r="AG46" s="78">
        <f t="shared" si="5"/>
        <v>4679.2394399999994</v>
      </c>
      <c r="AH46" s="72">
        <f t="shared" si="6"/>
        <v>9294.3794399999988</v>
      </c>
      <c r="AI46" s="75">
        <f t="shared" si="7"/>
        <v>3440</v>
      </c>
      <c r="AJ46" s="78">
        <f t="shared" si="8"/>
        <v>3508.7999999999997</v>
      </c>
      <c r="AK46" s="72">
        <f t="shared" si="9"/>
        <v>6948.7999999999993</v>
      </c>
    </row>
    <row r="47" spans="1:37" ht="15.95" customHeight="1">
      <c r="A47" s="25" t="s">
        <v>462</v>
      </c>
      <c r="B47" s="25" t="s">
        <v>463</v>
      </c>
      <c r="C47" s="26" t="s">
        <v>76</v>
      </c>
      <c r="D47" s="26" t="s">
        <v>373</v>
      </c>
      <c r="E47" s="26" t="s">
        <v>16</v>
      </c>
      <c r="F47" s="26" t="s">
        <v>500</v>
      </c>
      <c r="G47" s="26"/>
      <c r="H47" s="27" t="s">
        <v>498</v>
      </c>
      <c r="I47" s="26" t="s">
        <v>27</v>
      </c>
      <c r="J47" s="28" t="s">
        <v>222</v>
      </c>
      <c r="K47" s="123">
        <v>125</v>
      </c>
      <c r="L47" s="29">
        <v>32.991100000000003</v>
      </c>
      <c r="M47" s="110">
        <v>24.81</v>
      </c>
      <c r="N47" s="30">
        <v>0.16500000000000001</v>
      </c>
      <c r="O47" s="116">
        <v>4.0936500000000002</v>
      </c>
      <c r="P47" s="30">
        <v>7.4999999999999997E-2</v>
      </c>
      <c r="Q47" s="116">
        <v>1.8607499999999999</v>
      </c>
      <c r="R47" s="30">
        <v>7.0000000000000007E-2</v>
      </c>
      <c r="S47" s="116">
        <v>1.7367000000000001</v>
      </c>
      <c r="T47" s="117">
        <v>0.49</v>
      </c>
      <c r="U47" s="39">
        <v>301</v>
      </c>
      <c r="V47" s="32">
        <v>100</v>
      </c>
      <c r="W47" s="33">
        <v>81</v>
      </c>
      <c r="X47" s="32"/>
      <c r="Y47" s="32"/>
      <c r="Z47" s="32"/>
      <c r="AA47" s="34">
        <v>18</v>
      </c>
      <c r="AB47" s="35">
        <f t="shared" si="0"/>
        <v>500</v>
      </c>
      <c r="AC47" s="75">
        <f t="shared" si="1"/>
        <v>37625</v>
      </c>
      <c r="AD47" s="78">
        <f t="shared" si="2"/>
        <v>24875</v>
      </c>
      <c r="AE47" s="72">
        <f t="shared" si="3"/>
        <v>62500</v>
      </c>
      <c r="AF47" s="75">
        <f t="shared" si="4"/>
        <v>9930.321100000001</v>
      </c>
      <c r="AG47" s="78">
        <f t="shared" si="5"/>
        <v>6417.9691000000003</v>
      </c>
      <c r="AH47" s="72">
        <f t="shared" si="6"/>
        <v>16348.290200000001</v>
      </c>
      <c r="AI47" s="75">
        <f t="shared" si="7"/>
        <v>7467.8099999999995</v>
      </c>
      <c r="AJ47" s="78">
        <f t="shared" si="8"/>
        <v>4937.1899999999996</v>
      </c>
      <c r="AK47" s="72">
        <f t="shared" si="9"/>
        <v>12405</v>
      </c>
    </row>
    <row r="48" spans="1:37" ht="15.95" customHeight="1">
      <c r="A48" s="25" t="s">
        <v>462</v>
      </c>
      <c r="B48" s="25" t="s">
        <v>463</v>
      </c>
      <c r="C48" s="26" t="s">
        <v>81</v>
      </c>
      <c r="D48" s="26" t="s">
        <v>373</v>
      </c>
      <c r="E48" s="26" t="s">
        <v>16</v>
      </c>
      <c r="F48" s="26" t="s">
        <v>501</v>
      </c>
      <c r="G48" s="26"/>
      <c r="H48" s="27" t="s">
        <v>498</v>
      </c>
      <c r="I48" s="26" t="s">
        <v>27</v>
      </c>
      <c r="J48" s="28" t="s">
        <v>502</v>
      </c>
      <c r="K48" s="124">
        <v>110</v>
      </c>
      <c r="L48" s="29">
        <v>24.07</v>
      </c>
      <c r="M48" s="110">
        <v>18</v>
      </c>
      <c r="N48" s="30">
        <v>0.16500000000000001</v>
      </c>
      <c r="O48" s="116">
        <v>2.97</v>
      </c>
      <c r="P48" s="30">
        <v>7.4999999999999997E-2</v>
      </c>
      <c r="Q48" s="116">
        <v>1.3499999999999999</v>
      </c>
      <c r="R48" s="30">
        <v>7.0000000000000007E-2</v>
      </c>
      <c r="S48" s="116">
        <v>1.2600000000000002</v>
      </c>
      <c r="T48" s="117">
        <v>0.49</v>
      </c>
      <c r="U48" s="39">
        <v>302</v>
      </c>
      <c r="V48" s="32">
        <v>99</v>
      </c>
      <c r="W48" s="33">
        <v>93</v>
      </c>
      <c r="X48" s="32"/>
      <c r="Y48" s="32"/>
      <c r="Z48" s="32"/>
      <c r="AA48" s="34">
        <v>6</v>
      </c>
      <c r="AB48" s="35">
        <f t="shared" si="0"/>
        <v>500</v>
      </c>
      <c r="AC48" s="75">
        <f t="shared" si="1"/>
        <v>33220</v>
      </c>
      <c r="AD48" s="78">
        <f t="shared" si="2"/>
        <v>21780</v>
      </c>
      <c r="AE48" s="72">
        <f t="shared" si="3"/>
        <v>55000</v>
      </c>
      <c r="AF48" s="75">
        <f t="shared" si="4"/>
        <v>7269.14</v>
      </c>
      <c r="AG48" s="78">
        <f t="shared" si="5"/>
        <v>4729.4400000000005</v>
      </c>
      <c r="AH48" s="72">
        <f t="shared" si="6"/>
        <v>11998.580000000002</v>
      </c>
      <c r="AI48" s="75">
        <f t="shared" si="7"/>
        <v>5436</v>
      </c>
      <c r="AJ48" s="78">
        <f t="shared" si="8"/>
        <v>3564</v>
      </c>
      <c r="AK48" s="72">
        <f t="shared" si="9"/>
        <v>9000</v>
      </c>
    </row>
    <row r="49" spans="1:37" ht="15.95" customHeight="1">
      <c r="A49" s="25" t="s">
        <v>462</v>
      </c>
      <c r="B49" s="25" t="s">
        <v>463</v>
      </c>
      <c r="C49" s="26" t="s">
        <v>76</v>
      </c>
      <c r="D49" s="26" t="s">
        <v>373</v>
      </c>
      <c r="E49" s="26" t="s">
        <v>16</v>
      </c>
      <c r="F49" s="26" t="s">
        <v>500</v>
      </c>
      <c r="G49" s="26"/>
      <c r="H49" s="27" t="s">
        <v>498</v>
      </c>
      <c r="I49" s="26" t="s">
        <v>27</v>
      </c>
      <c r="J49" s="28" t="s">
        <v>222</v>
      </c>
      <c r="K49" s="123">
        <v>125</v>
      </c>
      <c r="L49" s="29">
        <v>32.991100000000003</v>
      </c>
      <c r="M49" s="110">
        <v>24.81</v>
      </c>
      <c r="N49" s="30">
        <v>0.16500000000000001</v>
      </c>
      <c r="O49" s="116">
        <v>4.0936500000000002</v>
      </c>
      <c r="P49" s="30">
        <v>7.4999999999999997E-2</v>
      </c>
      <c r="Q49" s="116">
        <v>1.8607499999999999</v>
      </c>
      <c r="R49" s="30">
        <v>7.0000000000000007E-2</v>
      </c>
      <c r="S49" s="116">
        <v>1.7367000000000001</v>
      </c>
      <c r="T49" s="117">
        <v>0.49</v>
      </c>
      <c r="U49" s="39">
        <v>301</v>
      </c>
      <c r="V49" s="32">
        <v>72</v>
      </c>
      <c r="W49" s="33">
        <v>121</v>
      </c>
      <c r="X49" s="32"/>
      <c r="Y49" s="32"/>
      <c r="Z49" s="32"/>
      <c r="AA49" s="34">
        <v>6</v>
      </c>
      <c r="AB49" s="35">
        <f t="shared" si="0"/>
        <v>500</v>
      </c>
      <c r="AC49" s="75">
        <f t="shared" si="1"/>
        <v>37625</v>
      </c>
      <c r="AD49" s="78">
        <f t="shared" si="2"/>
        <v>24875</v>
      </c>
      <c r="AE49" s="72">
        <f t="shared" si="3"/>
        <v>62500</v>
      </c>
      <c r="AF49" s="75">
        <f t="shared" si="4"/>
        <v>9930.321100000001</v>
      </c>
      <c r="AG49" s="78">
        <f t="shared" si="5"/>
        <v>6516.1423000000004</v>
      </c>
      <c r="AH49" s="72">
        <f t="shared" si="6"/>
        <v>16446.463400000001</v>
      </c>
      <c r="AI49" s="75">
        <f t="shared" si="7"/>
        <v>7467.8099999999995</v>
      </c>
      <c r="AJ49" s="78">
        <f t="shared" si="8"/>
        <v>4937.1899999999996</v>
      </c>
      <c r="AK49" s="72">
        <f t="shared" si="9"/>
        <v>12405</v>
      </c>
    </row>
    <row r="50" spans="1:37" ht="15.95" customHeight="1">
      <c r="A50" s="25" t="s">
        <v>462</v>
      </c>
      <c r="B50" s="25" t="s">
        <v>463</v>
      </c>
      <c r="C50" s="26" t="s">
        <v>81</v>
      </c>
      <c r="D50" s="26" t="s">
        <v>373</v>
      </c>
      <c r="E50" s="26" t="s">
        <v>16</v>
      </c>
      <c r="F50" s="26" t="s">
        <v>501</v>
      </c>
      <c r="G50" s="26"/>
      <c r="H50" s="27" t="s">
        <v>498</v>
      </c>
      <c r="I50" s="26" t="s">
        <v>27</v>
      </c>
      <c r="J50" s="28" t="s">
        <v>502</v>
      </c>
      <c r="K50" s="123">
        <v>110</v>
      </c>
      <c r="L50" s="29">
        <v>24.07</v>
      </c>
      <c r="M50" s="110">
        <v>18</v>
      </c>
      <c r="N50" s="30">
        <v>0.16500000000000001</v>
      </c>
      <c r="O50" s="116">
        <v>2.97</v>
      </c>
      <c r="P50" s="30">
        <v>7.4999999999999997E-2</v>
      </c>
      <c r="Q50" s="116">
        <v>1.3499999999999999</v>
      </c>
      <c r="R50" s="30">
        <v>7.0000000000000007E-2</v>
      </c>
      <c r="S50" s="116">
        <v>1.2600000000000002</v>
      </c>
      <c r="T50" s="117">
        <v>0.49</v>
      </c>
      <c r="U50" s="39">
        <v>302</v>
      </c>
      <c r="V50" s="32">
        <v>72</v>
      </c>
      <c r="W50" s="33">
        <v>120</v>
      </c>
      <c r="X50" s="32"/>
      <c r="Y50" s="32"/>
      <c r="Z50" s="32"/>
      <c r="AA50" s="34">
        <v>6</v>
      </c>
      <c r="AB50" s="35">
        <f t="shared" si="0"/>
        <v>500</v>
      </c>
      <c r="AC50" s="75">
        <f t="shared" si="1"/>
        <v>33220</v>
      </c>
      <c r="AD50" s="78">
        <f t="shared" si="2"/>
        <v>21780</v>
      </c>
      <c r="AE50" s="72">
        <f t="shared" si="3"/>
        <v>55000</v>
      </c>
      <c r="AF50" s="75">
        <f t="shared" si="4"/>
        <v>7269.14</v>
      </c>
      <c r="AG50" s="78">
        <f t="shared" si="5"/>
        <v>4729.4400000000005</v>
      </c>
      <c r="AH50" s="72">
        <f t="shared" si="6"/>
        <v>11998.580000000002</v>
      </c>
      <c r="AI50" s="75">
        <f t="shared" si="7"/>
        <v>5436</v>
      </c>
      <c r="AJ50" s="78">
        <f t="shared" si="8"/>
        <v>3564</v>
      </c>
      <c r="AK50" s="72">
        <f t="shared" si="9"/>
        <v>9000</v>
      </c>
    </row>
    <row r="51" spans="1:37" ht="15.95" customHeight="1">
      <c r="A51" s="25" t="s">
        <v>462</v>
      </c>
      <c r="B51" s="25" t="s">
        <v>463</v>
      </c>
      <c r="C51" s="26" t="s">
        <v>14</v>
      </c>
      <c r="D51" s="26" t="s">
        <v>373</v>
      </c>
      <c r="E51" s="26" t="s">
        <v>16</v>
      </c>
      <c r="F51" s="26" t="s">
        <v>503</v>
      </c>
      <c r="G51" s="26"/>
      <c r="H51" s="27" t="s">
        <v>89</v>
      </c>
      <c r="I51" s="26" t="s">
        <v>27</v>
      </c>
      <c r="J51" s="28" t="s">
        <v>41</v>
      </c>
      <c r="K51" s="123">
        <v>140</v>
      </c>
      <c r="L51" s="29">
        <v>23.892799999999998</v>
      </c>
      <c r="M51" s="110">
        <v>16.399999999999999</v>
      </c>
      <c r="N51" s="30">
        <v>0.28199999999999997</v>
      </c>
      <c r="O51" s="116">
        <v>4.6247999999999996</v>
      </c>
      <c r="P51" s="30">
        <v>7.4999999999999997E-2</v>
      </c>
      <c r="Q51" s="116">
        <v>1.2299999999999998</v>
      </c>
      <c r="R51" s="30">
        <v>7.0000000000000007E-2</v>
      </c>
      <c r="S51" s="116">
        <v>1.1479999999999999</v>
      </c>
      <c r="T51" s="117">
        <v>0.49</v>
      </c>
      <c r="U51" s="39">
        <v>501</v>
      </c>
      <c r="V51" s="32"/>
      <c r="W51" s="33"/>
      <c r="X51" s="32"/>
      <c r="Y51" s="32"/>
      <c r="Z51" s="32"/>
      <c r="AA51" s="34"/>
      <c r="AB51" s="35">
        <f t="shared" si="0"/>
        <v>501</v>
      </c>
      <c r="AC51" s="75">
        <f t="shared" si="1"/>
        <v>70140</v>
      </c>
      <c r="AD51" s="78">
        <f t="shared" si="2"/>
        <v>0</v>
      </c>
      <c r="AE51" s="72">
        <f t="shared" si="3"/>
        <v>70140</v>
      </c>
      <c r="AF51" s="75">
        <f t="shared" si="4"/>
        <v>11970.292799999999</v>
      </c>
      <c r="AG51" s="78">
        <f t="shared" si="5"/>
        <v>0</v>
      </c>
      <c r="AH51" s="72">
        <f t="shared" si="6"/>
        <v>11970.292799999999</v>
      </c>
      <c r="AI51" s="75">
        <f t="shared" si="7"/>
        <v>8216.4</v>
      </c>
      <c r="AJ51" s="78">
        <f t="shared" si="8"/>
        <v>0</v>
      </c>
      <c r="AK51" s="72">
        <f t="shared" si="9"/>
        <v>8216.4</v>
      </c>
    </row>
    <row r="52" spans="1:37" ht="15.95" customHeight="1">
      <c r="A52" s="25" t="s">
        <v>462</v>
      </c>
      <c r="B52" s="25" t="s">
        <v>463</v>
      </c>
      <c r="C52" s="26" t="s">
        <v>21</v>
      </c>
      <c r="D52" s="26" t="s">
        <v>373</v>
      </c>
      <c r="E52" s="26" t="s">
        <v>16</v>
      </c>
      <c r="F52" s="26" t="s">
        <v>504</v>
      </c>
      <c r="G52" s="26"/>
      <c r="H52" s="27" t="s">
        <v>89</v>
      </c>
      <c r="I52" s="26" t="s">
        <v>27</v>
      </c>
      <c r="J52" s="28" t="s">
        <v>43</v>
      </c>
      <c r="K52" s="123">
        <v>125</v>
      </c>
      <c r="L52" s="29">
        <v>21.081609999999998</v>
      </c>
      <c r="M52" s="110">
        <v>14.43</v>
      </c>
      <c r="N52" s="30">
        <v>0.28199999999999997</v>
      </c>
      <c r="O52" s="116">
        <v>4.0692599999999999</v>
      </c>
      <c r="P52" s="30">
        <v>7.4999999999999997E-2</v>
      </c>
      <c r="Q52" s="116">
        <v>1.0822499999999999</v>
      </c>
      <c r="R52" s="30">
        <v>7.0000000000000007E-2</v>
      </c>
      <c r="S52" s="116">
        <v>1.0101</v>
      </c>
      <c r="T52" s="117">
        <v>0.49</v>
      </c>
      <c r="U52" s="39">
        <v>501</v>
      </c>
      <c r="V52" s="32"/>
      <c r="W52" s="33"/>
      <c r="X52" s="32"/>
      <c r="Y52" s="32"/>
      <c r="Z52" s="32"/>
      <c r="AA52" s="34"/>
      <c r="AB52" s="35">
        <f t="shared" si="0"/>
        <v>501</v>
      </c>
      <c r="AC52" s="75">
        <f t="shared" si="1"/>
        <v>62625</v>
      </c>
      <c r="AD52" s="78">
        <f t="shared" si="2"/>
        <v>0</v>
      </c>
      <c r="AE52" s="72">
        <f t="shared" si="3"/>
        <v>62625</v>
      </c>
      <c r="AF52" s="75">
        <f t="shared" si="4"/>
        <v>10561.88661</v>
      </c>
      <c r="AG52" s="78">
        <f t="shared" si="5"/>
        <v>0</v>
      </c>
      <c r="AH52" s="72">
        <f t="shared" si="6"/>
        <v>10561.88661</v>
      </c>
      <c r="AI52" s="75">
        <f t="shared" si="7"/>
        <v>7229.43</v>
      </c>
      <c r="AJ52" s="78">
        <f t="shared" si="8"/>
        <v>0</v>
      </c>
      <c r="AK52" s="72">
        <f t="shared" si="9"/>
        <v>7229.43</v>
      </c>
    </row>
    <row r="53" spans="1:37" ht="15.95" customHeight="1">
      <c r="A53" s="25" t="s">
        <v>462</v>
      </c>
      <c r="B53" s="25" t="s">
        <v>463</v>
      </c>
      <c r="C53" s="26" t="s">
        <v>14</v>
      </c>
      <c r="D53" s="26" t="s">
        <v>373</v>
      </c>
      <c r="E53" s="26" t="s">
        <v>16</v>
      </c>
      <c r="F53" s="26" t="s">
        <v>505</v>
      </c>
      <c r="G53" s="26"/>
      <c r="H53" s="27" t="s">
        <v>506</v>
      </c>
      <c r="I53" s="26" t="s">
        <v>19</v>
      </c>
      <c r="J53" s="37" t="s">
        <v>20</v>
      </c>
      <c r="K53" s="123">
        <v>195</v>
      </c>
      <c r="L53" s="29">
        <v>31.674459999999996</v>
      </c>
      <c r="M53" s="110">
        <v>21.93</v>
      </c>
      <c r="N53" s="30">
        <v>0.27700000000000002</v>
      </c>
      <c r="O53" s="116">
        <v>6.0746100000000007</v>
      </c>
      <c r="P53" s="30">
        <v>7.4999999999999997E-2</v>
      </c>
      <c r="Q53" s="116">
        <v>1.6447499999999999</v>
      </c>
      <c r="R53" s="30">
        <v>7.0000000000000007E-2</v>
      </c>
      <c r="S53" s="116">
        <v>1.5351000000000001</v>
      </c>
      <c r="T53" s="117">
        <v>0.49</v>
      </c>
      <c r="U53" s="39">
        <v>400</v>
      </c>
      <c r="V53" s="32">
        <v>77</v>
      </c>
      <c r="W53" s="33">
        <v>14</v>
      </c>
      <c r="X53" s="32"/>
      <c r="Y53" s="32"/>
      <c r="Z53" s="32"/>
      <c r="AA53" s="34">
        <v>6</v>
      </c>
      <c r="AB53" s="35">
        <f t="shared" si="0"/>
        <v>497</v>
      </c>
      <c r="AC53" s="75">
        <f t="shared" si="1"/>
        <v>78000</v>
      </c>
      <c r="AD53" s="78">
        <f t="shared" si="2"/>
        <v>18915</v>
      </c>
      <c r="AE53" s="72">
        <f t="shared" si="3"/>
        <v>96915</v>
      </c>
      <c r="AF53" s="75">
        <f t="shared" si="4"/>
        <v>12669.783999999998</v>
      </c>
      <c r="AG53" s="78">
        <f t="shared" si="5"/>
        <v>3013.9558599999996</v>
      </c>
      <c r="AH53" s="72">
        <f t="shared" si="6"/>
        <v>15683.739859999998</v>
      </c>
      <c r="AI53" s="75">
        <f t="shared" si="7"/>
        <v>8772</v>
      </c>
      <c r="AJ53" s="78">
        <f t="shared" si="8"/>
        <v>2127.21</v>
      </c>
      <c r="AK53" s="72">
        <f t="shared" si="9"/>
        <v>10899.21</v>
      </c>
    </row>
    <row r="54" spans="1:37" ht="15.95" customHeight="1">
      <c r="A54" s="25" t="s">
        <v>462</v>
      </c>
      <c r="B54" s="25" t="s">
        <v>463</v>
      </c>
      <c r="C54" s="26" t="s">
        <v>21</v>
      </c>
      <c r="D54" s="26" t="s">
        <v>373</v>
      </c>
      <c r="E54" s="26" t="s">
        <v>16</v>
      </c>
      <c r="F54" s="26" t="s">
        <v>507</v>
      </c>
      <c r="G54" s="26"/>
      <c r="H54" s="27" t="s">
        <v>506</v>
      </c>
      <c r="I54" s="26" t="s">
        <v>19</v>
      </c>
      <c r="J54" s="28" t="s">
        <v>23</v>
      </c>
      <c r="K54" s="123">
        <v>150</v>
      </c>
      <c r="L54" s="29">
        <v>27.930479999999999</v>
      </c>
      <c r="M54" s="110">
        <v>19.27</v>
      </c>
      <c r="N54" s="30">
        <v>0.27900000000000003</v>
      </c>
      <c r="O54" s="116">
        <v>5.3763300000000003</v>
      </c>
      <c r="P54" s="30">
        <v>7.4999999999999997E-2</v>
      </c>
      <c r="Q54" s="116">
        <v>1.4452499999999999</v>
      </c>
      <c r="R54" s="30">
        <v>7.0000000000000007E-2</v>
      </c>
      <c r="S54" s="116">
        <v>1.3489</v>
      </c>
      <c r="T54" s="117">
        <v>0.49</v>
      </c>
      <c r="U54" s="39">
        <v>300</v>
      </c>
      <c r="V54" s="32">
        <v>60</v>
      </c>
      <c r="W54" s="33">
        <v>131</v>
      </c>
      <c r="X54" s="32"/>
      <c r="Y54" s="32"/>
      <c r="Z54" s="32"/>
      <c r="AA54" s="34">
        <v>6</v>
      </c>
      <c r="AB54" s="35">
        <f t="shared" si="0"/>
        <v>497</v>
      </c>
      <c r="AC54" s="75">
        <f t="shared" si="1"/>
        <v>45000</v>
      </c>
      <c r="AD54" s="78">
        <f t="shared" si="2"/>
        <v>29550</v>
      </c>
      <c r="AE54" s="72">
        <f t="shared" si="3"/>
        <v>74550</v>
      </c>
      <c r="AF54" s="75">
        <f t="shared" si="4"/>
        <v>8379.1440000000002</v>
      </c>
      <c r="AG54" s="78">
        <f t="shared" si="5"/>
        <v>5450.3416799999995</v>
      </c>
      <c r="AH54" s="72">
        <f t="shared" si="6"/>
        <v>13829.48568</v>
      </c>
      <c r="AI54" s="75">
        <f t="shared" si="7"/>
        <v>5781</v>
      </c>
      <c r="AJ54" s="78">
        <f t="shared" si="8"/>
        <v>3796.19</v>
      </c>
      <c r="AK54" s="72">
        <f t="shared" si="9"/>
        <v>9577.19</v>
      </c>
    </row>
    <row r="55" spans="1:37" ht="15.95" customHeight="1">
      <c r="A55" s="25" t="s">
        <v>462</v>
      </c>
      <c r="B55" s="25" t="s">
        <v>463</v>
      </c>
      <c r="C55" s="26" t="s">
        <v>124</v>
      </c>
      <c r="D55" s="26" t="s">
        <v>373</v>
      </c>
      <c r="E55" s="26" t="s">
        <v>16</v>
      </c>
      <c r="F55" s="26" t="s">
        <v>508</v>
      </c>
      <c r="G55" s="26"/>
      <c r="H55" s="27" t="s">
        <v>509</v>
      </c>
      <c r="I55" s="26" t="s">
        <v>19</v>
      </c>
      <c r="J55" s="37" t="s">
        <v>20</v>
      </c>
      <c r="K55" s="123">
        <v>250</v>
      </c>
      <c r="L55" s="29">
        <v>44.003200000000007</v>
      </c>
      <c r="M55" s="110">
        <v>30.6</v>
      </c>
      <c r="N55" s="30">
        <v>0.27700000000000002</v>
      </c>
      <c r="O55" s="116">
        <v>8.4762000000000004</v>
      </c>
      <c r="P55" s="30">
        <v>7.4999999999999997E-2</v>
      </c>
      <c r="Q55" s="116">
        <v>2.2949999999999999</v>
      </c>
      <c r="R55" s="30">
        <v>7.0000000000000007E-2</v>
      </c>
      <c r="S55" s="116">
        <v>2.1420000000000003</v>
      </c>
      <c r="T55" s="117">
        <v>0.49</v>
      </c>
      <c r="U55" s="39">
        <v>200</v>
      </c>
      <c r="V55" s="32"/>
      <c r="W55" s="33"/>
      <c r="X55" s="32"/>
      <c r="Y55" s="32"/>
      <c r="Z55" s="32"/>
      <c r="AA55" s="34"/>
      <c r="AB55" s="35">
        <f t="shared" si="0"/>
        <v>200</v>
      </c>
      <c r="AC55" s="75">
        <f t="shared" si="1"/>
        <v>50000</v>
      </c>
      <c r="AD55" s="78">
        <f t="shared" si="2"/>
        <v>0</v>
      </c>
      <c r="AE55" s="72">
        <f t="shared" si="3"/>
        <v>50000</v>
      </c>
      <c r="AF55" s="75">
        <f t="shared" si="4"/>
        <v>8800.6400000000012</v>
      </c>
      <c r="AG55" s="78">
        <f t="shared" si="5"/>
        <v>0</v>
      </c>
      <c r="AH55" s="72">
        <f t="shared" si="6"/>
        <v>8800.6400000000012</v>
      </c>
      <c r="AI55" s="75">
        <f t="shared" si="7"/>
        <v>6120</v>
      </c>
      <c r="AJ55" s="78">
        <f t="shared" si="8"/>
        <v>0</v>
      </c>
      <c r="AK55" s="72">
        <f t="shared" si="9"/>
        <v>6120</v>
      </c>
    </row>
    <row r="56" spans="1:37" ht="15.95" customHeight="1">
      <c r="A56" s="25" t="s">
        <v>462</v>
      </c>
      <c r="B56" s="25" t="s">
        <v>463</v>
      </c>
      <c r="C56" s="26" t="s">
        <v>24</v>
      </c>
      <c r="D56" s="26" t="s">
        <v>213</v>
      </c>
      <c r="E56" s="26" t="s">
        <v>214</v>
      </c>
      <c r="F56" s="26" t="s">
        <v>510</v>
      </c>
      <c r="G56" s="26"/>
      <c r="H56" s="27" t="s">
        <v>511</v>
      </c>
      <c r="I56" s="26" t="s">
        <v>27</v>
      </c>
      <c r="J56" s="28" t="s">
        <v>227</v>
      </c>
      <c r="K56" s="123">
        <v>54</v>
      </c>
      <c r="L56" s="29">
        <v>7.3442499999999997</v>
      </c>
      <c r="M56" s="110">
        <v>5.55</v>
      </c>
      <c r="N56" s="30">
        <v>0.16500000000000001</v>
      </c>
      <c r="O56" s="116">
        <v>0.91575000000000006</v>
      </c>
      <c r="P56" s="30"/>
      <c r="Q56" s="116"/>
      <c r="R56" s="30">
        <v>7.0000000000000007E-2</v>
      </c>
      <c r="S56" s="116">
        <v>0.38850000000000001</v>
      </c>
      <c r="T56" s="117">
        <v>0.49</v>
      </c>
      <c r="U56" s="39">
        <v>301</v>
      </c>
      <c r="V56" s="32">
        <v>135</v>
      </c>
      <c r="W56" s="33"/>
      <c r="X56" s="32"/>
      <c r="Y56" s="32"/>
      <c r="Z56" s="32"/>
      <c r="AA56" s="34"/>
      <c r="AB56" s="35">
        <f t="shared" si="0"/>
        <v>436</v>
      </c>
      <c r="AC56" s="75">
        <f t="shared" si="1"/>
        <v>16254</v>
      </c>
      <c r="AD56" s="78">
        <f t="shared" si="2"/>
        <v>7290</v>
      </c>
      <c r="AE56" s="72">
        <f t="shared" si="3"/>
        <v>23544</v>
      </c>
      <c r="AF56" s="75">
        <f t="shared" si="4"/>
        <v>2210.6192499999997</v>
      </c>
      <c r="AG56" s="78">
        <f t="shared" si="5"/>
        <v>991.47375</v>
      </c>
      <c r="AH56" s="72">
        <f t="shared" si="6"/>
        <v>3202.0929999999998</v>
      </c>
      <c r="AI56" s="75">
        <f t="shared" si="7"/>
        <v>1670.55</v>
      </c>
      <c r="AJ56" s="78">
        <f t="shared" si="8"/>
        <v>749.25</v>
      </c>
      <c r="AK56" s="72">
        <f t="shared" si="9"/>
        <v>2419.8000000000002</v>
      </c>
    </row>
    <row r="57" spans="1:37" ht="15.95" customHeight="1">
      <c r="A57" s="25" t="s">
        <v>462</v>
      </c>
      <c r="B57" s="25" t="s">
        <v>463</v>
      </c>
      <c r="C57" s="26" t="s">
        <v>24</v>
      </c>
      <c r="D57" s="26" t="s">
        <v>213</v>
      </c>
      <c r="E57" s="26" t="s">
        <v>214</v>
      </c>
      <c r="F57" s="26" t="s">
        <v>510</v>
      </c>
      <c r="G57" s="26"/>
      <c r="H57" s="27" t="s">
        <v>234</v>
      </c>
      <c r="I57" s="26" t="s">
        <v>27</v>
      </c>
      <c r="J57" s="28" t="s">
        <v>227</v>
      </c>
      <c r="K57" s="123">
        <v>54</v>
      </c>
      <c r="L57" s="29">
        <v>7.3442499999999997</v>
      </c>
      <c r="M57" s="110">
        <v>5.55</v>
      </c>
      <c r="N57" s="30">
        <v>0.16500000000000001</v>
      </c>
      <c r="O57" s="116">
        <v>0.91575000000000006</v>
      </c>
      <c r="P57" s="30"/>
      <c r="Q57" s="116"/>
      <c r="R57" s="30">
        <v>7.0000000000000007E-2</v>
      </c>
      <c r="S57" s="116">
        <v>0.38850000000000001</v>
      </c>
      <c r="T57" s="117">
        <v>0.49</v>
      </c>
      <c r="U57" s="39">
        <v>301</v>
      </c>
      <c r="V57" s="32">
        <v>109</v>
      </c>
      <c r="W57" s="33"/>
      <c r="X57" s="32"/>
      <c r="Y57" s="32"/>
      <c r="Z57" s="32"/>
      <c r="AA57" s="34"/>
      <c r="AB57" s="35">
        <f t="shared" si="0"/>
        <v>410</v>
      </c>
      <c r="AC57" s="75">
        <f t="shared" si="1"/>
        <v>16254</v>
      </c>
      <c r="AD57" s="78">
        <f t="shared" si="2"/>
        <v>5886</v>
      </c>
      <c r="AE57" s="72">
        <f t="shared" si="3"/>
        <v>22140</v>
      </c>
      <c r="AF57" s="75">
        <f t="shared" si="4"/>
        <v>2210.6192499999997</v>
      </c>
      <c r="AG57" s="78">
        <f t="shared" si="5"/>
        <v>800.52324999999996</v>
      </c>
      <c r="AH57" s="72">
        <f t="shared" si="6"/>
        <v>3011.1424999999999</v>
      </c>
      <c r="AI57" s="75">
        <f t="shared" si="7"/>
        <v>1670.55</v>
      </c>
      <c r="AJ57" s="78">
        <f t="shared" si="8"/>
        <v>604.94999999999993</v>
      </c>
      <c r="AK57" s="72">
        <f t="shared" si="9"/>
        <v>2275.5</v>
      </c>
    </row>
    <row r="58" spans="1:37" ht="15.95" customHeight="1">
      <c r="A58" s="25" t="s">
        <v>462</v>
      </c>
      <c r="B58" s="25" t="s">
        <v>463</v>
      </c>
      <c r="C58" s="26" t="s">
        <v>24</v>
      </c>
      <c r="D58" s="26" t="s">
        <v>213</v>
      </c>
      <c r="E58" s="26" t="s">
        <v>214</v>
      </c>
      <c r="F58" s="26" t="s">
        <v>512</v>
      </c>
      <c r="G58" s="26"/>
      <c r="H58" s="27" t="s">
        <v>234</v>
      </c>
      <c r="I58" s="26" t="s">
        <v>27</v>
      </c>
      <c r="J58" s="28" t="s">
        <v>227</v>
      </c>
      <c r="K58" s="123">
        <v>48</v>
      </c>
      <c r="L58" s="29">
        <v>7.2824999999999998</v>
      </c>
      <c r="M58" s="110">
        <v>5.5</v>
      </c>
      <c r="N58" s="30">
        <v>0.16500000000000001</v>
      </c>
      <c r="O58" s="116">
        <v>0.90750000000000008</v>
      </c>
      <c r="P58" s="30"/>
      <c r="Q58" s="116"/>
      <c r="R58" s="30">
        <v>7.0000000000000007E-2</v>
      </c>
      <c r="S58" s="116">
        <v>0.38500000000000001</v>
      </c>
      <c r="T58" s="117">
        <v>0.49</v>
      </c>
      <c r="U58" s="39">
        <v>301</v>
      </c>
      <c r="V58" s="32">
        <v>154</v>
      </c>
      <c r="W58" s="33"/>
      <c r="X58" s="32"/>
      <c r="Y58" s="32"/>
      <c r="Z58" s="32"/>
      <c r="AA58" s="34"/>
      <c r="AB58" s="35">
        <f t="shared" si="0"/>
        <v>455</v>
      </c>
      <c r="AC58" s="75">
        <f t="shared" si="1"/>
        <v>14448</v>
      </c>
      <c r="AD58" s="78">
        <f t="shared" si="2"/>
        <v>7392</v>
      </c>
      <c r="AE58" s="72">
        <f t="shared" si="3"/>
        <v>21840</v>
      </c>
      <c r="AF58" s="75">
        <f t="shared" si="4"/>
        <v>2192.0324999999998</v>
      </c>
      <c r="AG58" s="78">
        <f t="shared" si="5"/>
        <v>1121.5049999999999</v>
      </c>
      <c r="AH58" s="72">
        <f t="shared" si="6"/>
        <v>3313.5374999999995</v>
      </c>
      <c r="AI58" s="75">
        <f t="shared" si="7"/>
        <v>1655.5</v>
      </c>
      <c r="AJ58" s="78">
        <f t="shared" si="8"/>
        <v>847</v>
      </c>
      <c r="AK58" s="72">
        <f t="shared" si="9"/>
        <v>2502.5</v>
      </c>
    </row>
    <row r="59" spans="1:37" ht="15.95" customHeight="1">
      <c r="A59" s="25" t="s">
        <v>462</v>
      </c>
      <c r="B59" s="25" t="s">
        <v>463</v>
      </c>
      <c r="C59" s="40" t="s">
        <v>24</v>
      </c>
      <c r="D59" s="26" t="s">
        <v>213</v>
      </c>
      <c r="E59" s="26" t="s">
        <v>214</v>
      </c>
      <c r="F59" s="26" t="s">
        <v>512</v>
      </c>
      <c r="G59" s="41"/>
      <c r="H59" s="27" t="s">
        <v>234</v>
      </c>
      <c r="I59" s="26" t="s">
        <v>27</v>
      </c>
      <c r="J59" s="28" t="s">
        <v>227</v>
      </c>
      <c r="K59" s="123">
        <v>48</v>
      </c>
      <c r="L59" s="29">
        <v>7.2824999999999998</v>
      </c>
      <c r="M59" s="110">
        <v>5.5</v>
      </c>
      <c r="N59" s="30">
        <v>0.16500000000000001</v>
      </c>
      <c r="O59" s="116">
        <v>0.90750000000000008</v>
      </c>
      <c r="P59" s="30"/>
      <c r="Q59" s="116"/>
      <c r="R59" s="30">
        <v>7.0000000000000007E-2</v>
      </c>
      <c r="S59" s="116">
        <v>0.38500000000000001</v>
      </c>
      <c r="T59" s="117">
        <v>0.49</v>
      </c>
      <c r="U59" s="39">
        <v>301</v>
      </c>
      <c r="V59" s="32">
        <v>76</v>
      </c>
      <c r="W59" s="33"/>
      <c r="X59" s="32"/>
      <c r="Y59" s="32"/>
      <c r="Z59" s="32"/>
      <c r="AA59" s="34"/>
      <c r="AB59" s="35">
        <f t="shared" si="0"/>
        <v>377</v>
      </c>
      <c r="AC59" s="75">
        <f t="shared" si="1"/>
        <v>14448</v>
      </c>
      <c r="AD59" s="78">
        <f t="shared" si="2"/>
        <v>3648</v>
      </c>
      <c r="AE59" s="72">
        <f t="shared" si="3"/>
        <v>18096</v>
      </c>
      <c r="AF59" s="75">
        <f t="shared" si="4"/>
        <v>2192.0324999999998</v>
      </c>
      <c r="AG59" s="78">
        <f t="shared" si="5"/>
        <v>553.47</v>
      </c>
      <c r="AH59" s="72">
        <f t="shared" si="6"/>
        <v>2745.5024999999996</v>
      </c>
      <c r="AI59" s="75">
        <f t="shared" si="7"/>
        <v>1655.5</v>
      </c>
      <c r="AJ59" s="78">
        <f t="shared" si="8"/>
        <v>418</v>
      </c>
      <c r="AK59" s="72">
        <f t="shared" si="9"/>
        <v>2073.5</v>
      </c>
    </row>
    <row r="60" spans="1:37" ht="15.95" customHeight="1">
      <c r="A60" s="25" t="s">
        <v>462</v>
      </c>
      <c r="B60" s="25" t="s">
        <v>463</v>
      </c>
      <c r="C60" s="26" t="s">
        <v>81</v>
      </c>
      <c r="D60" s="26" t="s">
        <v>213</v>
      </c>
      <c r="E60" s="26" t="s">
        <v>214</v>
      </c>
      <c r="F60" s="26" t="s">
        <v>513</v>
      </c>
      <c r="G60" s="41"/>
      <c r="H60" s="27" t="s">
        <v>95</v>
      </c>
      <c r="I60" s="26" t="s">
        <v>27</v>
      </c>
      <c r="J60" s="37" t="s">
        <v>502</v>
      </c>
      <c r="K60" s="123">
        <v>98</v>
      </c>
      <c r="L60" s="29">
        <v>17.779999999999998</v>
      </c>
      <c r="M60" s="110">
        <v>14</v>
      </c>
      <c r="N60" s="30">
        <v>0.16500000000000001</v>
      </c>
      <c r="O60" s="116">
        <v>2.31</v>
      </c>
      <c r="P60" s="30"/>
      <c r="Q60" s="116"/>
      <c r="R60" s="30">
        <v>7.0000000000000007E-2</v>
      </c>
      <c r="S60" s="116">
        <v>0.98000000000000009</v>
      </c>
      <c r="T60" s="117">
        <v>0.49</v>
      </c>
      <c r="U60" s="39">
        <v>302</v>
      </c>
      <c r="V60" s="32">
        <v>23</v>
      </c>
      <c r="W60" s="33"/>
      <c r="X60" s="32"/>
      <c r="Y60" s="32"/>
      <c r="Z60" s="32"/>
      <c r="AA60" s="34">
        <v>12</v>
      </c>
      <c r="AB60" s="35">
        <f t="shared" si="0"/>
        <v>337</v>
      </c>
      <c r="AC60" s="75">
        <f t="shared" si="1"/>
        <v>29596</v>
      </c>
      <c r="AD60" s="78">
        <f t="shared" si="2"/>
        <v>3430</v>
      </c>
      <c r="AE60" s="72">
        <f t="shared" si="3"/>
        <v>33026</v>
      </c>
      <c r="AF60" s="75">
        <f t="shared" si="4"/>
        <v>5369.5599999999995</v>
      </c>
      <c r="AG60" s="78">
        <f t="shared" si="5"/>
        <v>576.93999999999994</v>
      </c>
      <c r="AH60" s="72">
        <f t="shared" si="6"/>
        <v>5946.4999999999991</v>
      </c>
      <c r="AI60" s="75">
        <f t="shared" si="7"/>
        <v>4228</v>
      </c>
      <c r="AJ60" s="78">
        <f t="shared" si="8"/>
        <v>490</v>
      </c>
      <c r="AK60" s="72">
        <f t="shared" si="9"/>
        <v>4718</v>
      </c>
    </row>
    <row r="61" spans="1:37" ht="15.95" customHeight="1">
      <c r="A61" s="25" t="s">
        <v>462</v>
      </c>
      <c r="B61" s="25" t="s">
        <v>463</v>
      </c>
      <c r="C61" s="40" t="s">
        <v>81</v>
      </c>
      <c r="D61" s="26" t="s">
        <v>213</v>
      </c>
      <c r="E61" s="26" t="s">
        <v>214</v>
      </c>
      <c r="F61" s="26" t="s">
        <v>513</v>
      </c>
      <c r="G61" s="41"/>
      <c r="H61" s="27" t="s">
        <v>95</v>
      </c>
      <c r="I61" s="26" t="s">
        <v>27</v>
      </c>
      <c r="J61" s="28" t="s">
        <v>502</v>
      </c>
      <c r="K61" s="123">
        <v>98</v>
      </c>
      <c r="L61" s="29">
        <v>17.779999999999998</v>
      </c>
      <c r="M61" s="110">
        <v>14</v>
      </c>
      <c r="N61" s="30">
        <v>0.16500000000000001</v>
      </c>
      <c r="O61" s="116">
        <v>2.31</v>
      </c>
      <c r="P61" s="30"/>
      <c r="Q61" s="116"/>
      <c r="R61" s="30">
        <v>7.0000000000000007E-2</v>
      </c>
      <c r="S61" s="116">
        <v>0.98000000000000009</v>
      </c>
      <c r="T61" s="117">
        <v>0.49</v>
      </c>
      <c r="U61" s="39">
        <v>302</v>
      </c>
      <c r="V61" s="32">
        <v>6</v>
      </c>
      <c r="W61" s="33"/>
      <c r="X61" s="32"/>
      <c r="Y61" s="32"/>
      <c r="Z61" s="32"/>
      <c r="AA61" s="34">
        <v>12</v>
      </c>
      <c r="AB61" s="35">
        <f t="shared" si="0"/>
        <v>320</v>
      </c>
      <c r="AC61" s="75">
        <f t="shared" si="1"/>
        <v>29596</v>
      </c>
      <c r="AD61" s="78">
        <f t="shared" si="2"/>
        <v>1764</v>
      </c>
      <c r="AE61" s="72">
        <f t="shared" si="3"/>
        <v>31360</v>
      </c>
      <c r="AF61" s="75">
        <f t="shared" si="4"/>
        <v>5369.5599999999995</v>
      </c>
      <c r="AG61" s="78">
        <f t="shared" si="5"/>
        <v>274.67999999999995</v>
      </c>
      <c r="AH61" s="72">
        <f t="shared" si="6"/>
        <v>5644.24</v>
      </c>
      <c r="AI61" s="75">
        <f t="shared" si="7"/>
        <v>4228</v>
      </c>
      <c r="AJ61" s="78">
        <f t="shared" si="8"/>
        <v>252</v>
      </c>
      <c r="AK61" s="72">
        <f t="shared" si="9"/>
        <v>4480</v>
      </c>
    </row>
    <row r="62" spans="1:37" ht="15.95" customHeight="1">
      <c r="A62" s="25" t="s">
        <v>462</v>
      </c>
      <c r="B62" s="25" t="s">
        <v>463</v>
      </c>
      <c r="C62" s="26" t="s">
        <v>76</v>
      </c>
      <c r="D62" s="26" t="s">
        <v>213</v>
      </c>
      <c r="E62" s="26" t="s">
        <v>214</v>
      </c>
      <c r="F62" s="26" t="s">
        <v>514</v>
      </c>
      <c r="G62" s="41"/>
      <c r="H62" s="27" t="s">
        <v>95</v>
      </c>
      <c r="I62" s="26" t="s">
        <v>27</v>
      </c>
      <c r="J62" s="37" t="s">
        <v>222</v>
      </c>
      <c r="K62" s="123">
        <v>135</v>
      </c>
      <c r="L62" s="29">
        <v>21.484999999999999</v>
      </c>
      <c r="M62" s="110">
        <v>17</v>
      </c>
      <c r="N62" s="30">
        <v>0.16500000000000001</v>
      </c>
      <c r="O62" s="116">
        <v>2.8050000000000002</v>
      </c>
      <c r="P62" s="30"/>
      <c r="Q62" s="116"/>
      <c r="R62" s="30">
        <v>7.0000000000000007E-2</v>
      </c>
      <c r="S62" s="116">
        <v>1.1900000000000002</v>
      </c>
      <c r="T62" s="117">
        <v>0.49</v>
      </c>
      <c r="U62" s="39">
        <v>301</v>
      </c>
      <c r="V62" s="32">
        <v>15</v>
      </c>
      <c r="W62" s="33"/>
      <c r="X62" s="32"/>
      <c r="Y62" s="32"/>
      <c r="Z62" s="32"/>
      <c r="AA62" s="34">
        <v>26</v>
      </c>
      <c r="AB62" s="35">
        <f t="shared" si="0"/>
        <v>342</v>
      </c>
      <c r="AC62" s="75">
        <f t="shared" si="1"/>
        <v>40635</v>
      </c>
      <c r="AD62" s="78">
        <f t="shared" si="2"/>
        <v>5535</v>
      </c>
      <c r="AE62" s="72">
        <f t="shared" si="3"/>
        <v>46170</v>
      </c>
      <c r="AF62" s="75">
        <f t="shared" si="4"/>
        <v>6466.9849999999997</v>
      </c>
      <c r="AG62" s="78">
        <f t="shared" si="5"/>
        <v>764.27499999999998</v>
      </c>
      <c r="AH62" s="72">
        <f t="shared" si="6"/>
        <v>7231.2599999999993</v>
      </c>
      <c r="AI62" s="75">
        <f t="shared" si="7"/>
        <v>5117</v>
      </c>
      <c r="AJ62" s="78">
        <f t="shared" si="8"/>
        <v>697</v>
      </c>
      <c r="AK62" s="72">
        <f t="shared" si="9"/>
        <v>5814</v>
      </c>
    </row>
    <row r="63" spans="1:37" ht="15.95" customHeight="1">
      <c r="A63" s="25" t="s">
        <v>462</v>
      </c>
      <c r="B63" s="25" t="s">
        <v>463</v>
      </c>
      <c r="C63" s="40" t="s">
        <v>76</v>
      </c>
      <c r="D63" s="26" t="s">
        <v>213</v>
      </c>
      <c r="E63" s="26" t="s">
        <v>214</v>
      </c>
      <c r="F63" s="26" t="s">
        <v>514</v>
      </c>
      <c r="G63" s="41"/>
      <c r="H63" s="27" t="s">
        <v>95</v>
      </c>
      <c r="I63" s="26" t="s">
        <v>27</v>
      </c>
      <c r="J63" s="28" t="s">
        <v>222</v>
      </c>
      <c r="K63" s="123">
        <v>135</v>
      </c>
      <c r="L63" s="29">
        <v>21.484999999999999</v>
      </c>
      <c r="M63" s="110">
        <v>17</v>
      </c>
      <c r="N63" s="30">
        <v>0.16500000000000001</v>
      </c>
      <c r="O63" s="116">
        <v>2.8050000000000002</v>
      </c>
      <c r="P63" s="30"/>
      <c r="Q63" s="116"/>
      <c r="R63" s="30">
        <v>7.0000000000000007E-2</v>
      </c>
      <c r="S63" s="116">
        <v>1.1900000000000002</v>
      </c>
      <c r="T63" s="117">
        <v>0.49</v>
      </c>
      <c r="U63" s="39">
        <v>301</v>
      </c>
      <c r="V63" s="32">
        <v>15</v>
      </c>
      <c r="W63" s="33"/>
      <c r="X63" s="32"/>
      <c r="Y63" s="32"/>
      <c r="Z63" s="32"/>
      <c r="AA63" s="34">
        <v>26</v>
      </c>
      <c r="AB63" s="35">
        <f t="shared" si="0"/>
        <v>342</v>
      </c>
      <c r="AC63" s="75">
        <f t="shared" si="1"/>
        <v>40635</v>
      </c>
      <c r="AD63" s="78">
        <f t="shared" si="2"/>
        <v>5535</v>
      </c>
      <c r="AE63" s="72">
        <f t="shared" si="3"/>
        <v>46170</v>
      </c>
      <c r="AF63" s="75">
        <f t="shared" si="4"/>
        <v>6466.9849999999997</v>
      </c>
      <c r="AG63" s="78">
        <f t="shared" si="5"/>
        <v>764.27499999999998</v>
      </c>
      <c r="AH63" s="72">
        <f t="shared" si="6"/>
        <v>7231.2599999999993</v>
      </c>
      <c r="AI63" s="75">
        <f t="shared" si="7"/>
        <v>5117</v>
      </c>
      <c r="AJ63" s="78">
        <f t="shared" si="8"/>
        <v>697</v>
      </c>
      <c r="AK63" s="72">
        <f t="shared" si="9"/>
        <v>5814</v>
      </c>
    </row>
    <row r="64" spans="1:37" ht="15.95" customHeight="1">
      <c r="A64" s="25" t="s">
        <v>462</v>
      </c>
      <c r="B64" s="25" t="s">
        <v>463</v>
      </c>
      <c r="C64" s="26" t="s">
        <v>24</v>
      </c>
      <c r="D64" s="26" t="s">
        <v>213</v>
      </c>
      <c r="E64" s="26" t="s">
        <v>214</v>
      </c>
      <c r="F64" s="26" t="s">
        <v>515</v>
      </c>
      <c r="G64" s="41"/>
      <c r="H64" s="27" t="s">
        <v>516</v>
      </c>
      <c r="I64" s="26" t="s">
        <v>27</v>
      </c>
      <c r="J64" s="37" t="s">
        <v>227</v>
      </c>
      <c r="K64" s="123">
        <v>64</v>
      </c>
      <c r="L64" s="29">
        <v>11.296250000000001</v>
      </c>
      <c r="M64" s="110">
        <v>8.75</v>
      </c>
      <c r="N64" s="30">
        <v>0.16500000000000001</v>
      </c>
      <c r="O64" s="116">
        <v>1.4437500000000001</v>
      </c>
      <c r="P64" s="30"/>
      <c r="Q64" s="116"/>
      <c r="R64" s="30">
        <v>7.0000000000000007E-2</v>
      </c>
      <c r="S64" s="116">
        <v>0.61250000000000004</v>
      </c>
      <c r="T64" s="117">
        <v>0.49</v>
      </c>
      <c r="U64" s="39">
        <v>250</v>
      </c>
      <c r="V64" s="32">
        <v>59</v>
      </c>
      <c r="W64" s="33"/>
      <c r="X64" s="32"/>
      <c r="Y64" s="32"/>
      <c r="Z64" s="32"/>
      <c r="AA64" s="34"/>
      <c r="AB64" s="35">
        <f t="shared" si="0"/>
        <v>309</v>
      </c>
      <c r="AC64" s="75">
        <f t="shared" si="1"/>
        <v>16000</v>
      </c>
      <c r="AD64" s="78">
        <f t="shared" si="2"/>
        <v>3776</v>
      </c>
      <c r="AE64" s="72">
        <f t="shared" si="3"/>
        <v>19776</v>
      </c>
      <c r="AF64" s="75">
        <f t="shared" si="4"/>
        <v>2824.0625</v>
      </c>
      <c r="AG64" s="78">
        <f t="shared" si="5"/>
        <v>666.47874999999999</v>
      </c>
      <c r="AH64" s="72">
        <f t="shared" si="6"/>
        <v>3490.5412500000002</v>
      </c>
      <c r="AI64" s="75">
        <f t="shared" si="7"/>
        <v>2187.5</v>
      </c>
      <c r="AJ64" s="78">
        <f t="shared" si="8"/>
        <v>516.25</v>
      </c>
      <c r="AK64" s="72">
        <f t="shared" si="9"/>
        <v>2703.75</v>
      </c>
    </row>
    <row r="65" spans="1:37" ht="15.95" customHeight="1">
      <c r="A65" s="25" t="s">
        <v>462</v>
      </c>
      <c r="B65" s="25" t="s">
        <v>463</v>
      </c>
      <c r="C65" s="26" t="s">
        <v>24</v>
      </c>
      <c r="D65" s="26" t="s">
        <v>213</v>
      </c>
      <c r="E65" s="26" t="s">
        <v>214</v>
      </c>
      <c r="F65" s="26" t="s">
        <v>515</v>
      </c>
      <c r="G65" s="26"/>
      <c r="H65" s="27" t="s">
        <v>516</v>
      </c>
      <c r="I65" s="26" t="s">
        <v>27</v>
      </c>
      <c r="J65" s="28" t="s">
        <v>227</v>
      </c>
      <c r="K65" s="123">
        <v>64</v>
      </c>
      <c r="L65" s="29">
        <v>11.296250000000001</v>
      </c>
      <c r="M65" s="110">
        <v>8.75</v>
      </c>
      <c r="N65" s="30">
        <v>0.16500000000000001</v>
      </c>
      <c r="O65" s="116">
        <v>1.4437500000000001</v>
      </c>
      <c r="P65" s="30"/>
      <c r="Q65" s="116"/>
      <c r="R65" s="30">
        <v>7.0000000000000007E-2</v>
      </c>
      <c r="S65" s="116">
        <v>0.61250000000000004</v>
      </c>
      <c r="T65" s="117">
        <v>0.49</v>
      </c>
      <c r="U65" s="39">
        <v>250</v>
      </c>
      <c r="V65" s="32">
        <v>61</v>
      </c>
      <c r="W65" s="33"/>
      <c r="X65" s="32"/>
      <c r="Y65" s="32"/>
      <c r="Z65" s="32"/>
      <c r="AA65" s="34"/>
      <c r="AB65" s="35">
        <f t="shared" si="0"/>
        <v>311</v>
      </c>
      <c r="AC65" s="75">
        <f t="shared" si="1"/>
        <v>16000</v>
      </c>
      <c r="AD65" s="78">
        <f t="shared" si="2"/>
        <v>3904</v>
      </c>
      <c r="AE65" s="72">
        <f t="shared" si="3"/>
        <v>19904</v>
      </c>
      <c r="AF65" s="75">
        <f t="shared" si="4"/>
        <v>2824.0625</v>
      </c>
      <c r="AG65" s="78">
        <f t="shared" si="5"/>
        <v>689.07125000000008</v>
      </c>
      <c r="AH65" s="72">
        <f t="shared" si="6"/>
        <v>3513.13375</v>
      </c>
      <c r="AI65" s="75">
        <f t="shared" si="7"/>
        <v>2187.5</v>
      </c>
      <c r="AJ65" s="78">
        <f t="shared" si="8"/>
        <v>533.75</v>
      </c>
      <c r="AK65" s="72">
        <f t="shared" si="9"/>
        <v>2721.25</v>
      </c>
    </row>
    <row r="66" spans="1:37" ht="15.95" customHeight="1">
      <c r="A66" s="25" t="s">
        <v>462</v>
      </c>
      <c r="B66" s="25" t="s">
        <v>463</v>
      </c>
      <c r="C66" s="26" t="s">
        <v>24</v>
      </c>
      <c r="D66" s="26" t="s">
        <v>213</v>
      </c>
      <c r="E66" s="26" t="s">
        <v>214</v>
      </c>
      <c r="F66" s="26" t="s">
        <v>517</v>
      </c>
      <c r="G66" s="26"/>
      <c r="H66" s="27" t="s">
        <v>234</v>
      </c>
      <c r="I66" s="26" t="s">
        <v>27</v>
      </c>
      <c r="J66" s="28" t="s">
        <v>227</v>
      </c>
      <c r="K66" s="123">
        <v>48</v>
      </c>
      <c r="L66" s="29">
        <v>7.2207500000000007</v>
      </c>
      <c r="M66" s="110">
        <v>5.45</v>
      </c>
      <c r="N66" s="30">
        <v>0.16500000000000001</v>
      </c>
      <c r="O66" s="116">
        <v>0.8992500000000001</v>
      </c>
      <c r="P66" s="30"/>
      <c r="Q66" s="116"/>
      <c r="R66" s="30">
        <v>7.0000000000000007E-2</v>
      </c>
      <c r="S66" s="116">
        <v>0.38150000000000006</v>
      </c>
      <c r="T66" s="117">
        <v>0.49</v>
      </c>
      <c r="U66" s="39">
        <v>301</v>
      </c>
      <c r="V66" s="32">
        <v>198</v>
      </c>
      <c r="W66" s="33"/>
      <c r="X66" s="32"/>
      <c r="Y66" s="32"/>
      <c r="Z66" s="32"/>
      <c r="AA66" s="34"/>
      <c r="AB66" s="35">
        <f t="shared" si="0"/>
        <v>499</v>
      </c>
      <c r="AC66" s="75">
        <f t="shared" si="1"/>
        <v>14448</v>
      </c>
      <c r="AD66" s="78">
        <f t="shared" si="2"/>
        <v>9504</v>
      </c>
      <c r="AE66" s="72">
        <f t="shared" si="3"/>
        <v>23952</v>
      </c>
      <c r="AF66" s="75">
        <f t="shared" si="4"/>
        <v>2173.4457500000003</v>
      </c>
      <c r="AG66" s="78">
        <f t="shared" si="5"/>
        <v>1429.7085000000002</v>
      </c>
      <c r="AH66" s="72">
        <f t="shared" si="6"/>
        <v>3603.1542500000005</v>
      </c>
      <c r="AI66" s="75">
        <f t="shared" si="7"/>
        <v>1640.45</v>
      </c>
      <c r="AJ66" s="78">
        <f t="shared" si="8"/>
        <v>1079.1000000000001</v>
      </c>
      <c r="AK66" s="72">
        <f t="shared" si="9"/>
        <v>2719.55</v>
      </c>
    </row>
    <row r="67" spans="1:37" ht="15.95" customHeight="1">
      <c r="A67" s="25" t="s">
        <v>462</v>
      </c>
      <c r="B67" s="25" t="s">
        <v>463</v>
      </c>
      <c r="C67" s="26" t="s">
        <v>24</v>
      </c>
      <c r="D67" s="26" t="s">
        <v>213</v>
      </c>
      <c r="E67" s="26" t="s">
        <v>214</v>
      </c>
      <c r="F67" s="26" t="s">
        <v>517</v>
      </c>
      <c r="G67" s="26"/>
      <c r="H67" s="27" t="s">
        <v>234</v>
      </c>
      <c r="I67" s="26" t="s">
        <v>27</v>
      </c>
      <c r="J67" s="28" t="s">
        <v>227</v>
      </c>
      <c r="K67" s="123">
        <v>48</v>
      </c>
      <c r="L67" s="29">
        <v>7.2207500000000007</v>
      </c>
      <c r="M67" s="110">
        <v>5.45</v>
      </c>
      <c r="N67" s="30">
        <v>0.16500000000000001</v>
      </c>
      <c r="O67" s="116">
        <v>0.8992500000000001</v>
      </c>
      <c r="P67" s="30"/>
      <c r="Q67" s="116"/>
      <c r="R67" s="30">
        <v>7.0000000000000007E-2</v>
      </c>
      <c r="S67" s="116">
        <v>0.38150000000000006</v>
      </c>
      <c r="T67" s="117">
        <v>0.49</v>
      </c>
      <c r="U67" s="39">
        <v>400</v>
      </c>
      <c r="V67" s="32">
        <v>85</v>
      </c>
      <c r="W67" s="33"/>
      <c r="X67" s="32"/>
      <c r="Y67" s="32"/>
      <c r="Z67" s="32"/>
      <c r="AA67" s="34"/>
      <c r="AB67" s="35">
        <f t="shared" si="0"/>
        <v>485</v>
      </c>
      <c r="AC67" s="75">
        <f t="shared" si="1"/>
        <v>19200</v>
      </c>
      <c r="AD67" s="78">
        <f t="shared" si="2"/>
        <v>4080</v>
      </c>
      <c r="AE67" s="72">
        <f t="shared" si="3"/>
        <v>23280</v>
      </c>
      <c r="AF67" s="75">
        <f t="shared" si="4"/>
        <v>2888.3</v>
      </c>
      <c r="AG67" s="78">
        <f t="shared" si="5"/>
        <v>613.76375000000007</v>
      </c>
      <c r="AH67" s="72">
        <f t="shared" si="6"/>
        <v>3502.0637500000003</v>
      </c>
      <c r="AI67" s="75">
        <f t="shared" si="7"/>
        <v>2180</v>
      </c>
      <c r="AJ67" s="78">
        <f t="shared" si="8"/>
        <v>463.25</v>
      </c>
      <c r="AK67" s="72">
        <f t="shared" si="9"/>
        <v>2643.25</v>
      </c>
    </row>
    <row r="68" spans="1:37" ht="15.95" customHeight="1">
      <c r="A68" s="25" t="s">
        <v>462</v>
      </c>
      <c r="B68" s="25" t="s">
        <v>463</v>
      </c>
      <c r="C68" s="26" t="s">
        <v>24</v>
      </c>
      <c r="D68" s="26" t="s">
        <v>213</v>
      </c>
      <c r="E68" s="26" t="s">
        <v>214</v>
      </c>
      <c r="F68" s="26" t="s">
        <v>518</v>
      </c>
      <c r="G68" s="26"/>
      <c r="H68" s="27" t="s">
        <v>234</v>
      </c>
      <c r="I68" s="26" t="s">
        <v>27</v>
      </c>
      <c r="J68" s="28" t="s">
        <v>227</v>
      </c>
      <c r="K68" s="123">
        <v>54</v>
      </c>
      <c r="L68" s="29">
        <v>7.4677500000000006</v>
      </c>
      <c r="M68" s="110">
        <v>5.65</v>
      </c>
      <c r="N68" s="30">
        <v>0.16500000000000001</v>
      </c>
      <c r="O68" s="116">
        <v>0.93225000000000013</v>
      </c>
      <c r="P68" s="30"/>
      <c r="Q68" s="116"/>
      <c r="R68" s="30">
        <v>7.0000000000000007E-2</v>
      </c>
      <c r="S68" s="116">
        <v>0.39550000000000007</v>
      </c>
      <c r="T68" s="117">
        <v>0.49</v>
      </c>
      <c r="U68" s="39">
        <v>301</v>
      </c>
      <c r="V68" s="32">
        <v>66</v>
      </c>
      <c r="W68" s="33"/>
      <c r="X68" s="32"/>
      <c r="Y68" s="32"/>
      <c r="Z68" s="32"/>
      <c r="AA68" s="34"/>
      <c r="AB68" s="35">
        <f t="shared" si="0"/>
        <v>367</v>
      </c>
      <c r="AC68" s="75">
        <f t="shared" si="1"/>
        <v>16254</v>
      </c>
      <c r="AD68" s="78">
        <f t="shared" si="2"/>
        <v>3564</v>
      </c>
      <c r="AE68" s="72">
        <f t="shared" si="3"/>
        <v>19818</v>
      </c>
      <c r="AF68" s="75">
        <f t="shared" si="4"/>
        <v>2247.7927500000001</v>
      </c>
      <c r="AG68" s="78">
        <f t="shared" si="5"/>
        <v>492.87150000000003</v>
      </c>
      <c r="AH68" s="72">
        <f t="shared" si="6"/>
        <v>2740.6642500000003</v>
      </c>
      <c r="AI68" s="75">
        <f t="shared" si="7"/>
        <v>1700.65</v>
      </c>
      <c r="AJ68" s="78">
        <f t="shared" si="8"/>
        <v>372.90000000000003</v>
      </c>
      <c r="AK68" s="72">
        <f t="shared" si="9"/>
        <v>2073.5500000000002</v>
      </c>
    </row>
    <row r="69" spans="1:37" ht="15.95" customHeight="1">
      <c r="A69" s="25" t="s">
        <v>462</v>
      </c>
      <c r="B69" s="25" t="s">
        <v>463</v>
      </c>
      <c r="C69" s="26" t="s">
        <v>24</v>
      </c>
      <c r="D69" s="26" t="s">
        <v>213</v>
      </c>
      <c r="E69" s="26" t="s">
        <v>214</v>
      </c>
      <c r="F69" s="26" t="s">
        <v>518</v>
      </c>
      <c r="G69" s="26"/>
      <c r="H69" s="27" t="s">
        <v>234</v>
      </c>
      <c r="I69" s="26" t="s">
        <v>27</v>
      </c>
      <c r="J69" s="28" t="s">
        <v>227</v>
      </c>
      <c r="K69" s="123">
        <v>54</v>
      </c>
      <c r="L69" s="29">
        <v>7.4677500000000006</v>
      </c>
      <c r="M69" s="110">
        <v>5.65</v>
      </c>
      <c r="N69" s="30">
        <v>0.16500000000000001</v>
      </c>
      <c r="O69" s="116">
        <v>0.93225000000000013</v>
      </c>
      <c r="P69" s="30"/>
      <c r="Q69" s="116"/>
      <c r="R69" s="30">
        <v>7.0000000000000007E-2</v>
      </c>
      <c r="S69" s="116">
        <v>0.39550000000000007</v>
      </c>
      <c r="T69" s="117">
        <v>0.49</v>
      </c>
      <c r="U69" s="39">
        <v>351</v>
      </c>
      <c r="V69" s="32">
        <v>22</v>
      </c>
      <c r="W69" s="33"/>
      <c r="X69" s="32"/>
      <c r="Y69" s="32"/>
      <c r="Z69" s="32"/>
      <c r="AA69" s="34"/>
      <c r="AB69" s="35">
        <f t="shared" ref="AB69:AB132" si="10">SUM(U69:AA69)</f>
        <v>373</v>
      </c>
      <c r="AC69" s="75">
        <f t="shared" ref="AC69:AC132" si="11">$K69*U69</f>
        <v>18954</v>
      </c>
      <c r="AD69" s="78">
        <f t="shared" ref="AD69:AD132" si="12">$K69*SUM(V69:AA69)</f>
        <v>1188</v>
      </c>
      <c r="AE69" s="72">
        <f t="shared" ref="AE69:AE132" si="13">SUM(AC69:AD69)</f>
        <v>20142</v>
      </c>
      <c r="AF69" s="75">
        <f t="shared" ref="AF69:AF132" si="14">$L69*U69</f>
        <v>2621.1802500000003</v>
      </c>
      <c r="AG69" s="78">
        <f t="shared" ref="AG69:AG132" si="15">$L69*SUM(V69:W69)+M69*SUM(X69:AA69)</f>
        <v>164.29050000000001</v>
      </c>
      <c r="AH69" s="72">
        <f t="shared" ref="AH69:AH132" si="16">SUM(AF69:AG69)</f>
        <v>2785.4707500000004</v>
      </c>
      <c r="AI69" s="75">
        <f t="shared" ref="AI69:AI132" si="17">$M69*U69</f>
        <v>1983.15</v>
      </c>
      <c r="AJ69" s="78">
        <f t="shared" ref="AJ69:AJ132" si="18">$M69*SUM(V69:AA69)</f>
        <v>124.30000000000001</v>
      </c>
      <c r="AK69" s="72">
        <f t="shared" ref="AK69:AK132" si="19">SUM(AI69:AJ69)</f>
        <v>2107.4500000000003</v>
      </c>
    </row>
    <row r="70" spans="1:37" ht="15.95" customHeight="1">
      <c r="A70" s="25" t="s">
        <v>462</v>
      </c>
      <c r="B70" s="25" t="s">
        <v>463</v>
      </c>
      <c r="C70" s="26" t="s">
        <v>24</v>
      </c>
      <c r="D70" s="26" t="s">
        <v>213</v>
      </c>
      <c r="E70" s="26" t="s">
        <v>214</v>
      </c>
      <c r="F70" s="26" t="s">
        <v>518</v>
      </c>
      <c r="G70" s="26"/>
      <c r="H70" s="27" t="s">
        <v>234</v>
      </c>
      <c r="I70" s="26" t="s">
        <v>27</v>
      </c>
      <c r="J70" s="28" t="s">
        <v>227</v>
      </c>
      <c r="K70" s="123">
        <v>54</v>
      </c>
      <c r="L70" s="29">
        <v>7.4677500000000006</v>
      </c>
      <c r="M70" s="110">
        <v>5.65</v>
      </c>
      <c r="N70" s="30">
        <v>0.16500000000000001</v>
      </c>
      <c r="O70" s="116">
        <v>0.93225000000000013</v>
      </c>
      <c r="P70" s="30"/>
      <c r="Q70" s="116"/>
      <c r="R70" s="30">
        <v>7.0000000000000007E-2</v>
      </c>
      <c r="S70" s="116">
        <v>0.39550000000000007</v>
      </c>
      <c r="T70" s="117">
        <v>0.49</v>
      </c>
      <c r="U70" s="39">
        <v>301</v>
      </c>
      <c r="V70" s="32">
        <v>71</v>
      </c>
      <c r="W70" s="33"/>
      <c r="X70" s="32"/>
      <c r="Y70" s="32"/>
      <c r="Z70" s="32"/>
      <c r="AA70" s="34"/>
      <c r="AB70" s="35">
        <f t="shared" si="10"/>
        <v>372</v>
      </c>
      <c r="AC70" s="75">
        <f t="shared" si="11"/>
        <v>16254</v>
      </c>
      <c r="AD70" s="78">
        <f t="shared" si="12"/>
        <v>3834</v>
      </c>
      <c r="AE70" s="72">
        <f t="shared" si="13"/>
        <v>20088</v>
      </c>
      <c r="AF70" s="75">
        <f t="shared" si="14"/>
        <v>2247.7927500000001</v>
      </c>
      <c r="AG70" s="78">
        <f t="shared" si="15"/>
        <v>530.21025000000009</v>
      </c>
      <c r="AH70" s="72">
        <f t="shared" si="16"/>
        <v>2778.0030000000002</v>
      </c>
      <c r="AI70" s="75">
        <f t="shared" si="17"/>
        <v>1700.65</v>
      </c>
      <c r="AJ70" s="78">
        <f t="shared" si="18"/>
        <v>401.15000000000003</v>
      </c>
      <c r="AK70" s="72">
        <f t="shared" si="19"/>
        <v>2101.8000000000002</v>
      </c>
    </row>
    <row r="71" spans="1:37" ht="15.95" customHeight="1">
      <c r="A71" s="25" t="s">
        <v>462</v>
      </c>
      <c r="B71" s="25" t="s">
        <v>463</v>
      </c>
      <c r="C71" s="26" t="s">
        <v>24</v>
      </c>
      <c r="D71" s="26" t="s">
        <v>213</v>
      </c>
      <c r="E71" s="26" t="s">
        <v>214</v>
      </c>
      <c r="F71" s="26" t="s">
        <v>519</v>
      </c>
      <c r="G71" s="26"/>
      <c r="H71" s="27" t="s">
        <v>234</v>
      </c>
      <c r="I71" s="26" t="s">
        <v>27</v>
      </c>
      <c r="J71" s="28" t="s">
        <v>227</v>
      </c>
      <c r="K71" s="123">
        <v>48</v>
      </c>
      <c r="L71" s="29">
        <v>7.2207500000000007</v>
      </c>
      <c r="M71" s="110">
        <v>5.45</v>
      </c>
      <c r="N71" s="30">
        <v>0.16500000000000001</v>
      </c>
      <c r="O71" s="116">
        <v>0.8992500000000001</v>
      </c>
      <c r="P71" s="30"/>
      <c r="Q71" s="116"/>
      <c r="R71" s="30">
        <v>7.0000000000000007E-2</v>
      </c>
      <c r="S71" s="116">
        <v>0.38150000000000006</v>
      </c>
      <c r="T71" s="117">
        <v>0.49</v>
      </c>
      <c r="U71" s="39">
        <v>351</v>
      </c>
      <c r="V71" s="32">
        <v>97</v>
      </c>
      <c r="W71" s="33"/>
      <c r="X71" s="32"/>
      <c r="Y71" s="32"/>
      <c r="Z71" s="32"/>
      <c r="AA71" s="34"/>
      <c r="AB71" s="35">
        <f t="shared" si="10"/>
        <v>448</v>
      </c>
      <c r="AC71" s="75">
        <f t="shared" si="11"/>
        <v>16848</v>
      </c>
      <c r="AD71" s="78">
        <f t="shared" si="12"/>
        <v>4656</v>
      </c>
      <c r="AE71" s="72">
        <f t="shared" si="13"/>
        <v>21504</v>
      </c>
      <c r="AF71" s="75">
        <f t="shared" si="14"/>
        <v>2534.4832500000002</v>
      </c>
      <c r="AG71" s="78">
        <f t="shared" si="15"/>
        <v>700.41275000000007</v>
      </c>
      <c r="AH71" s="72">
        <f t="shared" si="16"/>
        <v>3234.8960000000002</v>
      </c>
      <c r="AI71" s="75">
        <f t="shared" si="17"/>
        <v>1912.95</v>
      </c>
      <c r="AJ71" s="78">
        <f t="shared" si="18"/>
        <v>528.65</v>
      </c>
      <c r="AK71" s="72">
        <f t="shared" si="19"/>
        <v>2441.6</v>
      </c>
    </row>
    <row r="72" spans="1:37" ht="15.95" customHeight="1">
      <c r="A72" s="25" t="s">
        <v>462</v>
      </c>
      <c r="B72" s="25" t="s">
        <v>463</v>
      </c>
      <c r="C72" s="26" t="s">
        <v>24</v>
      </c>
      <c r="D72" s="26" t="s">
        <v>213</v>
      </c>
      <c r="E72" s="26" t="s">
        <v>214</v>
      </c>
      <c r="F72" s="26" t="s">
        <v>519</v>
      </c>
      <c r="G72" s="26"/>
      <c r="H72" s="27" t="s">
        <v>234</v>
      </c>
      <c r="I72" s="26" t="s">
        <v>27</v>
      </c>
      <c r="J72" s="28" t="s">
        <v>227</v>
      </c>
      <c r="K72" s="123">
        <v>48</v>
      </c>
      <c r="L72" s="29">
        <v>7.2207500000000007</v>
      </c>
      <c r="M72" s="110">
        <v>5.45</v>
      </c>
      <c r="N72" s="30">
        <v>0.16500000000000001</v>
      </c>
      <c r="O72" s="116">
        <v>0.8992500000000001</v>
      </c>
      <c r="P72" s="30"/>
      <c r="Q72" s="116"/>
      <c r="R72" s="30">
        <v>7.0000000000000007E-2</v>
      </c>
      <c r="S72" s="116">
        <v>0.38150000000000006</v>
      </c>
      <c r="T72" s="117">
        <v>0.49</v>
      </c>
      <c r="U72" s="39">
        <v>351</v>
      </c>
      <c r="V72" s="32">
        <v>72</v>
      </c>
      <c r="W72" s="33"/>
      <c r="X72" s="32"/>
      <c r="Y72" s="32"/>
      <c r="Z72" s="32"/>
      <c r="AA72" s="34"/>
      <c r="AB72" s="35">
        <f t="shared" si="10"/>
        <v>423</v>
      </c>
      <c r="AC72" s="75">
        <f t="shared" si="11"/>
        <v>16848</v>
      </c>
      <c r="AD72" s="78">
        <f t="shared" si="12"/>
        <v>3456</v>
      </c>
      <c r="AE72" s="72">
        <f t="shared" si="13"/>
        <v>20304</v>
      </c>
      <c r="AF72" s="75">
        <f t="shared" si="14"/>
        <v>2534.4832500000002</v>
      </c>
      <c r="AG72" s="78">
        <f t="shared" si="15"/>
        <v>519.89400000000001</v>
      </c>
      <c r="AH72" s="72">
        <f t="shared" si="16"/>
        <v>3054.3772500000005</v>
      </c>
      <c r="AI72" s="75">
        <f t="shared" si="17"/>
        <v>1912.95</v>
      </c>
      <c r="AJ72" s="78">
        <f t="shared" si="18"/>
        <v>392.40000000000003</v>
      </c>
      <c r="AK72" s="72">
        <f t="shared" si="19"/>
        <v>2305.35</v>
      </c>
    </row>
    <row r="73" spans="1:37" ht="15.95" customHeight="1">
      <c r="A73" s="25" t="s">
        <v>462</v>
      </c>
      <c r="B73" s="25" t="s">
        <v>463</v>
      </c>
      <c r="C73" s="26" t="s">
        <v>24</v>
      </c>
      <c r="D73" s="26" t="s">
        <v>213</v>
      </c>
      <c r="E73" s="26" t="s">
        <v>214</v>
      </c>
      <c r="F73" s="26" t="s">
        <v>519</v>
      </c>
      <c r="G73" s="26"/>
      <c r="H73" s="27" t="s">
        <v>234</v>
      </c>
      <c r="I73" s="26" t="s">
        <v>27</v>
      </c>
      <c r="J73" s="28" t="s">
        <v>227</v>
      </c>
      <c r="K73" s="123">
        <v>48</v>
      </c>
      <c r="L73" s="29">
        <v>7.2207500000000007</v>
      </c>
      <c r="M73" s="110">
        <v>5.45</v>
      </c>
      <c r="N73" s="30">
        <v>0.16500000000000001</v>
      </c>
      <c r="O73" s="116">
        <v>0.8992500000000001</v>
      </c>
      <c r="P73" s="30"/>
      <c r="Q73" s="116"/>
      <c r="R73" s="30">
        <v>7.0000000000000007E-2</v>
      </c>
      <c r="S73" s="116">
        <v>0.38150000000000006</v>
      </c>
      <c r="T73" s="117">
        <v>0.49</v>
      </c>
      <c r="U73" s="39">
        <v>351</v>
      </c>
      <c r="V73" s="32">
        <v>75</v>
      </c>
      <c r="W73" s="33"/>
      <c r="X73" s="32"/>
      <c r="Y73" s="32"/>
      <c r="Z73" s="32"/>
      <c r="AA73" s="34"/>
      <c r="AB73" s="35">
        <f t="shared" si="10"/>
        <v>426</v>
      </c>
      <c r="AC73" s="75">
        <f t="shared" si="11"/>
        <v>16848</v>
      </c>
      <c r="AD73" s="78">
        <f t="shared" si="12"/>
        <v>3600</v>
      </c>
      <c r="AE73" s="72">
        <f t="shared" si="13"/>
        <v>20448</v>
      </c>
      <c r="AF73" s="75">
        <f t="shared" si="14"/>
        <v>2534.4832500000002</v>
      </c>
      <c r="AG73" s="78">
        <f t="shared" si="15"/>
        <v>541.55625000000009</v>
      </c>
      <c r="AH73" s="72">
        <f t="shared" si="16"/>
        <v>3076.0395000000003</v>
      </c>
      <c r="AI73" s="75">
        <f t="shared" si="17"/>
        <v>1912.95</v>
      </c>
      <c r="AJ73" s="78">
        <f t="shared" si="18"/>
        <v>408.75</v>
      </c>
      <c r="AK73" s="72">
        <f t="shared" si="19"/>
        <v>2321.6999999999998</v>
      </c>
    </row>
    <row r="74" spans="1:37" ht="15.95" customHeight="1">
      <c r="A74" s="25" t="s">
        <v>462</v>
      </c>
      <c r="B74" s="25" t="s">
        <v>463</v>
      </c>
      <c r="C74" s="26" t="s">
        <v>24</v>
      </c>
      <c r="D74" s="26" t="s">
        <v>213</v>
      </c>
      <c r="E74" s="26" t="s">
        <v>214</v>
      </c>
      <c r="F74" s="26" t="s">
        <v>519</v>
      </c>
      <c r="G74" s="26"/>
      <c r="H74" s="27" t="s">
        <v>234</v>
      </c>
      <c r="I74" s="26" t="s">
        <v>27</v>
      </c>
      <c r="J74" s="28" t="s">
        <v>227</v>
      </c>
      <c r="K74" s="123">
        <v>48</v>
      </c>
      <c r="L74" s="29">
        <v>7.2207500000000007</v>
      </c>
      <c r="M74" s="110">
        <v>5.45</v>
      </c>
      <c r="N74" s="30">
        <v>0.16500000000000001</v>
      </c>
      <c r="O74" s="116">
        <v>0.8992500000000001</v>
      </c>
      <c r="P74" s="30"/>
      <c r="Q74" s="116"/>
      <c r="R74" s="30">
        <v>7.0000000000000007E-2</v>
      </c>
      <c r="S74" s="116">
        <v>0.38150000000000006</v>
      </c>
      <c r="T74" s="117">
        <v>0.49</v>
      </c>
      <c r="U74" s="39">
        <v>351</v>
      </c>
      <c r="V74" s="32">
        <v>74</v>
      </c>
      <c r="W74" s="33"/>
      <c r="X74" s="32"/>
      <c r="Y74" s="32"/>
      <c r="Z74" s="32"/>
      <c r="AA74" s="34"/>
      <c r="AB74" s="35">
        <f t="shared" si="10"/>
        <v>425</v>
      </c>
      <c r="AC74" s="75">
        <f t="shared" si="11"/>
        <v>16848</v>
      </c>
      <c r="AD74" s="78">
        <f t="shared" si="12"/>
        <v>3552</v>
      </c>
      <c r="AE74" s="72">
        <f t="shared" si="13"/>
        <v>20400</v>
      </c>
      <c r="AF74" s="75">
        <f t="shared" si="14"/>
        <v>2534.4832500000002</v>
      </c>
      <c r="AG74" s="78">
        <f t="shared" si="15"/>
        <v>534.33550000000002</v>
      </c>
      <c r="AH74" s="72">
        <f t="shared" si="16"/>
        <v>3068.8187500000004</v>
      </c>
      <c r="AI74" s="75">
        <f t="shared" si="17"/>
        <v>1912.95</v>
      </c>
      <c r="AJ74" s="78">
        <f t="shared" si="18"/>
        <v>403.3</v>
      </c>
      <c r="AK74" s="72">
        <f t="shared" si="19"/>
        <v>2316.25</v>
      </c>
    </row>
    <row r="75" spans="1:37" ht="15.95" customHeight="1">
      <c r="A75" s="25" t="s">
        <v>462</v>
      </c>
      <c r="B75" s="25" t="s">
        <v>463</v>
      </c>
      <c r="C75" s="26" t="s">
        <v>44</v>
      </c>
      <c r="D75" s="26" t="s">
        <v>213</v>
      </c>
      <c r="E75" s="26" t="s">
        <v>214</v>
      </c>
      <c r="F75" s="26" t="s">
        <v>520</v>
      </c>
      <c r="G75" s="26"/>
      <c r="H75" s="27" t="s">
        <v>521</v>
      </c>
      <c r="I75" s="26" t="s">
        <v>27</v>
      </c>
      <c r="J75" s="28" t="s">
        <v>41</v>
      </c>
      <c r="K75" s="123">
        <v>78</v>
      </c>
      <c r="L75" s="29">
        <v>13.09665</v>
      </c>
      <c r="M75" s="110">
        <v>9.9499999999999993</v>
      </c>
      <c r="N75" s="30">
        <v>0.19700000000000001</v>
      </c>
      <c r="O75" s="116">
        <v>1.9601499999999998</v>
      </c>
      <c r="P75" s="30"/>
      <c r="Q75" s="116"/>
      <c r="R75" s="30">
        <v>7.0000000000000007E-2</v>
      </c>
      <c r="S75" s="116">
        <v>0.69650000000000001</v>
      </c>
      <c r="T75" s="117">
        <v>0.49</v>
      </c>
      <c r="U75" s="39">
        <v>301</v>
      </c>
      <c r="V75" s="32"/>
      <c r="W75" s="33"/>
      <c r="X75" s="32"/>
      <c r="Y75" s="32"/>
      <c r="Z75" s="32"/>
      <c r="AA75" s="34"/>
      <c r="AB75" s="35">
        <f t="shared" si="10"/>
        <v>301</v>
      </c>
      <c r="AC75" s="75">
        <f t="shared" si="11"/>
        <v>23478</v>
      </c>
      <c r="AD75" s="78">
        <f t="shared" si="12"/>
        <v>0</v>
      </c>
      <c r="AE75" s="72">
        <f t="shared" si="13"/>
        <v>23478</v>
      </c>
      <c r="AF75" s="75">
        <f t="shared" si="14"/>
        <v>3942.0916500000003</v>
      </c>
      <c r="AG75" s="78">
        <f t="shared" si="15"/>
        <v>0</v>
      </c>
      <c r="AH75" s="72">
        <f t="shared" si="16"/>
        <v>3942.0916500000003</v>
      </c>
      <c r="AI75" s="75">
        <f t="shared" si="17"/>
        <v>2994.95</v>
      </c>
      <c r="AJ75" s="78">
        <f t="shared" si="18"/>
        <v>0</v>
      </c>
      <c r="AK75" s="72">
        <f t="shared" si="19"/>
        <v>2994.95</v>
      </c>
    </row>
    <row r="76" spans="1:37" ht="15.95" customHeight="1">
      <c r="A76" s="25" t="s">
        <v>462</v>
      </c>
      <c r="B76" s="25" t="s">
        <v>463</v>
      </c>
      <c r="C76" s="26" t="s">
        <v>44</v>
      </c>
      <c r="D76" s="26" t="s">
        <v>213</v>
      </c>
      <c r="E76" s="26" t="s">
        <v>214</v>
      </c>
      <c r="F76" s="26" t="s">
        <v>520</v>
      </c>
      <c r="G76" s="26"/>
      <c r="H76" s="27" t="s">
        <v>521</v>
      </c>
      <c r="I76" s="26" t="s">
        <v>27</v>
      </c>
      <c r="J76" s="28" t="s">
        <v>41</v>
      </c>
      <c r="K76" s="123">
        <v>78</v>
      </c>
      <c r="L76" s="29">
        <v>13.09665</v>
      </c>
      <c r="M76" s="110">
        <v>9.9499999999999993</v>
      </c>
      <c r="N76" s="30">
        <v>0.19700000000000001</v>
      </c>
      <c r="O76" s="116">
        <v>1.9601499999999998</v>
      </c>
      <c r="P76" s="30"/>
      <c r="Q76" s="116"/>
      <c r="R76" s="30">
        <v>7.0000000000000007E-2</v>
      </c>
      <c r="S76" s="116">
        <v>0.69650000000000001</v>
      </c>
      <c r="T76" s="117">
        <v>0.49</v>
      </c>
      <c r="U76" s="39">
        <v>301</v>
      </c>
      <c r="V76" s="32"/>
      <c r="W76" s="33"/>
      <c r="X76" s="32"/>
      <c r="Y76" s="32"/>
      <c r="Z76" s="32"/>
      <c r="AA76" s="34"/>
      <c r="AB76" s="35">
        <f t="shared" si="10"/>
        <v>301</v>
      </c>
      <c r="AC76" s="75">
        <f t="shared" si="11"/>
        <v>23478</v>
      </c>
      <c r="AD76" s="78">
        <f t="shared" si="12"/>
        <v>0</v>
      </c>
      <c r="AE76" s="72">
        <f t="shared" si="13"/>
        <v>23478</v>
      </c>
      <c r="AF76" s="75">
        <f t="shared" si="14"/>
        <v>3942.0916500000003</v>
      </c>
      <c r="AG76" s="78">
        <f t="shared" si="15"/>
        <v>0</v>
      </c>
      <c r="AH76" s="72">
        <f t="shared" si="16"/>
        <v>3942.0916500000003</v>
      </c>
      <c r="AI76" s="75">
        <f t="shared" si="17"/>
        <v>2994.95</v>
      </c>
      <c r="AJ76" s="78">
        <f t="shared" si="18"/>
        <v>0</v>
      </c>
      <c r="AK76" s="72">
        <f t="shared" si="19"/>
        <v>2994.95</v>
      </c>
    </row>
    <row r="77" spans="1:37" ht="15.95" customHeight="1">
      <c r="A77" s="25" t="s">
        <v>462</v>
      </c>
      <c r="B77" s="25" t="s">
        <v>463</v>
      </c>
      <c r="C77" s="26" t="s">
        <v>24</v>
      </c>
      <c r="D77" s="26" t="s">
        <v>213</v>
      </c>
      <c r="E77" s="26" t="s">
        <v>214</v>
      </c>
      <c r="F77" s="26" t="s">
        <v>522</v>
      </c>
      <c r="G77" s="25"/>
      <c r="H77" s="42" t="s">
        <v>234</v>
      </c>
      <c r="I77" s="43" t="s">
        <v>27</v>
      </c>
      <c r="J77" s="28" t="s">
        <v>227</v>
      </c>
      <c r="K77" s="123">
        <v>64</v>
      </c>
      <c r="L77" s="29">
        <v>8.8262499999999999</v>
      </c>
      <c r="M77" s="110">
        <v>6.75</v>
      </c>
      <c r="N77" s="30">
        <v>0.16500000000000001</v>
      </c>
      <c r="O77" s="116">
        <v>1.11375</v>
      </c>
      <c r="P77" s="30"/>
      <c r="Q77" s="116"/>
      <c r="R77" s="30">
        <v>7.0000000000000007E-2</v>
      </c>
      <c r="S77" s="116">
        <v>0.47250000000000003</v>
      </c>
      <c r="T77" s="117">
        <v>0.49</v>
      </c>
      <c r="U77" s="39">
        <v>400</v>
      </c>
      <c r="V77" s="32"/>
      <c r="W77" s="33"/>
      <c r="X77" s="32"/>
      <c r="Y77" s="32"/>
      <c r="Z77" s="32"/>
      <c r="AA77" s="34"/>
      <c r="AB77" s="35">
        <f t="shared" si="10"/>
        <v>400</v>
      </c>
      <c r="AC77" s="75">
        <f t="shared" si="11"/>
        <v>25600</v>
      </c>
      <c r="AD77" s="78">
        <f t="shared" si="12"/>
        <v>0</v>
      </c>
      <c r="AE77" s="72">
        <f t="shared" si="13"/>
        <v>25600</v>
      </c>
      <c r="AF77" s="75">
        <f t="shared" si="14"/>
        <v>3530.5</v>
      </c>
      <c r="AG77" s="78">
        <f t="shared" si="15"/>
        <v>0</v>
      </c>
      <c r="AH77" s="72">
        <f t="shared" si="16"/>
        <v>3530.5</v>
      </c>
      <c r="AI77" s="75">
        <f t="shared" si="17"/>
        <v>2700</v>
      </c>
      <c r="AJ77" s="78">
        <f t="shared" si="18"/>
        <v>0</v>
      </c>
      <c r="AK77" s="72">
        <f t="shared" si="19"/>
        <v>2700</v>
      </c>
    </row>
    <row r="78" spans="1:37" ht="15.95" customHeight="1">
      <c r="A78" s="25" t="s">
        <v>462</v>
      </c>
      <c r="B78" s="25" t="s">
        <v>463</v>
      </c>
      <c r="C78" s="26" t="s">
        <v>24</v>
      </c>
      <c r="D78" s="26" t="s">
        <v>213</v>
      </c>
      <c r="E78" s="26" t="s">
        <v>214</v>
      </c>
      <c r="F78" s="26" t="s">
        <v>522</v>
      </c>
      <c r="G78" s="25"/>
      <c r="H78" s="42" t="s">
        <v>234</v>
      </c>
      <c r="I78" s="43" t="s">
        <v>27</v>
      </c>
      <c r="J78" s="28" t="s">
        <v>227</v>
      </c>
      <c r="K78" s="123">
        <v>64</v>
      </c>
      <c r="L78" s="29">
        <v>8.8262499999999999</v>
      </c>
      <c r="M78" s="110">
        <v>6.75</v>
      </c>
      <c r="N78" s="30">
        <v>0.16500000000000001</v>
      </c>
      <c r="O78" s="116">
        <v>1.11375</v>
      </c>
      <c r="P78" s="30"/>
      <c r="Q78" s="116"/>
      <c r="R78" s="30">
        <v>7.0000000000000007E-2</v>
      </c>
      <c r="S78" s="116">
        <v>0.47250000000000003</v>
      </c>
      <c r="T78" s="117">
        <v>0.49</v>
      </c>
      <c r="U78" s="39">
        <v>400</v>
      </c>
      <c r="V78" s="32"/>
      <c r="W78" s="33"/>
      <c r="X78" s="32"/>
      <c r="Y78" s="32"/>
      <c r="Z78" s="32"/>
      <c r="AA78" s="34"/>
      <c r="AB78" s="35">
        <f t="shared" si="10"/>
        <v>400</v>
      </c>
      <c r="AC78" s="75">
        <f t="shared" si="11"/>
        <v>25600</v>
      </c>
      <c r="AD78" s="78">
        <f t="shared" si="12"/>
        <v>0</v>
      </c>
      <c r="AE78" s="72">
        <f t="shared" si="13"/>
        <v>25600</v>
      </c>
      <c r="AF78" s="75">
        <f t="shared" si="14"/>
        <v>3530.5</v>
      </c>
      <c r="AG78" s="78">
        <f t="shared" si="15"/>
        <v>0</v>
      </c>
      <c r="AH78" s="72">
        <f t="shared" si="16"/>
        <v>3530.5</v>
      </c>
      <c r="AI78" s="75">
        <f t="shared" si="17"/>
        <v>2700</v>
      </c>
      <c r="AJ78" s="78">
        <f t="shared" si="18"/>
        <v>0</v>
      </c>
      <c r="AK78" s="72">
        <f t="shared" si="19"/>
        <v>2700</v>
      </c>
    </row>
    <row r="79" spans="1:37" ht="15.95" customHeight="1">
      <c r="A79" s="25" t="s">
        <v>462</v>
      </c>
      <c r="B79" s="25" t="s">
        <v>463</v>
      </c>
      <c r="C79" s="26" t="s">
        <v>14</v>
      </c>
      <c r="D79" s="26" t="s">
        <v>523</v>
      </c>
      <c r="E79" s="26" t="s">
        <v>16</v>
      </c>
      <c r="F79" s="26" t="s">
        <v>524</v>
      </c>
      <c r="G79" s="26"/>
      <c r="H79" s="27" t="s">
        <v>525</v>
      </c>
      <c r="I79" s="26" t="s">
        <v>19</v>
      </c>
      <c r="J79" s="28" t="s">
        <v>20</v>
      </c>
      <c r="K79" s="123">
        <v>245</v>
      </c>
      <c r="L79" s="29">
        <v>47.387560000000001</v>
      </c>
      <c r="M79" s="110">
        <v>32.979999999999997</v>
      </c>
      <c r="N79" s="30">
        <v>0.27700000000000002</v>
      </c>
      <c r="O79" s="116">
        <v>9.1354600000000001</v>
      </c>
      <c r="P79" s="30">
        <v>7.4999999999999997E-2</v>
      </c>
      <c r="Q79" s="116">
        <v>2.4734999999999996</v>
      </c>
      <c r="R79" s="30">
        <v>7.0000000000000007E-2</v>
      </c>
      <c r="S79" s="116">
        <v>2.3086000000000002</v>
      </c>
      <c r="T79" s="117">
        <v>0.49</v>
      </c>
      <c r="U79" s="39">
        <v>350</v>
      </c>
      <c r="V79" s="32">
        <v>50</v>
      </c>
      <c r="W79" s="33"/>
      <c r="X79" s="32"/>
      <c r="Y79" s="32"/>
      <c r="Z79" s="32"/>
      <c r="AA79" s="34"/>
      <c r="AB79" s="35">
        <f t="shared" si="10"/>
        <v>400</v>
      </c>
      <c r="AC79" s="75">
        <f t="shared" si="11"/>
        <v>85750</v>
      </c>
      <c r="AD79" s="78">
        <f t="shared" si="12"/>
        <v>12250</v>
      </c>
      <c r="AE79" s="72">
        <f t="shared" si="13"/>
        <v>98000</v>
      </c>
      <c r="AF79" s="75">
        <f t="shared" si="14"/>
        <v>16585.646000000001</v>
      </c>
      <c r="AG79" s="78">
        <f t="shared" si="15"/>
        <v>2369.3780000000002</v>
      </c>
      <c r="AH79" s="72">
        <f t="shared" si="16"/>
        <v>18955.024000000001</v>
      </c>
      <c r="AI79" s="75">
        <f t="shared" si="17"/>
        <v>11542.999999999998</v>
      </c>
      <c r="AJ79" s="78">
        <f t="shared" si="18"/>
        <v>1648.9999999999998</v>
      </c>
      <c r="AK79" s="72">
        <f t="shared" si="19"/>
        <v>13191.999999999998</v>
      </c>
    </row>
    <row r="80" spans="1:37" ht="15.95" customHeight="1">
      <c r="A80" s="25" t="s">
        <v>462</v>
      </c>
      <c r="B80" s="25" t="s">
        <v>463</v>
      </c>
      <c r="C80" s="26" t="s">
        <v>21</v>
      </c>
      <c r="D80" s="26" t="s">
        <v>523</v>
      </c>
      <c r="E80" s="26" t="s">
        <v>16</v>
      </c>
      <c r="F80" s="26" t="s">
        <v>526</v>
      </c>
      <c r="G80" s="26"/>
      <c r="H80" s="27" t="s">
        <v>525</v>
      </c>
      <c r="I80" s="26" t="s">
        <v>19</v>
      </c>
      <c r="J80" s="37" t="s">
        <v>23</v>
      </c>
      <c r="K80" s="123">
        <v>195</v>
      </c>
      <c r="L80" s="29">
        <v>38.866800000000005</v>
      </c>
      <c r="M80" s="110">
        <v>26.95</v>
      </c>
      <c r="N80" s="30">
        <v>0.27900000000000003</v>
      </c>
      <c r="O80" s="116">
        <v>7.5190500000000009</v>
      </c>
      <c r="P80" s="30">
        <v>7.4999999999999997E-2</v>
      </c>
      <c r="Q80" s="116">
        <v>2.0212499999999998</v>
      </c>
      <c r="R80" s="30">
        <v>7.0000000000000007E-2</v>
      </c>
      <c r="S80" s="116">
        <v>1.8865000000000001</v>
      </c>
      <c r="T80" s="117">
        <v>0.49</v>
      </c>
      <c r="U80" s="39">
        <v>300</v>
      </c>
      <c r="V80" s="32">
        <v>50</v>
      </c>
      <c r="W80" s="33"/>
      <c r="X80" s="32"/>
      <c r="Y80" s="32"/>
      <c r="Z80" s="32"/>
      <c r="AA80" s="34"/>
      <c r="AB80" s="35">
        <f t="shared" si="10"/>
        <v>350</v>
      </c>
      <c r="AC80" s="75">
        <f t="shared" si="11"/>
        <v>58500</v>
      </c>
      <c r="AD80" s="78">
        <f t="shared" si="12"/>
        <v>9750</v>
      </c>
      <c r="AE80" s="72">
        <f t="shared" si="13"/>
        <v>68250</v>
      </c>
      <c r="AF80" s="75">
        <f t="shared" si="14"/>
        <v>11660.04</v>
      </c>
      <c r="AG80" s="78">
        <f t="shared" si="15"/>
        <v>1943.3400000000001</v>
      </c>
      <c r="AH80" s="72">
        <f t="shared" si="16"/>
        <v>13603.380000000001</v>
      </c>
      <c r="AI80" s="75">
        <f t="shared" si="17"/>
        <v>8085</v>
      </c>
      <c r="AJ80" s="78">
        <f t="shared" si="18"/>
        <v>1347.5</v>
      </c>
      <c r="AK80" s="72">
        <f t="shared" si="19"/>
        <v>9432.5</v>
      </c>
    </row>
    <row r="81" spans="1:37" ht="15.95" customHeight="1">
      <c r="A81" s="25" t="s">
        <v>462</v>
      </c>
      <c r="B81" s="25" t="s">
        <v>463</v>
      </c>
      <c r="C81" s="26" t="s">
        <v>527</v>
      </c>
      <c r="D81" s="26" t="s">
        <v>523</v>
      </c>
      <c r="E81" s="26" t="s">
        <v>16</v>
      </c>
      <c r="F81" s="26" t="s">
        <v>528</v>
      </c>
      <c r="G81" s="26"/>
      <c r="H81" s="27" t="s">
        <v>525</v>
      </c>
      <c r="I81" s="26" t="s">
        <v>19</v>
      </c>
      <c r="J81" s="28" t="s">
        <v>529</v>
      </c>
      <c r="K81" s="123">
        <v>150</v>
      </c>
      <c r="L81" s="29">
        <v>32.372500000000002</v>
      </c>
      <c r="M81" s="110">
        <v>22.5</v>
      </c>
      <c r="N81" s="30">
        <v>0.27200000000000002</v>
      </c>
      <c r="O81" s="116">
        <v>6.12</v>
      </c>
      <c r="P81" s="30">
        <v>7.4999999999999997E-2</v>
      </c>
      <c r="Q81" s="116">
        <v>1.6875</v>
      </c>
      <c r="R81" s="30">
        <v>7.0000000000000007E-2</v>
      </c>
      <c r="S81" s="116">
        <v>1.5750000000000002</v>
      </c>
      <c r="T81" s="117">
        <v>0.49</v>
      </c>
      <c r="U81" s="39">
        <v>352</v>
      </c>
      <c r="V81" s="32">
        <v>82</v>
      </c>
      <c r="W81" s="33">
        <v>66</v>
      </c>
      <c r="X81" s="32"/>
      <c r="Y81" s="32"/>
      <c r="Z81" s="32"/>
      <c r="AA81" s="34"/>
      <c r="AB81" s="35">
        <f t="shared" si="10"/>
        <v>500</v>
      </c>
      <c r="AC81" s="75">
        <f t="shared" si="11"/>
        <v>52800</v>
      </c>
      <c r="AD81" s="78">
        <f t="shared" si="12"/>
        <v>22200</v>
      </c>
      <c r="AE81" s="72">
        <f t="shared" si="13"/>
        <v>75000</v>
      </c>
      <c r="AF81" s="75">
        <f t="shared" si="14"/>
        <v>11395.12</v>
      </c>
      <c r="AG81" s="78">
        <f t="shared" si="15"/>
        <v>4791.13</v>
      </c>
      <c r="AH81" s="72">
        <f t="shared" si="16"/>
        <v>16186.25</v>
      </c>
      <c r="AI81" s="75">
        <f t="shared" si="17"/>
        <v>7920</v>
      </c>
      <c r="AJ81" s="78">
        <f t="shared" si="18"/>
        <v>3330</v>
      </c>
      <c r="AK81" s="72">
        <f t="shared" si="19"/>
        <v>11250</v>
      </c>
    </row>
    <row r="82" spans="1:37" ht="15.95" customHeight="1">
      <c r="A82" s="25" t="s">
        <v>462</v>
      </c>
      <c r="B82" s="25" t="s">
        <v>463</v>
      </c>
      <c r="C82" s="26" t="s">
        <v>267</v>
      </c>
      <c r="D82" s="26" t="s">
        <v>523</v>
      </c>
      <c r="E82" s="26" t="s">
        <v>16</v>
      </c>
      <c r="F82" s="26" t="s">
        <v>530</v>
      </c>
      <c r="G82" s="26"/>
      <c r="H82" s="27" t="s">
        <v>525</v>
      </c>
      <c r="I82" s="26" t="s">
        <v>19</v>
      </c>
      <c r="J82" s="28" t="s">
        <v>31</v>
      </c>
      <c r="K82" s="123">
        <v>140</v>
      </c>
      <c r="L82" s="29">
        <v>30.456999999999997</v>
      </c>
      <c r="M82" s="110">
        <v>21</v>
      </c>
      <c r="N82" s="30">
        <v>0.28199999999999997</v>
      </c>
      <c r="O82" s="116">
        <v>5.9219999999999997</v>
      </c>
      <c r="P82" s="30">
        <v>7.4999999999999997E-2</v>
      </c>
      <c r="Q82" s="116">
        <v>1.575</v>
      </c>
      <c r="R82" s="30">
        <v>7.0000000000000007E-2</v>
      </c>
      <c r="S82" s="116">
        <v>1.4700000000000002</v>
      </c>
      <c r="T82" s="117">
        <v>0.49</v>
      </c>
      <c r="U82" s="39">
        <v>349</v>
      </c>
      <c r="V82" s="32">
        <v>80</v>
      </c>
      <c r="W82" s="33">
        <v>71</v>
      </c>
      <c r="X82" s="32"/>
      <c r="Y82" s="32"/>
      <c r="Z82" s="32"/>
      <c r="AA82" s="34"/>
      <c r="AB82" s="35">
        <f t="shared" si="10"/>
        <v>500</v>
      </c>
      <c r="AC82" s="75">
        <f t="shared" si="11"/>
        <v>48860</v>
      </c>
      <c r="AD82" s="78">
        <f t="shared" si="12"/>
        <v>21140</v>
      </c>
      <c r="AE82" s="72">
        <f t="shared" si="13"/>
        <v>70000</v>
      </c>
      <c r="AF82" s="75">
        <f t="shared" si="14"/>
        <v>10629.492999999999</v>
      </c>
      <c r="AG82" s="78">
        <f t="shared" si="15"/>
        <v>4599.0069999999996</v>
      </c>
      <c r="AH82" s="72">
        <f t="shared" si="16"/>
        <v>15228.499999999998</v>
      </c>
      <c r="AI82" s="75">
        <f t="shared" si="17"/>
        <v>7329</v>
      </c>
      <c r="AJ82" s="78">
        <f t="shared" si="18"/>
        <v>3171</v>
      </c>
      <c r="AK82" s="72">
        <f t="shared" si="19"/>
        <v>10500</v>
      </c>
    </row>
    <row r="83" spans="1:37" ht="15.95" customHeight="1">
      <c r="A83" s="25" t="s">
        <v>462</v>
      </c>
      <c r="B83" s="25" t="s">
        <v>463</v>
      </c>
      <c r="C83" s="26" t="s">
        <v>14</v>
      </c>
      <c r="D83" s="26" t="s">
        <v>523</v>
      </c>
      <c r="E83" s="26" t="s">
        <v>16</v>
      </c>
      <c r="F83" s="26" t="s">
        <v>531</v>
      </c>
      <c r="G83" s="26"/>
      <c r="H83" s="27" t="s">
        <v>532</v>
      </c>
      <c r="I83" s="26" t="s">
        <v>19</v>
      </c>
      <c r="J83" s="28" t="s">
        <v>20</v>
      </c>
      <c r="K83" s="123">
        <v>195</v>
      </c>
      <c r="L83" s="29">
        <v>39.879400000000004</v>
      </c>
      <c r="M83" s="110">
        <v>27.7</v>
      </c>
      <c r="N83" s="30">
        <v>0.27700000000000002</v>
      </c>
      <c r="O83" s="116">
        <v>7.6729000000000003</v>
      </c>
      <c r="P83" s="30">
        <v>7.4999999999999997E-2</v>
      </c>
      <c r="Q83" s="116">
        <v>2.0774999999999997</v>
      </c>
      <c r="R83" s="30">
        <v>7.0000000000000007E-2</v>
      </c>
      <c r="S83" s="116">
        <v>1.9390000000000001</v>
      </c>
      <c r="T83" s="117">
        <v>0.49</v>
      </c>
      <c r="U83" s="39">
        <v>501</v>
      </c>
      <c r="V83" s="32">
        <v>118</v>
      </c>
      <c r="W83" s="33"/>
      <c r="X83" s="32"/>
      <c r="Y83" s="32"/>
      <c r="Z83" s="32">
        <v>10</v>
      </c>
      <c r="AA83" s="34"/>
      <c r="AB83" s="35">
        <f t="shared" si="10"/>
        <v>629</v>
      </c>
      <c r="AC83" s="75">
        <f t="shared" si="11"/>
        <v>97695</v>
      </c>
      <c r="AD83" s="78">
        <f t="shared" si="12"/>
        <v>24960</v>
      </c>
      <c r="AE83" s="72">
        <f t="shared" si="13"/>
        <v>122655</v>
      </c>
      <c r="AF83" s="75">
        <f t="shared" si="14"/>
        <v>19979.579400000002</v>
      </c>
      <c r="AG83" s="78">
        <f t="shared" si="15"/>
        <v>4982.7692000000006</v>
      </c>
      <c r="AH83" s="72">
        <f t="shared" si="16"/>
        <v>24962.348600000005</v>
      </c>
      <c r="AI83" s="75">
        <f t="shared" si="17"/>
        <v>13877.699999999999</v>
      </c>
      <c r="AJ83" s="78">
        <f t="shared" si="18"/>
        <v>3545.6</v>
      </c>
      <c r="AK83" s="72">
        <f t="shared" si="19"/>
        <v>17423.3</v>
      </c>
    </row>
    <row r="84" spans="1:37" ht="15.95" customHeight="1">
      <c r="A84" s="25" t="s">
        <v>462</v>
      </c>
      <c r="B84" s="25" t="s">
        <v>463</v>
      </c>
      <c r="C84" s="26" t="s">
        <v>21</v>
      </c>
      <c r="D84" s="26" t="s">
        <v>523</v>
      </c>
      <c r="E84" s="26" t="s">
        <v>16</v>
      </c>
      <c r="F84" s="26" t="s">
        <v>533</v>
      </c>
      <c r="G84" s="26"/>
      <c r="H84" s="27" t="s">
        <v>532</v>
      </c>
      <c r="I84" s="26" t="s">
        <v>19</v>
      </c>
      <c r="J84" s="28" t="s">
        <v>23</v>
      </c>
      <c r="K84" s="123">
        <v>150</v>
      </c>
      <c r="L84" s="29">
        <v>30.892399999999999</v>
      </c>
      <c r="M84" s="110">
        <v>21.35</v>
      </c>
      <c r="N84" s="30">
        <v>0.27900000000000003</v>
      </c>
      <c r="O84" s="116">
        <v>5.9566500000000007</v>
      </c>
      <c r="P84" s="30">
        <v>7.4999999999999997E-2</v>
      </c>
      <c r="Q84" s="116">
        <v>1.6012500000000001</v>
      </c>
      <c r="R84" s="30">
        <v>7.0000000000000007E-2</v>
      </c>
      <c r="S84" s="116">
        <v>1.4945000000000002</v>
      </c>
      <c r="T84" s="117">
        <v>0.49</v>
      </c>
      <c r="U84" s="39">
        <v>501</v>
      </c>
      <c r="V84" s="32">
        <v>119</v>
      </c>
      <c r="W84" s="33"/>
      <c r="X84" s="32"/>
      <c r="Y84" s="32"/>
      <c r="Z84" s="32">
        <v>10</v>
      </c>
      <c r="AA84" s="34"/>
      <c r="AB84" s="35">
        <f t="shared" si="10"/>
        <v>630</v>
      </c>
      <c r="AC84" s="75">
        <f t="shared" si="11"/>
        <v>75150</v>
      </c>
      <c r="AD84" s="78">
        <f t="shared" si="12"/>
        <v>19350</v>
      </c>
      <c r="AE84" s="72">
        <f t="shared" si="13"/>
        <v>94500</v>
      </c>
      <c r="AF84" s="75">
        <f t="shared" si="14"/>
        <v>15477.0924</v>
      </c>
      <c r="AG84" s="78">
        <f t="shared" si="15"/>
        <v>3889.6956</v>
      </c>
      <c r="AH84" s="72">
        <f t="shared" si="16"/>
        <v>19366.788</v>
      </c>
      <c r="AI84" s="75">
        <f t="shared" si="17"/>
        <v>10696.35</v>
      </c>
      <c r="AJ84" s="78">
        <f t="shared" si="18"/>
        <v>2754.15</v>
      </c>
      <c r="AK84" s="72">
        <f t="shared" si="19"/>
        <v>13450.5</v>
      </c>
    </row>
    <row r="85" spans="1:37" ht="15.95" customHeight="1">
      <c r="A85" s="25" t="s">
        <v>462</v>
      </c>
      <c r="B85" s="25" t="s">
        <v>463</v>
      </c>
      <c r="C85" s="26" t="s">
        <v>14</v>
      </c>
      <c r="D85" s="26" t="s">
        <v>523</v>
      </c>
      <c r="E85" s="26" t="s">
        <v>16</v>
      </c>
      <c r="F85" s="26" t="s">
        <v>531</v>
      </c>
      <c r="G85" s="26"/>
      <c r="H85" s="27" t="s">
        <v>532</v>
      </c>
      <c r="I85" s="26" t="s">
        <v>19</v>
      </c>
      <c r="J85" s="28" t="s">
        <v>20</v>
      </c>
      <c r="K85" s="123">
        <v>195</v>
      </c>
      <c r="L85" s="29">
        <v>39.879400000000004</v>
      </c>
      <c r="M85" s="110">
        <v>27.7</v>
      </c>
      <c r="N85" s="30">
        <v>0.27700000000000002</v>
      </c>
      <c r="O85" s="116">
        <v>7.6729000000000003</v>
      </c>
      <c r="P85" s="30">
        <v>7.4999999999999997E-2</v>
      </c>
      <c r="Q85" s="116">
        <v>2.0774999999999997</v>
      </c>
      <c r="R85" s="30">
        <v>7.0000000000000007E-2</v>
      </c>
      <c r="S85" s="116">
        <v>1.9390000000000001</v>
      </c>
      <c r="T85" s="117">
        <v>0.49</v>
      </c>
      <c r="U85" s="39">
        <v>400</v>
      </c>
      <c r="V85" s="32">
        <v>35</v>
      </c>
      <c r="W85" s="33"/>
      <c r="X85" s="32"/>
      <c r="Y85" s="32"/>
      <c r="Z85" s="32">
        <v>28</v>
      </c>
      <c r="AA85" s="34"/>
      <c r="AB85" s="35">
        <f t="shared" si="10"/>
        <v>463</v>
      </c>
      <c r="AC85" s="75">
        <f t="shared" si="11"/>
        <v>78000</v>
      </c>
      <c r="AD85" s="78">
        <f t="shared" si="12"/>
        <v>12285</v>
      </c>
      <c r="AE85" s="72">
        <f t="shared" si="13"/>
        <v>90285</v>
      </c>
      <c r="AF85" s="75">
        <f t="shared" si="14"/>
        <v>15951.760000000002</v>
      </c>
      <c r="AG85" s="78">
        <f t="shared" si="15"/>
        <v>2171.3790000000004</v>
      </c>
      <c r="AH85" s="72">
        <f t="shared" si="16"/>
        <v>18123.139000000003</v>
      </c>
      <c r="AI85" s="75">
        <f t="shared" si="17"/>
        <v>11080</v>
      </c>
      <c r="AJ85" s="78">
        <f t="shared" si="18"/>
        <v>1745.1</v>
      </c>
      <c r="AK85" s="72">
        <f t="shared" si="19"/>
        <v>12825.1</v>
      </c>
    </row>
    <row r="86" spans="1:37" ht="15.95" customHeight="1">
      <c r="A86" s="25" t="s">
        <v>462</v>
      </c>
      <c r="B86" s="25" t="s">
        <v>463</v>
      </c>
      <c r="C86" s="26" t="s">
        <v>21</v>
      </c>
      <c r="D86" s="26" t="s">
        <v>523</v>
      </c>
      <c r="E86" s="26" t="s">
        <v>16</v>
      </c>
      <c r="F86" s="26" t="s">
        <v>533</v>
      </c>
      <c r="G86" s="26"/>
      <c r="H86" s="27" t="s">
        <v>532</v>
      </c>
      <c r="I86" s="26" t="s">
        <v>19</v>
      </c>
      <c r="J86" s="28" t="s">
        <v>23</v>
      </c>
      <c r="K86" s="123">
        <v>150</v>
      </c>
      <c r="L86" s="29">
        <v>30.892399999999999</v>
      </c>
      <c r="M86" s="110">
        <v>21.35</v>
      </c>
      <c r="N86" s="30">
        <v>0.27900000000000003</v>
      </c>
      <c r="O86" s="116">
        <v>5.9566500000000007</v>
      </c>
      <c r="P86" s="30">
        <v>7.4999999999999997E-2</v>
      </c>
      <c r="Q86" s="116">
        <v>1.6012500000000001</v>
      </c>
      <c r="R86" s="30">
        <v>7.0000000000000007E-2</v>
      </c>
      <c r="S86" s="116">
        <v>1.4945000000000002</v>
      </c>
      <c r="T86" s="117">
        <v>0.49</v>
      </c>
      <c r="U86" s="39">
        <v>400</v>
      </c>
      <c r="V86" s="32">
        <v>35</v>
      </c>
      <c r="W86" s="33"/>
      <c r="X86" s="32"/>
      <c r="Y86" s="32"/>
      <c r="Z86" s="32">
        <v>28</v>
      </c>
      <c r="AA86" s="34"/>
      <c r="AB86" s="35">
        <f t="shared" si="10"/>
        <v>463</v>
      </c>
      <c r="AC86" s="75">
        <f t="shared" si="11"/>
        <v>60000</v>
      </c>
      <c r="AD86" s="78">
        <f t="shared" si="12"/>
        <v>9450</v>
      </c>
      <c r="AE86" s="72">
        <f t="shared" si="13"/>
        <v>69450</v>
      </c>
      <c r="AF86" s="75">
        <f t="shared" si="14"/>
        <v>12356.96</v>
      </c>
      <c r="AG86" s="78">
        <f t="shared" si="15"/>
        <v>1679.0340000000001</v>
      </c>
      <c r="AH86" s="72">
        <f t="shared" si="16"/>
        <v>14035.993999999999</v>
      </c>
      <c r="AI86" s="75">
        <f t="shared" si="17"/>
        <v>8540</v>
      </c>
      <c r="AJ86" s="78">
        <f t="shared" si="18"/>
        <v>1345.0500000000002</v>
      </c>
      <c r="AK86" s="72">
        <f t="shared" si="19"/>
        <v>9885.0499999999993</v>
      </c>
    </row>
    <row r="87" spans="1:37" ht="15.95" customHeight="1">
      <c r="A87" s="25" t="s">
        <v>462</v>
      </c>
      <c r="B87" s="25" t="s">
        <v>463</v>
      </c>
      <c r="C87" s="26" t="s">
        <v>14</v>
      </c>
      <c r="D87" s="26" t="s">
        <v>523</v>
      </c>
      <c r="E87" s="26" t="s">
        <v>16</v>
      </c>
      <c r="F87" s="26" t="s">
        <v>531</v>
      </c>
      <c r="G87" s="26"/>
      <c r="H87" s="27" t="s">
        <v>532</v>
      </c>
      <c r="I87" s="26" t="s">
        <v>19</v>
      </c>
      <c r="J87" s="28" t="s">
        <v>20</v>
      </c>
      <c r="K87" s="123">
        <v>195</v>
      </c>
      <c r="L87" s="29">
        <v>39.879400000000004</v>
      </c>
      <c r="M87" s="110">
        <v>27.7</v>
      </c>
      <c r="N87" s="30">
        <v>0.27700000000000002</v>
      </c>
      <c r="O87" s="116">
        <v>7.6729000000000003</v>
      </c>
      <c r="P87" s="30">
        <v>7.4999999999999997E-2</v>
      </c>
      <c r="Q87" s="116">
        <v>2.0774999999999997</v>
      </c>
      <c r="R87" s="30">
        <v>7.0000000000000007E-2</v>
      </c>
      <c r="S87" s="116">
        <v>1.9390000000000001</v>
      </c>
      <c r="T87" s="117">
        <v>0.49</v>
      </c>
      <c r="U87" s="39">
        <v>250</v>
      </c>
      <c r="V87" s="32"/>
      <c r="W87" s="33"/>
      <c r="X87" s="32"/>
      <c r="Y87" s="32"/>
      <c r="Z87" s="32"/>
      <c r="AA87" s="34"/>
      <c r="AB87" s="35">
        <f t="shared" si="10"/>
        <v>250</v>
      </c>
      <c r="AC87" s="75">
        <f t="shared" si="11"/>
        <v>48750</v>
      </c>
      <c r="AD87" s="78">
        <f t="shared" si="12"/>
        <v>0</v>
      </c>
      <c r="AE87" s="72">
        <f t="shared" si="13"/>
        <v>48750</v>
      </c>
      <c r="AF87" s="75">
        <f t="shared" si="14"/>
        <v>9969.85</v>
      </c>
      <c r="AG87" s="78">
        <f t="shared" si="15"/>
        <v>0</v>
      </c>
      <c r="AH87" s="72">
        <f t="shared" si="16"/>
        <v>9969.85</v>
      </c>
      <c r="AI87" s="75">
        <f t="shared" si="17"/>
        <v>6925</v>
      </c>
      <c r="AJ87" s="78">
        <f t="shared" si="18"/>
        <v>0</v>
      </c>
      <c r="AK87" s="72">
        <f t="shared" si="19"/>
        <v>6925</v>
      </c>
    </row>
    <row r="88" spans="1:37" ht="15.95" customHeight="1">
      <c r="A88" s="25" t="s">
        <v>462</v>
      </c>
      <c r="B88" s="25" t="s">
        <v>463</v>
      </c>
      <c r="C88" s="26" t="s">
        <v>21</v>
      </c>
      <c r="D88" s="26" t="s">
        <v>523</v>
      </c>
      <c r="E88" s="26" t="s">
        <v>16</v>
      </c>
      <c r="F88" s="26" t="s">
        <v>533</v>
      </c>
      <c r="G88" s="26"/>
      <c r="H88" s="27" t="s">
        <v>532</v>
      </c>
      <c r="I88" s="26" t="s">
        <v>19</v>
      </c>
      <c r="J88" s="28" t="s">
        <v>23</v>
      </c>
      <c r="K88" s="123">
        <v>150</v>
      </c>
      <c r="L88" s="29">
        <v>30.892399999999999</v>
      </c>
      <c r="M88" s="110">
        <v>21.35</v>
      </c>
      <c r="N88" s="30">
        <v>0.27900000000000003</v>
      </c>
      <c r="O88" s="116">
        <v>5.9566500000000007</v>
      </c>
      <c r="P88" s="30">
        <v>7.4999999999999997E-2</v>
      </c>
      <c r="Q88" s="116">
        <v>1.6012500000000001</v>
      </c>
      <c r="R88" s="30">
        <v>7.0000000000000007E-2</v>
      </c>
      <c r="S88" s="116">
        <v>1.4945000000000002</v>
      </c>
      <c r="T88" s="117">
        <v>0.49</v>
      </c>
      <c r="U88" s="39">
        <v>251</v>
      </c>
      <c r="V88" s="32"/>
      <c r="W88" s="33"/>
      <c r="X88" s="32"/>
      <c r="Y88" s="32"/>
      <c r="Z88" s="32"/>
      <c r="AA88" s="34"/>
      <c r="AB88" s="35">
        <f t="shared" si="10"/>
        <v>251</v>
      </c>
      <c r="AC88" s="75">
        <f t="shared" si="11"/>
        <v>37650</v>
      </c>
      <c r="AD88" s="78">
        <f t="shared" si="12"/>
        <v>0</v>
      </c>
      <c r="AE88" s="72">
        <f t="shared" si="13"/>
        <v>37650</v>
      </c>
      <c r="AF88" s="75">
        <f t="shared" si="14"/>
        <v>7753.9923999999992</v>
      </c>
      <c r="AG88" s="78">
        <f t="shared" si="15"/>
        <v>0</v>
      </c>
      <c r="AH88" s="72">
        <f t="shared" si="16"/>
        <v>7753.9923999999992</v>
      </c>
      <c r="AI88" s="75">
        <f t="shared" si="17"/>
        <v>5358.85</v>
      </c>
      <c r="AJ88" s="78">
        <f t="shared" si="18"/>
        <v>0</v>
      </c>
      <c r="AK88" s="72">
        <f t="shared" si="19"/>
        <v>5358.85</v>
      </c>
    </row>
    <row r="89" spans="1:37" ht="15.95" customHeight="1">
      <c r="A89" s="25" t="s">
        <v>462</v>
      </c>
      <c r="B89" s="25" t="s">
        <v>463</v>
      </c>
      <c r="C89" s="26" t="s">
        <v>21</v>
      </c>
      <c r="D89" s="26" t="s">
        <v>523</v>
      </c>
      <c r="E89" s="26" t="s">
        <v>16</v>
      </c>
      <c r="F89" s="26" t="s">
        <v>534</v>
      </c>
      <c r="G89" s="26"/>
      <c r="H89" s="44" t="s">
        <v>535</v>
      </c>
      <c r="I89" s="26" t="s">
        <v>19</v>
      </c>
      <c r="J89" s="28" t="s">
        <v>23</v>
      </c>
      <c r="K89" s="125">
        <v>150</v>
      </c>
      <c r="L89" s="29">
        <v>31.390800000000002</v>
      </c>
      <c r="M89" s="110">
        <v>21.7</v>
      </c>
      <c r="N89" s="30">
        <v>0.27900000000000003</v>
      </c>
      <c r="O89" s="116">
        <v>6.0543000000000005</v>
      </c>
      <c r="P89" s="30">
        <v>7.4999999999999997E-2</v>
      </c>
      <c r="Q89" s="116">
        <v>1.6274999999999999</v>
      </c>
      <c r="R89" s="30">
        <v>7.0000000000000007E-2</v>
      </c>
      <c r="S89" s="116">
        <v>1.5190000000000001</v>
      </c>
      <c r="T89" s="117">
        <v>0.49</v>
      </c>
      <c r="U89" s="39">
        <v>501</v>
      </c>
      <c r="V89" s="32"/>
      <c r="W89" s="33"/>
      <c r="X89" s="32"/>
      <c r="Y89" s="32"/>
      <c r="Z89" s="32"/>
      <c r="AA89" s="34"/>
      <c r="AB89" s="35">
        <f t="shared" si="10"/>
        <v>501</v>
      </c>
      <c r="AC89" s="75">
        <f t="shared" si="11"/>
        <v>75150</v>
      </c>
      <c r="AD89" s="78">
        <f t="shared" si="12"/>
        <v>0</v>
      </c>
      <c r="AE89" s="72">
        <f t="shared" si="13"/>
        <v>75150</v>
      </c>
      <c r="AF89" s="75">
        <f t="shared" si="14"/>
        <v>15726.790800000001</v>
      </c>
      <c r="AG89" s="78">
        <f t="shared" si="15"/>
        <v>0</v>
      </c>
      <c r="AH89" s="72">
        <f t="shared" si="16"/>
        <v>15726.790800000001</v>
      </c>
      <c r="AI89" s="75">
        <f t="shared" si="17"/>
        <v>10871.699999999999</v>
      </c>
      <c r="AJ89" s="78">
        <f t="shared" si="18"/>
        <v>0</v>
      </c>
      <c r="AK89" s="72">
        <f t="shared" si="19"/>
        <v>10871.699999999999</v>
      </c>
    </row>
    <row r="90" spans="1:37" ht="15.95" customHeight="1">
      <c r="A90" s="25" t="s">
        <v>462</v>
      </c>
      <c r="B90" s="25" t="s">
        <v>463</v>
      </c>
      <c r="C90" s="26" t="s">
        <v>21</v>
      </c>
      <c r="D90" s="26" t="s">
        <v>523</v>
      </c>
      <c r="E90" s="26" t="s">
        <v>16</v>
      </c>
      <c r="F90" s="26" t="s">
        <v>534</v>
      </c>
      <c r="G90" s="26"/>
      <c r="H90" s="44" t="s">
        <v>535</v>
      </c>
      <c r="I90" s="26" t="s">
        <v>19</v>
      </c>
      <c r="J90" s="28" t="s">
        <v>23</v>
      </c>
      <c r="K90" s="125">
        <v>150</v>
      </c>
      <c r="L90" s="29">
        <v>31.390800000000002</v>
      </c>
      <c r="M90" s="110">
        <v>21.7</v>
      </c>
      <c r="N90" s="30">
        <v>0.27900000000000003</v>
      </c>
      <c r="O90" s="116">
        <v>6.0543000000000005</v>
      </c>
      <c r="P90" s="30">
        <v>7.4999999999999997E-2</v>
      </c>
      <c r="Q90" s="116">
        <v>1.6274999999999999</v>
      </c>
      <c r="R90" s="30">
        <v>7.0000000000000007E-2</v>
      </c>
      <c r="S90" s="116">
        <v>1.5190000000000001</v>
      </c>
      <c r="T90" s="117">
        <v>0.49</v>
      </c>
      <c r="U90" s="39">
        <v>400</v>
      </c>
      <c r="V90" s="32"/>
      <c r="W90" s="33"/>
      <c r="X90" s="32"/>
      <c r="Y90" s="32"/>
      <c r="Z90" s="32"/>
      <c r="AA90" s="34"/>
      <c r="AB90" s="35">
        <f t="shared" si="10"/>
        <v>400</v>
      </c>
      <c r="AC90" s="75">
        <f t="shared" si="11"/>
        <v>60000</v>
      </c>
      <c r="AD90" s="78">
        <f t="shared" si="12"/>
        <v>0</v>
      </c>
      <c r="AE90" s="72">
        <f t="shared" si="13"/>
        <v>60000</v>
      </c>
      <c r="AF90" s="75">
        <f t="shared" si="14"/>
        <v>12556.320000000002</v>
      </c>
      <c r="AG90" s="78">
        <f t="shared" si="15"/>
        <v>0</v>
      </c>
      <c r="AH90" s="72">
        <f t="shared" si="16"/>
        <v>12556.320000000002</v>
      </c>
      <c r="AI90" s="75">
        <f t="shared" si="17"/>
        <v>8680</v>
      </c>
      <c r="AJ90" s="78">
        <f t="shared" si="18"/>
        <v>0</v>
      </c>
      <c r="AK90" s="72">
        <f t="shared" si="19"/>
        <v>8680</v>
      </c>
    </row>
    <row r="91" spans="1:37" ht="15.95" customHeight="1">
      <c r="A91" s="25" t="s">
        <v>462</v>
      </c>
      <c r="B91" s="25" t="s">
        <v>463</v>
      </c>
      <c r="C91" s="26" t="s">
        <v>21</v>
      </c>
      <c r="D91" s="26" t="s">
        <v>523</v>
      </c>
      <c r="E91" s="26" t="s">
        <v>16</v>
      </c>
      <c r="F91" s="26" t="s">
        <v>534</v>
      </c>
      <c r="G91" s="26"/>
      <c r="H91" s="44" t="s">
        <v>535</v>
      </c>
      <c r="I91" s="26" t="s">
        <v>19</v>
      </c>
      <c r="J91" s="28" t="s">
        <v>23</v>
      </c>
      <c r="K91" s="125">
        <v>150</v>
      </c>
      <c r="L91" s="29">
        <v>31.390800000000002</v>
      </c>
      <c r="M91" s="110">
        <v>21.7</v>
      </c>
      <c r="N91" s="30">
        <v>0.27900000000000003</v>
      </c>
      <c r="O91" s="116">
        <v>6.0543000000000005</v>
      </c>
      <c r="P91" s="30">
        <v>7.4999999999999997E-2</v>
      </c>
      <c r="Q91" s="116">
        <v>1.6274999999999999</v>
      </c>
      <c r="R91" s="30">
        <v>7.0000000000000007E-2</v>
      </c>
      <c r="S91" s="116">
        <v>1.5190000000000001</v>
      </c>
      <c r="T91" s="117">
        <v>0.49</v>
      </c>
      <c r="U91" s="39">
        <v>400</v>
      </c>
      <c r="V91" s="32">
        <v>5</v>
      </c>
      <c r="W91" s="33"/>
      <c r="X91" s="32"/>
      <c r="Y91" s="32"/>
      <c r="Z91" s="32"/>
      <c r="AA91" s="34"/>
      <c r="AB91" s="35">
        <f t="shared" si="10"/>
        <v>405</v>
      </c>
      <c r="AC91" s="75">
        <f t="shared" si="11"/>
        <v>60000</v>
      </c>
      <c r="AD91" s="78">
        <f t="shared" si="12"/>
        <v>750</v>
      </c>
      <c r="AE91" s="72">
        <f t="shared" si="13"/>
        <v>60750</v>
      </c>
      <c r="AF91" s="75">
        <f t="shared" si="14"/>
        <v>12556.320000000002</v>
      </c>
      <c r="AG91" s="78">
        <f t="shared" si="15"/>
        <v>156.95400000000001</v>
      </c>
      <c r="AH91" s="72">
        <f t="shared" si="16"/>
        <v>12713.274000000001</v>
      </c>
      <c r="AI91" s="75">
        <f t="shared" si="17"/>
        <v>8680</v>
      </c>
      <c r="AJ91" s="78">
        <f t="shared" si="18"/>
        <v>108.5</v>
      </c>
      <c r="AK91" s="72">
        <f t="shared" si="19"/>
        <v>8788.5</v>
      </c>
    </row>
    <row r="92" spans="1:37" ht="15.95" customHeight="1">
      <c r="A92" s="25" t="s">
        <v>462</v>
      </c>
      <c r="B92" s="25" t="s">
        <v>463</v>
      </c>
      <c r="C92" s="26" t="s">
        <v>44</v>
      </c>
      <c r="D92" s="26" t="s">
        <v>536</v>
      </c>
      <c r="E92" s="26" t="s">
        <v>16</v>
      </c>
      <c r="F92" s="26" t="s">
        <v>537</v>
      </c>
      <c r="G92" s="26"/>
      <c r="H92" s="44" t="s">
        <v>538</v>
      </c>
      <c r="I92" s="26" t="s">
        <v>27</v>
      </c>
      <c r="J92" s="28" t="s">
        <v>46</v>
      </c>
      <c r="K92" s="125">
        <v>98</v>
      </c>
      <c r="L92" s="29">
        <v>19.535</v>
      </c>
      <c r="M92" s="110">
        <v>13</v>
      </c>
      <c r="N92" s="30">
        <v>0.32</v>
      </c>
      <c r="O92" s="116">
        <v>4.16</v>
      </c>
      <c r="P92" s="30">
        <v>7.4999999999999997E-2</v>
      </c>
      <c r="Q92" s="116">
        <v>0.97499999999999998</v>
      </c>
      <c r="R92" s="30">
        <v>7.0000000000000007E-2</v>
      </c>
      <c r="S92" s="116">
        <v>0.91000000000000014</v>
      </c>
      <c r="T92" s="117">
        <v>0.49</v>
      </c>
      <c r="U92" s="39">
        <v>301</v>
      </c>
      <c r="V92" s="32">
        <v>107</v>
      </c>
      <c r="W92" s="33"/>
      <c r="X92" s="32"/>
      <c r="Y92" s="32"/>
      <c r="Z92" s="32"/>
      <c r="AA92" s="34"/>
      <c r="AB92" s="35">
        <f t="shared" si="10"/>
        <v>408</v>
      </c>
      <c r="AC92" s="75">
        <f t="shared" si="11"/>
        <v>29498</v>
      </c>
      <c r="AD92" s="78">
        <f t="shared" si="12"/>
        <v>10486</v>
      </c>
      <c r="AE92" s="72">
        <f t="shared" si="13"/>
        <v>39984</v>
      </c>
      <c r="AF92" s="75">
        <f t="shared" si="14"/>
        <v>5880.0349999999999</v>
      </c>
      <c r="AG92" s="78">
        <f t="shared" si="15"/>
        <v>2090.2449999999999</v>
      </c>
      <c r="AH92" s="72">
        <f t="shared" si="16"/>
        <v>7970.28</v>
      </c>
      <c r="AI92" s="75">
        <f t="shared" si="17"/>
        <v>3913</v>
      </c>
      <c r="AJ92" s="78">
        <f t="shared" si="18"/>
        <v>1391</v>
      </c>
      <c r="AK92" s="72">
        <f t="shared" si="19"/>
        <v>5304</v>
      </c>
    </row>
    <row r="93" spans="1:37" ht="15.95" customHeight="1">
      <c r="A93" s="25" t="s">
        <v>462</v>
      </c>
      <c r="B93" s="25" t="s">
        <v>463</v>
      </c>
      <c r="C93" s="26" t="s">
        <v>267</v>
      </c>
      <c r="D93" s="26" t="s">
        <v>536</v>
      </c>
      <c r="E93" s="26" t="s">
        <v>16</v>
      </c>
      <c r="F93" s="26" t="s">
        <v>539</v>
      </c>
      <c r="G93" s="26"/>
      <c r="H93" s="27" t="s">
        <v>538</v>
      </c>
      <c r="I93" s="26" t="s">
        <v>27</v>
      </c>
      <c r="J93" s="28" t="s">
        <v>35</v>
      </c>
      <c r="K93" s="125">
        <v>88</v>
      </c>
      <c r="L93" s="29">
        <v>18.684250000000002</v>
      </c>
      <c r="M93" s="110">
        <v>12.75</v>
      </c>
      <c r="N93" s="30">
        <v>0.28199999999999997</v>
      </c>
      <c r="O93" s="116">
        <v>3.5954999999999995</v>
      </c>
      <c r="P93" s="30">
        <v>7.4999999999999997E-2</v>
      </c>
      <c r="Q93" s="116">
        <v>0.95624999999999993</v>
      </c>
      <c r="R93" s="30">
        <v>7.0000000000000007E-2</v>
      </c>
      <c r="S93" s="116">
        <v>0.89250000000000007</v>
      </c>
      <c r="T93" s="117">
        <v>0.49</v>
      </c>
      <c r="U93" s="39">
        <v>299</v>
      </c>
      <c r="V93" s="32">
        <v>123</v>
      </c>
      <c r="W93" s="33"/>
      <c r="X93" s="32"/>
      <c r="Y93" s="32"/>
      <c r="Z93" s="32"/>
      <c r="AA93" s="34"/>
      <c r="AB93" s="35">
        <f t="shared" si="10"/>
        <v>422</v>
      </c>
      <c r="AC93" s="75">
        <f t="shared" si="11"/>
        <v>26312</v>
      </c>
      <c r="AD93" s="78">
        <f t="shared" si="12"/>
        <v>10824</v>
      </c>
      <c r="AE93" s="72">
        <f t="shared" si="13"/>
        <v>37136</v>
      </c>
      <c r="AF93" s="75">
        <f t="shared" si="14"/>
        <v>5586.5907500000003</v>
      </c>
      <c r="AG93" s="78">
        <f t="shared" si="15"/>
        <v>2298.1627500000004</v>
      </c>
      <c r="AH93" s="72">
        <f t="shared" si="16"/>
        <v>7884.7535000000007</v>
      </c>
      <c r="AI93" s="75">
        <f t="shared" si="17"/>
        <v>3812.25</v>
      </c>
      <c r="AJ93" s="78">
        <f t="shared" si="18"/>
        <v>1568.25</v>
      </c>
      <c r="AK93" s="72">
        <f t="shared" si="19"/>
        <v>5380.5</v>
      </c>
    </row>
    <row r="94" spans="1:37" ht="15.95" customHeight="1">
      <c r="A94" s="25" t="s">
        <v>462</v>
      </c>
      <c r="B94" s="25" t="s">
        <v>463</v>
      </c>
      <c r="C94" s="26" t="s">
        <v>44</v>
      </c>
      <c r="D94" s="26" t="s">
        <v>536</v>
      </c>
      <c r="E94" s="26" t="s">
        <v>16</v>
      </c>
      <c r="F94" s="26" t="s">
        <v>537</v>
      </c>
      <c r="G94" s="26"/>
      <c r="H94" s="27" t="s">
        <v>538</v>
      </c>
      <c r="I94" s="26" t="s">
        <v>27</v>
      </c>
      <c r="J94" s="28" t="s">
        <v>46</v>
      </c>
      <c r="K94" s="123">
        <v>98</v>
      </c>
      <c r="L94" s="29">
        <v>19.535</v>
      </c>
      <c r="M94" s="110">
        <v>13</v>
      </c>
      <c r="N94" s="30">
        <v>0.32</v>
      </c>
      <c r="O94" s="116">
        <v>4.16</v>
      </c>
      <c r="P94" s="30">
        <v>7.4999999999999997E-2</v>
      </c>
      <c r="Q94" s="116">
        <v>0.97499999999999998</v>
      </c>
      <c r="R94" s="30">
        <v>7.0000000000000007E-2</v>
      </c>
      <c r="S94" s="116">
        <v>0.91000000000000014</v>
      </c>
      <c r="T94" s="117">
        <v>0.49</v>
      </c>
      <c r="U94" s="39">
        <v>301</v>
      </c>
      <c r="V94" s="32">
        <v>107</v>
      </c>
      <c r="W94" s="33"/>
      <c r="X94" s="32"/>
      <c r="Y94" s="32"/>
      <c r="Z94" s="32"/>
      <c r="AA94" s="34"/>
      <c r="AB94" s="35">
        <f t="shared" si="10"/>
        <v>408</v>
      </c>
      <c r="AC94" s="75">
        <f t="shared" si="11"/>
        <v>29498</v>
      </c>
      <c r="AD94" s="78">
        <f t="shared" si="12"/>
        <v>10486</v>
      </c>
      <c r="AE94" s="72">
        <f t="shared" si="13"/>
        <v>39984</v>
      </c>
      <c r="AF94" s="75">
        <f t="shared" si="14"/>
        <v>5880.0349999999999</v>
      </c>
      <c r="AG94" s="78">
        <f t="shared" si="15"/>
        <v>2090.2449999999999</v>
      </c>
      <c r="AH94" s="72">
        <f t="shared" si="16"/>
        <v>7970.28</v>
      </c>
      <c r="AI94" s="75">
        <f t="shared" si="17"/>
        <v>3913</v>
      </c>
      <c r="AJ94" s="78">
        <f t="shared" si="18"/>
        <v>1391</v>
      </c>
      <c r="AK94" s="72">
        <f t="shared" si="19"/>
        <v>5304</v>
      </c>
    </row>
    <row r="95" spans="1:37" ht="15.95" customHeight="1">
      <c r="A95" s="25" t="s">
        <v>462</v>
      </c>
      <c r="B95" s="25" t="s">
        <v>463</v>
      </c>
      <c r="C95" s="26" t="s">
        <v>267</v>
      </c>
      <c r="D95" s="26" t="s">
        <v>536</v>
      </c>
      <c r="E95" s="26" t="s">
        <v>16</v>
      </c>
      <c r="F95" s="26" t="s">
        <v>539</v>
      </c>
      <c r="G95" s="26"/>
      <c r="H95" s="27" t="s">
        <v>538</v>
      </c>
      <c r="I95" s="26" t="s">
        <v>27</v>
      </c>
      <c r="J95" s="28" t="s">
        <v>35</v>
      </c>
      <c r="K95" s="123">
        <v>88</v>
      </c>
      <c r="L95" s="29">
        <v>18.684250000000002</v>
      </c>
      <c r="M95" s="110">
        <v>12.75</v>
      </c>
      <c r="N95" s="30">
        <v>0.28199999999999997</v>
      </c>
      <c r="O95" s="116">
        <v>3.5954999999999995</v>
      </c>
      <c r="P95" s="30">
        <v>7.4999999999999997E-2</v>
      </c>
      <c r="Q95" s="116">
        <v>0.95624999999999993</v>
      </c>
      <c r="R95" s="30">
        <v>7.0000000000000007E-2</v>
      </c>
      <c r="S95" s="116">
        <v>0.89250000000000007</v>
      </c>
      <c r="T95" s="117">
        <v>0.49</v>
      </c>
      <c r="U95" s="39">
        <v>299</v>
      </c>
      <c r="V95" s="32">
        <v>115</v>
      </c>
      <c r="W95" s="33"/>
      <c r="X95" s="32"/>
      <c r="Y95" s="32"/>
      <c r="Z95" s="32"/>
      <c r="AA95" s="34"/>
      <c r="AB95" s="35">
        <f t="shared" si="10"/>
        <v>414</v>
      </c>
      <c r="AC95" s="75">
        <f t="shared" si="11"/>
        <v>26312</v>
      </c>
      <c r="AD95" s="78">
        <f t="shared" si="12"/>
        <v>10120</v>
      </c>
      <c r="AE95" s="72">
        <f t="shared" si="13"/>
        <v>36432</v>
      </c>
      <c r="AF95" s="75">
        <f t="shared" si="14"/>
        <v>5586.5907500000003</v>
      </c>
      <c r="AG95" s="78">
        <f t="shared" si="15"/>
        <v>2148.6887500000003</v>
      </c>
      <c r="AH95" s="72">
        <f t="shared" si="16"/>
        <v>7735.2795000000006</v>
      </c>
      <c r="AI95" s="75">
        <f t="shared" si="17"/>
        <v>3812.25</v>
      </c>
      <c r="AJ95" s="78">
        <f t="shared" si="18"/>
        <v>1466.25</v>
      </c>
      <c r="AK95" s="72">
        <f t="shared" si="19"/>
        <v>5278.5</v>
      </c>
    </row>
    <row r="96" spans="1:37" ht="15.95" customHeight="1">
      <c r="A96" s="25" t="s">
        <v>462</v>
      </c>
      <c r="B96" s="25" t="s">
        <v>463</v>
      </c>
      <c r="C96" s="26" t="s">
        <v>527</v>
      </c>
      <c r="D96" s="26" t="s">
        <v>536</v>
      </c>
      <c r="E96" s="26" t="s">
        <v>16</v>
      </c>
      <c r="F96" s="26" t="s">
        <v>540</v>
      </c>
      <c r="G96" s="26"/>
      <c r="H96" s="27" t="s">
        <v>541</v>
      </c>
      <c r="I96" s="26" t="s">
        <v>27</v>
      </c>
      <c r="J96" s="28" t="s">
        <v>142</v>
      </c>
      <c r="K96" s="123">
        <v>150</v>
      </c>
      <c r="L96" s="29">
        <v>30.483699999999999</v>
      </c>
      <c r="M96" s="110">
        <v>22.35</v>
      </c>
      <c r="N96" s="30">
        <v>0.19700000000000001</v>
      </c>
      <c r="O96" s="116">
        <v>4.4029500000000006</v>
      </c>
      <c r="P96" s="30">
        <v>7.4999999999999997E-2</v>
      </c>
      <c r="Q96" s="116">
        <v>1.67625</v>
      </c>
      <c r="R96" s="30">
        <v>7.0000000000000007E-2</v>
      </c>
      <c r="S96" s="116">
        <v>1.5645000000000002</v>
      </c>
      <c r="T96" s="117">
        <v>0.49</v>
      </c>
      <c r="U96" s="39">
        <v>501</v>
      </c>
      <c r="V96" s="32">
        <v>103</v>
      </c>
      <c r="W96" s="33"/>
      <c r="X96" s="32"/>
      <c r="Y96" s="32"/>
      <c r="Z96" s="32"/>
      <c r="AA96" s="34"/>
      <c r="AB96" s="35">
        <f t="shared" si="10"/>
        <v>604</v>
      </c>
      <c r="AC96" s="75">
        <f t="shared" si="11"/>
        <v>75150</v>
      </c>
      <c r="AD96" s="78">
        <f t="shared" si="12"/>
        <v>15450</v>
      </c>
      <c r="AE96" s="72">
        <f t="shared" si="13"/>
        <v>90600</v>
      </c>
      <c r="AF96" s="75">
        <f t="shared" si="14"/>
        <v>15272.333699999999</v>
      </c>
      <c r="AG96" s="78">
        <f t="shared" si="15"/>
        <v>3139.8211000000001</v>
      </c>
      <c r="AH96" s="72">
        <f t="shared" si="16"/>
        <v>18412.1548</v>
      </c>
      <c r="AI96" s="75">
        <f t="shared" si="17"/>
        <v>11197.35</v>
      </c>
      <c r="AJ96" s="78">
        <f t="shared" si="18"/>
        <v>2302.0500000000002</v>
      </c>
      <c r="AK96" s="72">
        <f t="shared" si="19"/>
        <v>13499.400000000001</v>
      </c>
    </row>
    <row r="97" spans="1:37" ht="15.95" customHeight="1">
      <c r="A97" s="25" t="s">
        <v>462</v>
      </c>
      <c r="B97" s="25" t="s">
        <v>463</v>
      </c>
      <c r="C97" s="26" t="s">
        <v>267</v>
      </c>
      <c r="D97" s="26" t="s">
        <v>536</v>
      </c>
      <c r="E97" s="26" t="s">
        <v>16</v>
      </c>
      <c r="F97" s="41" t="s">
        <v>542</v>
      </c>
      <c r="G97" s="26"/>
      <c r="H97" s="44" t="s">
        <v>541</v>
      </c>
      <c r="I97" s="26" t="s">
        <v>27</v>
      </c>
      <c r="J97" s="28" t="s">
        <v>174</v>
      </c>
      <c r="K97" s="123">
        <v>135</v>
      </c>
      <c r="L97" s="29">
        <v>21.320699999999995</v>
      </c>
      <c r="M97" s="110">
        <v>15.95</v>
      </c>
      <c r="N97" s="30">
        <v>0.161</v>
      </c>
      <c r="O97" s="116">
        <v>2.5679499999999997</v>
      </c>
      <c r="P97" s="30">
        <v>7.4999999999999997E-2</v>
      </c>
      <c r="Q97" s="116">
        <v>1.1962499999999998</v>
      </c>
      <c r="R97" s="30">
        <v>7.0000000000000007E-2</v>
      </c>
      <c r="S97" s="116">
        <v>1.1165</v>
      </c>
      <c r="T97" s="117">
        <v>0.49</v>
      </c>
      <c r="U97" s="39">
        <v>499</v>
      </c>
      <c r="V97" s="32">
        <v>140</v>
      </c>
      <c r="W97" s="33"/>
      <c r="X97" s="32"/>
      <c r="Y97" s="32"/>
      <c r="Z97" s="32"/>
      <c r="AA97" s="34"/>
      <c r="AB97" s="35">
        <f t="shared" si="10"/>
        <v>639</v>
      </c>
      <c r="AC97" s="75">
        <f t="shared" si="11"/>
        <v>67365</v>
      </c>
      <c r="AD97" s="78">
        <f t="shared" si="12"/>
        <v>18900</v>
      </c>
      <c r="AE97" s="72">
        <f t="shared" si="13"/>
        <v>86265</v>
      </c>
      <c r="AF97" s="75">
        <f t="shared" si="14"/>
        <v>10639.029299999998</v>
      </c>
      <c r="AG97" s="78">
        <f t="shared" si="15"/>
        <v>2984.8979999999992</v>
      </c>
      <c r="AH97" s="72">
        <f t="shared" si="16"/>
        <v>13623.927299999998</v>
      </c>
      <c r="AI97" s="75">
        <f t="shared" si="17"/>
        <v>7959.0499999999993</v>
      </c>
      <c r="AJ97" s="78">
        <f t="shared" si="18"/>
        <v>2233</v>
      </c>
      <c r="AK97" s="72">
        <f t="shared" si="19"/>
        <v>10192.049999999999</v>
      </c>
    </row>
    <row r="98" spans="1:37" ht="15.95" customHeight="1">
      <c r="A98" s="25" t="s">
        <v>462</v>
      </c>
      <c r="B98" s="25" t="s">
        <v>463</v>
      </c>
      <c r="C98" s="26" t="s">
        <v>527</v>
      </c>
      <c r="D98" s="26" t="s">
        <v>536</v>
      </c>
      <c r="E98" s="26" t="s">
        <v>16</v>
      </c>
      <c r="F98" s="41" t="s">
        <v>540</v>
      </c>
      <c r="G98" s="26"/>
      <c r="H98" s="44" t="s">
        <v>541</v>
      </c>
      <c r="I98" s="26" t="s">
        <v>27</v>
      </c>
      <c r="J98" s="28" t="s">
        <v>142</v>
      </c>
      <c r="K98" s="123">
        <v>150</v>
      </c>
      <c r="L98" s="29">
        <v>30.483699999999999</v>
      </c>
      <c r="M98" s="110">
        <v>22.35</v>
      </c>
      <c r="N98" s="30">
        <v>0.19700000000000001</v>
      </c>
      <c r="O98" s="116">
        <v>4.4029500000000006</v>
      </c>
      <c r="P98" s="30">
        <v>7.4999999999999997E-2</v>
      </c>
      <c r="Q98" s="116">
        <v>1.67625</v>
      </c>
      <c r="R98" s="30">
        <v>7.0000000000000007E-2</v>
      </c>
      <c r="S98" s="116">
        <v>1.5645000000000002</v>
      </c>
      <c r="T98" s="117">
        <v>0.49</v>
      </c>
      <c r="U98" s="39">
        <v>352</v>
      </c>
      <c r="V98" s="32">
        <v>95</v>
      </c>
      <c r="W98" s="33"/>
      <c r="X98" s="32"/>
      <c r="Y98" s="32"/>
      <c r="Z98" s="32"/>
      <c r="AA98" s="34"/>
      <c r="AB98" s="35">
        <f t="shared" si="10"/>
        <v>447</v>
      </c>
      <c r="AC98" s="75">
        <f t="shared" si="11"/>
        <v>52800</v>
      </c>
      <c r="AD98" s="78">
        <f t="shared" si="12"/>
        <v>14250</v>
      </c>
      <c r="AE98" s="72">
        <f t="shared" si="13"/>
        <v>67050</v>
      </c>
      <c r="AF98" s="75">
        <f t="shared" si="14"/>
        <v>10730.2624</v>
      </c>
      <c r="AG98" s="78">
        <f t="shared" si="15"/>
        <v>2895.9515000000001</v>
      </c>
      <c r="AH98" s="72">
        <f t="shared" si="16"/>
        <v>13626.213899999999</v>
      </c>
      <c r="AI98" s="75">
        <f t="shared" si="17"/>
        <v>7867.2000000000007</v>
      </c>
      <c r="AJ98" s="78">
        <f t="shared" si="18"/>
        <v>2123.25</v>
      </c>
      <c r="AK98" s="72">
        <f t="shared" si="19"/>
        <v>9990.4500000000007</v>
      </c>
    </row>
    <row r="99" spans="1:37" ht="15.95" customHeight="1">
      <c r="A99" s="25" t="s">
        <v>462</v>
      </c>
      <c r="B99" s="25" t="s">
        <v>463</v>
      </c>
      <c r="C99" s="26" t="s">
        <v>267</v>
      </c>
      <c r="D99" s="26" t="s">
        <v>536</v>
      </c>
      <c r="E99" s="26" t="s">
        <v>16</v>
      </c>
      <c r="F99" s="41" t="s">
        <v>542</v>
      </c>
      <c r="G99" s="26"/>
      <c r="H99" s="44" t="s">
        <v>541</v>
      </c>
      <c r="I99" s="26" t="s">
        <v>27</v>
      </c>
      <c r="J99" s="28" t="s">
        <v>174</v>
      </c>
      <c r="K99" s="123">
        <v>135</v>
      </c>
      <c r="L99" s="29">
        <v>21.320699999999995</v>
      </c>
      <c r="M99" s="110">
        <v>15.95</v>
      </c>
      <c r="N99" s="30">
        <v>0.161</v>
      </c>
      <c r="O99" s="116">
        <v>2.5679499999999997</v>
      </c>
      <c r="P99" s="30">
        <v>7.4999999999999997E-2</v>
      </c>
      <c r="Q99" s="116">
        <v>1.1962499999999998</v>
      </c>
      <c r="R99" s="30">
        <v>7.0000000000000007E-2</v>
      </c>
      <c r="S99" s="116">
        <v>1.1165</v>
      </c>
      <c r="T99" s="117">
        <v>0.49</v>
      </c>
      <c r="U99" s="39">
        <v>349</v>
      </c>
      <c r="V99" s="32">
        <v>119</v>
      </c>
      <c r="W99" s="33"/>
      <c r="X99" s="32"/>
      <c r="Y99" s="32"/>
      <c r="Z99" s="32"/>
      <c r="AA99" s="34"/>
      <c r="AB99" s="35">
        <f t="shared" si="10"/>
        <v>468</v>
      </c>
      <c r="AC99" s="75">
        <f t="shared" si="11"/>
        <v>47115</v>
      </c>
      <c r="AD99" s="78">
        <f t="shared" si="12"/>
        <v>16065</v>
      </c>
      <c r="AE99" s="72">
        <f t="shared" si="13"/>
        <v>63180</v>
      </c>
      <c r="AF99" s="75">
        <f t="shared" si="14"/>
        <v>7440.9242999999979</v>
      </c>
      <c r="AG99" s="78">
        <f t="shared" si="15"/>
        <v>2537.1632999999993</v>
      </c>
      <c r="AH99" s="72">
        <f t="shared" si="16"/>
        <v>9978.0875999999971</v>
      </c>
      <c r="AI99" s="75">
        <f t="shared" si="17"/>
        <v>5566.55</v>
      </c>
      <c r="AJ99" s="78">
        <f t="shared" si="18"/>
        <v>1898.05</v>
      </c>
      <c r="AK99" s="72">
        <f t="shared" si="19"/>
        <v>7464.6</v>
      </c>
    </row>
    <row r="100" spans="1:37" ht="15.95" customHeight="1">
      <c r="A100" s="25" t="s">
        <v>462</v>
      </c>
      <c r="B100" s="25" t="s">
        <v>463</v>
      </c>
      <c r="C100" s="26" t="s">
        <v>14</v>
      </c>
      <c r="D100" s="26" t="s">
        <v>536</v>
      </c>
      <c r="E100" s="26" t="s">
        <v>16</v>
      </c>
      <c r="F100" s="41" t="s">
        <v>543</v>
      </c>
      <c r="G100" s="26"/>
      <c r="H100" s="44" t="s">
        <v>185</v>
      </c>
      <c r="I100" s="26" t="s">
        <v>27</v>
      </c>
      <c r="J100" s="28" t="s">
        <v>41</v>
      </c>
      <c r="K100" s="123">
        <v>160</v>
      </c>
      <c r="L100" s="29">
        <v>31.170499999999997</v>
      </c>
      <c r="M100" s="110">
        <v>21.5</v>
      </c>
      <c r="N100" s="30">
        <v>0.28199999999999997</v>
      </c>
      <c r="O100" s="116">
        <v>6.0629999999999997</v>
      </c>
      <c r="P100" s="30">
        <v>7.4999999999999997E-2</v>
      </c>
      <c r="Q100" s="116">
        <v>1.6125</v>
      </c>
      <c r="R100" s="30">
        <v>7.0000000000000007E-2</v>
      </c>
      <c r="S100" s="116">
        <v>1.5050000000000001</v>
      </c>
      <c r="T100" s="117">
        <v>0.49</v>
      </c>
      <c r="U100" s="39">
        <v>1000</v>
      </c>
      <c r="V100" s="32">
        <v>167</v>
      </c>
      <c r="W100" s="33"/>
      <c r="X100" s="32"/>
      <c r="Y100" s="32"/>
      <c r="Z100" s="32"/>
      <c r="AA100" s="34">
        <v>6</v>
      </c>
      <c r="AB100" s="35">
        <f t="shared" si="10"/>
        <v>1173</v>
      </c>
      <c r="AC100" s="75">
        <f t="shared" si="11"/>
        <v>160000</v>
      </c>
      <c r="AD100" s="78">
        <f t="shared" si="12"/>
        <v>27680</v>
      </c>
      <c r="AE100" s="72">
        <f t="shared" si="13"/>
        <v>187680</v>
      </c>
      <c r="AF100" s="75">
        <f t="shared" si="14"/>
        <v>31170.499999999996</v>
      </c>
      <c r="AG100" s="78">
        <f t="shared" si="15"/>
        <v>5334.4734999999991</v>
      </c>
      <c r="AH100" s="72">
        <f t="shared" si="16"/>
        <v>36504.973499999993</v>
      </c>
      <c r="AI100" s="75">
        <f t="shared" si="17"/>
        <v>21500</v>
      </c>
      <c r="AJ100" s="78">
        <f t="shared" si="18"/>
        <v>3719.5</v>
      </c>
      <c r="AK100" s="72">
        <f t="shared" si="19"/>
        <v>25219.5</v>
      </c>
    </row>
    <row r="101" spans="1:37" ht="15.95" customHeight="1">
      <c r="A101" s="25" t="s">
        <v>462</v>
      </c>
      <c r="B101" s="25" t="s">
        <v>463</v>
      </c>
      <c r="C101" s="26" t="s">
        <v>21</v>
      </c>
      <c r="D101" s="26" t="s">
        <v>536</v>
      </c>
      <c r="E101" s="26" t="s">
        <v>16</v>
      </c>
      <c r="F101" s="26" t="s">
        <v>544</v>
      </c>
      <c r="G101" s="26"/>
      <c r="H101" s="44" t="s">
        <v>185</v>
      </c>
      <c r="I101" s="26" t="s">
        <v>27</v>
      </c>
      <c r="J101" s="45" t="s">
        <v>545</v>
      </c>
      <c r="K101" s="123">
        <v>125</v>
      </c>
      <c r="L101" s="29">
        <v>24.035499999999999</v>
      </c>
      <c r="M101" s="110">
        <v>16.5</v>
      </c>
      <c r="N101" s="30">
        <v>0.28199999999999997</v>
      </c>
      <c r="O101" s="116">
        <v>4.6529999999999996</v>
      </c>
      <c r="P101" s="30">
        <v>7.4999999999999997E-2</v>
      </c>
      <c r="Q101" s="116">
        <v>1.2375</v>
      </c>
      <c r="R101" s="30">
        <v>7.0000000000000007E-2</v>
      </c>
      <c r="S101" s="116">
        <v>1.155</v>
      </c>
      <c r="T101" s="117">
        <v>0.49</v>
      </c>
      <c r="U101" s="39">
        <v>1000</v>
      </c>
      <c r="V101" s="32">
        <v>160</v>
      </c>
      <c r="W101" s="33"/>
      <c r="X101" s="32"/>
      <c r="Y101" s="32"/>
      <c r="Z101" s="32"/>
      <c r="AA101" s="34">
        <v>6</v>
      </c>
      <c r="AB101" s="35">
        <f t="shared" si="10"/>
        <v>1166</v>
      </c>
      <c r="AC101" s="75">
        <f t="shared" si="11"/>
        <v>125000</v>
      </c>
      <c r="AD101" s="78">
        <f t="shared" si="12"/>
        <v>20750</v>
      </c>
      <c r="AE101" s="72">
        <f t="shared" si="13"/>
        <v>145750</v>
      </c>
      <c r="AF101" s="75">
        <f t="shared" si="14"/>
        <v>24035.5</v>
      </c>
      <c r="AG101" s="78">
        <f t="shared" si="15"/>
        <v>3944.68</v>
      </c>
      <c r="AH101" s="72">
        <f t="shared" si="16"/>
        <v>27980.18</v>
      </c>
      <c r="AI101" s="75">
        <f t="shared" si="17"/>
        <v>16500</v>
      </c>
      <c r="AJ101" s="78">
        <f t="shared" si="18"/>
        <v>2739</v>
      </c>
      <c r="AK101" s="72">
        <f t="shared" si="19"/>
        <v>19239</v>
      </c>
    </row>
    <row r="102" spans="1:37" ht="15.95" customHeight="1">
      <c r="A102" s="25" t="s">
        <v>462</v>
      </c>
      <c r="B102" s="25" t="s">
        <v>463</v>
      </c>
      <c r="C102" s="26" t="s">
        <v>14</v>
      </c>
      <c r="D102" s="26" t="s">
        <v>536</v>
      </c>
      <c r="E102" s="26" t="s">
        <v>16</v>
      </c>
      <c r="F102" s="26" t="s">
        <v>543</v>
      </c>
      <c r="G102" s="26"/>
      <c r="H102" s="27" t="s">
        <v>546</v>
      </c>
      <c r="I102" s="26" t="s">
        <v>27</v>
      </c>
      <c r="J102" s="28" t="s">
        <v>41</v>
      </c>
      <c r="K102" s="123">
        <v>160</v>
      </c>
      <c r="L102" s="29">
        <v>31.170499999999997</v>
      </c>
      <c r="M102" s="110">
        <v>21.5</v>
      </c>
      <c r="N102" s="30">
        <v>0.28199999999999997</v>
      </c>
      <c r="O102" s="116">
        <v>6.0629999999999997</v>
      </c>
      <c r="P102" s="30">
        <v>7.4999999999999997E-2</v>
      </c>
      <c r="Q102" s="116">
        <v>1.6125</v>
      </c>
      <c r="R102" s="30">
        <v>7.0000000000000007E-2</v>
      </c>
      <c r="S102" s="116">
        <v>1.5050000000000001</v>
      </c>
      <c r="T102" s="117">
        <v>0.49</v>
      </c>
      <c r="U102" s="39">
        <v>800</v>
      </c>
      <c r="V102" s="32">
        <v>283</v>
      </c>
      <c r="W102" s="33"/>
      <c r="X102" s="32"/>
      <c r="Y102" s="32"/>
      <c r="Z102" s="32"/>
      <c r="AA102" s="34">
        <v>6</v>
      </c>
      <c r="AB102" s="35">
        <f t="shared" si="10"/>
        <v>1089</v>
      </c>
      <c r="AC102" s="75">
        <f t="shared" si="11"/>
        <v>128000</v>
      </c>
      <c r="AD102" s="78">
        <f t="shared" si="12"/>
        <v>46240</v>
      </c>
      <c r="AE102" s="72">
        <f t="shared" si="13"/>
        <v>174240</v>
      </c>
      <c r="AF102" s="75">
        <f t="shared" si="14"/>
        <v>24936.399999999998</v>
      </c>
      <c r="AG102" s="78">
        <f t="shared" si="15"/>
        <v>8950.2514999999985</v>
      </c>
      <c r="AH102" s="72">
        <f t="shared" si="16"/>
        <v>33886.651499999993</v>
      </c>
      <c r="AI102" s="75">
        <f t="shared" si="17"/>
        <v>17200</v>
      </c>
      <c r="AJ102" s="78">
        <f t="shared" si="18"/>
        <v>6213.5</v>
      </c>
      <c r="AK102" s="72">
        <f t="shared" si="19"/>
        <v>23413.5</v>
      </c>
    </row>
    <row r="103" spans="1:37" ht="15.95" customHeight="1">
      <c r="A103" s="25" t="s">
        <v>462</v>
      </c>
      <c r="B103" s="25" t="s">
        <v>463</v>
      </c>
      <c r="C103" s="26" t="s">
        <v>21</v>
      </c>
      <c r="D103" s="26" t="s">
        <v>536</v>
      </c>
      <c r="E103" s="26" t="s">
        <v>16</v>
      </c>
      <c r="F103" s="26" t="s">
        <v>544</v>
      </c>
      <c r="G103" s="26"/>
      <c r="H103" s="27" t="s">
        <v>185</v>
      </c>
      <c r="I103" s="26" t="s">
        <v>27</v>
      </c>
      <c r="J103" s="28" t="s">
        <v>43</v>
      </c>
      <c r="K103" s="123">
        <v>125</v>
      </c>
      <c r="L103" s="29">
        <v>24.035499999999999</v>
      </c>
      <c r="M103" s="110">
        <v>16.5</v>
      </c>
      <c r="N103" s="30">
        <v>0.28199999999999997</v>
      </c>
      <c r="O103" s="116">
        <v>4.6529999999999996</v>
      </c>
      <c r="P103" s="30">
        <v>7.4999999999999997E-2</v>
      </c>
      <c r="Q103" s="116">
        <v>1.2375</v>
      </c>
      <c r="R103" s="30">
        <v>7.0000000000000007E-2</v>
      </c>
      <c r="S103" s="116">
        <v>1.155</v>
      </c>
      <c r="T103" s="117">
        <v>0.49</v>
      </c>
      <c r="U103" s="39">
        <v>799</v>
      </c>
      <c r="V103" s="32">
        <v>280</v>
      </c>
      <c r="W103" s="33"/>
      <c r="X103" s="32"/>
      <c r="Y103" s="32"/>
      <c r="Z103" s="32"/>
      <c r="AA103" s="34">
        <v>6</v>
      </c>
      <c r="AB103" s="35">
        <f t="shared" si="10"/>
        <v>1085</v>
      </c>
      <c r="AC103" s="75">
        <f t="shared" si="11"/>
        <v>99875</v>
      </c>
      <c r="AD103" s="78">
        <f t="shared" si="12"/>
        <v>35750</v>
      </c>
      <c r="AE103" s="72">
        <f t="shared" si="13"/>
        <v>135625</v>
      </c>
      <c r="AF103" s="75">
        <f t="shared" si="14"/>
        <v>19204.3645</v>
      </c>
      <c r="AG103" s="78">
        <f t="shared" si="15"/>
        <v>6828.94</v>
      </c>
      <c r="AH103" s="72">
        <f t="shared" si="16"/>
        <v>26033.304499999998</v>
      </c>
      <c r="AI103" s="75">
        <f t="shared" si="17"/>
        <v>13183.5</v>
      </c>
      <c r="AJ103" s="78">
        <f t="shared" si="18"/>
        <v>4719</v>
      </c>
      <c r="AK103" s="72">
        <f t="shared" si="19"/>
        <v>17902.5</v>
      </c>
    </row>
    <row r="104" spans="1:37" ht="15.95" customHeight="1">
      <c r="A104" s="25" t="s">
        <v>462</v>
      </c>
      <c r="B104" s="25" t="s">
        <v>463</v>
      </c>
      <c r="C104" s="26" t="s">
        <v>14</v>
      </c>
      <c r="D104" s="26" t="s">
        <v>547</v>
      </c>
      <c r="E104" s="26" t="s">
        <v>16</v>
      </c>
      <c r="F104" s="26" t="s">
        <v>548</v>
      </c>
      <c r="G104" s="26"/>
      <c r="H104" s="27" t="s">
        <v>185</v>
      </c>
      <c r="I104" s="26" t="s">
        <v>27</v>
      </c>
      <c r="J104" s="37" t="s">
        <v>41</v>
      </c>
      <c r="K104" s="123">
        <v>160</v>
      </c>
      <c r="L104" s="29">
        <v>31.170499999999997</v>
      </c>
      <c r="M104" s="110">
        <v>21.5</v>
      </c>
      <c r="N104" s="30">
        <v>0.28199999999999997</v>
      </c>
      <c r="O104" s="116">
        <v>6.0629999999999997</v>
      </c>
      <c r="P104" s="30">
        <v>7.4999999999999997E-2</v>
      </c>
      <c r="Q104" s="116">
        <v>1.6125</v>
      </c>
      <c r="R104" s="30">
        <v>7.0000000000000007E-2</v>
      </c>
      <c r="S104" s="116">
        <v>1.5050000000000001</v>
      </c>
      <c r="T104" s="117">
        <v>0.49</v>
      </c>
      <c r="U104" s="39">
        <v>500</v>
      </c>
      <c r="V104" s="32"/>
      <c r="W104" s="33"/>
      <c r="X104" s="32"/>
      <c r="Y104" s="32"/>
      <c r="Z104" s="32"/>
      <c r="AA104" s="34"/>
      <c r="AB104" s="35">
        <f t="shared" si="10"/>
        <v>500</v>
      </c>
      <c r="AC104" s="75">
        <f t="shared" si="11"/>
        <v>80000</v>
      </c>
      <c r="AD104" s="78">
        <f t="shared" si="12"/>
        <v>0</v>
      </c>
      <c r="AE104" s="72">
        <f t="shared" si="13"/>
        <v>80000</v>
      </c>
      <c r="AF104" s="75">
        <f t="shared" si="14"/>
        <v>15585.249999999998</v>
      </c>
      <c r="AG104" s="78">
        <f t="shared" si="15"/>
        <v>0</v>
      </c>
      <c r="AH104" s="72">
        <f t="shared" si="16"/>
        <v>15585.249999999998</v>
      </c>
      <c r="AI104" s="75">
        <f t="shared" si="17"/>
        <v>10750</v>
      </c>
      <c r="AJ104" s="78">
        <f t="shared" si="18"/>
        <v>0</v>
      </c>
      <c r="AK104" s="72">
        <f t="shared" si="19"/>
        <v>10750</v>
      </c>
    </row>
    <row r="105" spans="1:37" ht="15.95" customHeight="1">
      <c r="A105" s="25" t="s">
        <v>462</v>
      </c>
      <c r="B105" s="25" t="s">
        <v>463</v>
      </c>
      <c r="C105" s="26" t="s">
        <v>21</v>
      </c>
      <c r="D105" s="26" t="s">
        <v>536</v>
      </c>
      <c r="E105" s="26" t="s">
        <v>16</v>
      </c>
      <c r="F105" s="26" t="s">
        <v>549</v>
      </c>
      <c r="G105" s="26"/>
      <c r="H105" s="27" t="s">
        <v>185</v>
      </c>
      <c r="I105" s="26" t="s">
        <v>27</v>
      </c>
      <c r="J105" s="37" t="s">
        <v>43</v>
      </c>
      <c r="K105" s="123">
        <v>125</v>
      </c>
      <c r="L105" s="29">
        <v>24.035499999999999</v>
      </c>
      <c r="M105" s="110">
        <v>16.5</v>
      </c>
      <c r="N105" s="30">
        <v>0.28199999999999997</v>
      </c>
      <c r="O105" s="116">
        <v>4.6529999999999996</v>
      </c>
      <c r="P105" s="30">
        <v>7.4999999999999997E-2</v>
      </c>
      <c r="Q105" s="116">
        <v>1.2375</v>
      </c>
      <c r="R105" s="30">
        <v>7.0000000000000007E-2</v>
      </c>
      <c r="S105" s="116">
        <v>1.155</v>
      </c>
      <c r="T105" s="117">
        <v>0.49</v>
      </c>
      <c r="U105" s="39">
        <v>500</v>
      </c>
      <c r="V105" s="32"/>
      <c r="W105" s="33"/>
      <c r="X105" s="32"/>
      <c r="Y105" s="32"/>
      <c r="Z105" s="32"/>
      <c r="AA105" s="34"/>
      <c r="AB105" s="35">
        <f t="shared" si="10"/>
        <v>500</v>
      </c>
      <c r="AC105" s="75">
        <f t="shared" si="11"/>
        <v>62500</v>
      </c>
      <c r="AD105" s="78">
        <f t="shared" si="12"/>
        <v>0</v>
      </c>
      <c r="AE105" s="72">
        <f t="shared" si="13"/>
        <v>62500</v>
      </c>
      <c r="AF105" s="75">
        <f t="shared" si="14"/>
        <v>12017.75</v>
      </c>
      <c r="AG105" s="78">
        <f t="shared" si="15"/>
        <v>0</v>
      </c>
      <c r="AH105" s="72">
        <f t="shared" si="16"/>
        <v>12017.75</v>
      </c>
      <c r="AI105" s="75">
        <f t="shared" si="17"/>
        <v>8250</v>
      </c>
      <c r="AJ105" s="78">
        <f t="shared" si="18"/>
        <v>0</v>
      </c>
      <c r="AK105" s="72">
        <f t="shared" si="19"/>
        <v>8250</v>
      </c>
    </row>
    <row r="106" spans="1:37" ht="15.95" customHeight="1">
      <c r="A106" s="25" t="s">
        <v>462</v>
      </c>
      <c r="B106" s="25" t="s">
        <v>463</v>
      </c>
      <c r="C106" s="26" t="s">
        <v>167</v>
      </c>
      <c r="D106" s="26" t="s">
        <v>536</v>
      </c>
      <c r="E106" s="26" t="s">
        <v>16</v>
      </c>
      <c r="F106" s="26" t="s">
        <v>550</v>
      </c>
      <c r="G106" s="26"/>
      <c r="H106" s="27" t="s">
        <v>551</v>
      </c>
      <c r="I106" s="26" t="s">
        <v>552</v>
      </c>
      <c r="J106" s="37" t="s">
        <v>168</v>
      </c>
      <c r="K106" s="123">
        <v>250</v>
      </c>
      <c r="L106" s="29">
        <v>63.484999999999999</v>
      </c>
      <c r="M106" s="110">
        <v>43</v>
      </c>
      <c r="N106" s="30">
        <v>0.32</v>
      </c>
      <c r="O106" s="116">
        <v>13.76</v>
      </c>
      <c r="P106" s="30">
        <v>7.4999999999999997E-2</v>
      </c>
      <c r="Q106" s="116">
        <v>3.2250000000000001</v>
      </c>
      <c r="R106" s="30">
        <v>7.0000000000000007E-2</v>
      </c>
      <c r="S106" s="116">
        <v>3.0100000000000002</v>
      </c>
      <c r="T106" s="117">
        <v>0.49</v>
      </c>
      <c r="U106" s="39">
        <v>251</v>
      </c>
      <c r="V106" s="32">
        <v>32</v>
      </c>
      <c r="W106" s="33"/>
      <c r="X106" s="32"/>
      <c r="Y106" s="32"/>
      <c r="Z106" s="32">
        <v>19</v>
      </c>
      <c r="AA106" s="34"/>
      <c r="AB106" s="35">
        <f t="shared" si="10"/>
        <v>302</v>
      </c>
      <c r="AC106" s="75">
        <f t="shared" si="11"/>
        <v>62750</v>
      </c>
      <c r="AD106" s="78">
        <f t="shared" si="12"/>
        <v>12750</v>
      </c>
      <c r="AE106" s="72">
        <f t="shared" si="13"/>
        <v>75500</v>
      </c>
      <c r="AF106" s="75">
        <f t="shared" si="14"/>
        <v>15934.735000000001</v>
      </c>
      <c r="AG106" s="78">
        <f t="shared" si="15"/>
        <v>2848.52</v>
      </c>
      <c r="AH106" s="72">
        <f t="shared" si="16"/>
        <v>18783.255000000001</v>
      </c>
      <c r="AI106" s="75">
        <f t="shared" si="17"/>
        <v>10793</v>
      </c>
      <c r="AJ106" s="78">
        <f t="shared" si="18"/>
        <v>2193</v>
      </c>
      <c r="AK106" s="72">
        <f t="shared" si="19"/>
        <v>12986</v>
      </c>
    </row>
    <row r="107" spans="1:37" ht="15.95" customHeight="1">
      <c r="A107" s="25" t="s">
        <v>462</v>
      </c>
      <c r="B107" s="25" t="s">
        <v>463</v>
      </c>
      <c r="C107" s="26" t="s">
        <v>167</v>
      </c>
      <c r="D107" s="26" t="s">
        <v>536</v>
      </c>
      <c r="E107" s="26" t="s">
        <v>16</v>
      </c>
      <c r="F107" s="26" t="s">
        <v>553</v>
      </c>
      <c r="G107" s="26"/>
      <c r="H107" s="27" t="s">
        <v>551</v>
      </c>
      <c r="I107" s="26" t="s">
        <v>167</v>
      </c>
      <c r="J107" s="37" t="s">
        <v>554</v>
      </c>
      <c r="K107" s="123">
        <v>225</v>
      </c>
      <c r="L107" s="29">
        <v>63.277999999999999</v>
      </c>
      <c r="M107" s="110">
        <v>44</v>
      </c>
      <c r="N107" s="30">
        <v>0.28199999999999997</v>
      </c>
      <c r="O107" s="116">
        <v>12.407999999999999</v>
      </c>
      <c r="P107" s="30">
        <v>7.4999999999999997E-2</v>
      </c>
      <c r="Q107" s="116">
        <v>3.3</v>
      </c>
      <c r="R107" s="30">
        <v>7.0000000000000007E-2</v>
      </c>
      <c r="S107" s="116">
        <v>3.08</v>
      </c>
      <c r="T107" s="117">
        <v>0.49</v>
      </c>
      <c r="U107" s="39">
        <v>249</v>
      </c>
      <c r="V107" s="32">
        <v>32</v>
      </c>
      <c r="W107" s="33"/>
      <c r="X107" s="32"/>
      <c r="Y107" s="32"/>
      <c r="Z107" s="32">
        <v>16</v>
      </c>
      <c r="AA107" s="34"/>
      <c r="AB107" s="35">
        <f t="shared" si="10"/>
        <v>297</v>
      </c>
      <c r="AC107" s="75">
        <f t="shared" si="11"/>
        <v>56025</v>
      </c>
      <c r="AD107" s="78">
        <f t="shared" si="12"/>
        <v>10800</v>
      </c>
      <c r="AE107" s="72">
        <f t="shared" si="13"/>
        <v>66825</v>
      </c>
      <c r="AF107" s="75">
        <f t="shared" si="14"/>
        <v>15756.222</v>
      </c>
      <c r="AG107" s="78">
        <f t="shared" si="15"/>
        <v>2728.8959999999997</v>
      </c>
      <c r="AH107" s="72">
        <f t="shared" si="16"/>
        <v>18485.117999999999</v>
      </c>
      <c r="AI107" s="75">
        <f t="shared" si="17"/>
        <v>10956</v>
      </c>
      <c r="AJ107" s="78">
        <f t="shared" si="18"/>
        <v>2112</v>
      </c>
      <c r="AK107" s="72">
        <f t="shared" si="19"/>
        <v>13068</v>
      </c>
    </row>
    <row r="108" spans="1:37" ht="15.95" customHeight="1">
      <c r="A108" s="25" t="s">
        <v>462</v>
      </c>
      <c r="B108" s="25" t="s">
        <v>463</v>
      </c>
      <c r="C108" s="26" t="s">
        <v>167</v>
      </c>
      <c r="D108" s="26" t="s">
        <v>536</v>
      </c>
      <c r="E108" s="26" t="s">
        <v>16</v>
      </c>
      <c r="F108" s="26" t="s">
        <v>555</v>
      </c>
      <c r="G108" s="26"/>
      <c r="H108" s="27" t="s">
        <v>551</v>
      </c>
      <c r="I108" s="26" t="s">
        <v>167</v>
      </c>
      <c r="J108" s="28" t="s">
        <v>46</v>
      </c>
      <c r="K108" s="123">
        <v>165</v>
      </c>
      <c r="L108" s="29">
        <v>47.370000000000005</v>
      </c>
      <c r="M108" s="110">
        <v>32</v>
      </c>
      <c r="N108" s="30">
        <v>0.32</v>
      </c>
      <c r="O108" s="116">
        <v>10.24</v>
      </c>
      <c r="P108" s="30">
        <v>7.4999999999999997E-2</v>
      </c>
      <c r="Q108" s="116">
        <v>2.4</v>
      </c>
      <c r="R108" s="30">
        <v>7.0000000000000007E-2</v>
      </c>
      <c r="S108" s="116">
        <v>2.2400000000000002</v>
      </c>
      <c r="T108" s="117">
        <v>0.49</v>
      </c>
      <c r="U108" s="39">
        <v>251</v>
      </c>
      <c r="V108" s="32"/>
      <c r="W108" s="33"/>
      <c r="X108" s="32"/>
      <c r="Y108" s="32"/>
      <c r="Z108" s="32">
        <v>5</v>
      </c>
      <c r="AA108" s="34"/>
      <c r="AB108" s="35">
        <f t="shared" si="10"/>
        <v>256</v>
      </c>
      <c r="AC108" s="75">
        <f t="shared" si="11"/>
        <v>41415</v>
      </c>
      <c r="AD108" s="78">
        <f t="shared" si="12"/>
        <v>825</v>
      </c>
      <c r="AE108" s="72">
        <f t="shared" si="13"/>
        <v>42240</v>
      </c>
      <c r="AF108" s="75">
        <f t="shared" si="14"/>
        <v>11889.87</v>
      </c>
      <c r="AG108" s="78">
        <f t="shared" si="15"/>
        <v>160</v>
      </c>
      <c r="AH108" s="72">
        <f t="shared" si="16"/>
        <v>12049.87</v>
      </c>
      <c r="AI108" s="75">
        <f t="shared" si="17"/>
        <v>8032</v>
      </c>
      <c r="AJ108" s="78">
        <f t="shared" si="18"/>
        <v>160</v>
      </c>
      <c r="AK108" s="72">
        <f t="shared" si="19"/>
        <v>8192</v>
      </c>
    </row>
    <row r="109" spans="1:37" ht="15.95" customHeight="1">
      <c r="A109" s="25" t="s">
        <v>462</v>
      </c>
      <c r="B109" s="25" t="s">
        <v>463</v>
      </c>
      <c r="C109" s="26" t="s">
        <v>167</v>
      </c>
      <c r="D109" s="26" t="s">
        <v>536</v>
      </c>
      <c r="E109" s="26" t="s">
        <v>16</v>
      </c>
      <c r="F109" s="26" t="s">
        <v>550</v>
      </c>
      <c r="G109" s="26"/>
      <c r="H109" s="27" t="s">
        <v>551</v>
      </c>
      <c r="I109" s="26" t="s">
        <v>167</v>
      </c>
      <c r="J109" s="28" t="s">
        <v>168</v>
      </c>
      <c r="K109" s="123">
        <v>250</v>
      </c>
      <c r="L109" s="29">
        <v>63.484999999999999</v>
      </c>
      <c r="M109" s="110">
        <v>43</v>
      </c>
      <c r="N109" s="30">
        <v>0.32</v>
      </c>
      <c r="O109" s="116">
        <v>13.76</v>
      </c>
      <c r="P109" s="30">
        <v>7.4999999999999997E-2</v>
      </c>
      <c r="Q109" s="116">
        <v>3.2250000000000001</v>
      </c>
      <c r="R109" s="30">
        <v>7.0000000000000007E-2</v>
      </c>
      <c r="S109" s="116">
        <v>3.0100000000000002</v>
      </c>
      <c r="T109" s="117">
        <v>0.49</v>
      </c>
      <c r="U109" s="39">
        <v>300</v>
      </c>
      <c r="V109" s="32">
        <v>198</v>
      </c>
      <c r="W109" s="33"/>
      <c r="X109" s="32"/>
      <c r="Y109" s="32"/>
      <c r="Z109" s="32">
        <v>36</v>
      </c>
      <c r="AA109" s="34"/>
      <c r="AB109" s="35">
        <f t="shared" si="10"/>
        <v>534</v>
      </c>
      <c r="AC109" s="75">
        <f t="shared" si="11"/>
        <v>75000</v>
      </c>
      <c r="AD109" s="78">
        <f t="shared" si="12"/>
        <v>58500</v>
      </c>
      <c r="AE109" s="72">
        <f t="shared" si="13"/>
        <v>133500</v>
      </c>
      <c r="AF109" s="75">
        <f t="shared" si="14"/>
        <v>19045.5</v>
      </c>
      <c r="AG109" s="78">
        <f t="shared" si="15"/>
        <v>14118.03</v>
      </c>
      <c r="AH109" s="72">
        <f t="shared" si="16"/>
        <v>33163.53</v>
      </c>
      <c r="AI109" s="75">
        <f t="shared" si="17"/>
        <v>12900</v>
      </c>
      <c r="AJ109" s="78">
        <f t="shared" si="18"/>
        <v>10062</v>
      </c>
      <c r="AK109" s="72">
        <f t="shared" si="19"/>
        <v>22962</v>
      </c>
    </row>
    <row r="110" spans="1:37" ht="15.95" customHeight="1">
      <c r="A110" s="25" t="s">
        <v>462</v>
      </c>
      <c r="B110" s="25" t="s">
        <v>463</v>
      </c>
      <c r="C110" s="26" t="s">
        <v>167</v>
      </c>
      <c r="D110" s="26" t="s">
        <v>536</v>
      </c>
      <c r="E110" s="26" t="s">
        <v>16</v>
      </c>
      <c r="F110" s="26" t="s">
        <v>553</v>
      </c>
      <c r="G110" s="26"/>
      <c r="H110" s="27" t="s">
        <v>551</v>
      </c>
      <c r="I110" s="26" t="s">
        <v>167</v>
      </c>
      <c r="J110" s="28" t="s">
        <v>554</v>
      </c>
      <c r="K110" s="123">
        <v>225</v>
      </c>
      <c r="L110" s="29">
        <v>63.277999999999999</v>
      </c>
      <c r="M110" s="110">
        <v>44</v>
      </c>
      <c r="N110" s="30">
        <v>0.28199999999999997</v>
      </c>
      <c r="O110" s="116">
        <v>12.407999999999999</v>
      </c>
      <c r="P110" s="30">
        <v>7.4999999999999997E-2</v>
      </c>
      <c r="Q110" s="116">
        <v>3.3</v>
      </c>
      <c r="R110" s="30">
        <v>7.0000000000000007E-2</v>
      </c>
      <c r="S110" s="116">
        <v>3.08</v>
      </c>
      <c r="T110" s="117">
        <v>0.49</v>
      </c>
      <c r="U110" s="39">
        <v>300</v>
      </c>
      <c r="V110" s="32">
        <v>197</v>
      </c>
      <c r="W110" s="33"/>
      <c r="X110" s="32"/>
      <c r="Y110" s="32"/>
      <c r="Z110" s="32">
        <v>23</v>
      </c>
      <c r="AA110" s="34"/>
      <c r="AB110" s="35">
        <f t="shared" si="10"/>
        <v>520</v>
      </c>
      <c r="AC110" s="75">
        <f t="shared" si="11"/>
        <v>67500</v>
      </c>
      <c r="AD110" s="78">
        <f t="shared" si="12"/>
        <v>49500</v>
      </c>
      <c r="AE110" s="72">
        <f t="shared" si="13"/>
        <v>117000</v>
      </c>
      <c r="AF110" s="75">
        <f t="shared" si="14"/>
        <v>18983.399999999998</v>
      </c>
      <c r="AG110" s="78">
        <f t="shared" si="15"/>
        <v>13477.766</v>
      </c>
      <c r="AH110" s="72">
        <f t="shared" si="16"/>
        <v>32461.165999999997</v>
      </c>
      <c r="AI110" s="75">
        <f t="shared" si="17"/>
        <v>13200</v>
      </c>
      <c r="AJ110" s="78">
        <f t="shared" si="18"/>
        <v>9680</v>
      </c>
      <c r="AK110" s="72">
        <f t="shared" si="19"/>
        <v>22880</v>
      </c>
    </row>
    <row r="111" spans="1:37" ht="15.95" customHeight="1">
      <c r="A111" s="25" t="s">
        <v>462</v>
      </c>
      <c r="B111" s="25" t="s">
        <v>463</v>
      </c>
      <c r="C111" s="26" t="s">
        <v>167</v>
      </c>
      <c r="D111" s="26" t="s">
        <v>536</v>
      </c>
      <c r="E111" s="26" t="s">
        <v>16</v>
      </c>
      <c r="F111" s="26" t="s">
        <v>555</v>
      </c>
      <c r="G111" s="26"/>
      <c r="H111" s="27" t="s">
        <v>551</v>
      </c>
      <c r="I111" s="26" t="s">
        <v>167</v>
      </c>
      <c r="J111" s="28" t="s">
        <v>46</v>
      </c>
      <c r="K111" s="123">
        <v>165</v>
      </c>
      <c r="L111" s="29">
        <v>47.370000000000005</v>
      </c>
      <c r="M111" s="110">
        <v>32</v>
      </c>
      <c r="N111" s="30">
        <v>0.32</v>
      </c>
      <c r="O111" s="116">
        <v>10.24</v>
      </c>
      <c r="P111" s="30">
        <v>7.4999999999999997E-2</v>
      </c>
      <c r="Q111" s="116">
        <v>2.4</v>
      </c>
      <c r="R111" s="30">
        <v>7.0000000000000007E-2</v>
      </c>
      <c r="S111" s="116">
        <v>2.2400000000000002</v>
      </c>
      <c r="T111" s="117">
        <v>0.49</v>
      </c>
      <c r="U111" s="39">
        <v>251</v>
      </c>
      <c r="V111" s="32">
        <v>9</v>
      </c>
      <c r="W111" s="33"/>
      <c r="X111" s="32"/>
      <c r="Y111" s="32"/>
      <c r="Z111" s="32">
        <v>5</v>
      </c>
      <c r="AA111" s="34"/>
      <c r="AB111" s="35">
        <f t="shared" si="10"/>
        <v>265</v>
      </c>
      <c r="AC111" s="75">
        <f t="shared" si="11"/>
        <v>41415</v>
      </c>
      <c r="AD111" s="78">
        <f t="shared" si="12"/>
        <v>2310</v>
      </c>
      <c r="AE111" s="72">
        <f t="shared" si="13"/>
        <v>43725</v>
      </c>
      <c r="AF111" s="75">
        <f t="shared" si="14"/>
        <v>11889.87</v>
      </c>
      <c r="AG111" s="78">
        <f t="shared" si="15"/>
        <v>586.33000000000004</v>
      </c>
      <c r="AH111" s="72">
        <f t="shared" si="16"/>
        <v>12476.2</v>
      </c>
      <c r="AI111" s="75">
        <f t="shared" si="17"/>
        <v>8032</v>
      </c>
      <c r="AJ111" s="78">
        <f t="shared" si="18"/>
        <v>448</v>
      </c>
      <c r="AK111" s="72">
        <f t="shared" si="19"/>
        <v>8480</v>
      </c>
    </row>
    <row r="112" spans="1:37" ht="15.95" customHeight="1">
      <c r="A112" s="25" t="s">
        <v>462</v>
      </c>
      <c r="B112" s="25" t="s">
        <v>463</v>
      </c>
      <c r="C112" s="26" t="s">
        <v>44</v>
      </c>
      <c r="D112" s="26" t="s">
        <v>536</v>
      </c>
      <c r="E112" s="26" t="s">
        <v>16</v>
      </c>
      <c r="F112" s="26" t="s">
        <v>556</v>
      </c>
      <c r="G112" s="26"/>
      <c r="H112" s="44" t="s">
        <v>557</v>
      </c>
      <c r="I112" s="26" t="s">
        <v>27</v>
      </c>
      <c r="J112" s="28" t="s">
        <v>46</v>
      </c>
      <c r="K112" s="123">
        <v>125</v>
      </c>
      <c r="L112" s="29">
        <v>23.93</v>
      </c>
      <c r="M112" s="110">
        <v>16</v>
      </c>
      <c r="N112" s="30">
        <v>0.32</v>
      </c>
      <c r="O112" s="116">
        <v>5.12</v>
      </c>
      <c r="P112" s="30">
        <v>7.4999999999999997E-2</v>
      </c>
      <c r="Q112" s="116">
        <v>1.2</v>
      </c>
      <c r="R112" s="30">
        <v>7.0000000000000007E-2</v>
      </c>
      <c r="S112" s="116">
        <v>1.1200000000000001</v>
      </c>
      <c r="T112" s="117">
        <v>0.49</v>
      </c>
      <c r="U112" s="39">
        <v>250</v>
      </c>
      <c r="V112" s="32">
        <v>112</v>
      </c>
      <c r="W112" s="33"/>
      <c r="X112" s="32"/>
      <c r="Y112" s="32"/>
      <c r="Z112" s="32">
        <v>19</v>
      </c>
      <c r="AA112" s="34"/>
      <c r="AB112" s="35">
        <f t="shared" si="10"/>
        <v>381</v>
      </c>
      <c r="AC112" s="75">
        <f t="shared" si="11"/>
        <v>31250</v>
      </c>
      <c r="AD112" s="78">
        <f t="shared" si="12"/>
        <v>16375</v>
      </c>
      <c r="AE112" s="72">
        <f t="shared" si="13"/>
        <v>47625</v>
      </c>
      <c r="AF112" s="75">
        <f t="shared" si="14"/>
        <v>5982.5</v>
      </c>
      <c r="AG112" s="78">
        <f t="shared" si="15"/>
        <v>2984.16</v>
      </c>
      <c r="AH112" s="72">
        <f t="shared" si="16"/>
        <v>8966.66</v>
      </c>
      <c r="AI112" s="75">
        <f t="shared" si="17"/>
        <v>4000</v>
      </c>
      <c r="AJ112" s="78">
        <f t="shared" si="18"/>
        <v>2096</v>
      </c>
      <c r="AK112" s="72">
        <f t="shared" si="19"/>
        <v>6096</v>
      </c>
    </row>
    <row r="113" spans="1:37" ht="15.95" customHeight="1">
      <c r="A113" s="25" t="s">
        <v>462</v>
      </c>
      <c r="B113" s="25" t="s">
        <v>463</v>
      </c>
      <c r="C113" s="26" t="s">
        <v>267</v>
      </c>
      <c r="D113" s="26" t="s">
        <v>536</v>
      </c>
      <c r="E113" s="26" t="s">
        <v>16</v>
      </c>
      <c r="F113" s="26" t="s">
        <v>558</v>
      </c>
      <c r="G113" s="26"/>
      <c r="H113" s="44" t="s">
        <v>557</v>
      </c>
      <c r="I113" s="26" t="s">
        <v>27</v>
      </c>
      <c r="J113" s="28" t="s">
        <v>35</v>
      </c>
      <c r="K113" s="123">
        <v>100</v>
      </c>
      <c r="L113" s="29">
        <v>19.754499999999997</v>
      </c>
      <c r="M113" s="110">
        <v>13.5</v>
      </c>
      <c r="N113" s="30">
        <v>0.28199999999999997</v>
      </c>
      <c r="O113" s="116">
        <v>3.8069999999999995</v>
      </c>
      <c r="P113" s="30">
        <v>7.4999999999999997E-2</v>
      </c>
      <c r="Q113" s="116">
        <v>1.0125</v>
      </c>
      <c r="R113" s="30">
        <v>7.0000000000000007E-2</v>
      </c>
      <c r="S113" s="116">
        <v>0.94500000000000006</v>
      </c>
      <c r="T113" s="117">
        <v>0.49</v>
      </c>
      <c r="U113" s="39">
        <v>250</v>
      </c>
      <c r="V113" s="32">
        <v>112</v>
      </c>
      <c r="W113" s="33"/>
      <c r="X113" s="32"/>
      <c r="Y113" s="32"/>
      <c r="Z113" s="32">
        <v>19</v>
      </c>
      <c r="AA113" s="34"/>
      <c r="AB113" s="35">
        <f t="shared" si="10"/>
        <v>381</v>
      </c>
      <c r="AC113" s="75">
        <f t="shared" si="11"/>
        <v>25000</v>
      </c>
      <c r="AD113" s="78">
        <f t="shared" si="12"/>
        <v>13100</v>
      </c>
      <c r="AE113" s="72">
        <f t="shared" si="13"/>
        <v>38100</v>
      </c>
      <c r="AF113" s="75">
        <f t="shared" si="14"/>
        <v>4938.6249999999991</v>
      </c>
      <c r="AG113" s="78">
        <f t="shared" si="15"/>
        <v>2469.0039999999995</v>
      </c>
      <c r="AH113" s="72">
        <f t="shared" si="16"/>
        <v>7407.628999999999</v>
      </c>
      <c r="AI113" s="75">
        <f t="shared" si="17"/>
        <v>3375</v>
      </c>
      <c r="AJ113" s="78">
        <f t="shared" si="18"/>
        <v>1768.5</v>
      </c>
      <c r="AK113" s="72">
        <f t="shared" si="19"/>
        <v>5143.5</v>
      </c>
    </row>
    <row r="114" spans="1:37" ht="15.95" customHeight="1">
      <c r="A114" s="25" t="s">
        <v>462</v>
      </c>
      <c r="B114" s="25" t="s">
        <v>463</v>
      </c>
      <c r="C114" s="26" t="s">
        <v>44</v>
      </c>
      <c r="D114" s="26" t="s">
        <v>536</v>
      </c>
      <c r="E114" s="26" t="s">
        <v>16</v>
      </c>
      <c r="F114" s="26" t="s">
        <v>556</v>
      </c>
      <c r="G114" s="26"/>
      <c r="H114" s="44" t="s">
        <v>557</v>
      </c>
      <c r="I114" s="26" t="s">
        <v>27</v>
      </c>
      <c r="J114" s="28" t="s">
        <v>46</v>
      </c>
      <c r="K114" s="123">
        <v>125</v>
      </c>
      <c r="L114" s="29">
        <v>23.93</v>
      </c>
      <c r="M114" s="110">
        <v>16</v>
      </c>
      <c r="N114" s="30">
        <v>0.32</v>
      </c>
      <c r="O114" s="116">
        <v>5.12</v>
      </c>
      <c r="P114" s="30">
        <v>7.4999999999999997E-2</v>
      </c>
      <c r="Q114" s="116">
        <v>1.2</v>
      </c>
      <c r="R114" s="30">
        <v>7.0000000000000007E-2</v>
      </c>
      <c r="S114" s="116">
        <v>1.1200000000000001</v>
      </c>
      <c r="T114" s="117">
        <v>0.49</v>
      </c>
      <c r="U114" s="39">
        <v>250</v>
      </c>
      <c r="V114" s="32">
        <v>111</v>
      </c>
      <c r="W114" s="33"/>
      <c r="X114" s="32"/>
      <c r="Y114" s="32"/>
      <c r="Z114" s="32">
        <v>12</v>
      </c>
      <c r="AA114" s="34"/>
      <c r="AB114" s="35">
        <f t="shared" si="10"/>
        <v>373</v>
      </c>
      <c r="AC114" s="75">
        <f t="shared" si="11"/>
        <v>31250</v>
      </c>
      <c r="AD114" s="78">
        <f t="shared" si="12"/>
        <v>15375</v>
      </c>
      <c r="AE114" s="72">
        <f t="shared" si="13"/>
        <v>46625</v>
      </c>
      <c r="AF114" s="75">
        <f t="shared" si="14"/>
        <v>5982.5</v>
      </c>
      <c r="AG114" s="78">
        <f t="shared" si="15"/>
        <v>2848.23</v>
      </c>
      <c r="AH114" s="72">
        <f t="shared" si="16"/>
        <v>8830.73</v>
      </c>
      <c r="AI114" s="75">
        <f t="shared" si="17"/>
        <v>4000</v>
      </c>
      <c r="AJ114" s="78">
        <f t="shared" si="18"/>
        <v>1968</v>
      </c>
      <c r="AK114" s="72">
        <f t="shared" si="19"/>
        <v>5968</v>
      </c>
    </row>
    <row r="115" spans="1:37" ht="15.95" customHeight="1">
      <c r="A115" s="25" t="s">
        <v>462</v>
      </c>
      <c r="B115" s="25" t="s">
        <v>463</v>
      </c>
      <c r="C115" s="26" t="s">
        <v>267</v>
      </c>
      <c r="D115" s="26" t="s">
        <v>536</v>
      </c>
      <c r="E115" s="26" t="s">
        <v>16</v>
      </c>
      <c r="F115" s="26" t="s">
        <v>558</v>
      </c>
      <c r="G115" s="26"/>
      <c r="H115" s="44" t="s">
        <v>557</v>
      </c>
      <c r="I115" s="26" t="s">
        <v>27</v>
      </c>
      <c r="J115" s="28" t="s">
        <v>35</v>
      </c>
      <c r="K115" s="123">
        <v>100</v>
      </c>
      <c r="L115" s="29">
        <v>19.754499999999997</v>
      </c>
      <c r="M115" s="110">
        <v>13.5</v>
      </c>
      <c r="N115" s="30">
        <v>0.28199999999999997</v>
      </c>
      <c r="O115" s="116">
        <v>3.8069999999999995</v>
      </c>
      <c r="P115" s="30">
        <v>7.4999999999999997E-2</v>
      </c>
      <c r="Q115" s="116">
        <v>1.0125</v>
      </c>
      <c r="R115" s="30">
        <v>7.0000000000000007E-2</v>
      </c>
      <c r="S115" s="116">
        <v>0.94500000000000006</v>
      </c>
      <c r="T115" s="117">
        <v>0.49</v>
      </c>
      <c r="U115" s="39">
        <v>250</v>
      </c>
      <c r="V115" s="32">
        <v>111</v>
      </c>
      <c r="W115" s="33"/>
      <c r="X115" s="32"/>
      <c r="Y115" s="32"/>
      <c r="Z115" s="32">
        <v>12</v>
      </c>
      <c r="AA115" s="34"/>
      <c r="AB115" s="35">
        <f t="shared" si="10"/>
        <v>373</v>
      </c>
      <c r="AC115" s="75">
        <f t="shared" si="11"/>
        <v>25000</v>
      </c>
      <c r="AD115" s="78">
        <f t="shared" si="12"/>
        <v>12300</v>
      </c>
      <c r="AE115" s="72">
        <f t="shared" si="13"/>
        <v>37300</v>
      </c>
      <c r="AF115" s="75">
        <f t="shared" si="14"/>
        <v>4938.6249999999991</v>
      </c>
      <c r="AG115" s="78">
        <f t="shared" si="15"/>
        <v>2354.7494999999994</v>
      </c>
      <c r="AH115" s="72">
        <f t="shared" si="16"/>
        <v>7293.3744999999981</v>
      </c>
      <c r="AI115" s="75">
        <f t="shared" si="17"/>
        <v>3375</v>
      </c>
      <c r="AJ115" s="78">
        <f t="shared" si="18"/>
        <v>1660.5</v>
      </c>
      <c r="AK115" s="72">
        <f t="shared" si="19"/>
        <v>5035.5</v>
      </c>
    </row>
    <row r="116" spans="1:37" ht="15.95" customHeight="1">
      <c r="A116" s="25" t="s">
        <v>462</v>
      </c>
      <c r="B116" s="25" t="s">
        <v>463</v>
      </c>
      <c r="C116" s="26" t="s">
        <v>14</v>
      </c>
      <c r="D116" s="26" t="s">
        <v>536</v>
      </c>
      <c r="E116" s="26" t="s">
        <v>16</v>
      </c>
      <c r="F116" s="26" t="s">
        <v>559</v>
      </c>
      <c r="G116" s="26"/>
      <c r="H116" s="27" t="s">
        <v>162</v>
      </c>
      <c r="I116" s="26" t="s">
        <v>27</v>
      </c>
      <c r="J116" s="28" t="s">
        <v>41</v>
      </c>
      <c r="K116" s="125">
        <v>150</v>
      </c>
      <c r="L116" s="29">
        <v>30.956449999999997</v>
      </c>
      <c r="M116" s="110">
        <v>21.35</v>
      </c>
      <c r="N116" s="30">
        <v>0.28199999999999997</v>
      </c>
      <c r="O116" s="116">
        <v>6.0206999999999997</v>
      </c>
      <c r="P116" s="30">
        <v>7.4999999999999997E-2</v>
      </c>
      <c r="Q116" s="116">
        <v>1.6012500000000001</v>
      </c>
      <c r="R116" s="30">
        <v>7.0000000000000007E-2</v>
      </c>
      <c r="S116" s="116">
        <v>1.4945000000000002</v>
      </c>
      <c r="T116" s="117">
        <v>0.49</v>
      </c>
      <c r="U116" s="39">
        <v>501</v>
      </c>
      <c r="V116" s="32">
        <v>145</v>
      </c>
      <c r="W116" s="33"/>
      <c r="X116" s="32"/>
      <c r="Y116" s="32"/>
      <c r="Z116" s="32"/>
      <c r="AA116" s="34">
        <v>6</v>
      </c>
      <c r="AB116" s="35">
        <f t="shared" si="10"/>
        <v>652</v>
      </c>
      <c r="AC116" s="75">
        <f t="shared" si="11"/>
        <v>75150</v>
      </c>
      <c r="AD116" s="78">
        <f t="shared" si="12"/>
        <v>22650</v>
      </c>
      <c r="AE116" s="72">
        <f t="shared" si="13"/>
        <v>97800</v>
      </c>
      <c r="AF116" s="75">
        <f t="shared" si="14"/>
        <v>15509.181449999998</v>
      </c>
      <c r="AG116" s="78">
        <f t="shared" si="15"/>
        <v>4616.7852499999999</v>
      </c>
      <c r="AH116" s="72">
        <f t="shared" si="16"/>
        <v>20125.966699999997</v>
      </c>
      <c r="AI116" s="75">
        <f t="shared" si="17"/>
        <v>10696.35</v>
      </c>
      <c r="AJ116" s="78">
        <f t="shared" si="18"/>
        <v>3223.8500000000004</v>
      </c>
      <c r="AK116" s="72">
        <f t="shared" si="19"/>
        <v>13920.2</v>
      </c>
    </row>
    <row r="117" spans="1:37" ht="15.95" customHeight="1">
      <c r="A117" s="25" t="s">
        <v>462</v>
      </c>
      <c r="B117" s="25" t="s">
        <v>463</v>
      </c>
      <c r="C117" s="26" t="s">
        <v>21</v>
      </c>
      <c r="D117" s="26" t="s">
        <v>536</v>
      </c>
      <c r="E117" s="26" t="s">
        <v>16</v>
      </c>
      <c r="F117" s="26" t="s">
        <v>560</v>
      </c>
      <c r="G117" s="26"/>
      <c r="H117" s="27" t="s">
        <v>162</v>
      </c>
      <c r="I117" s="26" t="s">
        <v>27</v>
      </c>
      <c r="J117" s="28" t="s">
        <v>43</v>
      </c>
      <c r="K117" s="125">
        <v>125</v>
      </c>
      <c r="L117" s="29">
        <v>23.321999999999999</v>
      </c>
      <c r="M117" s="110">
        <v>16</v>
      </c>
      <c r="N117" s="30">
        <v>0.28199999999999997</v>
      </c>
      <c r="O117" s="116">
        <v>4.5119999999999996</v>
      </c>
      <c r="P117" s="30">
        <v>7.4999999999999997E-2</v>
      </c>
      <c r="Q117" s="116">
        <v>1.2</v>
      </c>
      <c r="R117" s="30">
        <v>7.0000000000000007E-2</v>
      </c>
      <c r="S117" s="116">
        <v>1.1200000000000001</v>
      </c>
      <c r="T117" s="117">
        <v>0.49</v>
      </c>
      <c r="U117" s="39">
        <v>501</v>
      </c>
      <c r="V117" s="32">
        <v>136</v>
      </c>
      <c r="W117" s="33"/>
      <c r="X117" s="32"/>
      <c r="Y117" s="32"/>
      <c r="Z117" s="32"/>
      <c r="AA117" s="34">
        <v>6</v>
      </c>
      <c r="AB117" s="35">
        <f t="shared" si="10"/>
        <v>643</v>
      </c>
      <c r="AC117" s="75">
        <f t="shared" si="11"/>
        <v>62625</v>
      </c>
      <c r="AD117" s="78">
        <f t="shared" si="12"/>
        <v>17750</v>
      </c>
      <c r="AE117" s="72">
        <f t="shared" si="13"/>
        <v>80375</v>
      </c>
      <c r="AF117" s="75">
        <f t="shared" si="14"/>
        <v>11684.322</v>
      </c>
      <c r="AG117" s="78">
        <f t="shared" si="15"/>
        <v>3267.7919999999999</v>
      </c>
      <c r="AH117" s="72">
        <f t="shared" si="16"/>
        <v>14952.114</v>
      </c>
      <c r="AI117" s="75">
        <f t="shared" si="17"/>
        <v>8016</v>
      </c>
      <c r="AJ117" s="78">
        <f t="shared" si="18"/>
        <v>2272</v>
      </c>
      <c r="AK117" s="72">
        <f t="shared" si="19"/>
        <v>10288</v>
      </c>
    </row>
    <row r="118" spans="1:37" ht="15.95" customHeight="1">
      <c r="A118" s="25" t="s">
        <v>462</v>
      </c>
      <c r="B118" s="25" t="s">
        <v>463</v>
      </c>
      <c r="C118" s="26" t="s">
        <v>14</v>
      </c>
      <c r="D118" s="26" t="s">
        <v>536</v>
      </c>
      <c r="E118" s="26" t="s">
        <v>16</v>
      </c>
      <c r="F118" s="26" t="s">
        <v>559</v>
      </c>
      <c r="G118" s="26"/>
      <c r="H118" s="27" t="s">
        <v>162</v>
      </c>
      <c r="I118" s="26" t="s">
        <v>27</v>
      </c>
      <c r="J118" s="28" t="s">
        <v>41</v>
      </c>
      <c r="K118" s="125">
        <v>150</v>
      </c>
      <c r="L118" s="29">
        <v>30.956449999999997</v>
      </c>
      <c r="M118" s="110">
        <v>21.35</v>
      </c>
      <c r="N118" s="30">
        <v>0.28199999999999997</v>
      </c>
      <c r="O118" s="116">
        <v>6.0206999999999997</v>
      </c>
      <c r="P118" s="30">
        <v>7.4999999999999997E-2</v>
      </c>
      <c r="Q118" s="116">
        <v>1.6012500000000001</v>
      </c>
      <c r="R118" s="30">
        <v>7.0000000000000007E-2</v>
      </c>
      <c r="S118" s="116">
        <v>1.4945000000000002</v>
      </c>
      <c r="T118" s="117">
        <v>0.49</v>
      </c>
      <c r="U118" s="39">
        <v>800</v>
      </c>
      <c r="V118" s="32">
        <v>261</v>
      </c>
      <c r="W118" s="33"/>
      <c r="X118" s="32"/>
      <c r="Y118" s="32"/>
      <c r="Z118" s="32"/>
      <c r="AA118" s="34">
        <v>6</v>
      </c>
      <c r="AB118" s="35">
        <f t="shared" si="10"/>
        <v>1067</v>
      </c>
      <c r="AC118" s="75">
        <f t="shared" si="11"/>
        <v>120000</v>
      </c>
      <c r="AD118" s="78">
        <f t="shared" si="12"/>
        <v>40050</v>
      </c>
      <c r="AE118" s="72">
        <f t="shared" si="13"/>
        <v>160050</v>
      </c>
      <c r="AF118" s="75">
        <f t="shared" si="14"/>
        <v>24765.159999999996</v>
      </c>
      <c r="AG118" s="78">
        <f t="shared" si="15"/>
        <v>8207.7334499999997</v>
      </c>
      <c r="AH118" s="72">
        <f t="shared" si="16"/>
        <v>32972.893449999996</v>
      </c>
      <c r="AI118" s="75">
        <f t="shared" si="17"/>
        <v>17080</v>
      </c>
      <c r="AJ118" s="78">
        <f t="shared" si="18"/>
        <v>5700.4500000000007</v>
      </c>
      <c r="AK118" s="72">
        <f t="shared" si="19"/>
        <v>22780.45</v>
      </c>
    </row>
    <row r="119" spans="1:37" ht="15.95" customHeight="1">
      <c r="A119" s="25" t="s">
        <v>462</v>
      </c>
      <c r="B119" s="25" t="s">
        <v>463</v>
      </c>
      <c r="C119" s="26" t="s">
        <v>21</v>
      </c>
      <c r="D119" s="26" t="s">
        <v>536</v>
      </c>
      <c r="E119" s="26" t="s">
        <v>16</v>
      </c>
      <c r="F119" s="26" t="s">
        <v>560</v>
      </c>
      <c r="G119" s="26"/>
      <c r="H119" s="27" t="s">
        <v>162</v>
      </c>
      <c r="I119" s="26" t="s">
        <v>27</v>
      </c>
      <c r="J119" s="28" t="s">
        <v>43</v>
      </c>
      <c r="K119" s="125">
        <v>125</v>
      </c>
      <c r="L119" s="29">
        <v>23.321999999999999</v>
      </c>
      <c r="M119" s="110">
        <v>16</v>
      </c>
      <c r="N119" s="30">
        <v>0.28199999999999997</v>
      </c>
      <c r="O119" s="116">
        <v>4.5119999999999996</v>
      </c>
      <c r="P119" s="30">
        <v>7.4999999999999997E-2</v>
      </c>
      <c r="Q119" s="116">
        <v>1.2</v>
      </c>
      <c r="R119" s="30">
        <v>7.0000000000000007E-2</v>
      </c>
      <c r="S119" s="116">
        <v>1.1200000000000001</v>
      </c>
      <c r="T119" s="117">
        <v>0.49</v>
      </c>
      <c r="U119" s="39">
        <v>799</v>
      </c>
      <c r="V119" s="32">
        <v>249</v>
      </c>
      <c r="W119" s="33"/>
      <c r="X119" s="32"/>
      <c r="Y119" s="32"/>
      <c r="Z119" s="32"/>
      <c r="AA119" s="34">
        <v>6</v>
      </c>
      <c r="AB119" s="35">
        <f t="shared" si="10"/>
        <v>1054</v>
      </c>
      <c r="AC119" s="75">
        <f t="shared" si="11"/>
        <v>99875</v>
      </c>
      <c r="AD119" s="78">
        <f t="shared" si="12"/>
        <v>31875</v>
      </c>
      <c r="AE119" s="72">
        <f t="shared" si="13"/>
        <v>131750</v>
      </c>
      <c r="AF119" s="75">
        <f t="shared" si="14"/>
        <v>18634.277999999998</v>
      </c>
      <c r="AG119" s="78">
        <f t="shared" si="15"/>
        <v>5903.1779999999999</v>
      </c>
      <c r="AH119" s="72">
        <f t="shared" si="16"/>
        <v>24537.455999999998</v>
      </c>
      <c r="AI119" s="75">
        <f t="shared" si="17"/>
        <v>12784</v>
      </c>
      <c r="AJ119" s="78">
        <f t="shared" si="18"/>
        <v>4080</v>
      </c>
      <c r="AK119" s="72">
        <f t="shared" si="19"/>
        <v>16864</v>
      </c>
    </row>
    <row r="120" spans="1:37" ht="15.95" customHeight="1">
      <c r="A120" s="25" t="s">
        <v>462</v>
      </c>
      <c r="B120" s="25" t="s">
        <v>463</v>
      </c>
      <c r="C120" s="26" t="s">
        <v>14</v>
      </c>
      <c r="D120" s="26" t="s">
        <v>536</v>
      </c>
      <c r="E120" s="26" t="s">
        <v>16</v>
      </c>
      <c r="F120" s="26" t="s">
        <v>559</v>
      </c>
      <c r="G120" s="26"/>
      <c r="H120" s="27" t="s">
        <v>162</v>
      </c>
      <c r="I120" s="26" t="s">
        <v>27</v>
      </c>
      <c r="J120" s="28" t="s">
        <v>41</v>
      </c>
      <c r="K120" s="125">
        <v>150</v>
      </c>
      <c r="L120" s="29">
        <v>30.956449999999997</v>
      </c>
      <c r="M120" s="110">
        <v>21.35</v>
      </c>
      <c r="N120" s="30">
        <v>0.28199999999999997</v>
      </c>
      <c r="O120" s="116">
        <v>6.0206999999999997</v>
      </c>
      <c r="P120" s="30">
        <v>7.4999999999999997E-2</v>
      </c>
      <c r="Q120" s="116">
        <v>1.6012500000000001</v>
      </c>
      <c r="R120" s="30">
        <v>7.0000000000000007E-2</v>
      </c>
      <c r="S120" s="116">
        <v>1.4945000000000002</v>
      </c>
      <c r="T120" s="117">
        <v>0.49</v>
      </c>
      <c r="U120" s="39">
        <v>1000</v>
      </c>
      <c r="V120" s="32">
        <v>208</v>
      </c>
      <c r="W120" s="33"/>
      <c r="X120" s="32"/>
      <c r="Y120" s="32"/>
      <c r="Z120" s="32"/>
      <c r="AA120" s="34">
        <v>6</v>
      </c>
      <c r="AB120" s="35">
        <f t="shared" si="10"/>
        <v>1214</v>
      </c>
      <c r="AC120" s="75">
        <f t="shared" si="11"/>
        <v>150000</v>
      </c>
      <c r="AD120" s="78">
        <f t="shared" si="12"/>
        <v>32100</v>
      </c>
      <c r="AE120" s="72">
        <f t="shared" si="13"/>
        <v>182100</v>
      </c>
      <c r="AF120" s="75">
        <f t="shared" si="14"/>
        <v>30956.449999999997</v>
      </c>
      <c r="AG120" s="78">
        <f t="shared" si="15"/>
        <v>6567.0415999999996</v>
      </c>
      <c r="AH120" s="72">
        <f t="shared" si="16"/>
        <v>37523.491599999994</v>
      </c>
      <c r="AI120" s="75">
        <f t="shared" si="17"/>
        <v>21350</v>
      </c>
      <c r="AJ120" s="78">
        <f t="shared" si="18"/>
        <v>4568.9000000000005</v>
      </c>
      <c r="AK120" s="72">
        <f t="shared" si="19"/>
        <v>25918.9</v>
      </c>
    </row>
    <row r="121" spans="1:37" ht="15.95" customHeight="1">
      <c r="A121" s="25" t="s">
        <v>462</v>
      </c>
      <c r="B121" s="25" t="s">
        <v>463</v>
      </c>
      <c r="C121" s="26" t="s">
        <v>21</v>
      </c>
      <c r="D121" s="26" t="s">
        <v>536</v>
      </c>
      <c r="E121" s="26" t="s">
        <v>16</v>
      </c>
      <c r="F121" s="26" t="s">
        <v>560</v>
      </c>
      <c r="G121" s="26"/>
      <c r="H121" s="27" t="s">
        <v>162</v>
      </c>
      <c r="I121" s="26" t="s">
        <v>27</v>
      </c>
      <c r="J121" s="28" t="s">
        <v>43</v>
      </c>
      <c r="K121" s="125">
        <v>125</v>
      </c>
      <c r="L121" s="29">
        <v>23.321999999999999</v>
      </c>
      <c r="M121" s="110">
        <v>16</v>
      </c>
      <c r="N121" s="30">
        <v>0.28199999999999997</v>
      </c>
      <c r="O121" s="116">
        <v>4.5119999999999996</v>
      </c>
      <c r="P121" s="30">
        <v>7.4999999999999997E-2</v>
      </c>
      <c r="Q121" s="116">
        <v>1.2</v>
      </c>
      <c r="R121" s="30">
        <v>7.0000000000000007E-2</v>
      </c>
      <c r="S121" s="116">
        <v>1.1200000000000001</v>
      </c>
      <c r="T121" s="117">
        <v>0.49</v>
      </c>
      <c r="U121" s="39">
        <v>1000</v>
      </c>
      <c r="V121" s="32">
        <v>206</v>
      </c>
      <c r="W121" s="33"/>
      <c r="X121" s="32"/>
      <c r="Y121" s="32"/>
      <c r="Z121" s="32"/>
      <c r="AA121" s="34">
        <v>6</v>
      </c>
      <c r="AB121" s="35">
        <f t="shared" si="10"/>
        <v>1212</v>
      </c>
      <c r="AC121" s="75">
        <f t="shared" si="11"/>
        <v>125000</v>
      </c>
      <c r="AD121" s="78">
        <f t="shared" si="12"/>
        <v>26500</v>
      </c>
      <c r="AE121" s="72">
        <f t="shared" si="13"/>
        <v>151500</v>
      </c>
      <c r="AF121" s="75">
        <f t="shared" si="14"/>
        <v>23322</v>
      </c>
      <c r="AG121" s="78">
        <f t="shared" si="15"/>
        <v>4900.3319999999994</v>
      </c>
      <c r="AH121" s="72">
        <f t="shared" si="16"/>
        <v>28222.331999999999</v>
      </c>
      <c r="AI121" s="75">
        <f t="shared" si="17"/>
        <v>16000</v>
      </c>
      <c r="AJ121" s="78">
        <f t="shared" si="18"/>
        <v>3392</v>
      </c>
      <c r="AK121" s="72">
        <f t="shared" si="19"/>
        <v>19392</v>
      </c>
    </row>
    <row r="122" spans="1:37" ht="15.95" customHeight="1">
      <c r="A122" s="25" t="s">
        <v>462</v>
      </c>
      <c r="B122" s="25" t="s">
        <v>463</v>
      </c>
      <c r="C122" s="26" t="s">
        <v>14</v>
      </c>
      <c r="D122" s="26" t="s">
        <v>536</v>
      </c>
      <c r="E122" s="26" t="s">
        <v>16</v>
      </c>
      <c r="F122" s="26" t="s">
        <v>561</v>
      </c>
      <c r="G122" s="26"/>
      <c r="H122" s="27" t="s">
        <v>562</v>
      </c>
      <c r="I122" s="26" t="s">
        <v>27</v>
      </c>
      <c r="J122" s="28" t="s">
        <v>41</v>
      </c>
      <c r="K122" s="123">
        <v>175</v>
      </c>
      <c r="L122" s="29">
        <v>33.311000000000007</v>
      </c>
      <c r="M122" s="110">
        <v>23</v>
      </c>
      <c r="N122" s="30">
        <v>0.28199999999999997</v>
      </c>
      <c r="O122" s="116">
        <v>6.4859999999999998</v>
      </c>
      <c r="P122" s="30">
        <v>7.4999999999999997E-2</v>
      </c>
      <c r="Q122" s="116">
        <v>1.7249999999999999</v>
      </c>
      <c r="R122" s="30">
        <v>7.0000000000000007E-2</v>
      </c>
      <c r="S122" s="116">
        <v>1.61</v>
      </c>
      <c r="T122" s="117">
        <v>0.49</v>
      </c>
      <c r="U122" s="39">
        <v>350</v>
      </c>
      <c r="V122" s="32">
        <v>85</v>
      </c>
      <c r="W122" s="33"/>
      <c r="X122" s="32"/>
      <c r="Y122" s="32"/>
      <c r="Z122" s="32"/>
      <c r="AA122" s="34">
        <v>6</v>
      </c>
      <c r="AB122" s="35">
        <f t="shared" si="10"/>
        <v>441</v>
      </c>
      <c r="AC122" s="75">
        <f t="shared" si="11"/>
        <v>61250</v>
      </c>
      <c r="AD122" s="78">
        <f t="shared" si="12"/>
        <v>15925</v>
      </c>
      <c r="AE122" s="72">
        <f t="shared" si="13"/>
        <v>77175</v>
      </c>
      <c r="AF122" s="75">
        <f t="shared" si="14"/>
        <v>11658.850000000002</v>
      </c>
      <c r="AG122" s="78">
        <f t="shared" si="15"/>
        <v>2969.4350000000004</v>
      </c>
      <c r="AH122" s="72">
        <f t="shared" si="16"/>
        <v>14628.285000000003</v>
      </c>
      <c r="AI122" s="75">
        <f t="shared" si="17"/>
        <v>8050</v>
      </c>
      <c r="AJ122" s="78">
        <f t="shared" si="18"/>
        <v>2093</v>
      </c>
      <c r="AK122" s="72">
        <f t="shared" si="19"/>
        <v>10143</v>
      </c>
    </row>
    <row r="123" spans="1:37" ht="15.95" customHeight="1">
      <c r="A123" s="25" t="s">
        <v>462</v>
      </c>
      <c r="B123" s="25" t="s">
        <v>463</v>
      </c>
      <c r="C123" s="26" t="s">
        <v>21</v>
      </c>
      <c r="D123" s="26" t="s">
        <v>536</v>
      </c>
      <c r="E123" s="26" t="s">
        <v>16</v>
      </c>
      <c r="F123" s="26" t="s">
        <v>563</v>
      </c>
      <c r="G123" s="26"/>
      <c r="H123" s="27" t="s">
        <v>562</v>
      </c>
      <c r="I123" s="26" t="s">
        <v>27</v>
      </c>
      <c r="J123" s="28" t="s">
        <v>43</v>
      </c>
      <c r="K123" s="123">
        <v>150</v>
      </c>
      <c r="L123" s="29">
        <v>26.176000000000002</v>
      </c>
      <c r="M123" s="110">
        <v>18</v>
      </c>
      <c r="N123" s="30">
        <v>0.28199999999999997</v>
      </c>
      <c r="O123" s="116">
        <v>5.0759999999999996</v>
      </c>
      <c r="P123" s="30">
        <v>7.4999999999999997E-2</v>
      </c>
      <c r="Q123" s="116">
        <v>1.3499999999999999</v>
      </c>
      <c r="R123" s="30">
        <v>7.0000000000000007E-2</v>
      </c>
      <c r="S123" s="116">
        <v>1.2600000000000002</v>
      </c>
      <c r="T123" s="117">
        <v>0.49</v>
      </c>
      <c r="U123" s="39">
        <v>350</v>
      </c>
      <c r="V123" s="32">
        <v>82</v>
      </c>
      <c r="W123" s="33"/>
      <c r="X123" s="32"/>
      <c r="Y123" s="32"/>
      <c r="Z123" s="32"/>
      <c r="AA123" s="34">
        <v>6</v>
      </c>
      <c r="AB123" s="35">
        <f t="shared" si="10"/>
        <v>438</v>
      </c>
      <c r="AC123" s="75">
        <f t="shared" si="11"/>
        <v>52500</v>
      </c>
      <c r="AD123" s="78">
        <f t="shared" si="12"/>
        <v>13200</v>
      </c>
      <c r="AE123" s="72">
        <f t="shared" si="13"/>
        <v>65700</v>
      </c>
      <c r="AF123" s="75">
        <f t="shared" si="14"/>
        <v>9161.6</v>
      </c>
      <c r="AG123" s="78">
        <f t="shared" si="15"/>
        <v>2254.4320000000002</v>
      </c>
      <c r="AH123" s="72">
        <f t="shared" si="16"/>
        <v>11416.032000000001</v>
      </c>
      <c r="AI123" s="75">
        <f t="shared" si="17"/>
        <v>6300</v>
      </c>
      <c r="AJ123" s="78">
        <f t="shared" si="18"/>
        <v>1584</v>
      </c>
      <c r="AK123" s="72">
        <f t="shared" si="19"/>
        <v>7884</v>
      </c>
    </row>
    <row r="124" spans="1:37" ht="15.95" customHeight="1">
      <c r="A124" s="25" t="s">
        <v>462</v>
      </c>
      <c r="B124" s="25" t="s">
        <v>463</v>
      </c>
      <c r="C124" s="26" t="s">
        <v>14</v>
      </c>
      <c r="D124" s="26" t="s">
        <v>536</v>
      </c>
      <c r="E124" s="26" t="s">
        <v>16</v>
      </c>
      <c r="F124" s="26" t="s">
        <v>561</v>
      </c>
      <c r="G124" s="26"/>
      <c r="H124" s="27" t="s">
        <v>562</v>
      </c>
      <c r="I124" s="26" t="s">
        <v>27</v>
      </c>
      <c r="J124" s="28" t="s">
        <v>41</v>
      </c>
      <c r="K124" s="123">
        <v>175</v>
      </c>
      <c r="L124" s="29">
        <v>33.311000000000007</v>
      </c>
      <c r="M124" s="110">
        <v>23</v>
      </c>
      <c r="N124" s="30">
        <v>0.28199999999999997</v>
      </c>
      <c r="O124" s="116">
        <v>6.4859999999999998</v>
      </c>
      <c r="P124" s="30">
        <v>7.4999999999999997E-2</v>
      </c>
      <c r="Q124" s="116">
        <v>1.7249999999999999</v>
      </c>
      <c r="R124" s="30">
        <v>7.0000000000000007E-2</v>
      </c>
      <c r="S124" s="116">
        <v>1.61</v>
      </c>
      <c r="T124" s="117">
        <v>0.49</v>
      </c>
      <c r="U124" s="39">
        <v>350</v>
      </c>
      <c r="V124" s="32">
        <v>119</v>
      </c>
      <c r="W124" s="33"/>
      <c r="X124" s="32"/>
      <c r="Y124" s="32"/>
      <c r="Z124" s="32"/>
      <c r="AA124" s="34">
        <v>6</v>
      </c>
      <c r="AB124" s="35">
        <f t="shared" si="10"/>
        <v>475</v>
      </c>
      <c r="AC124" s="75">
        <f t="shared" si="11"/>
        <v>61250</v>
      </c>
      <c r="AD124" s="78">
        <f t="shared" si="12"/>
        <v>21875</v>
      </c>
      <c r="AE124" s="72">
        <f t="shared" si="13"/>
        <v>83125</v>
      </c>
      <c r="AF124" s="75">
        <f t="shared" si="14"/>
        <v>11658.850000000002</v>
      </c>
      <c r="AG124" s="78">
        <f t="shared" si="15"/>
        <v>4102.0090000000009</v>
      </c>
      <c r="AH124" s="72">
        <f t="shared" si="16"/>
        <v>15760.859000000004</v>
      </c>
      <c r="AI124" s="75">
        <f t="shared" si="17"/>
        <v>8050</v>
      </c>
      <c r="AJ124" s="78">
        <f t="shared" si="18"/>
        <v>2875</v>
      </c>
      <c r="AK124" s="72">
        <f t="shared" si="19"/>
        <v>10925</v>
      </c>
    </row>
    <row r="125" spans="1:37" ht="15.95" customHeight="1">
      <c r="A125" s="25" t="s">
        <v>462</v>
      </c>
      <c r="B125" s="25" t="s">
        <v>463</v>
      </c>
      <c r="C125" s="26" t="s">
        <v>21</v>
      </c>
      <c r="D125" s="26" t="s">
        <v>536</v>
      </c>
      <c r="E125" s="26" t="s">
        <v>16</v>
      </c>
      <c r="F125" s="26" t="s">
        <v>563</v>
      </c>
      <c r="G125" s="26"/>
      <c r="H125" s="27" t="s">
        <v>562</v>
      </c>
      <c r="I125" s="26" t="s">
        <v>27</v>
      </c>
      <c r="J125" s="28" t="s">
        <v>43</v>
      </c>
      <c r="K125" s="123">
        <v>150</v>
      </c>
      <c r="L125" s="29">
        <v>26.176000000000002</v>
      </c>
      <c r="M125" s="110">
        <v>18</v>
      </c>
      <c r="N125" s="30">
        <v>0.28199999999999997</v>
      </c>
      <c r="O125" s="116">
        <v>5.0759999999999996</v>
      </c>
      <c r="P125" s="30">
        <v>7.4999999999999997E-2</v>
      </c>
      <c r="Q125" s="116">
        <v>1.3499999999999999</v>
      </c>
      <c r="R125" s="30">
        <v>7.0000000000000007E-2</v>
      </c>
      <c r="S125" s="116">
        <v>1.2600000000000002</v>
      </c>
      <c r="T125" s="117">
        <v>0.49</v>
      </c>
      <c r="U125" s="39">
        <v>350</v>
      </c>
      <c r="V125" s="32">
        <v>114</v>
      </c>
      <c r="W125" s="33"/>
      <c r="X125" s="32"/>
      <c r="Y125" s="32"/>
      <c r="Z125" s="32"/>
      <c r="AA125" s="34">
        <v>6</v>
      </c>
      <c r="AB125" s="35">
        <f t="shared" si="10"/>
        <v>470</v>
      </c>
      <c r="AC125" s="75">
        <f t="shared" si="11"/>
        <v>52500</v>
      </c>
      <c r="AD125" s="78">
        <f t="shared" si="12"/>
        <v>18000</v>
      </c>
      <c r="AE125" s="72">
        <f t="shared" si="13"/>
        <v>70500</v>
      </c>
      <c r="AF125" s="75">
        <f t="shared" si="14"/>
        <v>9161.6</v>
      </c>
      <c r="AG125" s="78">
        <f t="shared" si="15"/>
        <v>3092.0640000000003</v>
      </c>
      <c r="AH125" s="72">
        <f t="shared" si="16"/>
        <v>12253.664000000001</v>
      </c>
      <c r="AI125" s="75">
        <f t="shared" si="17"/>
        <v>6300</v>
      </c>
      <c r="AJ125" s="78">
        <f t="shared" si="18"/>
        <v>2160</v>
      </c>
      <c r="AK125" s="72">
        <f t="shared" si="19"/>
        <v>8460</v>
      </c>
    </row>
    <row r="126" spans="1:37" ht="15.95" customHeight="1">
      <c r="A126" s="25" t="s">
        <v>462</v>
      </c>
      <c r="B126" s="25" t="s">
        <v>463</v>
      </c>
      <c r="C126" s="26" t="s">
        <v>14</v>
      </c>
      <c r="D126" s="26" t="s">
        <v>536</v>
      </c>
      <c r="E126" s="26" t="s">
        <v>16</v>
      </c>
      <c r="F126" s="26" t="s">
        <v>564</v>
      </c>
      <c r="G126" s="26"/>
      <c r="H126" s="27" t="s">
        <v>185</v>
      </c>
      <c r="I126" s="26" t="s">
        <v>27</v>
      </c>
      <c r="J126" s="28" t="s">
        <v>41</v>
      </c>
      <c r="K126" s="123">
        <v>175</v>
      </c>
      <c r="L126" s="29">
        <v>31.812649999999994</v>
      </c>
      <c r="M126" s="110">
        <v>21.95</v>
      </c>
      <c r="N126" s="30">
        <v>0.28199999999999997</v>
      </c>
      <c r="O126" s="116">
        <v>6.1898999999999988</v>
      </c>
      <c r="P126" s="30">
        <v>7.4999999999999997E-2</v>
      </c>
      <c r="Q126" s="116">
        <v>1.64625</v>
      </c>
      <c r="R126" s="30">
        <v>7.0000000000000007E-2</v>
      </c>
      <c r="S126" s="116">
        <v>1.5365000000000002</v>
      </c>
      <c r="T126" s="117">
        <v>0.49</v>
      </c>
      <c r="U126" s="39">
        <v>400</v>
      </c>
      <c r="V126" s="32">
        <v>69</v>
      </c>
      <c r="W126" s="33"/>
      <c r="X126" s="32"/>
      <c r="Y126" s="32"/>
      <c r="Z126" s="32"/>
      <c r="AA126" s="34"/>
      <c r="AB126" s="35">
        <f t="shared" si="10"/>
        <v>469</v>
      </c>
      <c r="AC126" s="75">
        <f t="shared" si="11"/>
        <v>70000</v>
      </c>
      <c r="AD126" s="78">
        <f t="shared" si="12"/>
        <v>12075</v>
      </c>
      <c r="AE126" s="72">
        <f t="shared" si="13"/>
        <v>82075</v>
      </c>
      <c r="AF126" s="75">
        <f t="shared" si="14"/>
        <v>12725.059999999998</v>
      </c>
      <c r="AG126" s="78">
        <f t="shared" si="15"/>
        <v>2195.0728499999996</v>
      </c>
      <c r="AH126" s="72">
        <f t="shared" si="16"/>
        <v>14920.132849999998</v>
      </c>
      <c r="AI126" s="75">
        <f t="shared" si="17"/>
        <v>8780</v>
      </c>
      <c r="AJ126" s="78">
        <f t="shared" si="18"/>
        <v>1514.55</v>
      </c>
      <c r="AK126" s="72">
        <f t="shared" si="19"/>
        <v>10294.549999999999</v>
      </c>
    </row>
    <row r="127" spans="1:37" ht="15.95" customHeight="1">
      <c r="A127" s="25" t="s">
        <v>462</v>
      </c>
      <c r="B127" s="25" t="s">
        <v>463</v>
      </c>
      <c r="C127" s="26" t="s">
        <v>21</v>
      </c>
      <c r="D127" s="26" t="s">
        <v>536</v>
      </c>
      <c r="E127" s="26" t="s">
        <v>16</v>
      </c>
      <c r="F127" s="26" t="s">
        <v>565</v>
      </c>
      <c r="G127" s="26"/>
      <c r="H127" s="27" t="s">
        <v>185</v>
      </c>
      <c r="I127" s="26" t="s">
        <v>27</v>
      </c>
      <c r="J127" s="28" t="s">
        <v>43</v>
      </c>
      <c r="K127" s="123">
        <v>150</v>
      </c>
      <c r="L127" s="29">
        <v>24.677649999999996</v>
      </c>
      <c r="M127" s="110">
        <v>16.95</v>
      </c>
      <c r="N127" s="30">
        <v>0.28199999999999997</v>
      </c>
      <c r="O127" s="116">
        <v>4.7798999999999996</v>
      </c>
      <c r="P127" s="30">
        <v>7.4999999999999997E-2</v>
      </c>
      <c r="Q127" s="116">
        <v>1.27125</v>
      </c>
      <c r="R127" s="30">
        <v>7.0000000000000007E-2</v>
      </c>
      <c r="S127" s="116">
        <v>1.1865000000000001</v>
      </c>
      <c r="T127" s="117">
        <v>0.49</v>
      </c>
      <c r="U127" s="39">
        <v>400</v>
      </c>
      <c r="V127" s="32">
        <v>69</v>
      </c>
      <c r="W127" s="33"/>
      <c r="X127" s="32"/>
      <c r="Y127" s="32"/>
      <c r="Z127" s="32"/>
      <c r="AA127" s="34"/>
      <c r="AB127" s="35">
        <f t="shared" si="10"/>
        <v>469</v>
      </c>
      <c r="AC127" s="75">
        <f t="shared" si="11"/>
        <v>60000</v>
      </c>
      <c r="AD127" s="78">
        <f t="shared" si="12"/>
        <v>10350</v>
      </c>
      <c r="AE127" s="72">
        <f t="shared" si="13"/>
        <v>70350</v>
      </c>
      <c r="AF127" s="75">
        <f t="shared" si="14"/>
        <v>9871.0599999999977</v>
      </c>
      <c r="AG127" s="78">
        <f t="shared" si="15"/>
        <v>1702.7578499999997</v>
      </c>
      <c r="AH127" s="72">
        <f t="shared" si="16"/>
        <v>11573.817849999998</v>
      </c>
      <c r="AI127" s="75">
        <f t="shared" si="17"/>
        <v>6780</v>
      </c>
      <c r="AJ127" s="78">
        <f t="shared" si="18"/>
        <v>1169.55</v>
      </c>
      <c r="AK127" s="72">
        <f t="shared" si="19"/>
        <v>7949.55</v>
      </c>
    </row>
    <row r="128" spans="1:37" ht="15.95" customHeight="1">
      <c r="A128" s="25" t="s">
        <v>462</v>
      </c>
      <c r="B128" s="25" t="s">
        <v>463</v>
      </c>
      <c r="C128" s="26" t="s">
        <v>14</v>
      </c>
      <c r="D128" s="26" t="s">
        <v>536</v>
      </c>
      <c r="E128" s="26" t="s">
        <v>16</v>
      </c>
      <c r="F128" s="26" t="s">
        <v>564</v>
      </c>
      <c r="G128" s="26"/>
      <c r="H128" s="27" t="s">
        <v>185</v>
      </c>
      <c r="I128" s="26" t="s">
        <v>27</v>
      </c>
      <c r="J128" s="28" t="s">
        <v>41</v>
      </c>
      <c r="K128" s="123">
        <v>175</v>
      </c>
      <c r="L128" s="29">
        <v>31.812649999999994</v>
      </c>
      <c r="M128" s="110">
        <v>21.95</v>
      </c>
      <c r="N128" s="30">
        <v>0.28199999999999997</v>
      </c>
      <c r="O128" s="116">
        <v>6.1898999999999988</v>
      </c>
      <c r="P128" s="30">
        <v>7.4999999999999997E-2</v>
      </c>
      <c r="Q128" s="116">
        <v>1.64625</v>
      </c>
      <c r="R128" s="30">
        <v>7.0000000000000007E-2</v>
      </c>
      <c r="S128" s="116">
        <v>1.5365000000000002</v>
      </c>
      <c r="T128" s="117">
        <v>0.49</v>
      </c>
      <c r="U128" s="39">
        <v>501</v>
      </c>
      <c r="V128" s="32">
        <v>160</v>
      </c>
      <c r="W128" s="33"/>
      <c r="X128" s="32"/>
      <c r="Y128" s="32"/>
      <c r="Z128" s="32">
        <v>17</v>
      </c>
      <c r="AA128" s="34"/>
      <c r="AB128" s="35">
        <f t="shared" si="10"/>
        <v>678</v>
      </c>
      <c r="AC128" s="75">
        <f t="shared" si="11"/>
        <v>87675</v>
      </c>
      <c r="AD128" s="78">
        <f t="shared" si="12"/>
        <v>30975</v>
      </c>
      <c r="AE128" s="72">
        <f t="shared" si="13"/>
        <v>118650</v>
      </c>
      <c r="AF128" s="75">
        <f t="shared" si="14"/>
        <v>15938.137649999997</v>
      </c>
      <c r="AG128" s="78">
        <f t="shared" si="15"/>
        <v>5463.1739999999991</v>
      </c>
      <c r="AH128" s="72">
        <f t="shared" si="16"/>
        <v>21401.311649999996</v>
      </c>
      <c r="AI128" s="75">
        <f t="shared" si="17"/>
        <v>10996.949999999999</v>
      </c>
      <c r="AJ128" s="78">
        <f t="shared" si="18"/>
        <v>3885.15</v>
      </c>
      <c r="AK128" s="72">
        <f t="shared" si="19"/>
        <v>14882.099999999999</v>
      </c>
    </row>
    <row r="129" spans="1:37" ht="15.95" customHeight="1">
      <c r="A129" s="25" t="s">
        <v>462</v>
      </c>
      <c r="B129" s="25" t="s">
        <v>463</v>
      </c>
      <c r="C129" s="26" t="s">
        <v>21</v>
      </c>
      <c r="D129" s="26" t="s">
        <v>536</v>
      </c>
      <c r="E129" s="26" t="s">
        <v>16</v>
      </c>
      <c r="F129" s="26" t="s">
        <v>565</v>
      </c>
      <c r="G129" s="26"/>
      <c r="H129" s="27" t="s">
        <v>185</v>
      </c>
      <c r="I129" s="26" t="s">
        <v>27</v>
      </c>
      <c r="J129" s="28" t="s">
        <v>43</v>
      </c>
      <c r="K129" s="123">
        <v>150</v>
      </c>
      <c r="L129" s="29">
        <v>24.677649999999996</v>
      </c>
      <c r="M129" s="110">
        <v>16.95</v>
      </c>
      <c r="N129" s="30">
        <v>0.28199999999999997</v>
      </c>
      <c r="O129" s="116">
        <v>4.7798999999999996</v>
      </c>
      <c r="P129" s="30">
        <v>7.4999999999999997E-2</v>
      </c>
      <c r="Q129" s="116">
        <v>1.27125</v>
      </c>
      <c r="R129" s="30">
        <v>7.0000000000000007E-2</v>
      </c>
      <c r="S129" s="116">
        <v>1.1865000000000001</v>
      </c>
      <c r="T129" s="117">
        <v>0.49</v>
      </c>
      <c r="U129" s="39">
        <v>501</v>
      </c>
      <c r="V129" s="32">
        <v>150</v>
      </c>
      <c r="W129" s="33"/>
      <c r="X129" s="32"/>
      <c r="Y129" s="32"/>
      <c r="Z129" s="32">
        <v>12</v>
      </c>
      <c r="AA129" s="34"/>
      <c r="AB129" s="35">
        <f t="shared" si="10"/>
        <v>663</v>
      </c>
      <c r="AC129" s="75">
        <f t="shared" si="11"/>
        <v>75150</v>
      </c>
      <c r="AD129" s="78">
        <f t="shared" si="12"/>
        <v>24300</v>
      </c>
      <c r="AE129" s="72">
        <f t="shared" si="13"/>
        <v>99450</v>
      </c>
      <c r="AF129" s="75">
        <f t="shared" si="14"/>
        <v>12363.502649999999</v>
      </c>
      <c r="AG129" s="78">
        <f t="shared" si="15"/>
        <v>3905.0474999999997</v>
      </c>
      <c r="AH129" s="72">
        <f t="shared" si="16"/>
        <v>16268.550149999999</v>
      </c>
      <c r="AI129" s="75">
        <f t="shared" si="17"/>
        <v>8491.9499999999989</v>
      </c>
      <c r="AJ129" s="78">
        <f t="shared" si="18"/>
        <v>2745.9</v>
      </c>
      <c r="AK129" s="72">
        <f t="shared" si="19"/>
        <v>11237.849999999999</v>
      </c>
    </row>
    <row r="130" spans="1:37" ht="15.95" customHeight="1">
      <c r="A130" s="25" t="s">
        <v>462</v>
      </c>
      <c r="B130" s="25" t="s">
        <v>463</v>
      </c>
      <c r="C130" s="26" t="s">
        <v>14</v>
      </c>
      <c r="D130" s="26" t="s">
        <v>536</v>
      </c>
      <c r="E130" s="26" t="s">
        <v>16</v>
      </c>
      <c r="F130" s="26" t="s">
        <v>564</v>
      </c>
      <c r="G130" s="26"/>
      <c r="H130" s="27" t="s">
        <v>185</v>
      </c>
      <c r="I130" s="26" t="s">
        <v>27</v>
      </c>
      <c r="J130" s="28" t="s">
        <v>41</v>
      </c>
      <c r="K130" s="123">
        <v>175</v>
      </c>
      <c r="L130" s="29">
        <v>31.812649999999994</v>
      </c>
      <c r="M130" s="110">
        <v>21.95</v>
      </c>
      <c r="N130" s="30">
        <v>0.28199999999999997</v>
      </c>
      <c r="O130" s="116">
        <v>6.1898999999999988</v>
      </c>
      <c r="P130" s="30">
        <v>7.4999999999999997E-2</v>
      </c>
      <c r="Q130" s="116">
        <v>1.64625</v>
      </c>
      <c r="R130" s="30">
        <v>7.0000000000000007E-2</v>
      </c>
      <c r="S130" s="116">
        <v>1.5365000000000002</v>
      </c>
      <c r="T130" s="117">
        <v>0.49</v>
      </c>
      <c r="U130" s="39">
        <v>600</v>
      </c>
      <c r="V130" s="32">
        <v>74</v>
      </c>
      <c r="W130" s="33"/>
      <c r="X130" s="32"/>
      <c r="Y130" s="32"/>
      <c r="Z130" s="32">
        <v>8</v>
      </c>
      <c r="AA130" s="34">
        <v>6</v>
      </c>
      <c r="AB130" s="35">
        <f t="shared" si="10"/>
        <v>688</v>
      </c>
      <c r="AC130" s="75">
        <f t="shared" si="11"/>
        <v>105000</v>
      </c>
      <c r="AD130" s="78">
        <f t="shared" si="12"/>
        <v>15400</v>
      </c>
      <c r="AE130" s="72">
        <f t="shared" si="13"/>
        <v>120400</v>
      </c>
      <c r="AF130" s="75">
        <f t="shared" si="14"/>
        <v>19087.589999999997</v>
      </c>
      <c r="AG130" s="78">
        <f t="shared" si="15"/>
        <v>2661.4360999999999</v>
      </c>
      <c r="AH130" s="72">
        <f t="shared" si="16"/>
        <v>21749.026099999995</v>
      </c>
      <c r="AI130" s="75">
        <f t="shared" si="17"/>
        <v>13170</v>
      </c>
      <c r="AJ130" s="78">
        <f t="shared" si="18"/>
        <v>1931.6</v>
      </c>
      <c r="AK130" s="72">
        <f t="shared" si="19"/>
        <v>15101.6</v>
      </c>
    </row>
    <row r="131" spans="1:37" ht="15.95" customHeight="1">
      <c r="A131" s="25" t="s">
        <v>462</v>
      </c>
      <c r="B131" s="25" t="s">
        <v>463</v>
      </c>
      <c r="C131" s="26" t="s">
        <v>21</v>
      </c>
      <c r="D131" s="26" t="s">
        <v>536</v>
      </c>
      <c r="E131" s="26" t="s">
        <v>16</v>
      </c>
      <c r="F131" s="26" t="s">
        <v>565</v>
      </c>
      <c r="G131" s="26"/>
      <c r="H131" s="27" t="s">
        <v>185</v>
      </c>
      <c r="I131" s="26" t="s">
        <v>27</v>
      </c>
      <c r="J131" s="28" t="s">
        <v>43</v>
      </c>
      <c r="K131" s="123">
        <v>150</v>
      </c>
      <c r="L131" s="29">
        <v>24.677649999999996</v>
      </c>
      <c r="M131" s="110">
        <v>16.95</v>
      </c>
      <c r="N131" s="30">
        <v>0.28199999999999997</v>
      </c>
      <c r="O131" s="116">
        <v>4.7798999999999996</v>
      </c>
      <c r="P131" s="30">
        <v>7.4999999999999997E-2</v>
      </c>
      <c r="Q131" s="116">
        <v>1.27125</v>
      </c>
      <c r="R131" s="30">
        <v>7.0000000000000007E-2</v>
      </c>
      <c r="S131" s="116">
        <v>1.1865000000000001</v>
      </c>
      <c r="T131" s="117">
        <v>0.49</v>
      </c>
      <c r="U131" s="39">
        <v>600</v>
      </c>
      <c r="V131" s="32">
        <v>74</v>
      </c>
      <c r="W131" s="33"/>
      <c r="X131" s="32"/>
      <c r="Y131" s="32"/>
      <c r="Z131" s="32"/>
      <c r="AA131" s="34">
        <v>6</v>
      </c>
      <c r="AB131" s="35">
        <f t="shared" si="10"/>
        <v>680</v>
      </c>
      <c r="AC131" s="75">
        <f t="shared" si="11"/>
        <v>90000</v>
      </c>
      <c r="AD131" s="78">
        <f t="shared" si="12"/>
        <v>12000</v>
      </c>
      <c r="AE131" s="72">
        <f t="shared" si="13"/>
        <v>102000</v>
      </c>
      <c r="AF131" s="75">
        <f t="shared" si="14"/>
        <v>14806.589999999998</v>
      </c>
      <c r="AG131" s="78">
        <f t="shared" si="15"/>
        <v>1927.8460999999998</v>
      </c>
      <c r="AH131" s="72">
        <f t="shared" si="16"/>
        <v>16734.436099999999</v>
      </c>
      <c r="AI131" s="75">
        <f t="shared" si="17"/>
        <v>10170</v>
      </c>
      <c r="AJ131" s="78">
        <f t="shared" si="18"/>
        <v>1356</v>
      </c>
      <c r="AK131" s="72">
        <f t="shared" si="19"/>
        <v>11526</v>
      </c>
    </row>
    <row r="132" spans="1:37" ht="15.95" customHeight="1">
      <c r="A132" s="25" t="s">
        <v>462</v>
      </c>
      <c r="B132" s="25" t="s">
        <v>463</v>
      </c>
      <c r="C132" s="26" t="s">
        <v>14</v>
      </c>
      <c r="D132" s="26" t="s">
        <v>536</v>
      </c>
      <c r="E132" s="26" t="s">
        <v>16</v>
      </c>
      <c r="F132" s="26" t="s">
        <v>564</v>
      </c>
      <c r="G132" s="26"/>
      <c r="H132" s="27" t="s">
        <v>185</v>
      </c>
      <c r="I132" s="26" t="s">
        <v>27</v>
      </c>
      <c r="J132" s="28" t="s">
        <v>41</v>
      </c>
      <c r="K132" s="123">
        <v>175</v>
      </c>
      <c r="L132" s="29">
        <v>31.812649999999994</v>
      </c>
      <c r="M132" s="110">
        <v>21.95</v>
      </c>
      <c r="N132" s="30">
        <v>0.28199999999999997</v>
      </c>
      <c r="O132" s="116">
        <v>6.1898999999999988</v>
      </c>
      <c r="P132" s="30">
        <v>7.4999999999999997E-2</v>
      </c>
      <c r="Q132" s="116">
        <v>1.64625</v>
      </c>
      <c r="R132" s="30">
        <v>7.0000000000000007E-2</v>
      </c>
      <c r="S132" s="116">
        <v>1.5365000000000002</v>
      </c>
      <c r="T132" s="117">
        <v>0.49</v>
      </c>
      <c r="U132" s="39">
        <v>600</v>
      </c>
      <c r="V132" s="32">
        <v>127</v>
      </c>
      <c r="W132" s="33"/>
      <c r="X132" s="32"/>
      <c r="Y132" s="32"/>
      <c r="Z132" s="32"/>
      <c r="AA132" s="34">
        <v>6</v>
      </c>
      <c r="AB132" s="35">
        <f t="shared" si="10"/>
        <v>733</v>
      </c>
      <c r="AC132" s="75">
        <f t="shared" si="11"/>
        <v>105000</v>
      </c>
      <c r="AD132" s="78">
        <f t="shared" si="12"/>
        <v>23275</v>
      </c>
      <c r="AE132" s="72">
        <f t="shared" si="13"/>
        <v>128275</v>
      </c>
      <c r="AF132" s="75">
        <f t="shared" si="14"/>
        <v>19087.589999999997</v>
      </c>
      <c r="AG132" s="78">
        <f t="shared" si="15"/>
        <v>4171.9065499999997</v>
      </c>
      <c r="AH132" s="72">
        <f t="shared" si="16"/>
        <v>23259.496549999996</v>
      </c>
      <c r="AI132" s="75">
        <f t="shared" si="17"/>
        <v>13170</v>
      </c>
      <c r="AJ132" s="78">
        <f t="shared" si="18"/>
        <v>2919.35</v>
      </c>
      <c r="AK132" s="72">
        <f t="shared" si="19"/>
        <v>16089.35</v>
      </c>
    </row>
    <row r="133" spans="1:37" ht="15.95" customHeight="1">
      <c r="A133" s="25" t="s">
        <v>462</v>
      </c>
      <c r="B133" s="25" t="s">
        <v>463</v>
      </c>
      <c r="C133" s="26" t="s">
        <v>21</v>
      </c>
      <c r="D133" s="26" t="s">
        <v>536</v>
      </c>
      <c r="E133" s="26" t="s">
        <v>16</v>
      </c>
      <c r="F133" s="26" t="s">
        <v>565</v>
      </c>
      <c r="G133" s="26"/>
      <c r="H133" s="27" t="s">
        <v>185</v>
      </c>
      <c r="I133" s="26" t="s">
        <v>27</v>
      </c>
      <c r="J133" s="28" t="s">
        <v>43</v>
      </c>
      <c r="K133" s="123">
        <v>150</v>
      </c>
      <c r="L133" s="29">
        <v>24.677649999999996</v>
      </c>
      <c r="M133" s="110">
        <v>16.95</v>
      </c>
      <c r="N133" s="30">
        <v>0.28199999999999997</v>
      </c>
      <c r="O133" s="116">
        <v>4.7798999999999996</v>
      </c>
      <c r="P133" s="30">
        <v>7.4999999999999997E-2</v>
      </c>
      <c r="Q133" s="116">
        <v>1.27125</v>
      </c>
      <c r="R133" s="30">
        <v>7.0000000000000007E-2</v>
      </c>
      <c r="S133" s="116">
        <v>1.1865000000000001</v>
      </c>
      <c r="T133" s="117">
        <v>0.49</v>
      </c>
      <c r="U133" s="39">
        <v>600</v>
      </c>
      <c r="V133" s="32">
        <v>127</v>
      </c>
      <c r="W133" s="33"/>
      <c r="X133" s="32"/>
      <c r="Y133" s="32"/>
      <c r="Z133" s="32"/>
      <c r="AA133" s="34">
        <v>6</v>
      </c>
      <c r="AB133" s="35">
        <f t="shared" ref="AB133:AB183" si="20">SUM(U133:AA133)</f>
        <v>733</v>
      </c>
      <c r="AC133" s="75">
        <f t="shared" ref="AC133:AC183" si="21">$K133*U133</f>
        <v>90000</v>
      </c>
      <c r="AD133" s="78">
        <f t="shared" ref="AD133:AD183" si="22">$K133*SUM(V133:AA133)</f>
        <v>19950</v>
      </c>
      <c r="AE133" s="72">
        <f t="shared" ref="AE133:AE183" si="23">SUM(AC133:AD133)</f>
        <v>109950</v>
      </c>
      <c r="AF133" s="75">
        <f t="shared" ref="AF133:AF183" si="24">$L133*U133</f>
        <v>14806.589999999998</v>
      </c>
      <c r="AG133" s="78">
        <f t="shared" ref="AG133:AG183" si="25">$L133*SUM(V133:W133)+M133*SUM(X133:AA133)</f>
        <v>3235.7615499999993</v>
      </c>
      <c r="AH133" s="72">
        <f t="shared" ref="AH133:AH183" si="26">SUM(AF133:AG133)</f>
        <v>18042.351549999999</v>
      </c>
      <c r="AI133" s="75">
        <f t="shared" ref="AI133:AI183" si="27">$M133*U133</f>
        <v>10170</v>
      </c>
      <c r="AJ133" s="78">
        <f t="shared" ref="AJ133:AJ183" si="28">$M133*SUM(V133:AA133)</f>
        <v>2254.35</v>
      </c>
      <c r="AK133" s="72">
        <f t="shared" ref="AK133:AK183" si="29">SUM(AI133:AJ133)</f>
        <v>12424.35</v>
      </c>
    </row>
    <row r="134" spans="1:37" ht="15.95" customHeight="1">
      <c r="A134" s="25" t="s">
        <v>462</v>
      </c>
      <c r="B134" s="25" t="s">
        <v>463</v>
      </c>
      <c r="C134" s="26" t="s">
        <v>14</v>
      </c>
      <c r="D134" s="26" t="s">
        <v>536</v>
      </c>
      <c r="E134" s="26" t="s">
        <v>16</v>
      </c>
      <c r="F134" s="26" t="s">
        <v>566</v>
      </c>
      <c r="G134" s="26"/>
      <c r="H134" s="27" t="s">
        <v>185</v>
      </c>
      <c r="I134" s="26" t="s">
        <v>27</v>
      </c>
      <c r="J134" s="28" t="s">
        <v>41</v>
      </c>
      <c r="K134" s="125">
        <v>180</v>
      </c>
      <c r="L134" s="29">
        <v>34.024500000000003</v>
      </c>
      <c r="M134" s="110">
        <v>23.5</v>
      </c>
      <c r="N134" s="30">
        <v>0.28199999999999997</v>
      </c>
      <c r="O134" s="116">
        <v>6.6269999999999998</v>
      </c>
      <c r="P134" s="30">
        <v>7.4999999999999997E-2</v>
      </c>
      <c r="Q134" s="116">
        <v>1.7625</v>
      </c>
      <c r="R134" s="30">
        <v>7.0000000000000007E-2</v>
      </c>
      <c r="S134" s="116">
        <v>1.6450000000000002</v>
      </c>
      <c r="T134" s="117">
        <v>0.49</v>
      </c>
      <c r="U134" s="39">
        <v>400</v>
      </c>
      <c r="V134" s="32">
        <v>24</v>
      </c>
      <c r="W134" s="33"/>
      <c r="X134" s="32"/>
      <c r="Y134" s="32"/>
      <c r="Z134" s="32"/>
      <c r="AA134" s="34"/>
      <c r="AB134" s="35">
        <f t="shared" si="20"/>
        <v>424</v>
      </c>
      <c r="AC134" s="75">
        <f t="shared" si="21"/>
        <v>72000</v>
      </c>
      <c r="AD134" s="78">
        <f t="shared" si="22"/>
        <v>4320</v>
      </c>
      <c r="AE134" s="72">
        <f t="shared" si="23"/>
        <v>76320</v>
      </c>
      <c r="AF134" s="75">
        <f t="shared" si="24"/>
        <v>13609.800000000001</v>
      </c>
      <c r="AG134" s="78">
        <f t="shared" si="25"/>
        <v>816.58800000000008</v>
      </c>
      <c r="AH134" s="72">
        <f t="shared" si="26"/>
        <v>14426.388000000001</v>
      </c>
      <c r="AI134" s="75">
        <f t="shared" si="27"/>
        <v>9400</v>
      </c>
      <c r="AJ134" s="78">
        <f t="shared" si="28"/>
        <v>564</v>
      </c>
      <c r="AK134" s="72">
        <f t="shared" si="29"/>
        <v>9964</v>
      </c>
    </row>
    <row r="135" spans="1:37" ht="15.95" customHeight="1">
      <c r="A135" s="25" t="s">
        <v>462</v>
      </c>
      <c r="B135" s="25" t="s">
        <v>463</v>
      </c>
      <c r="C135" s="26" t="s">
        <v>21</v>
      </c>
      <c r="D135" s="26" t="s">
        <v>536</v>
      </c>
      <c r="E135" s="26" t="s">
        <v>16</v>
      </c>
      <c r="F135" s="26" t="s">
        <v>567</v>
      </c>
      <c r="G135" s="26"/>
      <c r="H135" s="27" t="s">
        <v>185</v>
      </c>
      <c r="I135" s="26" t="s">
        <v>27</v>
      </c>
      <c r="J135" s="28" t="s">
        <v>43</v>
      </c>
      <c r="K135" s="125">
        <v>150</v>
      </c>
      <c r="L135" s="29">
        <v>25.462499999999999</v>
      </c>
      <c r="M135" s="110">
        <v>17.5</v>
      </c>
      <c r="N135" s="30">
        <v>0.28199999999999997</v>
      </c>
      <c r="O135" s="116">
        <v>4.9349999999999996</v>
      </c>
      <c r="P135" s="30">
        <v>7.4999999999999997E-2</v>
      </c>
      <c r="Q135" s="116">
        <v>1.3125</v>
      </c>
      <c r="R135" s="30">
        <v>7.0000000000000007E-2</v>
      </c>
      <c r="S135" s="116">
        <v>1.2250000000000001</v>
      </c>
      <c r="T135" s="117">
        <v>0.49</v>
      </c>
      <c r="U135" s="39">
        <v>400</v>
      </c>
      <c r="V135" s="32">
        <v>27</v>
      </c>
      <c r="W135" s="33"/>
      <c r="X135" s="32"/>
      <c r="Y135" s="32"/>
      <c r="Z135" s="32"/>
      <c r="AA135" s="34"/>
      <c r="AB135" s="35">
        <f t="shared" si="20"/>
        <v>427</v>
      </c>
      <c r="AC135" s="75">
        <f t="shared" si="21"/>
        <v>60000</v>
      </c>
      <c r="AD135" s="78">
        <f t="shared" si="22"/>
        <v>4050</v>
      </c>
      <c r="AE135" s="72">
        <f t="shared" si="23"/>
        <v>64050</v>
      </c>
      <c r="AF135" s="75">
        <f t="shared" si="24"/>
        <v>10185</v>
      </c>
      <c r="AG135" s="78">
        <f t="shared" si="25"/>
        <v>687.48749999999995</v>
      </c>
      <c r="AH135" s="72">
        <f t="shared" si="26"/>
        <v>10872.487499999999</v>
      </c>
      <c r="AI135" s="75">
        <f t="shared" si="27"/>
        <v>7000</v>
      </c>
      <c r="AJ135" s="78">
        <f t="shared" si="28"/>
        <v>472.5</v>
      </c>
      <c r="AK135" s="72">
        <f t="shared" si="29"/>
        <v>7472.5</v>
      </c>
    </row>
    <row r="136" spans="1:37" ht="15.95" customHeight="1">
      <c r="A136" s="25" t="s">
        <v>462</v>
      </c>
      <c r="B136" s="25" t="s">
        <v>463</v>
      </c>
      <c r="C136" s="26" t="s">
        <v>14</v>
      </c>
      <c r="D136" s="26" t="s">
        <v>536</v>
      </c>
      <c r="E136" s="26" t="s">
        <v>16</v>
      </c>
      <c r="F136" s="26" t="s">
        <v>566</v>
      </c>
      <c r="G136" s="26"/>
      <c r="H136" s="27" t="s">
        <v>546</v>
      </c>
      <c r="I136" s="26" t="s">
        <v>27</v>
      </c>
      <c r="J136" s="28" t="s">
        <v>41</v>
      </c>
      <c r="K136" s="123">
        <v>180</v>
      </c>
      <c r="L136" s="29">
        <v>34.024500000000003</v>
      </c>
      <c r="M136" s="110">
        <v>23.5</v>
      </c>
      <c r="N136" s="30">
        <v>0.28199999999999997</v>
      </c>
      <c r="O136" s="116">
        <v>6.6269999999999998</v>
      </c>
      <c r="P136" s="30">
        <v>7.4999999999999997E-2</v>
      </c>
      <c r="Q136" s="116">
        <v>1.7625</v>
      </c>
      <c r="R136" s="30">
        <v>7.0000000000000007E-2</v>
      </c>
      <c r="S136" s="116">
        <v>1.6450000000000002</v>
      </c>
      <c r="T136" s="117">
        <v>0.49</v>
      </c>
      <c r="U136" s="39">
        <v>501</v>
      </c>
      <c r="V136" s="32">
        <v>160</v>
      </c>
      <c r="W136" s="33"/>
      <c r="X136" s="32"/>
      <c r="Y136" s="32"/>
      <c r="Z136" s="32">
        <v>16</v>
      </c>
      <c r="AA136" s="34"/>
      <c r="AB136" s="35">
        <f t="shared" si="20"/>
        <v>677</v>
      </c>
      <c r="AC136" s="75">
        <f t="shared" si="21"/>
        <v>90180</v>
      </c>
      <c r="AD136" s="78">
        <f t="shared" si="22"/>
        <v>31680</v>
      </c>
      <c r="AE136" s="72">
        <f t="shared" si="23"/>
        <v>121860</v>
      </c>
      <c r="AF136" s="75">
        <f t="shared" si="24"/>
        <v>17046.274500000003</v>
      </c>
      <c r="AG136" s="78">
        <f t="shared" si="25"/>
        <v>5819.92</v>
      </c>
      <c r="AH136" s="72">
        <f t="shared" si="26"/>
        <v>22866.194500000005</v>
      </c>
      <c r="AI136" s="75">
        <f t="shared" si="27"/>
        <v>11773.5</v>
      </c>
      <c r="AJ136" s="78">
        <f t="shared" si="28"/>
        <v>4136</v>
      </c>
      <c r="AK136" s="72">
        <f t="shared" si="29"/>
        <v>15909.5</v>
      </c>
    </row>
    <row r="137" spans="1:37" ht="15.95" customHeight="1">
      <c r="A137" s="25" t="s">
        <v>462</v>
      </c>
      <c r="B137" s="25" t="s">
        <v>463</v>
      </c>
      <c r="C137" s="26" t="s">
        <v>21</v>
      </c>
      <c r="D137" s="26" t="s">
        <v>536</v>
      </c>
      <c r="E137" s="26" t="s">
        <v>16</v>
      </c>
      <c r="F137" s="26" t="s">
        <v>567</v>
      </c>
      <c r="G137" s="26"/>
      <c r="H137" s="27" t="s">
        <v>546</v>
      </c>
      <c r="I137" s="26" t="s">
        <v>27</v>
      </c>
      <c r="J137" s="28" t="s">
        <v>43</v>
      </c>
      <c r="K137" s="123">
        <v>150</v>
      </c>
      <c r="L137" s="29">
        <v>25.462499999999999</v>
      </c>
      <c r="M137" s="110">
        <v>17.5</v>
      </c>
      <c r="N137" s="30">
        <v>0.28199999999999997</v>
      </c>
      <c r="O137" s="116">
        <v>4.9349999999999996</v>
      </c>
      <c r="P137" s="30">
        <v>7.4999999999999997E-2</v>
      </c>
      <c r="Q137" s="116">
        <v>1.3125</v>
      </c>
      <c r="R137" s="30">
        <v>7.0000000000000007E-2</v>
      </c>
      <c r="S137" s="116">
        <v>1.2250000000000001</v>
      </c>
      <c r="T137" s="117">
        <v>0.49</v>
      </c>
      <c r="U137" s="39">
        <v>501</v>
      </c>
      <c r="V137" s="32">
        <v>161</v>
      </c>
      <c r="W137" s="33"/>
      <c r="X137" s="32"/>
      <c r="Y137" s="32"/>
      <c r="Z137" s="32">
        <v>12</v>
      </c>
      <c r="AA137" s="34"/>
      <c r="AB137" s="35">
        <f t="shared" si="20"/>
        <v>674</v>
      </c>
      <c r="AC137" s="75">
        <f t="shared" si="21"/>
        <v>75150</v>
      </c>
      <c r="AD137" s="78">
        <f t="shared" si="22"/>
        <v>25950</v>
      </c>
      <c r="AE137" s="72">
        <f t="shared" si="23"/>
        <v>101100</v>
      </c>
      <c r="AF137" s="75">
        <f t="shared" si="24"/>
        <v>12756.7125</v>
      </c>
      <c r="AG137" s="78">
        <f t="shared" si="25"/>
        <v>4309.4624999999996</v>
      </c>
      <c r="AH137" s="72">
        <f t="shared" si="26"/>
        <v>17066.174999999999</v>
      </c>
      <c r="AI137" s="75">
        <f t="shared" si="27"/>
        <v>8767.5</v>
      </c>
      <c r="AJ137" s="78">
        <f t="shared" si="28"/>
        <v>3027.5</v>
      </c>
      <c r="AK137" s="72">
        <f t="shared" si="29"/>
        <v>11795</v>
      </c>
    </row>
    <row r="138" spans="1:37" ht="15.95" customHeight="1">
      <c r="A138" s="25" t="s">
        <v>462</v>
      </c>
      <c r="B138" s="25" t="s">
        <v>463</v>
      </c>
      <c r="C138" s="26" t="s">
        <v>76</v>
      </c>
      <c r="D138" s="26" t="s">
        <v>536</v>
      </c>
      <c r="E138" s="26" t="s">
        <v>16</v>
      </c>
      <c r="F138" s="26" t="s">
        <v>568</v>
      </c>
      <c r="G138" s="26"/>
      <c r="H138" s="27" t="s">
        <v>546</v>
      </c>
      <c r="I138" s="26" t="s">
        <v>27</v>
      </c>
      <c r="J138" s="28" t="s">
        <v>80</v>
      </c>
      <c r="K138" s="123">
        <v>150</v>
      </c>
      <c r="L138" s="29">
        <v>32.646750000000004</v>
      </c>
      <c r="M138" s="111">
        <v>21.95</v>
      </c>
      <c r="N138" s="30">
        <v>0.32</v>
      </c>
      <c r="O138" s="116">
        <v>7.024</v>
      </c>
      <c r="P138" s="30">
        <v>7.4999999999999997E-2</v>
      </c>
      <c r="Q138" s="116">
        <v>1.64625</v>
      </c>
      <c r="R138" s="30">
        <v>7.0000000000000007E-2</v>
      </c>
      <c r="S138" s="116">
        <v>1.5365000000000002</v>
      </c>
      <c r="T138" s="117">
        <v>0.49</v>
      </c>
      <c r="U138" s="39">
        <v>351</v>
      </c>
      <c r="V138" s="32">
        <v>36</v>
      </c>
      <c r="W138" s="33"/>
      <c r="X138" s="32"/>
      <c r="Y138" s="32"/>
      <c r="Z138" s="32"/>
      <c r="AA138" s="34">
        <v>6</v>
      </c>
      <c r="AB138" s="35">
        <f t="shared" si="20"/>
        <v>393</v>
      </c>
      <c r="AC138" s="75">
        <f t="shared" si="21"/>
        <v>52650</v>
      </c>
      <c r="AD138" s="78">
        <f t="shared" si="22"/>
        <v>6300</v>
      </c>
      <c r="AE138" s="72">
        <f t="shared" si="23"/>
        <v>58950</v>
      </c>
      <c r="AF138" s="75">
        <f t="shared" si="24"/>
        <v>11459.009250000001</v>
      </c>
      <c r="AG138" s="78">
        <f t="shared" si="25"/>
        <v>1306.9830000000002</v>
      </c>
      <c r="AH138" s="72">
        <f t="shared" si="26"/>
        <v>12765.992250000001</v>
      </c>
      <c r="AI138" s="75">
        <f t="shared" si="27"/>
        <v>7704.45</v>
      </c>
      <c r="AJ138" s="78">
        <f t="shared" si="28"/>
        <v>921.9</v>
      </c>
      <c r="AK138" s="72">
        <f t="shared" si="29"/>
        <v>8626.35</v>
      </c>
    </row>
    <row r="139" spans="1:37" ht="15.95" customHeight="1">
      <c r="A139" s="25" t="s">
        <v>462</v>
      </c>
      <c r="B139" s="25" t="s">
        <v>463</v>
      </c>
      <c r="C139" s="26" t="s">
        <v>76</v>
      </c>
      <c r="D139" s="26" t="s">
        <v>536</v>
      </c>
      <c r="E139" s="26" t="s">
        <v>16</v>
      </c>
      <c r="F139" s="26" t="s">
        <v>568</v>
      </c>
      <c r="G139" s="26"/>
      <c r="H139" s="27" t="s">
        <v>546</v>
      </c>
      <c r="I139" s="26" t="s">
        <v>27</v>
      </c>
      <c r="J139" s="28" t="s">
        <v>80</v>
      </c>
      <c r="K139" s="123">
        <v>150</v>
      </c>
      <c r="L139" s="29">
        <v>32.646750000000004</v>
      </c>
      <c r="M139" s="110">
        <v>21.95</v>
      </c>
      <c r="N139" s="30">
        <v>0.32</v>
      </c>
      <c r="O139" s="116">
        <v>7.024</v>
      </c>
      <c r="P139" s="30">
        <v>7.4999999999999997E-2</v>
      </c>
      <c r="Q139" s="116">
        <v>1.64625</v>
      </c>
      <c r="R139" s="30">
        <v>7.0000000000000007E-2</v>
      </c>
      <c r="S139" s="116">
        <v>1.5365000000000002</v>
      </c>
      <c r="T139" s="117">
        <v>0.49</v>
      </c>
      <c r="U139" s="39">
        <v>351</v>
      </c>
      <c r="V139" s="32">
        <v>79</v>
      </c>
      <c r="W139" s="33"/>
      <c r="X139" s="32"/>
      <c r="Y139" s="32"/>
      <c r="Z139" s="32"/>
      <c r="AA139" s="34">
        <v>6</v>
      </c>
      <c r="AB139" s="35">
        <f t="shared" si="20"/>
        <v>436</v>
      </c>
      <c r="AC139" s="75">
        <f t="shared" si="21"/>
        <v>52650</v>
      </c>
      <c r="AD139" s="78">
        <f t="shared" si="22"/>
        <v>12750</v>
      </c>
      <c r="AE139" s="72">
        <f t="shared" si="23"/>
        <v>65400</v>
      </c>
      <c r="AF139" s="75">
        <f t="shared" si="24"/>
        <v>11459.009250000001</v>
      </c>
      <c r="AG139" s="78">
        <f t="shared" si="25"/>
        <v>2710.7932500000002</v>
      </c>
      <c r="AH139" s="72">
        <f t="shared" si="26"/>
        <v>14169.802500000002</v>
      </c>
      <c r="AI139" s="75">
        <f t="shared" si="27"/>
        <v>7704.45</v>
      </c>
      <c r="AJ139" s="78">
        <f t="shared" si="28"/>
        <v>1865.75</v>
      </c>
      <c r="AK139" s="72">
        <f t="shared" si="29"/>
        <v>9570.2000000000007</v>
      </c>
    </row>
    <row r="140" spans="1:37" ht="15.95" customHeight="1">
      <c r="A140" s="25" t="s">
        <v>462</v>
      </c>
      <c r="B140" s="25" t="s">
        <v>463</v>
      </c>
      <c r="C140" s="26" t="s">
        <v>24</v>
      </c>
      <c r="D140" s="26" t="s">
        <v>536</v>
      </c>
      <c r="E140" s="26" t="s">
        <v>16</v>
      </c>
      <c r="F140" s="26" t="s">
        <v>569</v>
      </c>
      <c r="G140" s="26"/>
      <c r="H140" s="27" t="s">
        <v>570</v>
      </c>
      <c r="I140" s="26" t="s">
        <v>27</v>
      </c>
      <c r="J140" s="28" t="s">
        <v>28</v>
      </c>
      <c r="K140" s="123">
        <v>88</v>
      </c>
      <c r="L140" s="29">
        <v>14.407500000000001</v>
      </c>
      <c r="M140" s="110">
        <v>9.5</v>
      </c>
      <c r="N140" s="30">
        <v>0.32</v>
      </c>
      <c r="O140" s="116">
        <v>3.04</v>
      </c>
      <c r="P140" s="30">
        <v>7.4999999999999997E-2</v>
      </c>
      <c r="Q140" s="116">
        <v>0.71250000000000002</v>
      </c>
      <c r="R140" s="30">
        <v>7.0000000000000007E-2</v>
      </c>
      <c r="S140" s="116">
        <v>0.66500000000000004</v>
      </c>
      <c r="T140" s="117">
        <v>0.49</v>
      </c>
      <c r="U140" s="39">
        <v>400</v>
      </c>
      <c r="V140" s="32"/>
      <c r="W140" s="33"/>
      <c r="X140" s="32"/>
      <c r="Y140" s="32"/>
      <c r="Z140" s="32"/>
      <c r="AA140" s="34"/>
      <c r="AB140" s="35">
        <f t="shared" si="20"/>
        <v>400</v>
      </c>
      <c r="AC140" s="75">
        <f t="shared" si="21"/>
        <v>35200</v>
      </c>
      <c r="AD140" s="78">
        <f t="shared" si="22"/>
        <v>0</v>
      </c>
      <c r="AE140" s="72">
        <f t="shared" si="23"/>
        <v>35200</v>
      </c>
      <c r="AF140" s="75">
        <f t="shared" si="24"/>
        <v>5763</v>
      </c>
      <c r="AG140" s="78">
        <f t="shared" si="25"/>
        <v>0</v>
      </c>
      <c r="AH140" s="72">
        <f t="shared" si="26"/>
        <v>5763</v>
      </c>
      <c r="AI140" s="75">
        <f t="shared" si="27"/>
        <v>3800</v>
      </c>
      <c r="AJ140" s="78">
        <f t="shared" si="28"/>
        <v>0</v>
      </c>
      <c r="AK140" s="72">
        <f t="shared" si="29"/>
        <v>3800</v>
      </c>
    </row>
    <row r="141" spans="1:37" ht="15.95" customHeight="1">
      <c r="A141" s="25" t="s">
        <v>462</v>
      </c>
      <c r="B141" s="25" t="s">
        <v>463</v>
      </c>
      <c r="C141" s="26" t="s">
        <v>24</v>
      </c>
      <c r="D141" s="26" t="s">
        <v>536</v>
      </c>
      <c r="E141" s="26" t="s">
        <v>16</v>
      </c>
      <c r="F141" s="26" t="s">
        <v>569</v>
      </c>
      <c r="G141" s="26"/>
      <c r="H141" s="27" t="s">
        <v>546</v>
      </c>
      <c r="I141" s="26" t="s">
        <v>27</v>
      </c>
      <c r="J141" s="28" t="s">
        <v>28</v>
      </c>
      <c r="K141" s="123">
        <v>88</v>
      </c>
      <c r="L141" s="29">
        <v>14.407500000000001</v>
      </c>
      <c r="M141" s="110">
        <v>9.5</v>
      </c>
      <c r="N141" s="30">
        <v>0.32</v>
      </c>
      <c r="O141" s="116">
        <v>3.04</v>
      </c>
      <c r="P141" s="30">
        <v>7.4999999999999997E-2</v>
      </c>
      <c r="Q141" s="116">
        <v>0.71250000000000002</v>
      </c>
      <c r="R141" s="30">
        <v>7.0000000000000007E-2</v>
      </c>
      <c r="S141" s="116">
        <v>0.66500000000000004</v>
      </c>
      <c r="T141" s="117">
        <v>0.49</v>
      </c>
      <c r="U141" s="39">
        <v>400</v>
      </c>
      <c r="V141" s="32">
        <v>18</v>
      </c>
      <c r="W141" s="33"/>
      <c r="X141" s="32"/>
      <c r="Y141" s="32"/>
      <c r="Z141" s="32"/>
      <c r="AA141" s="34"/>
      <c r="AB141" s="35">
        <f t="shared" si="20"/>
        <v>418</v>
      </c>
      <c r="AC141" s="75">
        <f t="shared" si="21"/>
        <v>35200</v>
      </c>
      <c r="AD141" s="78">
        <f t="shared" si="22"/>
        <v>1584</v>
      </c>
      <c r="AE141" s="72">
        <f t="shared" si="23"/>
        <v>36784</v>
      </c>
      <c r="AF141" s="75">
        <f t="shared" si="24"/>
        <v>5763</v>
      </c>
      <c r="AG141" s="78">
        <f t="shared" si="25"/>
        <v>259.33500000000004</v>
      </c>
      <c r="AH141" s="72">
        <f t="shared" si="26"/>
        <v>6022.335</v>
      </c>
      <c r="AI141" s="75">
        <f t="shared" si="27"/>
        <v>3800</v>
      </c>
      <c r="AJ141" s="78">
        <f t="shared" si="28"/>
        <v>171</v>
      </c>
      <c r="AK141" s="72">
        <f t="shared" si="29"/>
        <v>3971</v>
      </c>
    </row>
    <row r="142" spans="1:37" ht="15.95" customHeight="1">
      <c r="A142" s="25" t="s">
        <v>462</v>
      </c>
      <c r="B142" s="25" t="s">
        <v>463</v>
      </c>
      <c r="C142" s="26" t="s">
        <v>468</v>
      </c>
      <c r="D142" s="26" t="s">
        <v>536</v>
      </c>
      <c r="E142" s="26" t="s">
        <v>16</v>
      </c>
      <c r="F142" s="26" t="s">
        <v>571</v>
      </c>
      <c r="G142" s="26"/>
      <c r="H142" s="27" t="s">
        <v>546</v>
      </c>
      <c r="I142" s="26" t="s">
        <v>27</v>
      </c>
      <c r="J142" s="28" t="s">
        <v>168</v>
      </c>
      <c r="K142" s="123">
        <v>110</v>
      </c>
      <c r="L142" s="29">
        <v>19.535</v>
      </c>
      <c r="M142" s="110">
        <v>13</v>
      </c>
      <c r="N142" s="30">
        <v>0.32</v>
      </c>
      <c r="O142" s="116">
        <v>4.16</v>
      </c>
      <c r="P142" s="30">
        <v>7.4999999999999997E-2</v>
      </c>
      <c r="Q142" s="116">
        <v>0.97499999999999998</v>
      </c>
      <c r="R142" s="30">
        <v>7.0000000000000007E-2</v>
      </c>
      <c r="S142" s="116">
        <v>0.91000000000000014</v>
      </c>
      <c r="T142" s="117">
        <v>0.49</v>
      </c>
      <c r="U142" s="39">
        <v>400</v>
      </c>
      <c r="V142" s="32"/>
      <c r="W142" s="33"/>
      <c r="X142" s="32"/>
      <c r="Y142" s="32"/>
      <c r="Z142" s="32"/>
      <c r="AA142" s="34"/>
      <c r="AB142" s="35">
        <f t="shared" si="20"/>
        <v>400</v>
      </c>
      <c r="AC142" s="75">
        <f t="shared" si="21"/>
        <v>44000</v>
      </c>
      <c r="AD142" s="78">
        <f t="shared" si="22"/>
        <v>0</v>
      </c>
      <c r="AE142" s="72">
        <f t="shared" si="23"/>
        <v>44000</v>
      </c>
      <c r="AF142" s="75">
        <f t="shared" si="24"/>
        <v>7814</v>
      </c>
      <c r="AG142" s="78">
        <f t="shared" si="25"/>
        <v>0</v>
      </c>
      <c r="AH142" s="72">
        <f t="shared" si="26"/>
        <v>7814</v>
      </c>
      <c r="AI142" s="75">
        <f t="shared" si="27"/>
        <v>5200</v>
      </c>
      <c r="AJ142" s="78">
        <f t="shared" si="28"/>
        <v>0</v>
      </c>
      <c r="AK142" s="72">
        <f t="shared" si="29"/>
        <v>5200</v>
      </c>
    </row>
    <row r="143" spans="1:37" ht="15.95" customHeight="1">
      <c r="A143" s="25" t="s">
        <v>462</v>
      </c>
      <c r="B143" s="25" t="s">
        <v>463</v>
      </c>
      <c r="C143" s="26" t="s">
        <v>468</v>
      </c>
      <c r="D143" s="26" t="s">
        <v>536</v>
      </c>
      <c r="E143" s="26" t="s">
        <v>16</v>
      </c>
      <c r="F143" s="26" t="s">
        <v>571</v>
      </c>
      <c r="G143" s="26"/>
      <c r="H143" s="27" t="s">
        <v>546</v>
      </c>
      <c r="I143" s="26" t="s">
        <v>27</v>
      </c>
      <c r="J143" s="28" t="s">
        <v>168</v>
      </c>
      <c r="K143" s="123">
        <v>110</v>
      </c>
      <c r="L143" s="29">
        <v>19.535</v>
      </c>
      <c r="M143" s="110">
        <v>13</v>
      </c>
      <c r="N143" s="30">
        <v>0.32</v>
      </c>
      <c r="O143" s="116">
        <v>4.16</v>
      </c>
      <c r="P143" s="30">
        <v>7.4999999999999997E-2</v>
      </c>
      <c r="Q143" s="116">
        <v>0.97499999999999998</v>
      </c>
      <c r="R143" s="30">
        <v>7.0000000000000007E-2</v>
      </c>
      <c r="S143" s="116">
        <v>0.91000000000000014</v>
      </c>
      <c r="T143" s="117">
        <v>0.49</v>
      </c>
      <c r="U143" s="39">
        <v>400</v>
      </c>
      <c r="V143" s="32"/>
      <c r="W143" s="33"/>
      <c r="X143" s="32"/>
      <c r="Y143" s="32"/>
      <c r="Z143" s="32"/>
      <c r="AA143" s="34"/>
      <c r="AB143" s="35">
        <f t="shared" si="20"/>
        <v>400</v>
      </c>
      <c r="AC143" s="75">
        <f t="shared" si="21"/>
        <v>44000</v>
      </c>
      <c r="AD143" s="78">
        <f t="shared" si="22"/>
        <v>0</v>
      </c>
      <c r="AE143" s="72">
        <f t="shared" si="23"/>
        <v>44000</v>
      </c>
      <c r="AF143" s="75">
        <f t="shared" si="24"/>
        <v>7814</v>
      </c>
      <c r="AG143" s="78">
        <f t="shared" si="25"/>
        <v>0</v>
      </c>
      <c r="AH143" s="72">
        <f t="shared" si="26"/>
        <v>7814</v>
      </c>
      <c r="AI143" s="75">
        <f t="shared" si="27"/>
        <v>5200</v>
      </c>
      <c r="AJ143" s="78">
        <f t="shared" si="28"/>
        <v>0</v>
      </c>
      <c r="AK143" s="72">
        <f t="shared" si="29"/>
        <v>5200</v>
      </c>
    </row>
    <row r="144" spans="1:37" ht="15.95" customHeight="1">
      <c r="A144" s="25" t="s">
        <v>462</v>
      </c>
      <c r="B144" s="25" t="s">
        <v>463</v>
      </c>
      <c r="C144" s="26" t="s">
        <v>468</v>
      </c>
      <c r="D144" s="26" t="s">
        <v>536</v>
      </c>
      <c r="E144" s="26" t="s">
        <v>16</v>
      </c>
      <c r="F144" s="26" t="s">
        <v>572</v>
      </c>
      <c r="G144" s="26"/>
      <c r="H144" s="27" t="s">
        <v>546</v>
      </c>
      <c r="I144" s="26" t="s">
        <v>27</v>
      </c>
      <c r="J144" s="28" t="s">
        <v>46</v>
      </c>
      <c r="K144" s="123">
        <v>135</v>
      </c>
      <c r="L144" s="29">
        <v>26.86</v>
      </c>
      <c r="M144" s="110">
        <v>18</v>
      </c>
      <c r="N144" s="30">
        <v>0.32</v>
      </c>
      <c r="O144" s="116">
        <v>5.76</v>
      </c>
      <c r="P144" s="30">
        <v>7.4999999999999997E-2</v>
      </c>
      <c r="Q144" s="116">
        <v>1.3499999999999999</v>
      </c>
      <c r="R144" s="30">
        <v>7.0000000000000007E-2</v>
      </c>
      <c r="S144" s="116">
        <v>1.2600000000000002</v>
      </c>
      <c r="T144" s="117">
        <v>0.49</v>
      </c>
      <c r="U144" s="39">
        <v>351</v>
      </c>
      <c r="V144" s="32"/>
      <c r="W144" s="33"/>
      <c r="X144" s="32"/>
      <c r="Y144" s="32"/>
      <c r="Z144" s="32"/>
      <c r="AA144" s="34">
        <v>12</v>
      </c>
      <c r="AB144" s="35">
        <f t="shared" si="20"/>
        <v>363</v>
      </c>
      <c r="AC144" s="75">
        <f t="shared" si="21"/>
        <v>47385</v>
      </c>
      <c r="AD144" s="78">
        <f t="shared" si="22"/>
        <v>1620</v>
      </c>
      <c r="AE144" s="72">
        <f t="shared" si="23"/>
        <v>49005</v>
      </c>
      <c r="AF144" s="75">
        <f t="shared" si="24"/>
        <v>9427.86</v>
      </c>
      <c r="AG144" s="78">
        <f t="shared" si="25"/>
        <v>216</v>
      </c>
      <c r="AH144" s="72">
        <f t="shared" si="26"/>
        <v>9643.86</v>
      </c>
      <c r="AI144" s="75">
        <f t="shared" si="27"/>
        <v>6318</v>
      </c>
      <c r="AJ144" s="78">
        <f t="shared" si="28"/>
        <v>216</v>
      </c>
      <c r="AK144" s="72">
        <f t="shared" si="29"/>
        <v>6534</v>
      </c>
    </row>
    <row r="145" spans="1:37" ht="15.95" customHeight="1">
      <c r="A145" s="25" t="s">
        <v>462</v>
      </c>
      <c r="B145" s="25" t="s">
        <v>463</v>
      </c>
      <c r="C145" s="26" t="s">
        <v>267</v>
      </c>
      <c r="D145" s="26" t="s">
        <v>536</v>
      </c>
      <c r="E145" s="26" t="s">
        <v>16</v>
      </c>
      <c r="F145" s="26" t="s">
        <v>573</v>
      </c>
      <c r="G145" s="26"/>
      <c r="H145" s="27" t="s">
        <v>546</v>
      </c>
      <c r="I145" s="26" t="s">
        <v>27</v>
      </c>
      <c r="J145" s="28" t="s">
        <v>35</v>
      </c>
      <c r="K145" s="123">
        <v>100</v>
      </c>
      <c r="L145" s="29">
        <v>20.468</v>
      </c>
      <c r="M145" s="110">
        <v>14</v>
      </c>
      <c r="N145" s="30">
        <v>0.28199999999999997</v>
      </c>
      <c r="O145" s="116">
        <v>3.9479999999999995</v>
      </c>
      <c r="P145" s="30">
        <v>7.4999999999999997E-2</v>
      </c>
      <c r="Q145" s="116">
        <v>1.05</v>
      </c>
      <c r="R145" s="30">
        <v>7.0000000000000007E-2</v>
      </c>
      <c r="S145" s="116">
        <v>0.98000000000000009</v>
      </c>
      <c r="T145" s="117">
        <v>0.49</v>
      </c>
      <c r="U145" s="39">
        <v>299</v>
      </c>
      <c r="V145" s="32">
        <v>28</v>
      </c>
      <c r="W145" s="33"/>
      <c r="X145" s="32"/>
      <c r="Y145" s="32"/>
      <c r="Z145" s="32"/>
      <c r="AA145" s="34"/>
      <c r="AB145" s="35">
        <f t="shared" si="20"/>
        <v>327</v>
      </c>
      <c r="AC145" s="75">
        <f t="shared" si="21"/>
        <v>29900</v>
      </c>
      <c r="AD145" s="78">
        <f t="shared" si="22"/>
        <v>2800</v>
      </c>
      <c r="AE145" s="72">
        <f t="shared" si="23"/>
        <v>32700</v>
      </c>
      <c r="AF145" s="75">
        <f t="shared" si="24"/>
        <v>6119.9319999999998</v>
      </c>
      <c r="AG145" s="78">
        <f t="shared" si="25"/>
        <v>573.10400000000004</v>
      </c>
      <c r="AH145" s="72">
        <f t="shared" si="26"/>
        <v>6693.0360000000001</v>
      </c>
      <c r="AI145" s="75">
        <f t="shared" si="27"/>
        <v>4186</v>
      </c>
      <c r="AJ145" s="78">
        <f t="shared" si="28"/>
        <v>392</v>
      </c>
      <c r="AK145" s="72">
        <f t="shared" si="29"/>
        <v>4578</v>
      </c>
    </row>
    <row r="146" spans="1:37" ht="15.95" customHeight="1">
      <c r="A146" s="25" t="s">
        <v>462</v>
      </c>
      <c r="B146" s="25" t="s">
        <v>463</v>
      </c>
      <c r="C146" s="26" t="s">
        <v>468</v>
      </c>
      <c r="D146" s="26" t="s">
        <v>536</v>
      </c>
      <c r="E146" s="26" t="s">
        <v>16</v>
      </c>
      <c r="F146" s="26" t="s">
        <v>572</v>
      </c>
      <c r="G146" s="26"/>
      <c r="H146" s="44" t="s">
        <v>185</v>
      </c>
      <c r="I146" s="26" t="s">
        <v>27</v>
      </c>
      <c r="J146" s="28" t="s">
        <v>46</v>
      </c>
      <c r="K146" s="125">
        <v>135</v>
      </c>
      <c r="L146" s="29">
        <v>26.86</v>
      </c>
      <c r="M146" s="110">
        <v>18</v>
      </c>
      <c r="N146" s="30">
        <v>0.32</v>
      </c>
      <c r="O146" s="116">
        <v>5.76</v>
      </c>
      <c r="P146" s="30">
        <v>7.4999999999999997E-2</v>
      </c>
      <c r="Q146" s="116">
        <v>1.3499999999999999</v>
      </c>
      <c r="R146" s="30">
        <v>7.0000000000000007E-2</v>
      </c>
      <c r="S146" s="116">
        <v>1.2600000000000002</v>
      </c>
      <c r="T146" s="117">
        <v>0.49</v>
      </c>
      <c r="U146" s="39">
        <v>351</v>
      </c>
      <c r="V146" s="32"/>
      <c r="W146" s="33"/>
      <c r="X146" s="32"/>
      <c r="Y146" s="32"/>
      <c r="Z146" s="32"/>
      <c r="AA146" s="34">
        <v>12</v>
      </c>
      <c r="AB146" s="35">
        <f t="shared" si="20"/>
        <v>363</v>
      </c>
      <c r="AC146" s="75">
        <f t="shared" si="21"/>
        <v>47385</v>
      </c>
      <c r="AD146" s="78">
        <f t="shared" si="22"/>
        <v>1620</v>
      </c>
      <c r="AE146" s="72">
        <f t="shared" si="23"/>
        <v>49005</v>
      </c>
      <c r="AF146" s="75">
        <f t="shared" si="24"/>
        <v>9427.86</v>
      </c>
      <c r="AG146" s="78">
        <f t="shared" si="25"/>
        <v>216</v>
      </c>
      <c r="AH146" s="72">
        <f t="shared" si="26"/>
        <v>9643.86</v>
      </c>
      <c r="AI146" s="75">
        <f t="shared" si="27"/>
        <v>6318</v>
      </c>
      <c r="AJ146" s="78">
        <f t="shared" si="28"/>
        <v>216</v>
      </c>
      <c r="AK146" s="72">
        <f t="shared" si="29"/>
        <v>6534</v>
      </c>
    </row>
    <row r="147" spans="1:37" ht="15.95" customHeight="1">
      <c r="A147" s="25" t="s">
        <v>462</v>
      </c>
      <c r="B147" s="25" t="s">
        <v>463</v>
      </c>
      <c r="C147" s="26" t="s">
        <v>267</v>
      </c>
      <c r="D147" s="26" t="s">
        <v>536</v>
      </c>
      <c r="E147" s="26" t="s">
        <v>16</v>
      </c>
      <c r="F147" s="26" t="s">
        <v>573</v>
      </c>
      <c r="G147" s="26"/>
      <c r="H147" s="44" t="s">
        <v>185</v>
      </c>
      <c r="I147" s="26" t="s">
        <v>27</v>
      </c>
      <c r="J147" s="28" t="s">
        <v>35</v>
      </c>
      <c r="K147" s="125">
        <v>100</v>
      </c>
      <c r="L147" s="29">
        <v>20.468</v>
      </c>
      <c r="M147" s="110">
        <v>14</v>
      </c>
      <c r="N147" s="30">
        <v>0.28199999999999997</v>
      </c>
      <c r="O147" s="116">
        <v>3.9479999999999995</v>
      </c>
      <c r="P147" s="30">
        <v>7.4999999999999997E-2</v>
      </c>
      <c r="Q147" s="116">
        <v>1.05</v>
      </c>
      <c r="R147" s="30">
        <v>7.0000000000000007E-2</v>
      </c>
      <c r="S147" s="116">
        <v>0.98000000000000009</v>
      </c>
      <c r="T147" s="117">
        <v>0.49</v>
      </c>
      <c r="U147" s="39">
        <v>299</v>
      </c>
      <c r="V147" s="32">
        <v>3</v>
      </c>
      <c r="W147" s="33"/>
      <c r="X147" s="32"/>
      <c r="Y147" s="32"/>
      <c r="Z147" s="32"/>
      <c r="AA147" s="34"/>
      <c r="AB147" s="35">
        <f t="shared" si="20"/>
        <v>302</v>
      </c>
      <c r="AC147" s="75">
        <f t="shared" si="21"/>
        <v>29900</v>
      </c>
      <c r="AD147" s="78">
        <f t="shared" si="22"/>
        <v>300</v>
      </c>
      <c r="AE147" s="72">
        <f t="shared" si="23"/>
        <v>30200</v>
      </c>
      <c r="AF147" s="75">
        <f t="shared" si="24"/>
        <v>6119.9319999999998</v>
      </c>
      <c r="AG147" s="78">
        <f t="shared" si="25"/>
        <v>61.403999999999996</v>
      </c>
      <c r="AH147" s="72">
        <f t="shared" si="26"/>
        <v>6181.3359999999993</v>
      </c>
      <c r="AI147" s="75">
        <f t="shared" si="27"/>
        <v>4186</v>
      </c>
      <c r="AJ147" s="78">
        <f t="shared" si="28"/>
        <v>42</v>
      </c>
      <c r="AK147" s="72">
        <f t="shared" si="29"/>
        <v>4228</v>
      </c>
    </row>
    <row r="148" spans="1:37" ht="15.95" customHeight="1">
      <c r="A148" s="25" t="s">
        <v>462</v>
      </c>
      <c r="B148" s="25" t="s">
        <v>463</v>
      </c>
      <c r="C148" s="26" t="s">
        <v>14</v>
      </c>
      <c r="D148" s="26" t="s">
        <v>536</v>
      </c>
      <c r="E148" s="26" t="s">
        <v>16</v>
      </c>
      <c r="F148" s="26" t="s">
        <v>574</v>
      </c>
      <c r="G148" s="26"/>
      <c r="H148" s="44" t="s">
        <v>575</v>
      </c>
      <c r="I148" s="26" t="s">
        <v>27</v>
      </c>
      <c r="J148" s="28" t="s">
        <v>41</v>
      </c>
      <c r="K148" s="123">
        <v>195</v>
      </c>
      <c r="L148" s="29">
        <v>38.947650000000003</v>
      </c>
      <c r="M148" s="110">
        <v>26.95</v>
      </c>
      <c r="N148" s="30">
        <v>0.28199999999999997</v>
      </c>
      <c r="O148" s="116">
        <v>7.599899999999999</v>
      </c>
      <c r="P148" s="30">
        <v>7.4999999999999997E-2</v>
      </c>
      <c r="Q148" s="116">
        <v>2.0212499999999998</v>
      </c>
      <c r="R148" s="30">
        <v>7.0000000000000007E-2</v>
      </c>
      <c r="S148" s="116">
        <v>1.8865000000000001</v>
      </c>
      <c r="T148" s="117">
        <v>0.49</v>
      </c>
      <c r="U148" s="39">
        <v>400</v>
      </c>
      <c r="V148" s="32">
        <v>98</v>
      </c>
      <c r="W148" s="33"/>
      <c r="X148" s="32"/>
      <c r="Y148" s="32"/>
      <c r="Z148" s="32"/>
      <c r="AA148" s="34">
        <v>12</v>
      </c>
      <c r="AB148" s="35">
        <f t="shared" si="20"/>
        <v>510</v>
      </c>
      <c r="AC148" s="75">
        <f t="shared" si="21"/>
        <v>78000</v>
      </c>
      <c r="AD148" s="78">
        <f t="shared" si="22"/>
        <v>21450</v>
      </c>
      <c r="AE148" s="72">
        <f t="shared" si="23"/>
        <v>99450</v>
      </c>
      <c r="AF148" s="75">
        <f t="shared" si="24"/>
        <v>15579.060000000001</v>
      </c>
      <c r="AG148" s="78">
        <f t="shared" si="25"/>
        <v>4140.2696999999998</v>
      </c>
      <c r="AH148" s="72">
        <f t="shared" si="26"/>
        <v>19719.329700000002</v>
      </c>
      <c r="AI148" s="75">
        <f t="shared" si="27"/>
        <v>10780</v>
      </c>
      <c r="AJ148" s="78">
        <f t="shared" si="28"/>
        <v>2964.5</v>
      </c>
      <c r="AK148" s="72">
        <f t="shared" si="29"/>
        <v>13744.5</v>
      </c>
    </row>
    <row r="149" spans="1:37" ht="15.95" customHeight="1">
      <c r="A149" s="25" t="s">
        <v>462</v>
      </c>
      <c r="B149" s="25" t="s">
        <v>463</v>
      </c>
      <c r="C149" s="26" t="s">
        <v>21</v>
      </c>
      <c r="D149" s="26" t="s">
        <v>536</v>
      </c>
      <c r="E149" s="26" t="s">
        <v>16</v>
      </c>
      <c r="F149" s="26" t="s">
        <v>576</v>
      </c>
      <c r="G149" s="26"/>
      <c r="H149" s="44" t="s">
        <v>575</v>
      </c>
      <c r="I149" s="26" t="s">
        <v>27</v>
      </c>
      <c r="J149" s="28" t="s">
        <v>43</v>
      </c>
      <c r="K149" s="123">
        <v>175</v>
      </c>
      <c r="L149" s="29">
        <v>36.521749999999997</v>
      </c>
      <c r="M149" s="110">
        <v>25.25</v>
      </c>
      <c r="N149" s="30">
        <v>0.28199999999999997</v>
      </c>
      <c r="O149" s="116">
        <v>7.1204999999999989</v>
      </c>
      <c r="P149" s="30">
        <v>7.4999999999999997E-2</v>
      </c>
      <c r="Q149" s="116">
        <v>1.8937499999999998</v>
      </c>
      <c r="R149" s="30">
        <v>7.0000000000000007E-2</v>
      </c>
      <c r="S149" s="116">
        <v>1.7675000000000001</v>
      </c>
      <c r="T149" s="117">
        <v>0.49</v>
      </c>
      <c r="U149" s="39">
        <v>400</v>
      </c>
      <c r="V149" s="32">
        <v>103</v>
      </c>
      <c r="W149" s="33"/>
      <c r="X149" s="32"/>
      <c r="Y149" s="32"/>
      <c r="Z149" s="32"/>
      <c r="AA149" s="34">
        <v>12</v>
      </c>
      <c r="AB149" s="35">
        <f t="shared" si="20"/>
        <v>515</v>
      </c>
      <c r="AC149" s="75">
        <f t="shared" si="21"/>
        <v>70000</v>
      </c>
      <c r="AD149" s="78">
        <f t="shared" si="22"/>
        <v>20125</v>
      </c>
      <c r="AE149" s="72">
        <f t="shared" si="23"/>
        <v>90125</v>
      </c>
      <c r="AF149" s="75">
        <f t="shared" si="24"/>
        <v>14608.699999999999</v>
      </c>
      <c r="AG149" s="78">
        <f t="shared" si="25"/>
        <v>4064.7402499999998</v>
      </c>
      <c r="AH149" s="72">
        <f t="shared" si="26"/>
        <v>18673.44025</v>
      </c>
      <c r="AI149" s="75">
        <f t="shared" si="27"/>
        <v>10100</v>
      </c>
      <c r="AJ149" s="78">
        <f t="shared" si="28"/>
        <v>2903.75</v>
      </c>
      <c r="AK149" s="72">
        <f t="shared" si="29"/>
        <v>13003.75</v>
      </c>
    </row>
    <row r="150" spans="1:37" ht="15.95" customHeight="1">
      <c r="A150" s="25" t="s">
        <v>462</v>
      </c>
      <c r="B150" s="25" t="s">
        <v>463</v>
      </c>
      <c r="C150" s="26" t="s">
        <v>14</v>
      </c>
      <c r="D150" s="26" t="s">
        <v>536</v>
      </c>
      <c r="E150" s="26" t="s">
        <v>16</v>
      </c>
      <c r="F150" s="26" t="s">
        <v>574</v>
      </c>
      <c r="G150" s="26"/>
      <c r="H150" s="44" t="s">
        <v>575</v>
      </c>
      <c r="I150" s="26" t="s">
        <v>27</v>
      </c>
      <c r="J150" s="28" t="s">
        <v>41</v>
      </c>
      <c r="K150" s="123">
        <v>195</v>
      </c>
      <c r="L150" s="29">
        <v>38.947650000000003</v>
      </c>
      <c r="M150" s="110">
        <v>26.95</v>
      </c>
      <c r="N150" s="30">
        <v>0.28199999999999997</v>
      </c>
      <c r="O150" s="116">
        <v>7.599899999999999</v>
      </c>
      <c r="P150" s="30">
        <v>7.4999999999999997E-2</v>
      </c>
      <c r="Q150" s="116">
        <v>2.0212499999999998</v>
      </c>
      <c r="R150" s="30">
        <v>7.0000000000000007E-2</v>
      </c>
      <c r="S150" s="116">
        <v>1.8865000000000001</v>
      </c>
      <c r="T150" s="117">
        <v>0.49</v>
      </c>
      <c r="U150" s="39">
        <v>501</v>
      </c>
      <c r="V150" s="32">
        <v>150</v>
      </c>
      <c r="W150" s="33"/>
      <c r="X150" s="32"/>
      <c r="Y150" s="32"/>
      <c r="Z150" s="32"/>
      <c r="AA150" s="34"/>
      <c r="AB150" s="35">
        <f t="shared" si="20"/>
        <v>651</v>
      </c>
      <c r="AC150" s="75">
        <f t="shared" si="21"/>
        <v>97695</v>
      </c>
      <c r="AD150" s="78">
        <f t="shared" si="22"/>
        <v>29250</v>
      </c>
      <c r="AE150" s="72">
        <f t="shared" si="23"/>
        <v>126945</v>
      </c>
      <c r="AF150" s="75">
        <f t="shared" si="24"/>
        <v>19512.772650000003</v>
      </c>
      <c r="AG150" s="78">
        <f t="shared" si="25"/>
        <v>5842.1475</v>
      </c>
      <c r="AH150" s="72">
        <f t="shared" si="26"/>
        <v>25354.920150000002</v>
      </c>
      <c r="AI150" s="75">
        <f t="shared" si="27"/>
        <v>13501.949999999999</v>
      </c>
      <c r="AJ150" s="78">
        <f t="shared" si="28"/>
        <v>4042.5</v>
      </c>
      <c r="AK150" s="72">
        <f t="shared" si="29"/>
        <v>17544.449999999997</v>
      </c>
    </row>
    <row r="151" spans="1:37" ht="15.95" customHeight="1">
      <c r="A151" s="25" t="s">
        <v>462</v>
      </c>
      <c r="B151" s="25" t="s">
        <v>463</v>
      </c>
      <c r="C151" s="26" t="s">
        <v>21</v>
      </c>
      <c r="D151" s="26" t="s">
        <v>536</v>
      </c>
      <c r="E151" s="26" t="s">
        <v>16</v>
      </c>
      <c r="F151" s="26" t="s">
        <v>576</v>
      </c>
      <c r="G151" s="26"/>
      <c r="H151" s="44" t="s">
        <v>575</v>
      </c>
      <c r="I151" s="26" t="s">
        <v>27</v>
      </c>
      <c r="J151" s="28" t="s">
        <v>43</v>
      </c>
      <c r="K151" s="123">
        <v>175</v>
      </c>
      <c r="L151" s="29">
        <v>36.521749999999997</v>
      </c>
      <c r="M151" s="110">
        <v>25.25</v>
      </c>
      <c r="N151" s="30">
        <v>0.28199999999999997</v>
      </c>
      <c r="O151" s="116">
        <v>7.1204999999999989</v>
      </c>
      <c r="P151" s="30">
        <v>7.4999999999999997E-2</v>
      </c>
      <c r="Q151" s="116">
        <v>1.8937499999999998</v>
      </c>
      <c r="R151" s="30">
        <v>7.0000000000000007E-2</v>
      </c>
      <c r="S151" s="116">
        <v>1.7675000000000001</v>
      </c>
      <c r="T151" s="117">
        <v>0.49</v>
      </c>
      <c r="U151" s="39">
        <v>501</v>
      </c>
      <c r="V151" s="32">
        <v>162</v>
      </c>
      <c r="W151" s="33"/>
      <c r="X151" s="32"/>
      <c r="Y151" s="32"/>
      <c r="Z151" s="32"/>
      <c r="AA151" s="34"/>
      <c r="AB151" s="35">
        <f t="shared" si="20"/>
        <v>663</v>
      </c>
      <c r="AC151" s="75">
        <f t="shared" si="21"/>
        <v>87675</v>
      </c>
      <c r="AD151" s="78">
        <f t="shared" si="22"/>
        <v>28350</v>
      </c>
      <c r="AE151" s="72">
        <f t="shared" si="23"/>
        <v>116025</v>
      </c>
      <c r="AF151" s="75">
        <f t="shared" si="24"/>
        <v>18297.39675</v>
      </c>
      <c r="AG151" s="78">
        <f t="shared" si="25"/>
        <v>5916.5234999999993</v>
      </c>
      <c r="AH151" s="72">
        <f t="shared" si="26"/>
        <v>24213.920249999999</v>
      </c>
      <c r="AI151" s="75">
        <f t="shared" si="27"/>
        <v>12650.25</v>
      </c>
      <c r="AJ151" s="78">
        <f t="shared" si="28"/>
        <v>4090.5</v>
      </c>
      <c r="AK151" s="72">
        <f t="shared" si="29"/>
        <v>16740.75</v>
      </c>
    </row>
    <row r="152" spans="1:37" ht="15.95" customHeight="1">
      <c r="A152" s="25" t="s">
        <v>462</v>
      </c>
      <c r="B152" s="25" t="s">
        <v>463</v>
      </c>
      <c r="C152" s="26" t="s">
        <v>468</v>
      </c>
      <c r="D152" s="26" t="s">
        <v>536</v>
      </c>
      <c r="E152" s="26" t="s">
        <v>16</v>
      </c>
      <c r="F152" s="26" t="s">
        <v>577</v>
      </c>
      <c r="G152" s="41"/>
      <c r="H152" s="44" t="s">
        <v>575</v>
      </c>
      <c r="I152" s="26" t="s">
        <v>27</v>
      </c>
      <c r="J152" s="28" t="s">
        <v>578</v>
      </c>
      <c r="K152" s="123">
        <v>175</v>
      </c>
      <c r="L152" s="29">
        <v>41.510000000000005</v>
      </c>
      <c r="M152" s="110">
        <v>28</v>
      </c>
      <c r="N152" s="30">
        <v>0.32</v>
      </c>
      <c r="O152" s="116">
        <v>8.9600000000000009</v>
      </c>
      <c r="P152" s="30">
        <v>7.4999999999999997E-2</v>
      </c>
      <c r="Q152" s="116">
        <v>2.1</v>
      </c>
      <c r="R152" s="30">
        <v>7.0000000000000007E-2</v>
      </c>
      <c r="S152" s="116">
        <v>1.9600000000000002</v>
      </c>
      <c r="T152" s="117">
        <v>0.49</v>
      </c>
      <c r="U152" s="39">
        <v>301</v>
      </c>
      <c r="V152" s="32">
        <v>10</v>
      </c>
      <c r="W152" s="33"/>
      <c r="X152" s="32"/>
      <c r="Y152" s="32"/>
      <c r="Z152" s="32"/>
      <c r="AA152" s="34"/>
      <c r="AB152" s="35">
        <f t="shared" si="20"/>
        <v>311</v>
      </c>
      <c r="AC152" s="75">
        <f t="shared" si="21"/>
        <v>52675</v>
      </c>
      <c r="AD152" s="78">
        <f t="shared" si="22"/>
        <v>1750</v>
      </c>
      <c r="AE152" s="72">
        <f t="shared" si="23"/>
        <v>54425</v>
      </c>
      <c r="AF152" s="75">
        <f t="shared" si="24"/>
        <v>12494.510000000002</v>
      </c>
      <c r="AG152" s="78">
        <f t="shared" si="25"/>
        <v>415.1</v>
      </c>
      <c r="AH152" s="72">
        <f t="shared" si="26"/>
        <v>12909.610000000002</v>
      </c>
      <c r="AI152" s="75">
        <f t="shared" si="27"/>
        <v>8428</v>
      </c>
      <c r="AJ152" s="78">
        <f t="shared" si="28"/>
        <v>280</v>
      </c>
      <c r="AK152" s="72">
        <f t="shared" si="29"/>
        <v>8708</v>
      </c>
    </row>
    <row r="153" spans="1:37" ht="15.95" customHeight="1">
      <c r="A153" s="25" t="s">
        <v>462</v>
      </c>
      <c r="B153" s="25" t="s">
        <v>463</v>
      </c>
      <c r="C153" s="26" t="s">
        <v>267</v>
      </c>
      <c r="D153" s="26" t="s">
        <v>536</v>
      </c>
      <c r="E153" s="26" t="s">
        <v>16</v>
      </c>
      <c r="F153" s="26" t="s">
        <v>579</v>
      </c>
      <c r="G153" s="41"/>
      <c r="H153" s="44" t="s">
        <v>575</v>
      </c>
      <c r="I153" s="26" t="s">
        <v>27</v>
      </c>
      <c r="J153" s="28" t="s">
        <v>35</v>
      </c>
      <c r="K153" s="123">
        <v>110</v>
      </c>
      <c r="L153" s="29">
        <v>24.035499999999999</v>
      </c>
      <c r="M153" s="110">
        <v>16.5</v>
      </c>
      <c r="N153" s="30">
        <v>0.28199999999999997</v>
      </c>
      <c r="O153" s="116">
        <v>4.6529999999999996</v>
      </c>
      <c r="P153" s="30">
        <v>7.4999999999999997E-2</v>
      </c>
      <c r="Q153" s="116">
        <v>1.2375</v>
      </c>
      <c r="R153" s="30">
        <v>7.0000000000000007E-2</v>
      </c>
      <c r="S153" s="116">
        <v>1.155</v>
      </c>
      <c r="T153" s="117">
        <v>0.49</v>
      </c>
      <c r="U153" s="39">
        <v>250</v>
      </c>
      <c r="V153" s="32"/>
      <c r="W153" s="33"/>
      <c r="X153" s="32"/>
      <c r="Y153" s="32"/>
      <c r="Z153" s="32"/>
      <c r="AA153" s="34"/>
      <c r="AB153" s="35">
        <f t="shared" si="20"/>
        <v>250</v>
      </c>
      <c r="AC153" s="75">
        <f t="shared" si="21"/>
        <v>27500</v>
      </c>
      <c r="AD153" s="78">
        <f t="shared" si="22"/>
        <v>0</v>
      </c>
      <c r="AE153" s="72">
        <f t="shared" si="23"/>
        <v>27500</v>
      </c>
      <c r="AF153" s="75">
        <f t="shared" si="24"/>
        <v>6008.875</v>
      </c>
      <c r="AG153" s="78">
        <f t="shared" si="25"/>
        <v>0</v>
      </c>
      <c r="AH153" s="72">
        <f t="shared" si="26"/>
        <v>6008.875</v>
      </c>
      <c r="AI153" s="75">
        <f t="shared" si="27"/>
        <v>4125</v>
      </c>
      <c r="AJ153" s="78">
        <f t="shared" si="28"/>
        <v>0</v>
      </c>
      <c r="AK153" s="72">
        <f t="shared" si="29"/>
        <v>4125</v>
      </c>
    </row>
    <row r="154" spans="1:37" ht="15.95" customHeight="1">
      <c r="A154" s="25" t="s">
        <v>462</v>
      </c>
      <c r="B154" s="25" t="s">
        <v>463</v>
      </c>
      <c r="C154" s="26" t="s">
        <v>14</v>
      </c>
      <c r="D154" s="26" t="s">
        <v>536</v>
      </c>
      <c r="E154" s="26" t="s">
        <v>16</v>
      </c>
      <c r="F154" s="26" t="s">
        <v>574</v>
      </c>
      <c r="G154" s="41"/>
      <c r="H154" s="44" t="s">
        <v>575</v>
      </c>
      <c r="I154" s="26" t="s">
        <v>27</v>
      </c>
      <c r="J154" s="28" t="s">
        <v>41</v>
      </c>
      <c r="K154" s="123">
        <v>195</v>
      </c>
      <c r="L154" s="29">
        <v>38.947650000000003</v>
      </c>
      <c r="M154" s="110">
        <v>26.95</v>
      </c>
      <c r="N154" s="30">
        <v>0.28199999999999997</v>
      </c>
      <c r="O154" s="116">
        <v>7.599899999999999</v>
      </c>
      <c r="P154" s="30">
        <v>7.4999999999999997E-2</v>
      </c>
      <c r="Q154" s="116">
        <v>2.0212499999999998</v>
      </c>
      <c r="R154" s="30">
        <v>7.0000000000000007E-2</v>
      </c>
      <c r="S154" s="116">
        <v>1.8865000000000001</v>
      </c>
      <c r="T154" s="117">
        <v>0.49</v>
      </c>
      <c r="U154" s="39">
        <v>600</v>
      </c>
      <c r="V154" s="32">
        <v>284</v>
      </c>
      <c r="W154" s="33"/>
      <c r="X154" s="32"/>
      <c r="Y154" s="32"/>
      <c r="Z154" s="32"/>
      <c r="AA154" s="34">
        <v>12</v>
      </c>
      <c r="AB154" s="35">
        <f t="shared" si="20"/>
        <v>896</v>
      </c>
      <c r="AC154" s="75">
        <f t="shared" si="21"/>
        <v>117000</v>
      </c>
      <c r="AD154" s="78">
        <f t="shared" si="22"/>
        <v>57720</v>
      </c>
      <c r="AE154" s="72">
        <f t="shared" si="23"/>
        <v>174720</v>
      </c>
      <c r="AF154" s="75">
        <f t="shared" si="24"/>
        <v>23368.59</v>
      </c>
      <c r="AG154" s="78">
        <f t="shared" si="25"/>
        <v>11384.5326</v>
      </c>
      <c r="AH154" s="72">
        <f t="shared" si="26"/>
        <v>34753.122600000002</v>
      </c>
      <c r="AI154" s="75">
        <f t="shared" si="27"/>
        <v>16170</v>
      </c>
      <c r="AJ154" s="78">
        <f t="shared" si="28"/>
        <v>7977.2</v>
      </c>
      <c r="AK154" s="72">
        <f t="shared" si="29"/>
        <v>24147.200000000001</v>
      </c>
    </row>
    <row r="155" spans="1:37" ht="15.95" customHeight="1">
      <c r="A155" s="25" t="s">
        <v>462</v>
      </c>
      <c r="B155" s="25" t="s">
        <v>463</v>
      </c>
      <c r="C155" s="26" t="s">
        <v>21</v>
      </c>
      <c r="D155" s="26" t="s">
        <v>536</v>
      </c>
      <c r="E155" s="26" t="s">
        <v>16</v>
      </c>
      <c r="F155" s="26" t="s">
        <v>576</v>
      </c>
      <c r="G155" s="41"/>
      <c r="H155" s="44" t="s">
        <v>575</v>
      </c>
      <c r="I155" s="26" t="s">
        <v>27</v>
      </c>
      <c r="J155" s="28" t="s">
        <v>43</v>
      </c>
      <c r="K155" s="123">
        <v>175</v>
      </c>
      <c r="L155" s="29">
        <v>36.521749999999997</v>
      </c>
      <c r="M155" s="110">
        <v>25.25</v>
      </c>
      <c r="N155" s="30">
        <v>0.28199999999999997</v>
      </c>
      <c r="O155" s="116">
        <v>7.1204999999999989</v>
      </c>
      <c r="P155" s="30">
        <v>7.4999999999999997E-2</v>
      </c>
      <c r="Q155" s="116">
        <v>1.8937499999999998</v>
      </c>
      <c r="R155" s="30">
        <v>7.0000000000000007E-2</v>
      </c>
      <c r="S155" s="116">
        <v>1.7675000000000001</v>
      </c>
      <c r="T155" s="117">
        <v>0.49</v>
      </c>
      <c r="U155" s="39">
        <v>600</v>
      </c>
      <c r="V155" s="32">
        <v>282</v>
      </c>
      <c r="W155" s="33"/>
      <c r="X155" s="32"/>
      <c r="Y155" s="32"/>
      <c r="Z155" s="32"/>
      <c r="AA155" s="34">
        <v>12</v>
      </c>
      <c r="AB155" s="35">
        <f t="shared" si="20"/>
        <v>894</v>
      </c>
      <c r="AC155" s="75">
        <f t="shared" si="21"/>
        <v>105000</v>
      </c>
      <c r="AD155" s="78">
        <f t="shared" si="22"/>
        <v>51450</v>
      </c>
      <c r="AE155" s="72">
        <f t="shared" si="23"/>
        <v>156450</v>
      </c>
      <c r="AF155" s="75">
        <f t="shared" si="24"/>
        <v>21913.05</v>
      </c>
      <c r="AG155" s="78">
        <f t="shared" si="25"/>
        <v>10602.1335</v>
      </c>
      <c r="AH155" s="72">
        <f t="shared" si="26"/>
        <v>32515.183499999999</v>
      </c>
      <c r="AI155" s="75">
        <f t="shared" si="27"/>
        <v>15150</v>
      </c>
      <c r="AJ155" s="78">
        <f t="shared" si="28"/>
        <v>7423.5</v>
      </c>
      <c r="AK155" s="72">
        <f t="shared" si="29"/>
        <v>22573.5</v>
      </c>
    </row>
    <row r="156" spans="1:37" ht="15.95" customHeight="1">
      <c r="A156" s="25" t="s">
        <v>462</v>
      </c>
      <c r="B156" s="25" t="s">
        <v>463</v>
      </c>
      <c r="C156" s="26" t="s">
        <v>468</v>
      </c>
      <c r="D156" s="26" t="s">
        <v>536</v>
      </c>
      <c r="E156" s="26" t="s">
        <v>16</v>
      </c>
      <c r="F156" s="26" t="s">
        <v>577</v>
      </c>
      <c r="G156" s="41"/>
      <c r="H156" s="44" t="s">
        <v>575</v>
      </c>
      <c r="I156" s="26" t="s">
        <v>27</v>
      </c>
      <c r="J156" s="28" t="s">
        <v>578</v>
      </c>
      <c r="K156" s="123">
        <v>175</v>
      </c>
      <c r="L156" s="29">
        <v>41.510000000000005</v>
      </c>
      <c r="M156" s="110">
        <v>28</v>
      </c>
      <c r="N156" s="30">
        <v>0.32</v>
      </c>
      <c r="O156" s="116">
        <v>8.9600000000000009</v>
      </c>
      <c r="P156" s="30">
        <v>7.4999999999999997E-2</v>
      </c>
      <c r="Q156" s="116">
        <v>2.1</v>
      </c>
      <c r="R156" s="30">
        <v>7.0000000000000007E-2</v>
      </c>
      <c r="S156" s="116">
        <v>1.9600000000000002</v>
      </c>
      <c r="T156" s="117">
        <v>0.49</v>
      </c>
      <c r="U156" s="39">
        <v>301</v>
      </c>
      <c r="V156" s="32">
        <v>10</v>
      </c>
      <c r="W156" s="33"/>
      <c r="X156" s="32"/>
      <c r="Y156" s="32"/>
      <c r="Z156" s="32"/>
      <c r="AA156" s="34"/>
      <c r="AB156" s="35">
        <f t="shared" si="20"/>
        <v>311</v>
      </c>
      <c r="AC156" s="75">
        <f t="shared" si="21"/>
        <v>52675</v>
      </c>
      <c r="AD156" s="78">
        <f t="shared" si="22"/>
        <v>1750</v>
      </c>
      <c r="AE156" s="72">
        <f t="shared" si="23"/>
        <v>54425</v>
      </c>
      <c r="AF156" s="75">
        <f t="shared" si="24"/>
        <v>12494.510000000002</v>
      </c>
      <c r="AG156" s="78">
        <f t="shared" si="25"/>
        <v>415.1</v>
      </c>
      <c r="AH156" s="72">
        <f t="shared" si="26"/>
        <v>12909.610000000002</v>
      </c>
      <c r="AI156" s="75">
        <f t="shared" si="27"/>
        <v>8428</v>
      </c>
      <c r="AJ156" s="78">
        <f t="shared" si="28"/>
        <v>280</v>
      </c>
      <c r="AK156" s="72">
        <f t="shared" si="29"/>
        <v>8708</v>
      </c>
    </row>
    <row r="157" spans="1:37" ht="15.95" customHeight="1">
      <c r="A157" s="25" t="s">
        <v>462</v>
      </c>
      <c r="B157" s="25" t="s">
        <v>463</v>
      </c>
      <c r="C157" s="26" t="s">
        <v>267</v>
      </c>
      <c r="D157" s="26" t="s">
        <v>536</v>
      </c>
      <c r="E157" s="26" t="s">
        <v>16</v>
      </c>
      <c r="F157" s="26" t="s">
        <v>579</v>
      </c>
      <c r="G157" s="41"/>
      <c r="H157" s="44" t="s">
        <v>575</v>
      </c>
      <c r="I157" s="26" t="s">
        <v>27</v>
      </c>
      <c r="J157" s="28" t="s">
        <v>35</v>
      </c>
      <c r="K157" s="123">
        <v>110</v>
      </c>
      <c r="L157" s="29">
        <v>24.035499999999999</v>
      </c>
      <c r="M157" s="110">
        <v>16.5</v>
      </c>
      <c r="N157" s="30">
        <v>0.28199999999999997</v>
      </c>
      <c r="O157" s="116">
        <v>4.6529999999999996</v>
      </c>
      <c r="P157" s="30">
        <v>7.4999999999999997E-2</v>
      </c>
      <c r="Q157" s="116">
        <v>1.2375</v>
      </c>
      <c r="R157" s="30">
        <v>7.0000000000000007E-2</v>
      </c>
      <c r="S157" s="116">
        <v>1.155</v>
      </c>
      <c r="T157" s="117">
        <v>0.49</v>
      </c>
      <c r="U157" s="39">
        <v>250</v>
      </c>
      <c r="V157" s="32"/>
      <c r="W157" s="33"/>
      <c r="X157" s="32"/>
      <c r="Y157" s="32"/>
      <c r="Z157" s="32"/>
      <c r="AA157" s="34"/>
      <c r="AB157" s="35">
        <f t="shared" si="20"/>
        <v>250</v>
      </c>
      <c r="AC157" s="75">
        <f t="shared" si="21"/>
        <v>27500</v>
      </c>
      <c r="AD157" s="78">
        <f t="shared" si="22"/>
        <v>0</v>
      </c>
      <c r="AE157" s="72">
        <f t="shared" si="23"/>
        <v>27500</v>
      </c>
      <c r="AF157" s="75">
        <f t="shared" si="24"/>
        <v>6008.875</v>
      </c>
      <c r="AG157" s="78">
        <f t="shared" si="25"/>
        <v>0</v>
      </c>
      <c r="AH157" s="72">
        <f t="shared" si="26"/>
        <v>6008.875</v>
      </c>
      <c r="AI157" s="75">
        <f t="shared" si="27"/>
        <v>4125</v>
      </c>
      <c r="AJ157" s="78">
        <f t="shared" si="28"/>
        <v>0</v>
      </c>
      <c r="AK157" s="72">
        <f t="shared" si="29"/>
        <v>4125</v>
      </c>
    </row>
    <row r="158" spans="1:37" ht="15.95" customHeight="1">
      <c r="A158" s="25" t="s">
        <v>462</v>
      </c>
      <c r="B158" s="25" t="s">
        <v>463</v>
      </c>
      <c r="C158" s="26" t="s">
        <v>167</v>
      </c>
      <c r="D158" s="26" t="s">
        <v>536</v>
      </c>
      <c r="E158" s="26" t="s">
        <v>16</v>
      </c>
      <c r="F158" s="26" t="s">
        <v>580</v>
      </c>
      <c r="G158" s="41"/>
      <c r="H158" s="44" t="s">
        <v>581</v>
      </c>
      <c r="I158" s="26" t="s">
        <v>552</v>
      </c>
      <c r="J158" s="28" t="s">
        <v>582</v>
      </c>
      <c r="K158" s="123">
        <v>295</v>
      </c>
      <c r="L158" s="29">
        <v>67.562499999999986</v>
      </c>
      <c r="M158" s="110">
        <v>49.5</v>
      </c>
      <c r="N158" s="30">
        <v>0.21</v>
      </c>
      <c r="O158" s="116">
        <v>10.395</v>
      </c>
      <c r="P158" s="30">
        <v>7.4999999999999997E-2</v>
      </c>
      <c r="Q158" s="116">
        <v>3.7124999999999999</v>
      </c>
      <c r="R158" s="30">
        <v>7.0000000000000007E-2</v>
      </c>
      <c r="S158" s="116">
        <v>3.4650000000000003</v>
      </c>
      <c r="T158" s="117">
        <v>0.49</v>
      </c>
      <c r="U158" s="39">
        <v>251</v>
      </c>
      <c r="V158" s="32">
        <v>25</v>
      </c>
      <c r="W158" s="33"/>
      <c r="X158" s="32"/>
      <c r="Y158" s="32"/>
      <c r="Z158" s="32"/>
      <c r="AA158" s="34"/>
      <c r="AB158" s="35">
        <f t="shared" si="20"/>
        <v>276</v>
      </c>
      <c r="AC158" s="75">
        <f t="shared" si="21"/>
        <v>74045</v>
      </c>
      <c r="AD158" s="78">
        <f t="shared" si="22"/>
        <v>7375</v>
      </c>
      <c r="AE158" s="72">
        <f t="shared" si="23"/>
        <v>81420</v>
      </c>
      <c r="AF158" s="75">
        <f t="shared" si="24"/>
        <v>16958.187499999996</v>
      </c>
      <c r="AG158" s="78">
        <f t="shared" si="25"/>
        <v>1689.0624999999995</v>
      </c>
      <c r="AH158" s="72">
        <f t="shared" si="26"/>
        <v>18647.249999999996</v>
      </c>
      <c r="AI158" s="75">
        <f t="shared" si="27"/>
        <v>12424.5</v>
      </c>
      <c r="AJ158" s="78">
        <f t="shared" si="28"/>
        <v>1237.5</v>
      </c>
      <c r="AK158" s="72">
        <f t="shared" si="29"/>
        <v>13662</v>
      </c>
    </row>
    <row r="159" spans="1:37" ht="15.95" customHeight="1">
      <c r="A159" s="25" t="s">
        <v>462</v>
      </c>
      <c r="B159" s="25" t="s">
        <v>463</v>
      </c>
      <c r="C159" s="26" t="s">
        <v>167</v>
      </c>
      <c r="D159" s="26" t="s">
        <v>536</v>
      </c>
      <c r="E159" s="26" t="s">
        <v>16</v>
      </c>
      <c r="F159" s="26" t="s">
        <v>580</v>
      </c>
      <c r="G159" s="41"/>
      <c r="H159" s="44" t="s">
        <v>581</v>
      </c>
      <c r="I159" s="26" t="s">
        <v>167</v>
      </c>
      <c r="J159" s="28" t="s">
        <v>582</v>
      </c>
      <c r="K159" s="123">
        <v>295</v>
      </c>
      <c r="L159" s="29">
        <v>67.562499999999986</v>
      </c>
      <c r="M159" s="110">
        <v>49.5</v>
      </c>
      <c r="N159" s="30">
        <v>0.21</v>
      </c>
      <c r="O159" s="116">
        <v>10.395</v>
      </c>
      <c r="P159" s="30">
        <v>7.4999999999999997E-2</v>
      </c>
      <c r="Q159" s="116">
        <v>3.7124999999999999</v>
      </c>
      <c r="R159" s="30">
        <v>7.0000000000000007E-2</v>
      </c>
      <c r="S159" s="116">
        <v>3.4650000000000003</v>
      </c>
      <c r="T159" s="117">
        <v>0.49</v>
      </c>
      <c r="U159" s="39">
        <v>251</v>
      </c>
      <c r="V159" s="32">
        <v>39</v>
      </c>
      <c r="W159" s="33"/>
      <c r="X159" s="32"/>
      <c r="Y159" s="32"/>
      <c r="Z159" s="32"/>
      <c r="AA159" s="34"/>
      <c r="AB159" s="35">
        <f t="shared" si="20"/>
        <v>290</v>
      </c>
      <c r="AC159" s="75">
        <f t="shared" si="21"/>
        <v>74045</v>
      </c>
      <c r="AD159" s="78">
        <f t="shared" si="22"/>
        <v>11505</v>
      </c>
      <c r="AE159" s="72">
        <f t="shared" si="23"/>
        <v>85550</v>
      </c>
      <c r="AF159" s="75">
        <f t="shared" si="24"/>
        <v>16958.187499999996</v>
      </c>
      <c r="AG159" s="78">
        <f t="shared" si="25"/>
        <v>2634.9374999999995</v>
      </c>
      <c r="AH159" s="72">
        <f t="shared" si="26"/>
        <v>19593.124999999996</v>
      </c>
      <c r="AI159" s="75">
        <f t="shared" si="27"/>
        <v>12424.5</v>
      </c>
      <c r="AJ159" s="78">
        <f t="shared" si="28"/>
        <v>1930.5</v>
      </c>
      <c r="AK159" s="72">
        <f t="shared" si="29"/>
        <v>14355</v>
      </c>
    </row>
    <row r="160" spans="1:37" ht="15.95" customHeight="1">
      <c r="A160" s="25" t="s">
        <v>462</v>
      </c>
      <c r="B160" s="25" t="s">
        <v>463</v>
      </c>
      <c r="C160" s="26" t="s">
        <v>167</v>
      </c>
      <c r="D160" s="26" t="s">
        <v>536</v>
      </c>
      <c r="E160" s="26" t="s">
        <v>16</v>
      </c>
      <c r="F160" s="26" t="s">
        <v>583</v>
      </c>
      <c r="G160" s="41"/>
      <c r="H160" s="44" t="s">
        <v>584</v>
      </c>
      <c r="I160" s="26" t="s">
        <v>167</v>
      </c>
      <c r="J160" s="28" t="s">
        <v>168</v>
      </c>
      <c r="K160" s="123">
        <v>225</v>
      </c>
      <c r="L160" s="29">
        <v>43.927250000000001</v>
      </c>
      <c r="M160" s="110">
        <v>29.65</v>
      </c>
      <c r="N160" s="30">
        <v>0.32</v>
      </c>
      <c r="O160" s="116">
        <v>9.4879999999999995</v>
      </c>
      <c r="P160" s="30">
        <v>7.4999999999999997E-2</v>
      </c>
      <c r="Q160" s="116">
        <v>2.2237499999999999</v>
      </c>
      <c r="R160" s="30">
        <v>7.0000000000000007E-2</v>
      </c>
      <c r="S160" s="116">
        <v>2.0754999999999999</v>
      </c>
      <c r="T160" s="117">
        <v>0.49</v>
      </c>
      <c r="U160" s="39">
        <v>251</v>
      </c>
      <c r="V160" s="32">
        <v>121</v>
      </c>
      <c r="W160" s="33"/>
      <c r="X160" s="32"/>
      <c r="Y160" s="32"/>
      <c r="Z160" s="32"/>
      <c r="AA160" s="34"/>
      <c r="AB160" s="35">
        <f t="shared" si="20"/>
        <v>372</v>
      </c>
      <c r="AC160" s="75">
        <f t="shared" si="21"/>
        <v>56475</v>
      </c>
      <c r="AD160" s="78">
        <f t="shared" si="22"/>
        <v>27225</v>
      </c>
      <c r="AE160" s="72">
        <f t="shared" si="23"/>
        <v>83700</v>
      </c>
      <c r="AF160" s="75">
        <f t="shared" si="24"/>
        <v>11025.739750000001</v>
      </c>
      <c r="AG160" s="78">
        <f t="shared" si="25"/>
        <v>5315.1972500000002</v>
      </c>
      <c r="AH160" s="72">
        <f t="shared" si="26"/>
        <v>16340.937000000002</v>
      </c>
      <c r="AI160" s="75">
        <f t="shared" si="27"/>
        <v>7442.15</v>
      </c>
      <c r="AJ160" s="78">
        <f t="shared" si="28"/>
        <v>3587.6499999999996</v>
      </c>
      <c r="AK160" s="72">
        <f t="shared" si="29"/>
        <v>11029.8</v>
      </c>
    </row>
    <row r="161" spans="1:37" ht="15.95" customHeight="1">
      <c r="A161" s="25" t="s">
        <v>462</v>
      </c>
      <c r="B161" s="25" t="s">
        <v>463</v>
      </c>
      <c r="C161" s="26" t="s">
        <v>167</v>
      </c>
      <c r="D161" s="26" t="s">
        <v>536</v>
      </c>
      <c r="E161" s="26" t="s">
        <v>16</v>
      </c>
      <c r="F161" s="26" t="s">
        <v>583</v>
      </c>
      <c r="G161" s="41"/>
      <c r="H161" s="44" t="s">
        <v>584</v>
      </c>
      <c r="I161" s="26" t="s">
        <v>167</v>
      </c>
      <c r="J161" s="28" t="s">
        <v>168</v>
      </c>
      <c r="K161" s="123">
        <v>225</v>
      </c>
      <c r="L161" s="29">
        <v>43.927250000000001</v>
      </c>
      <c r="M161" s="110">
        <v>29.65</v>
      </c>
      <c r="N161" s="30">
        <v>0.32</v>
      </c>
      <c r="O161" s="116">
        <v>9.4879999999999995</v>
      </c>
      <c r="P161" s="30">
        <v>7.4999999999999997E-2</v>
      </c>
      <c r="Q161" s="116">
        <v>2.2237499999999999</v>
      </c>
      <c r="R161" s="30">
        <v>7.0000000000000007E-2</v>
      </c>
      <c r="S161" s="116">
        <v>2.0754999999999999</v>
      </c>
      <c r="T161" s="117">
        <v>0.49</v>
      </c>
      <c r="U161" s="39">
        <v>251</v>
      </c>
      <c r="V161" s="32">
        <v>50</v>
      </c>
      <c r="W161" s="33"/>
      <c r="X161" s="32"/>
      <c r="Y161" s="32"/>
      <c r="Z161" s="32">
        <v>32</v>
      </c>
      <c r="AA161" s="34"/>
      <c r="AB161" s="35">
        <f t="shared" si="20"/>
        <v>333</v>
      </c>
      <c r="AC161" s="75">
        <f t="shared" si="21"/>
        <v>56475</v>
      </c>
      <c r="AD161" s="78">
        <f t="shared" si="22"/>
        <v>18450</v>
      </c>
      <c r="AE161" s="72">
        <f t="shared" si="23"/>
        <v>74925</v>
      </c>
      <c r="AF161" s="75">
        <f t="shared" si="24"/>
        <v>11025.739750000001</v>
      </c>
      <c r="AG161" s="78">
        <f t="shared" si="25"/>
        <v>3145.1625000000004</v>
      </c>
      <c r="AH161" s="72">
        <f t="shared" si="26"/>
        <v>14170.902250000001</v>
      </c>
      <c r="AI161" s="75">
        <f t="shared" si="27"/>
        <v>7442.15</v>
      </c>
      <c r="AJ161" s="78">
        <f t="shared" si="28"/>
        <v>2431.2999999999997</v>
      </c>
      <c r="AK161" s="72">
        <f t="shared" si="29"/>
        <v>9873.4499999999989</v>
      </c>
    </row>
    <row r="162" spans="1:37" ht="15.95" customHeight="1">
      <c r="A162" s="25" t="s">
        <v>462</v>
      </c>
      <c r="B162" s="25" t="s">
        <v>361</v>
      </c>
      <c r="C162" s="26" t="s">
        <v>585</v>
      </c>
      <c r="D162" s="26" t="s">
        <v>536</v>
      </c>
      <c r="E162" s="26" t="s">
        <v>16</v>
      </c>
      <c r="F162" s="26" t="s">
        <v>586</v>
      </c>
      <c r="G162" s="41"/>
      <c r="H162" s="44" t="s">
        <v>584</v>
      </c>
      <c r="I162" s="26" t="s">
        <v>167</v>
      </c>
      <c r="J162" s="28" t="s">
        <v>587</v>
      </c>
      <c r="K162" s="123">
        <v>88</v>
      </c>
      <c r="L162" s="29">
        <v>18.4025</v>
      </c>
      <c r="M162" s="110">
        <v>12.5</v>
      </c>
      <c r="N162" s="30">
        <v>0.113</v>
      </c>
      <c r="O162" s="116">
        <v>1.4125000000000001</v>
      </c>
      <c r="P162" s="30">
        <v>0.25</v>
      </c>
      <c r="Q162" s="116">
        <v>3.125</v>
      </c>
      <c r="R162" s="30">
        <v>7.0000000000000007E-2</v>
      </c>
      <c r="S162" s="116">
        <v>0.87500000000000011</v>
      </c>
      <c r="T162" s="117">
        <v>0.49</v>
      </c>
      <c r="U162" s="39">
        <v>200</v>
      </c>
      <c r="V162" s="32">
        <v>10</v>
      </c>
      <c r="W162" s="33"/>
      <c r="X162" s="32"/>
      <c r="Y162" s="32"/>
      <c r="Z162" s="32"/>
      <c r="AA162" s="34"/>
      <c r="AB162" s="35">
        <f t="shared" si="20"/>
        <v>210</v>
      </c>
      <c r="AC162" s="75">
        <f t="shared" si="21"/>
        <v>17600</v>
      </c>
      <c r="AD162" s="78">
        <f t="shared" si="22"/>
        <v>880</v>
      </c>
      <c r="AE162" s="72">
        <f t="shared" si="23"/>
        <v>18480</v>
      </c>
      <c r="AF162" s="75">
        <f t="shared" si="24"/>
        <v>3680.5</v>
      </c>
      <c r="AG162" s="78">
        <f t="shared" si="25"/>
        <v>184.02500000000001</v>
      </c>
      <c r="AH162" s="72">
        <f t="shared" si="26"/>
        <v>3864.5250000000001</v>
      </c>
      <c r="AI162" s="75">
        <f t="shared" si="27"/>
        <v>2500</v>
      </c>
      <c r="AJ162" s="78">
        <f t="shared" si="28"/>
        <v>125</v>
      </c>
      <c r="AK162" s="72">
        <f t="shared" si="29"/>
        <v>2625</v>
      </c>
    </row>
    <row r="163" spans="1:37" ht="15.95" customHeight="1">
      <c r="A163" s="25" t="s">
        <v>462</v>
      </c>
      <c r="B163" s="25" t="s">
        <v>361</v>
      </c>
      <c r="C163" s="26" t="s">
        <v>585</v>
      </c>
      <c r="D163" s="26" t="s">
        <v>536</v>
      </c>
      <c r="E163" s="26" t="s">
        <v>16</v>
      </c>
      <c r="F163" s="26" t="s">
        <v>588</v>
      </c>
      <c r="G163" s="41"/>
      <c r="H163" s="44" t="s">
        <v>589</v>
      </c>
      <c r="I163" s="26" t="s">
        <v>167</v>
      </c>
      <c r="J163" s="28" t="s">
        <v>587</v>
      </c>
      <c r="K163" s="123">
        <v>88</v>
      </c>
      <c r="L163" s="29">
        <v>18.4025</v>
      </c>
      <c r="M163" s="110">
        <v>12.5</v>
      </c>
      <c r="N163" s="30">
        <v>0.113</v>
      </c>
      <c r="O163" s="116">
        <v>1.4125000000000001</v>
      </c>
      <c r="P163" s="30">
        <v>0.25</v>
      </c>
      <c r="Q163" s="116">
        <v>3.125</v>
      </c>
      <c r="R163" s="30">
        <v>7.0000000000000007E-2</v>
      </c>
      <c r="S163" s="116">
        <v>0.87500000000000011</v>
      </c>
      <c r="T163" s="117">
        <v>0.49</v>
      </c>
      <c r="U163" s="39">
        <v>200</v>
      </c>
      <c r="V163" s="32"/>
      <c r="W163" s="33"/>
      <c r="X163" s="32"/>
      <c r="Y163" s="32"/>
      <c r="Z163" s="32"/>
      <c r="AA163" s="34"/>
      <c r="AB163" s="35">
        <f t="shared" si="20"/>
        <v>200</v>
      </c>
      <c r="AC163" s="75">
        <f t="shared" si="21"/>
        <v>17600</v>
      </c>
      <c r="AD163" s="78">
        <f t="shared" si="22"/>
        <v>0</v>
      </c>
      <c r="AE163" s="72">
        <f t="shared" si="23"/>
        <v>17600</v>
      </c>
      <c r="AF163" s="75">
        <f t="shared" si="24"/>
        <v>3680.5</v>
      </c>
      <c r="AG163" s="78">
        <f t="shared" si="25"/>
        <v>0</v>
      </c>
      <c r="AH163" s="72">
        <f t="shared" si="26"/>
        <v>3680.5</v>
      </c>
      <c r="AI163" s="75">
        <f t="shared" si="27"/>
        <v>2500</v>
      </c>
      <c r="AJ163" s="78">
        <f t="shared" si="28"/>
        <v>0</v>
      </c>
      <c r="AK163" s="72">
        <f t="shared" si="29"/>
        <v>2500</v>
      </c>
    </row>
    <row r="164" spans="1:37" ht="15.95" customHeight="1">
      <c r="A164" s="25" t="s">
        <v>462</v>
      </c>
      <c r="B164" s="25" t="s">
        <v>361</v>
      </c>
      <c r="C164" s="26" t="s">
        <v>585</v>
      </c>
      <c r="D164" s="26" t="s">
        <v>536</v>
      </c>
      <c r="E164" s="26" t="s">
        <v>16</v>
      </c>
      <c r="F164" s="26" t="s">
        <v>586</v>
      </c>
      <c r="G164" s="41"/>
      <c r="H164" s="44" t="s">
        <v>584</v>
      </c>
      <c r="I164" s="26" t="s">
        <v>167</v>
      </c>
      <c r="J164" s="28" t="s">
        <v>587</v>
      </c>
      <c r="K164" s="123">
        <v>88</v>
      </c>
      <c r="L164" s="29">
        <v>18.4025</v>
      </c>
      <c r="M164" s="110">
        <v>12.5</v>
      </c>
      <c r="N164" s="30">
        <v>0.113</v>
      </c>
      <c r="O164" s="116">
        <v>1.4125000000000001</v>
      </c>
      <c r="P164" s="30">
        <v>0.25</v>
      </c>
      <c r="Q164" s="116">
        <v>3.125</v>
      </c>
      <c r="R164" s="30">
        <v>7.0000000000000007E-2</v>
      </c>
      <c r="S164" s="116">
        <v>0.87500000000000011</v>
      </c>
      <c r="T164" s="117">
        <v>0.49</v>
      </c>
      <c r="U164" s="39">
        <v>200</v>
      </c>
      <c r="V164" s="32"/>
      <c r="W164" s="33"/>
      <c r="X164" s="32"/>
      <c r="Y164" s="32"/>
      <c r="Z164" s="32"/>
      <c r="AA164" s="34"/>
      <c r="AB164" s="35">
        <f t="shared" si="20"/>
        <v>200</v>
      </c>
      <c r="AC164" s="75">
        <f t="shared" si="21"/>
        <v>17600</v>
      </c>
      <c r="AD164" s="78">
        <f t="shared" si="22"/>
        <v>0</v>
      </c>
      <c r="AE164" s="72">
        <f t="shared" si="23"/>
        <v>17600</v>
      </c>
      <c r="AF164" s="75">
        <f t="shared" si="24"/>
        <v>3680.5</v>
      </c>
      <c r="AG164" s="78">
        <f t="shared" si="25"/>
        <v>0</v>
      </c>
      <c r="AH164" s="72">
        <f t="shared" si="26"/>
        <v>3680.5</v>
      </c>
      <c r="AI164" s="75">
        <f t="shared" si="27"/>
        <v>2500</v>
      </c>
      <c r="AJ164" s="78">
        <f t="shared" si="28"/>
        <v>0</v>
      </c>
      <c r="AK164" s="72">
        <f t="shared" si="29"/>
        <v>2500</v>
      </c>
    </row>
    <row r="165" spans="1:37" ht="15.95" customHeight="1">
      <c r="A165" s="25" t="s">
        <v>462</v>
      </c>
      <c r="B165" s="25" t="s">
        <v>463</v>
      </c>
      <c r="C165" s="26" t="s">
        <v>167</v>
      </c>
      <c r="D165" s="26" t="s">
        <v>536</v>
      </c>
      <c r="E165" s="26" t="s">
        <v>16</v>
      </c>
      <c r="F165" s="26" t="s">
        <v>590</v>
      </c>
      <c r="G165" s="41"/>
      <c r="H165" s="44" t="s">
        <v>591</v>
      </c>
      <c r="I165" s="26" t="s">
        <v>167</v>
      </c>
      <c r="J165" s="28" t="s">
        <v>172</v>
      </c>
      <c r="K165" s="123">
        <v>150</v>
      </c>
      <c r="L165" s="29">
        <v>29.309999999999995</v>
      </c>
      <c r="M165" s="110">
        <v>22</v>
      </c>
      <c r="N165" s="30">
        <v>0.16500000000000001</v>
      </c>
      <c r="O165" s="116">
        <v>3.6300000000000003</v>
      </c>
      <c r="P165" s="30">
        <v>7.4999999999999997E-2</v>
      </c>
      <c r="Q165" s="116">
        <v>1.65</v>
      </c>
      <c r="R165" s="30">
        <v>7.0000000000000007E-2</v>
      </c>
      <c r="S165" s="116">
        <v>1.54</v>
      </c>
      <c r="T165" s="117">
        <v>0.49</v>
      </c>
      <c r="U165" s="39">
        <v>200</v>
      </c>
      <c r="V165" s="32">
        <v>24</v>
      </c>
      <c r="W165" s="33"/>
      <c r="X165" s="32"/>
      <c r="Y165" s="32"/>
      <c r="Z165" s="32"/>
      <c r="AA165" s="34"/>
      <c r="AB165" s="35">
        <f t="shared" si="20"/>
        <v>224</v>
      </c>
      <c r="AC165" s="75">
        <f t="shared" si="21"/>
        <v>30000</v>
      </c>
      <c r="AD165" s="78">
        <f t="shared" si="22"/>
        <v>3600</v>
      </c>
      <c r="AE165" s="72">
        <f t="shared" si="23"/>
        <v>33600</v>
      </c>
      <c r="AF165" s="75">
        <f t="shared" si="24"/>
        <v>5861.9999999999991</v>
      </c>
      <c r="AG165" s="78">
        <f t="shared" si="25"/>
        <v>703.43999999999983</v>
      </c>
      <c r="AH165" s="72">
        <f t="shared" si="26"/>
        <v>6565.4399999999987</v>
      </c>
      <c r="AI165" s="75">
        <f t="shared" si="27"/>
        <v>4400</v>
      </c>
      <c r="AJ165" s="78">
        <f t="shared" si="28"/>
        <v>528</v>
      </c>
      <c r="AK165" s="72">
        <f t="shared" si="29"/>
        <v>4928</v>
      </c>
    </row>
    <row r="166" spans="1:37" ht="15.95" customHeight="1">
      <c r="A166" s="25" t="s">
        <v>462</v>
      </c>
      <c r="B166" s="25" t="s">
        <v>463</v>
      </c>
      <c r="C166" s="26" t="s">
        <v>167</v>
      </c>
      <c r="D166" s="26" t="s">
        <v>536</v>
      </c>
      <c r="E166" s="26" t="s">
        <v>16</v>
      </c>
      <c r="F166" s="26" t="s">
        <v>590</v>
      </c>
      <c r="G166" s="41"/>
      <c r="H166" s="44" t="s">
        <v>591</v>
      </c>
      <c r="I166" s="26" t="s">
        <v>167</v>
      </c>
      <c r="J166" s="28" t="s">
        <v>172</v>
      </c>
      <c r="K166" s="123">
        <v>150</v>
      </c>
      <c r="L166" s="29">
        <v>29.309999999999995</v>
      </c>
      <c r="M166" s="110">
        <v>22</v>
      </c>
      <c r="N166" s="30">
        <v>0.16500000000000001</v>
      </c>
      <c r="O166" s="116">
        <v>3.6300000000000003</v>
      </c>
      <c r="P166" s="30">
        <v>7.4999999999999997E-2</v>
      </c>
      <c r="Q166" s="116">
        <v>1.65</v>
      </c>
      <c r="R166" s="30">
        <v>7.0000000000000007E-2</v>
      </c>
      <c r="S166" s="116">
        <v>1.54</v>
      </c>
      <c r="T166" s="117">
        <v>0.49</v>
      </c>
      <c r="U166" s="39">
        <v>200</v>
      </c>
      <c r="V166" s="32">
        <v>15</v>
      </c>
      <c r="W166" s="33"/>
      <c r="X166" s="32"/>
      <c r="Y166" s="32"/>
      <c r="Z166" s="32"/>
      <c r="AA166" s="34"/>
      <c r="AB166" s="35">
        <f t="shared" si="20"/>
        <v>215</v>
      </c>
      <c r="AC166" s="75">
        <f t="shared" si="21"/>
        <v>30000</v>
      </c>
      <c r="AD166" s="78">
        <f t="shared" si="22"/>
        <v>2250</v>
      </c>
      <c r="AE166" s="72">
        <f t="shared" si="23"/>
        <v>32250</v>
      </c>
      <c r="AF166" s="75">
        <f t="shared" si="24"/>
        <v>5861.9999999999991</v>
      </c>
      <c r="AG166" s="78">
        <f t="shared" si="25"/>
        <v>439.64999999999992</v>
      </c>
      <c r="AH166" s="72">
        <f t="shared" si="26"/>
        <v>6301.6499999999987</v>
      </c>
      <c r="AI166" s="75">
        <f t="shared" si="27"/>
        <v>4400</v>
      </c>
      <c r="AJ166" s="78">
        <f t="shared" si="28"/>
        <v>330</v>
      </c>
      <c r="AK166" s="72">
        <f t="shared" si="29"/>
        <v>4730</v>
      </c>
    </row>
    <row r="167" spans="1:37" ht="15.95" customHeight="1">
      <c r="A167" s="25" t="s">
        <v>462</v>
      </c>
      <c r="B167" s="25" t="s">
        <v>463</v>
      </c>
      <c r="C167" s="26" t="s">
        <v>167</v>
      </c>
      <c r="D167" s="26" t="s">
        <v>536</v>
      </c>
      <c r="E167" s="26" t="s">
        <v>16</v>
      </c>
      <c r="F167" s="26" t="s">
        <v>592</v>
      </c>
      <c r="G167" s="41"/>
      <c r="H167" s="44" t="s">
        <v>593</v>
      </c>
      <c r="I167" s="26" t="s">
        <v>167</v>
      </c>
      <c r="J167" s="28" t="s">
        <v>168</v>
      </c>
      <c r="K167" s="123">
        <v>225</v>
      </c>
      <c r="L167" s="29">
        <v>42.242500000000007</v>
      </c>
      <c r="M167" s="110">
        <v>28.5</v>
      </c>
      <c r="N167" s="30">
        <v>0.32</v>
      </c>
      <c r="O167" s="116">
        <v>9.120000000000001</v>
      </c>
      <c r="P167" s="30">
        <v>7.4999999999999997E-2</v>
      </c>
      <c r="Q167" s="116">
        <v>2.1374999999999997</v>
      </c>
      <c r="R167" s="30">
        <v>7.0000000000000007E-2</v>
      </c>
      <c r="S167" s="116">
        <v>1.9950000000000001</v>
      </c>
      <c r="T167" s="117">
        <v>0.49</v>
      </c>
      <c r="U167" s="39">
        <v>200</v>
      </c>
      <c r="V167" s="32">
        <v>70</v>
      </c>
      <c r="W167" s="33"/>
      <c r="X167" s="32"/>
      <c r="Y167" s="32"/>
      <c r="Z167" s="32"/>
      <c r="AA167" s="34"/>
      <c r="AB167" s="35">
        <f t="shared" si="20"/>
        <v>270</v>
      </c>
      <c r="AC167" s="75">
        <f t="shared" si="21"/>
        <v>45000</v>
      </c>
      <c r="AD167" s="78">
        <f t="shared" si="22"/>
        <v>15750</v>
      </c>
      <c r="AE167" s="72">
        <f t="shared" si="23"/>
        <v>60750</v>
      </c>
      <c r="AF167" s="75">
        <f t="shared" si="24"/>
        <v>8448.5000000000018</v>
      </c>
      <c r="AG167" s="78">
        <f t="shared" si="25"/>
        <v>2956.9750000000004</v>
      </c>
      <c r="AH167" s="72">
        <f t="shared" si="26"/>
        <v>11405.475000000002</v>
      </c>
      <c r="AI167" s="75">
        <f t="shared" si="27"/>
        <v>5700</v>
      </c>
      <c r="AJ167" s="78">
        <f t="shared" si="28"/>
        <v>1995</v>
      </c>
      <c r="AK167" s="72">
        <f t="shared" si="29"/>
        <v>7695</v>
      </c>
    </row>
    <row r="168" spans="1:37" ht="15.95" customHeight="1">
      <c r="A168" s="25" t="s">
        <v>462</v>
      </c>
      <c r="B168" s="25" t="s">
        <v>463</v>
      </c>
      <c r="C168" s="26" t="s">
        <v>14</v>
      </c>
      <c r="D168" s="26" t="s">
        <v>536</v>
      </c>
      <c r="E168" s="26" t="s">
        <v>16</v>
      </c>
      <c r="F168" s="26" t="s">
        <v>594</v>
      </c>
      <c r="G168" s="41"/>
      <c r="H168" s="44" t="s">
        <v>595</v>
      </c>
      <c r="I168" s="26" t="s">
        <v>27</v>
      </c>
      <c r="J168" s="28" t="s">
        <v>41</v>
      </c>
      <c r="K168" s="123">
        <v>175</v>
      </c>
      <c r="L168" s="29">
        <v>31.883999999999997</v>
      </c>
      <c r="M168" s="110">
        <v>22</v>
      </c>
      <c r="N168" s="30">
        <v>0.28199999999999997</v>
      </c>
      <c r="O168" s="116">
        <v>6.2039999999999997</v>
      </c>
      <c r="P168" s="30">
        <v>7.4999999999999997E-2</v>
      </c>
      <c r="Q168" s="116">
        <v>1.65</v>
      </c>
      <c r="R168" s="30">
        <v>7.0000000000000007E-2</v>
      </c>
      <c r="S168" s="116">
        <v>1.54</v>
      </c>
      <c r="T168" s="117">
        <v>0.49</v>
      </c>
      <c r="U168" s="39">
        <v>501</v>
      </c>
      <c r="V168" s="32">
        <v>147</v>
      </c>
      <c r="W168" s="33"/>
      <c r="X168" s="32"/>
      <c r="Y168" s="32"/>
      <c r="Z168" s="32">
        <v>14</v>
      </c>
      <c r="AA168" s="34">
        <v>6</v>
      </c>
      <c r="AB168" s="35">
        <f t="shared" si="20"/>
        <v>668</v>
      </c>
      <c r="AC168" s="75">
        <f t="shared" si="21"/>
        <v>87675</v>
      </c>
      <c r="AD168" s="78">
        <f t="shared" si="22"/>
        <v>29225</v>
      </c>
      <c r="AE168" s="72">
        <f t="shared" si="23"/>
        <v>116900</v>
      </c>
      <c r="AF168" s="75">
        <f t="shared" si="24"/>
        <v>15973.883999999998</v>
      </c>
      <c r="AG168" s="78">
        <f t="shared" si="25"/>
        <v>5126.9479999999994</v>
      </c>
      <c r="AH168" s="72">
        <f t="shared" si="26"/>
        <v>21100.831999999999</v>
      </c>
      <c r="AI168" s="75">
        <f t="shared" si="27"/>
        <v>11022</v>
      </c>
      <c r="AJ168" s="78">
        <f t="shared" si="28"/>
        <v>3674</v>
      </c>
      <c r="AK168" s="72">
        <f t="shared" si="29"/>
        <v>14696</v>
      </c>
    </row>
    <row r="169" spans="1:37" ht="15.95" customHeight="1">
      <c r="A169" s="25" t="s">
        <v>462</v>
      </c>
      <c r="B169" s="25" t="s">
        <v>463</v>
      </c>
      <c r="C169" s="26" t="s">
        <v>21</v>
      </c>
      <c r="D169" s="26" t="s">
        <v>536</v>
      </c>
      <c r="E169" s="26" t="s">
        <v>16</v>
      </c>
      <c r="F169" s="26" t="s">
        <v>596</v>
      </c>
      <c r="G169" s="41"/>
      <c r="H169" s="44" t="s">
        <v>595</v>
      </c>
      <c r="I169" s="26" t="s">
        <v>27</v>
      </c>
      <c r="J169" s="28" t="s">
        <v>43</v>
      </c>
      <c r="K169" s="123">
        <v>150</v>
      </c>
      <c r="L169" s="29">
        <v>25.462499999999999</v>
      </c>
      <c r="M169" s="110">
        <v>17.5</v>
      </c>
      <c r="N169" s="30">
        <v>0.28199999999999997</v>
      </c>
      <c r="O169" s="116">
        <v>4.9349999999999996</v>
      </c>
      <c r="P169" s="30">
        <v>7.4999999999999997E-2</v>
      </c>
      <c r="Q169" s="116">
        <v>1.3125</v>
      </c>
      <c r="R169" s="30">
        <v>7.0000000000000007E-2</v>
      </c>
      <c r="S169" s="116">
        <v>1.2250000000000001</v>
      </c>
      <c r="T169" s="117">
        <v>0.49</v>
      </c>
      <c r="U169" s="39">
        <v>501</v>
      </c>
      <c r="V169" s="32">
        <v>145</v>
      </c>
      <c r="W169" s="33"/>
      <c r="X169" s="32"/>
      <c r="Y169" s="32"/>
      <c r="Z169" s="32">
        <v>14</v>
      </c>
      <c r="AA169" s="34">
        <v>6</v>
      </c>
      <c r="AB169" s="35">
        <f t="shared" si="20"/>
        <v>666</v>
      </c>
      <c r="AC169" s="75">
        <f t="shared" si="21"/>
        <v>75150</v>
      </c>
      <c r="AD169" s="78">
        <f t="shared" si="22"/>
        <v>24750</v>
      </c>
      <c r="AE169" s="72">
        <f t="shared" si="23"/>
        <v>99900</v>
      </c>
      <c r="AF169" s="75">
        <f t="shared" si="24"/>
        <v>12756.7125</v>
      </c>
      <c r="AG169" s="78">
        <f t="shared" si="25"/>
        <v>4042.0625</v>
      </c>
      <c r="AH169" s="72">
        <f t="shared" si="26"/>
        <v>16798.775000000001</v>
      </c>
      <c r="AI169" s="75">
        <f t="shared" si="27"/>
        <v>8767.5</v>
      </c>
      <c r="AJ169" s="78">
        <f t="shared" si="28"/>
        <v>2887.5</v>
      </c>
      <c r="AK169" s="72">
        <f t="shared" si="29"/>
        <v>11655</v>
      </c>
    </row>
    <row r="170" spans="1:37" ht="15.95" customHeight="1">
      <c r="A170" s="25" t="s">
        <v>462</v>
      </c>
      <c r="B170" s="25" t="s">
        <v>463</v>
      </c>
      <c r="C170" s="26" t="s">
        <v>14</v>
      </c>
      <c r="D170" s="26" t="s">
        <v>536</v>
      </c>
      <c r="E170" s="26" t="s">
        <v>16</v>
      </c>
      <c r="F170" s="26" t="s">
        <v>594</v>
      </c>
      <c r="G170" s="41"/>
      <c r="H170" s="44" t="s">
        <v>595</v>
      </c>
      <c r="I170" s="26" t="s">
        <v>27</v>
      </c>
      <c r="J170" s="28" t="s">
        <v>41</v>
      </c>
      <c r="K170" s="123">
        <v>175</v>
      </c>
      <c r="L170" s="29">
        <v>31.883999999999997</v>
      </c>
      <c r="M170" s="110">
        <v>22</v>
      </c>
      <c r="N170" s="30">
        <v>0.28199999999999997</v>
      </c>
      <c r="O170" s="116">
        <v>6.2039999999999997</v>
      </c>
      <c r="P170" s="30">
        <v>7.4999999999999997E-2</v>
      </c>
      <c r="Q170" s="116">
        <v>1.65</v>
      </c>
      <c r="R170" s="30">
        <v>7.0000000000000007E-2</v>
      </c>
      <c r="S170" s="116">
        <v>1.54</v>
      </c>
      <c r="T170" s="117">
        <v>0.49</v>
      </c>
      <c r="U170" s="39">
        <v>501</v>
      </c>
      <c r="V170" s="32">
        <v>197</v>
      </c>
      <c r="W170" s="33"/>
      <c r="X170" s="32"/>
      <c r="Y170" s="32"/>
      <c r="Z170" s="32">
        <v>36</v>
      </c>
      <c r="AA170" s="34">
        <v>6</v>
      </c>
      <c r="AB170" s="35">
        <f t="shared" si="20"/>
        <v>740</v>
      </c>
      <c r="AC170" s="75">
        <f t="shared" si="21"/>
        <v>87675</v>
      </c>
      <c r="AD170" s="78">
        <f t="shared" si="22"/>
        <v>41825</v>
      </c>
      <c r="AE170" s="72">
        <f t="shared" si="23"/>
        <v>129500</v>
      </c>
      <c r="AF170" s="75">
        <f t="shared" si="24"/>
        <v>15973.883999999998</v>
      </c>
      <c r="AG170" s="78">
        <f t="shared" si="25"/>
        <v>7205.1479999999992</v>
      </c>
      <c r="AH170" s="72">
        <f t="shared" si="26"/>
        <v>23179.031999999999</v>
      </c>
      <c r="AI170" s="75">
        <f t="shared" si="27"/>
        <v>11022</v>
      </c>
      <c r="AJ170" s="78">
        <f t="shared" si="28"/>
        <v>5258</v>
      </c>
      <c r="AK170" s="72">
        <f t="shared" si="29"/>
        <v>16280</v>
      </c>
    </row>
    <row r="171" spans="1:37" ht="15.95" customHeight="1">
      <c r="A171" s="25" t="s">
        <v>462</v>
      </c>
      <c r="B171" s="25" t="s">
        <v>463</v>
      </c>
      <c r="C171" s="26" t="s">
        <v>21</v>
      </c>
      <c r="D171" s="26" t="s">
        <v>536</v>
      </c>
      <c r="E171" s="26" t="s">
        <v>16</v>
      </c>
      <c r="F171" s="26" t="s">
        <v>596</v>
      </c>
      <c r="G171" s="41"/>
      <c r="H171" s="44" t="s">
        <v>595</v>
      </c>
      <c r="I171" s="26" t="s">
        <v>27</v>
      </c>
      <c r="J171" s="28" t="s">
        <v>43</v>
      </c>
      <c r="K171" s="123">
        <v>150</v>
      </c>
      <c r="L171" s="29">
        <v>25.462499999999999</v>
      </c>
      <c r="M171" s="110">
        <v>17.5</v>
      </c>
      <c r="N171" s="30">
        <v>0.28199999999999997</v>
      </c>
      <c r="O171" s="116">
        <v>4.9349999999999996</v>
      </c>
      <c r="P171" s="30">
        <v>7.4999999999999997E-2</v>
      </c>
      <c r="Q171" s="116">
        <v>1.3125</v>
      </c>
      <c r="R171" s="30">
        <v>7.0000000000000007E-2</v>
      </c>
      <c r="S171" s="116">
        <v>1.2250000000000001</v>
      </c>
      <c r="T171" s="117">
        <v>0.49</v>
      </c>
      <c r="U171" s="39">
        <v>501</v>
      </c>
      <c r="V171" s="32">
        <v>185</v>
      </c>
      <c r="W171" s="33"/>
      <c r="X171" s="32"/>
      <c r="Y171" s="32"/>
      <c r="Z171" s="32">
        <v>36</v>
      </c>
      <c r="AA171" s="34">
        <v>6</v>
      </c>
      <c r="AB171" s="35">
        <f t="shared" si="20"/>
        <v>728</v>
      </c>
      <c r="AC171" s="75">
        <f t="shared" si="21"/>
        <v>75150</v>
      </c>
      <c r="AD171" s="78">
        <f t="shared" si="22"/>
        <v>34050</v>
      </c>
      <c r="AE171" s="72">
        <f t="shared" si="23"/>
        <v>109200</v>
      </c>
      <c r="AF171" s="75">
        <f t="shared" si="24"/>
        <v>12756.7125</v>
      </c>
      <c r="AG171" s="78">
        <f t="shared" si="25"/>
        <v>5445.5625</v>
      </c>
      <c r="AH171" s="72">
        <f t="shared" si="26"/>
        <v>18202.275000000001</v>
      </c>
      <c r="AI171" s="75">
        <f t="shared" si="27"/>
        <v>8767.5</v>
      </c>
      <c r="AJ171" s="78">
        <f t="shared" si="28"/>
        <v>3972.5</v>
      </c>
      <c r="AK171" s="72">
        <f t="shared" si="29"/>
        <v>12740</v>
      </c>
    </row>
    <row r="172" spans="1:37" ht="15.95" customHeight="1">
      <c r="A172" s="25" t="s">
        <v>462</v>
      </c>
      <c r="B172" s="25" t="s">
        <v>463</v>
      </c>
      <c r="C172" s="26" t="s">
        <v>14</v>
      </c>
      <c r="D172" s="26" t="s">
        <v>536</v>
      </c>
      <c r="E172" s="26" t="s">
        <v>16</v>
      </c>
      <c r="F172" s="26" t="s">
        <v>597</v>
      </c>
      <c r="G172" s="41"/>
      <c r="H172" s="44" t="s">
        <v>598</v>
      </c>
      <c r="I172" s="26" t="s">
        <v>27</v>
      </c>
      <c r="J172" s="28" t="s">
        <v>41</v>
      </c>
      <c r="K172" s="123">
        <v>345</v>
      </c>
      <c r="L172" s="29">
        <v>54.644650000000006</v>
      </c>
      <c r="M172" s="110">
        <v>37.950000000000003</v>
      </c>
      <c r="N172" s="30">
        <v>0.28199999999999997</v>
      </c>
      <c r="O172" s="116">
        <v>10.7019</v>
      </c>
      <c r="P172" s="30">
        <v>7.4999999999999997E-2</v>
      </c>
      <c r="Q172" s="116">
        <v>2.8462499999999999</v>
      </c>
      <c r="R172" s="30">
        <v>7.0000000000000007E-2</v>
      </c>
      <c r="S172" s="116">
        <v>2.6565000000000003</v>
      </c>
      <c r="T172" s="117">
        <v>0.49</v>
      </c>
      <c r="U172" s="39">
        <v>200</v>
      </c>
      <c r="V172" s="32">
        <v>51</v>
      </c>
      <c r="W172" s="33"/>
      <c r="X172" s="32"/>
      <c r="Y172" s="32"/>
      <c r="Z172" s="32"/>
      <c r="AA172" s="34"/>
      <c r="AB172" s="35">
        <f t="shared" si="20"/>
        <v>251</v>
      </c>
      <c r="AC172" s="75">
        <f t="shared" si="21"/>
        <v>69000</v>
      </c>
      <c r="AD172" s="78">
        <f t="shared" si="22"/>
        <v>17595</v>
      </c>
      <c r="AE172" s="72">
        <f t="shared" si="23"/>
        <v>86595</v>
      </c>
      <c r="AF172" s="75">
        <f t="shared" si="24"/>
        <v>10928.93</v>
      </c>
      <c r="AG172" s="78">
        <f t="shared" si="25"/>
        <v>2786.8771500000003</v>
      </c>
      <c r="AH172" s="72">
        <f t="shared" si="26"/>
        <v>13715.807150000001</v>
      </c>
      <c r="AI172" s="75">
        <f t="shared" si="27"/>
        <v>7590.0000000000009</v>
      </c>
      <c r="AJ172" s="78">
        <f t="shared" si="28"/>
        <v>1935.45</v>
      </c>
      <c r="AK172" s="72">
        <f t="shared" si="29"/>
        <v>9525.4500000000007</v>
      </c>
    </row>
    <row r="173" spans="1:37" ht="15.95" customHeight="1">
      <c r="A173" s="25" t="s">
        <v>462</v>
      </c>
      <c r="B173" s="25" t="s">
        <v>463</v>
      </c>
      <c r="C173" s="26" t="s">
        <v>14</v>
      </c>
      <c r="D173" s="26" t="s">
        <v>536</v>
      </c>
      <c r="E173" s="26" t="s">
        <v>16</v>
      </c>
      <c r="F173" s="26" t="s">
        <v>597</v>
      </c>
      <c r="G173" s="41"/>
      <c r="H173" s="44" t="s">
        <v>598</v>
      </c>
      <c r="I173" s="26" t="s">
        <v>27</v>
      </c>
      <c r="J173" s="28" t="s">
        <v>41</v>
      </c>
      <c r="K173" s="123">
        <v>345</v>
      </c>
      <c r="L173" s="29">
        <v>54.644650000000006</v>
      </c>
      <c r="M173" s="110">
        <v>37.950000000000003</v>
      </c>
      <c r="N173" s="30">
        <v>0.28199999999999997</v>
      </c>
      <c r="O173" s="116">
        <v>10.7019</v>
      </c>
      <c r="P173" s="30">
        <v>7.4999999999999997E-2</v>
      </c>
      <c r="Q173" s="116">
        <v>2.8462499999999999</v>
      </c>
      <c r="R173" s="30">
        <v>7.0000000000000007E-2</v>
      </c>
      <c r="S173" s="116">
        <v>2.6565000000000003</v>
      </c>
      <c r="T173" s="117">
        <v>0.49</v>
      </c>
      <c r="U173" s="39">
        <v>200</v>
      </c>
      <c r="V173" s="32">
        <v>36</v>
      </c>
      <c r="W173" s="33"/>
      <c r="X173" s="32"/>
      <c r="Y173" s="32"/>
      <c r="Z173" s="32"/>
      <c r="AA173" s="34"/>
      <c r="AB173" s="35">
        <f t="shared" si="20"/>
        <v>236</v>
      </c>
      <c r="AC173" s="75">
        <f t="shared" si="21"/>
        <v>69000</v>
      </c>
      <c r="AD173" s="78">
        <f t="shared" si="22"/>
        <v>12420</v>
      </c>
      <c r="AE173" s="72">
        <f t="shared" si="23"/>
        <v>81420</v>
      </c>
      <c r="AF173" s="75">
        <f t="shared" si="24"/>
        <v>10928.93</v>
      </c>
      <c r="AG173" s="78">
        <f t="shared" si="25"/>
        <v>1967.2074000000002</v>
      </c>
      <c r="AH173" s="72">
        <f t="shared" si="26"/>
        <v>12896.1374</v>
      </c>
      <c r="AI173" s="75">
        <f t="shared" si="27"/>
        <v>7590.0000000000009</v>
      </c>
      <c r="AJ173" s="78">
        <f t="shared" si="28"/>
        <v>1366.2</v>
      </c>
      <c r="AK173" s="72">
        <f t="shared" si="29"/>
        <v>8956.2000000000007</v>
      </c>
    </row>
    <row r="174" spans="1:37" ht="15.95" customHeight="1">
      <c r="A174" s="25" t="s">
        <v>462</v>
      </c>
      <c r="B174" s="25" t="s">
        <v>463</v>
      </c>
      <c r="C174" s="26" t="s">
        <v>14</v>
      </c>
      <c r="D174" s="26" t="s">
        <v>536</v>
      </c>
      <c r="E174" s="26" t="s">
        <v>16</v>
      </c>
      <c r="F174" s="26" t="s">
        <v>599</v>
      </c>
      <c r="G174" s="41"/>
      <c r="H174" s="44" t="s">
        <v>185</v>
      </c>
      <c r="I174" s="26" t="s">
        <v>27</v>
      </c>
      <c r="J174" s="28" t="s">
        <v>41</v>
      </c>
      <c r="K174" s="123">
        <v>225</v>
      </c>
      <c r="L174" s="29">
        <v>39.732499999999995</v>
      </c>
      <c r="M174" s="110">
        <v>27.5</v>
      </c>
      <c r="N174" s="30">
        <v>0.28199999999999997</v>
      </c>
      <c r="O174" s="116">
        <v>7.754999999999999</v>
      </c>
      <c r="P174" s="30">
        <v>7.4999999999999997E-2</v>
      </c>
      <c r="Q174" s="116">
        <v>2.0625</v>
      </c>
      <c r="R174" s="30">
        <v>7.0000000000000007E-2</v>
      </c>
      <c r="S174" s="116">
        <v>1.9250000000000003</v>
      </c>
      <c r="T174" s="117">
        <v>0.49</v>
      </c>
      <c r="U174" s="39">
        <v>250</v>
      </c>
      <c r="V174" s="32">
        <v>42</v>
      </c>
      <c r="W174" s="33"/>
      <c r="X174" s="32"/>
      <c r="Y174" s="32"/>
      <c r="Z174" s="32"/>
      <c r="AA174" s="34"/>
      <c r="AB174" s="35">
        <f t="shared" si="20"/>
        <v>292</v>
      </c>
      <c r="AC174" s="75">
        <f t="shared" si="21"/>
        <v>56250</v>
      </c>
      <c r="AD174" s="78">
        <f t="shared" si="22"/>
        <v>9450</v>
      </c>
      <c r="AE174" s="72">
        <f t="shared" si="23"/>
        <v>65700</v>
      </c>
      <c r="AF174" s="75">
        <f t="shared" si="24"/>
        <v>9933.1249999999982</v>
      </c>
      <c r="AG174" s="78">
        <f t="shared" si="25"/>
        <v>1668.7649999999999</v>
      </c>
      <c r="AH174" s="72">
        <f t="shared" si="26"/>
        <v>11601.889999999998</v>
      </c>
      <c r="AI174" s="75">
        <f t="shared" si="27"/>
        <v>6875</v>
      </c>
      <c r="AJ174" s="78">
        <f t="shared" si="28"/>
        <v>1155</v>
      </c>
      <c r="AK174" s="72">
        <f t="shared" si="29"/>
        <v>8030</v>
      </c>
    </row>
    <row r="175" spans="1:37" ht="15.95" customHeight="1">
      <c r="A175" s="25" t="s">
        <v>462</v>
      </c>
      <c r="B175" s="25" t="s">
        <v>463</v>
      </c>
      <c r="C175" s="26" t="s">
        <v>14</v>
      </c>
      <c r="D175" s="26" t="s">
        <v>536</v>
      </c>
      <c r="E175" s="26" t="s">
        <v>16</v>
      </c>
      <c r="F175" s="26" t="s">
        <v>599</v>
      </c>
      <c r="G175" s="41"/>
      <c r="H175" s="44" t="s">
        <v>185</v>
      </c>
      <c r="I175" s="26" t="s">
        <v>27</v>
      </c>
      <c r="J175" s="28" t="s">
        <v>41</v>
      </c>
      <c r="K175" s="123">
        <v>225</v>
      </c>
      <c r="L175" s="29">
        <v>39.732499999999995</v>
      </c>
      <c r="M175" s="110">
        <v>27.5</v>
      </c>
      <c r="N175" s="30">
        <v>0.28199999999999997</v>
      </c>
      <c r="O175" s="116">
        <v>7.754999999999999</v>
      </c>
      <c r="P175" s="30">
        <v>7.4999999999999997E-2</v>
      </c>
      <c r="Q175" s="116">
        <v>2.0625</v>
      </c>
      <c r="R175" s="30">
        <v>7.0000000000000007E-2</v>
      </c>
      <c r="S175" s="116">
        <v>1.9250000000000003</v>
      </c>
      <c r="T175" s="117">
        <v>0.49</v>
      </c>
      <c r="U175" s="39">
        <v>301</v>
      </c>
      <c r="V175" s="32">
        <v>17</v>
      </c>
      <c r="W175" s="33"/>
      <c r="X175" s="32"/>
      <c r="Y175" s="32"/>
      <c r="Z175" s="32"/>
      <c r="AA175" s="34"/>
      <c r="AB175" s="35">
        <f t="shared" si="20"/>
        <v>318</v>
      </c>
      <c r="AC175" s="75">
        <f t="shared" si="21"/>
        <v>67725</v>
      </c>
      <c r="AD175" s="78">
        <f t="shared" si="22"/>
        <v>3825</v>
      </c>
      <c r="AE175" s="72">
        <f t="shared" si="23"/>
        <v>71550</v>
      </c>
      <c r="AF175" s="75">
        <f t="shared" si="24"/>
        <v>11959.482499999998</v>
      </c>
      <c r="AG175" s="78">
        <f t="shared" si="25"/>
        <v>675.45249999999987</v>
      </c>
      <c r="AH175" s="72">
        <f t="shared" si="26"/>
        <v>12634.934999999998</v>
      </c>
      <c r="AI175" s="75">
        <f t="shared" si="27"/>
        <v>8277.5</v>
      </c>
      <c r="AJ175" s="78">
        <f t="shared" si="28"/>
        <v>467.5</v>
      </c>
      <c r="AK175" s="72">
        <f t="shared" si="29"/>
        <v>8745</v>
      </c>
    </row>
    <row r="176" spans="1:37" ht="15.95" customHeight="1">
      <c r="A176" s="25" t="s">
        <v>462</v>
      </c>
      <c r="B176" s="25" t="s">
        <v>463</v>
      </c>
      <c r="C176" s="26" t="s">
        <v>14</v>
      </c>
      <c r="D176" s="26" t="s">
        <v>536</v>
      </c>
      <c r="E176" s="26" t="s">
        <v>16</v>
      </c>
      <c r="F176" s="26" t="s">
        <v>600</v>
      </c>
      <c r="G176" s="41"/>
      <c r="H176" s="44" t="s">
        <v>601</v>
      </c>
      <c r="I176" s="26" t="s">
        <v>27</v>
      </c>
      <c r="J176" s="28" t="s">
        <v>41</v>
      </c>
      <c r="K176" s="123">
        <v>225</v>
      </c>
      <c r="L176" s="29">
        <v>46.8675</v>
      </c>
      <c r="M176" s="110">
        <v>32.5</v>
      </c>
      <c r="N176" s="30">
        <v>0.28199999999999997</v>
      </c>
      <c r="O176" s="116">
        <v>9.1649999999999991</v>
      </c>
      <c r="P176" s="30">
        <v>7.4999999999999997E-2</v>
      </c>
      <c r="Q176" s="116">
        <v>2.4375</v>
      </c>
      <c r="R176" s="30">
        <v>7.0000000000000007E-2</v>
      </c>
      <c r="S176" s="116">
        <v>2.2750000000000004</v>
      </c>
      <c r="T176" s="117">
        <v>0.49</v>
      </c>
      <c r="U176" s="39">
        <v>250</v>
      </c>
      <c r="V176" s="32">
        <v>8</v>
      </c>
      <c r="W176" s="33"/>
      <c r="X176" s="32"/>
      <c r="Y176" s="32"/>
      <c r="Z176" s="32"/>
      <c r="AA176" s="34"/>
      <c r="AB176" s="35">
        <f t="shared" si="20"/>
        <v>258</v>
      </c>
      <c r="AC176" s="75">
        <f t="shared" si="21"/>
        <v>56250</v>
      </c>
      <c r="AD176" s="78">
        <f t="shared" si="22"/>
        <v>1800</v>
      </c>
      <c r="AE176" s="72">
        <f t="shared" si="23"/>
        <v>58050</v>
      </c>
      <c r="AF176" s="75">
        <f t="shared" si="24"/>
        <v>11716.875</v>
      </c>
      <c r="AG176" s="78">
        <f t="shared" si="25"/>
        <v>374.94</v>
      </c>
      <c r="AH176" s="72">
        <f t="shared" si="26"/>
        <v>12091.815000000001</v>
      </c>
      <c r="AI176" s="75">
        <f t="shared" si="27"/>
        <v>8125</v>
      </c>
      <c r="AJ176" s="78">
        <f t="shared" si="28"/>
        <v>260</v>
      </c>
      <c r="AK176" s="72">
        <f t="shared" si="29"/>
        <v>8385</v>
      </c>
    </row>
    <row r="177" spans="1:37" ht="15.95" customHeight="1">
      <c r="A177" s="25" t="s">
        <v>462</v>
      </c>
      <c r="B177" s="25" t="s">
        <v>361</v>
      </c>
      <c r="C177" s="26" t="s">
        <v>585</v>
      </c>
      <c r="D177" s="26" t="s">
        <v>10</v>
      </c>
      <c r="E177" s="26" t="s">
        <v>16</v>
      </c>
      <c r="F177" s="26" t="s">
        <v>602</v>
      </c>
      <c r="G177" s="41"/>
      <c r="H177" s="44" t="s">
        <v>603</v>
      </c>
      <c r="I177" s="26" t="s">
        <v>167</v>
      </c>
      <c r="J177" s="28" t="s">
        <v>604</v>
      </c>
      <c r="K177" s="123">
        <v>42</v>
      </c>
      <c r="L177" s="29">
        <v>10.317299999999999</v>
      </c>
      <c r="M177" s="110">
        <v>7.07</v>
      </c>
      <c r="N177" s="30">
        <v>7.0000000000000007E-2</v>
      </c>
      <c r="O177" s="116">
        <v>0.49490000000000006</v>
      </c>
      <c r="P177" s="30">
        <v>0.25</v>
      </c>
      <c r="Q177" s="116">
        <v>1.7675000000000001</v>
      </c>
      <c r="R177" s="30">
        <v>7.0000000000000007E-2</v>
      </c>
      <c r="S177" s="116">
        <v>0.49490000000000006</v>
      </c>
      <c r="T177" s="117">
        <v>0.49</v>
      </c>
      <c r="U177" s="39">
        <v>200</v>
      </c>
      <c r="V177" s="32"/>
      <c r="W177" s="33"/>
      <c r="X177" s="32"/>
      <c r="Y177" s="32"/>
      <c r="Z177" s="32"/>
      <c r="AA177" s="34"/>
      <c r="AB177" s="35">
        <f t="shared" si="20"/>
        <v>200</v>
      </c>
      <c r="AC177" s="75">
        <f t="shared" si="21"/>
        <v>8400</v>
      </c>
      <c r="AD177" s="78">
        <f t="shared" si="22"/>
        <v>0</v>
      </c>
      <c r="AE177" s="72">
        <f t="shared" si="23"/>
        <v>8400</v>
      </c>
      <c r="AF177" s="75">
        <f t="shared" si="24"/>
        <v>2063.46</v>
      </c>
      <c r="AG177" s="78">
        <f t="shared" si="25"/>
        <v>0</v>
      </c>
      <c r="AH177" s="72">
        <f t="shared" si="26"/>
        <v>2063.46</v>
      </c>
      <c r="AI177" s="75">
        <f t="shared" si="27"/>
        <v>1414</v>
      </c>
      <c r="AJ177" s="78">
        <f t="shared" si="28"/>
        <v>0</v>
      </c>
      <c r="AK177" s="72">
        <f t="shared" si="29"/>
        <v>1414</v>
      </c>
    </row>
    <row r="178" spans="1:37" ht="15.95" customHeight="1">
      <c r="A178" s="25" t="s">
        <v>462</v>
      </c>
      <c r="B178" s="25" t="s">
        <v>361</v>
      </c>
      <c r="C178" s="26" t="s">
        <v>585</v>
      </c>
      <c r="D178" s="26" t="s">
        <v>10</v>
      </c>
      <c r="E178" s="26" t="s">
        <v>16</v>
      </c>
      <c r="F178" s="26" t="s">
        <v>605</v>
      </c>
      <c r="G178" s="41"/>
      <c r="H178" s="44" t="s">
        <v>606</v>
      </c>
      <c r="I178" s="26" t="s">
        <v>167</v>
      </c>
      <c r="J178" s="28" t="s">
        <v>604</v>
      </c>
      <c r="K178" s="123">
        <v>38</v>
      </c>
      <c r="L178" s="29">
        <v>6.9813000000000009</v>
      </c>
      <c r="M178" s="110">
        <v>4.67</v>
      </c>
      <c r="N178" s="30">
        <v>7.0000000000000007E-2</v>
      </c>
      <c r="O178" s="116">
        <v>0.32690000000000002</v>
      </c>
      <c r="P178" s="30">
        <v>0.25</v>
      </c>
      <c r="Q178" s="116">
        <v>1.1675</v>
      </c>
      <c r="R178" s="30">
        <v>7.0000000000000007E-2</v>
      </c>
      <c r="S178" s="116">
        <v>0.32690000000000002</v>
      </c>
      <c r="T178" s="117">
        <v>0.49</v>
      </c>
      <c r="U178" s="39">
        <v>200</v>
      </c>
      <c r="V178" s="32"/>
      <c r="W178" s="33"/>
      <c r="X178" s="32"/>
      <c r="Y178" s="32"/>
      <c r="Z178" s="32"/>
      <c r="AA178" s="34"/>
      <c r="AB178" s="35">
        <f t="shared" si="20"/>
        <v>200</v>
      </c>
      <c r="AC178" s="75">
        <f t="shared" si="21"/>
        <v>7600</v>
      </c>
      <c r="AD178" s="78">
        <f t="shared" si="22"/>
        <v>0</v>
      </c>
      <c r="AE178" s="72">
        <f t="shared" si="23"/>
        <v>7600</v>
      </c>
      <c r="AF178" s="75">
        <f t="shared" si="24"/>
        <v>1396.2600000000002</v>
      </c>
      <c r="AG178" s="78">
        <f t="shared" si="25"/>
        <v>0</v>
      </c>
      <c r="AH178" s="72">
        <f t="shared" si="26"/>
        <v>1396.2600000000002</v>
      </c>
      <c r="AI178" s="75">
        <f t="shared" si="27"/>
        <v>934</v>
      </c>
      <c r="AJ178" s="78">
        <f t="shared" si="28"/>
        <v>0</v>
      </c>
      <c r="AK178" s="72">
        <f t="shared" si="29"/>
        <v>934</v>
      </c>
    </row>
    <row r="179" spans="1:37" ht="15.95" customHeight="1">
      <c r="A179" s="25" t="s">
        <v>462</v>
      </c>
      <c r="B179" s="25" t="s">
        <v>361</v>
      </c>
      <c r="C179" s="26" t="s">
        <v>585</v>
      </c>
      <c r="D179" s="26" t="s">
        <v>10</v>
      </c>
      <c r="E179" s="26" t="s">
        <v>16</v>
      </c>
      <c r="F179" s="26" t="s">
        <v>607</v>
      </c>
      <c r="G179" s="41"/>
      <c r="H179" s="44" t="s">
        <v>606</v>
      </c>
      <c r="I179" s="26" t="s">
        <v>167</v>
      </c>
      <c r="J179" s="28" t="s">
        <v>604</v>
      </c>
      <c r="K179" s="123">
        <v>38</v>
      </c>
      <c r="L179" s="29">
        <v>6.8145000000000007</v>
      </c>
      <c r="M179" s="110">
        <v>4.55</v>
      </c>
      <c r="N179" s="30">
        <v>7.0000000000000007E-2</v>
      </c>
      <c r="O179" s="116">
        <v>0.31850000000000001</v>
      </c>
      <c r="P179" s="30">
        <v>0.25</v>
      </c>
      <c r="Q179" s="116">
        <v>1.1375</v>
      </c>
      <c r="R179" s="30">
        <v>7.0000000000000007E-2</v>
      </c>
      <c r="S179" s="116">
        <v>0.31850000000000001</v>
      </c>
      <c r="T179" s="117">
        <v>0.49</v>
      </c>
      <c r="U179" s="39">
        <v>200</v>
      </c>
      <c r="V179" s="32"/>
      <c r="W179" s="33"/>
      <c r="X179" s="32"/>
      <c r="Y179" s="32"/>
      <c r="Z179" s="32"/>
      <c r="AA179" s="34"/>
      <c r="AB179" s="35">
        <f t="shared" si="20"/>
        <v>200</v>
      </c>
      <c r="AC179" s="75">
        <f t="shared" si="21"/>
        <v>7600</v>
      </c>
      <c r="AD179" s="78">
        <f t="shared" si="22"/>
        <v>0</v>
      </c>
      <c r="AE179" s="72">
        <f t="shared" si="23"/>
        <v>7600</v>
      </c>
      <c r="AF179" s="75">
        <f t="shared" si="24"/>
        <v>1362.9</v>
      </c>
      <c r="AG179" s="78">
        <f t="shared" si="25"/>
        <v>0</v>
      </c>
      <c r="AH179" s="72">
        <f t="shared" si="26"/>
        <v>1362.9</v>
      </c>
      <c r="AI179" s="75">
        <f t="shared" si="27"/>
        <v>910</v>
      </c>
      <c r="AJ179" s="78">
        <f t="shared" si="28"/>
        <v>0</v>
      </c>
      <c r="AK179" s="72">
        <f t="shared" si="29"/>
        <v>910</v>
      </c>
    </row>
    <row r="180" spans="1:37" ht="15.95" customHeight="1">
      <c r="A180" s="25" t="s">
        <v>462</v>
      </c>
      <c r="B180" s="25" t="s">
        <v>463</v>
      </c>
      <c r="C180" s="26" t="s">
        <v>124</v>
      </c>
      <c r="D180" s="26" t="s">
        <v>10</v>
      </c>
      <c r="E180" s="26" t="s">
        <v>16</v>
      </c>
      <c r="F180" s="26" t="s">
        <v>608</v>
      </c>
      <c r="G180" s="41"/>
      <c r="H180" s="44" t="s">
        <v>609</v>
      </c>
      <c r="I180" s="26" t="s">
        <v>19</v>
      </c>
      <c r="J180" s="28" t="s">
        <v>20</v>
      </c>
      <c r="K180" s="123">
        <v>225</v>
      </c>
      <c r="L180" s="29">
        <v>48.838000000000001</v>
      </c>
      <c r="M180" s="110">
        <v>34</v>
      </c>
      <c r="N180" s="30">
        <v>0.27700000000000002</v>
      </c>
      <c r="O180" s="116">
        <v>9.418000000000001</v>
      </c>
      <c r="P180" s="30">
        <v>7.4999999999999997E-2</v>
      </c>
      <c r="Q180" s="116">
        <v>2.5499999999999998</v>
      </c>
      <c r="R180" s="30">
        <v>7.0000000000000007E-2</v>
      </c>
      <c r="S180" s="116">
        <v>2.3800000000000003</v>
      </c>
      <c r="T180" s="117">
        <v>0.49</v>
      </c>
      <c r="U180" s="39">
        <v>481</v>
      </c>
      <c r="V180" s="32">
        <v>23</v>
      </c>
      <c r="W180" s="33"/>
      <c r="X180" s="32"/>
      <c r="Y180" s="32"/>
      <c r="Z180" s="32"/>
      <c r="AA180" s="34"/>
      <c r="AB180" s="35">
        <f t="shared" si="20"/>
        <v>504</v>
      </c>
      <c r="AC180" s="75">
        <f t="shared" si="21"/>
        <v>108225</v>
      </c>
      <c r="AD180" s="78">
        <f t="shared" si="22"/>
        <v>5175</v>
      </c>
      <c r="AE180" s="72">
        <f t="shared" si="23"/>
        <v>113400</v>
      </c>
      <c r="AF180" s="75">
        <f t="shared" si="24"/>
        <v>23491.078000000001</v>
      </c>
      <c r="AG180" s="78">
        <f t="shared" si="25"/>
        <v>1123.2740000000001</v>
      </c>
      <c r="AH180" s="72">
        <f t="shared" si="26"/>
        <v>24614.352000000003</v>
      </c>
      <c r="AI180" s="75">
        <f t="shared" si="27"/>
        <v>16354</v>
      </c>
      <c r="AJ180" s="78">
        <f t="shared" si="28"/>
        <v>782</v>
      </c>
      <c r="AK180" s="72">
        <f t="shared" si="29"/>
        <v>17136</v>
      </c>
    </row>
    <row r="181" spans="1:37" ht="15.95" customHeight="1">
      <c r="A181" s="25" t="s">
        <v>462</v>
      </c>
      <c r="B181" s="25" t="s">
        <v>463</v>
      </c>
      <c r="C181" s="26" t="s">
        <v>14</v>
      </c>
      <c r="D181" s="26" t="s">
        <v>10</v>
      </c>
      <c r="E181" s="26" t="s">
        <v>16</v>
      </c>
      <c r="F181" s="26" t="s">
        <v>610</v>
      </c>
      <c r="G181" s="41"/>
      <c r="H181" s="44" t="s">
        <v>611</v>
      </c>
      <c r="I181" s="26" t="s">
        <v>27</v>
      </c>
      <c r="J181" s="28" t="s">
        <v>41</v>
      </c>
      <c r="K181" s="123">
        <v>175</v>
      </c>
      <c r="L181" s="29">
        <v>25.747899999999998</v>
      </c>
      <c r="M181" s="110">
        <v>17.7</v>
      </c>
      <c r="N181" s="30">
        <v>0.28199999999999997</v>
      </c>
      <c r="O181" s="116">
        <v>4.9913999999999996</v>
      </c>
      <c r="P181" s="30">
        <v>7.4999999999999997E-2</v>
      </c>
      <c r="Q181" s="116">
        <v>1.3274999999999999</v>
      </c>
      <c r="R181" s="30">
        <v>7.0000000000000007E-2</v>
      </c>
      <c r="S181" s="116">
        <v>1.2390000000000001</v>
      </c>
      <c r="T181" s="117">
        <v>0.49</v>
      </c>
      <c r="U181" s="39">
        <v>400</v>
      </c>
      <c r="V181" s="32">
        <v>105</v>
      </c>
      <c r="W181" s="33"/>
      <c r="X181" s="32"/>
      <c r="Y181" s="32"/>
      <c r="Z181" s="32"/>
      <c r="AA181" s="34"/>
      <c r="AB181" s="35">
        <f t="shared" si="20"/>
        <v>505</v>
      </c>
      <c r="AC181" s="75">
        <f t="shared" si="21"/>
        <v>70000</v>
      </c>
      <c r="AD181" s="78">
        <f t="shared" si="22"/>
        <v>18375</v>
      </c>
      <c r="AE181" s="72">
        <f t="shared" si="23"/>
        <v>88375</v>
      </c>
      <c r="AF181" s="75">
        <f t="shared" si="24"/>
        <v>10299.16</v>
      </c>
      <c r="AG181" s="78">
        <f t="shared" si="25"/>
        <v>2703.5294999999996</v>
      </c>
      <c r="AH181" s="72">
        <f t="shared" si="26"/>
        <v>13002.6895</v>
      </c>
      <c r="AI181" s="75">
        <f t="shared" si="27"/>
        <v>7080</v>
      </c>
      <c r="AJ181" s="78">
        <f t="shared" si="28"/>
        <v>1858.5</v>
      </c>
      <c r="AK181" s="72">
        <f t="shared" si="29"/>
        <v>8938.5</v>
      </c>
    </row>
    <row r="182" spans="1:37" ht="15.95" customHeight="1">
      <c r="A182" s="25" t="s">
        <v>462</v>
      </c>
      <c r="B182" s="25" t="s">
        <v>463</v>
      </c>
      <c r="C182" s="26" t="s">
        <v>21</v>
      </c>
      <c r="D182" s="26" t="s">
        <v>10</v>
      </c>
      <c r="E182" s="26" t="s">
        <v>16</v>
      </c>
      <c r="F182" s="26" t="s">
        <v>612</v>
      </c>
      <c r="G182" s="41"/>
      <c r="H182" s="44" t="s">
        <v>611</v>
      </c>
      <c r="I182" s="26" t="s">
        <v>27</v>
      </c>
      <c r="J182" s="28" t="s">
        <v>43</v>
      </c>
      <c r="K182" s="123">
        <v>135</v>
      </c>
      <c r="L182" s="29">
        <v>21.6096</v>
      </c>
      <c r="M182" s="110">
        <v>14.8</v>
      </c>
      <c r="N182" s="30">
        <v>0.28199999999999997</v>
      </c>
      <c r="O182" s="116">
        <v>4.1735999999999995</v>
      </c>
      <c r="P182" s="30">
        <v>7.4999999999999997E-2</v>
      </c>
      <c r="Q182" s="116">
        <v>1.1100000000000001</v>
      </c>
      <c r="R182" s="30">
        <v>7.0000000000000007E-2</v>
      </c>
      <c r="S182" s="116">
        <v>1.0360000000000003</v>
      </c>
      <c r="T182" s="117">
        <v>0.49</v>
      </c>
      <c r="U182" s="39">
        <v>400</v>
      </c>
      <c r="V182" s="32">
        <v>103</v>
      </c>
      <c r="W182" s="33"/>
      <c r="X182" s="32"/>
      <c r="Y182" s="32"/>
      <c r="Z182" s="32"/>
      <c r="AA182" s="34"/>
      <c r="AB182" s="35">
        <f t="shared" si="20"/>
        <v>503</v>
      </c>
      <c r="AC182" s="75">
        <f t="shared" si="21"/>
        <v>54000</v>
      </c>
      <c r="AD182" s="78">
        <f t="shared" si="22"/>
        <v>13905</v>
      </c>
      <c r="AE182" s="72">
        <f t="shared" si="23"/>
        <v>67905</v>
      </c>
      <c r="AF182" s="75">
        <f t="shared" si="24"/>
        <v>8643.84</v>
      </c>
      <c r="AG182" s="78">
        <f t="shared" si="25"/>
        <v>2225.7888000000003</v>
      </c>
      <c r="AH182" s="72">
        <f t="shared" si="26"/>
        <v>10869.6288</v>
      </c>
      <c r="AI182" s="75">
        <f t="shared" si="27"/>
        <v>5920</v>
      </c>
      <c r="AJ182" s="78">
        <f t="shared" si="28"/>
        <v>1524.4</v>
      </c>
      <c r="AK182" s="72">
        <f t="shared" si="29"/>
        <v>7444.4</v>
      </c>
    </row>
    <row r="183" spans="1:37" ht="15.95" customHeight="1">
      <c r="A183" s="25" t="s">
        <v>462</v>
      </c>
      <c r="B183" s="25" t="s">
        <v>463</v>
      </c>
      <c r="C183" s="26" t="s">
        <v>167</v>
      </c>
      <c r="D183" s="26" t="s">
        <v>10</v>
      </c>
      <c r="E183" s="26" t="s">
        <v>444</v>
      </c>
      <c r="F183" s="26" t="s">
        <v>613</v>
      </c>
      <c r="G183" s="41"/>
      <c r="H183" s="44" t="s">
        <v>614</v>
      </c>
      <c r="I183" s="26" t="s">
        <v>167</v>
      </c>
      <c r="J183" s="28" t="s">
        <v>172</v>
      </c>
      <c r="K183" s="123">
        <v>135</v>
      </c>
      <c r="L183" s="29">
        <v>21.238000000000003</v>
      </c>
      <c r="M183" s="110">
        <v>16.8</v>
      </c>
      <c r="N183" s="30">
        <v>0.16500000000000001</v>
      </c>
      <c r="O183" s="116">
        <v>2.7720000000000002</v>
      </c>
      <c r="P183" s="30"/>
      <c r="Q183" s="116"/>
      <c r="R183" s="30">
        <v>7.0000000000000007E-2</v>
      </c>
      <c r="S183" s="116">
        <v>1.1760000000000002</v>
      </c>
      <c r="T183" s="117">
        <v>0.49</v>
      </c>
      <c r="U183" s="39">
        <v>420</v>
      </c>
      <c r="V183" s="32">
        <v>80</v>
      </c>
      <c r="W183" s="33"/>
      <c r="X183" s="32"/>
      <c r="Y183" s="32"/>
      <c r="Z183" s="32"/>
      <c r="AA183" s="34"/>
      <c r="AB183" s="35">
        <f t="shared" si="20"/>
        <v>500</v>
      </c>
      <c r="AC183" s="75">
        <f t="shared" si="21"/>
        <v>56700</v>
      </c>
      <c r="AD183" s="78">
        <f t="shared" si="22"/>
        <v>10800</v>
      </c>
      <c r="AE183" s="72">
        <f t="shared" si="23"/>
        <v>67500</v>
      </c>
      <c r="AF183" s="75">
        <f t="shared" si="24"/>
        <v>8919.9600000000009</v>
      </c>
      <c r="AG183" s="78">
        <f t="shared" si="25"/>
        <v>1699.0400000000002</v>
      </c>
      <c r="AH183" s="72">
        <f t="shared" si="26"/>
        <v>10619.000000000002</v>
      </c>
      <c r="AI183" s="75">
        <f t="shared" si="27"/>
        <v>7056</v>
      </c>
      <c r="AJ183" s="78">
        <f t="shared" si="28"/>
        <v>1344</v>
      </c>
      <c r="AK183" s="72">
        <f t="shared" si="29"/>
        <v>8400</v>
      </c>
    </row>
    <row r="184" spans="1:37" ht="15.95" customHeight="1">
      <c r="A184" s="14" t="s">
        <v>462</v>
      </c>
      <c r="B184" s="14" t="s">
        <v>252</v>
      </c>
      <c r="C184" s="15" t="s">
        <v>309</v>
      </c>
      <c r="D184" s="15" t="s">
        <v>615</v>
      </c>
      <c r="E184" s="15" t="s">
        <v>616</v>
      </c>
      <c r="F184" s="15" t="s">
        <v>617</v>
      </c>
      <c r="G184" s="15"/>
      <c r="H184" s="16" t="s">
        <v>618</v>
      </c>
      <c r="I184" s="15" t="s">
        <v>27</v>
      </c>
      <c r="J184" s="17" t="s">
        <v>311</v>
      </c>
      <c r="K184" s="122">
        <v>68</v>
      </c>
      <c r="L184" s="18">
        <v>19.074999999999999</v>
      </c>
      <c r="M184" s="109">
        <v>15</v>
      </c>
      <c r="N184" s="19">
        <v>0.16900000000000001</v>
      </c>
      <c r="O184" s="114">
        <v>2.5350000000000001</v>
      </c>
      <c r="P184" s="19"/>
      <c r="Q184" s="114"/>
      <c r="R184" s="19">
        <v>7.0000000000000007E-2</v>
      </c>
      <c r="S184" s="114">
        <v>1.05</v>
      </c>
      <c r="T184" s="115">
        <v>0.49</v>
      </c>
      <c r="U184" s="20">
        <v>470</v>
      </c>
      <c r="V184" s="21">
        <v>32</v>
      </c>
      <c r="W184" s="22"/>
      <c r="X184" s="21"/>
      <c r="Y184" s="21"/>
      <c r="Z184" s="21"/>
      <c r="AA184" s="23"/>
      <c r="AB184" s="24">
        <v>502</v>
      </c>
      <c r="AC184" s="74">
        <f>$K184*U184</f>
        <v>31960</v>
      </c>
      <c r="AD184" s="77">
        <f>$K184*SUM(V184:AA184)</f>
        <v>2176</v>
      </c>
      <c r="AE184" s="71">
        <f>SUM(AC184:AD184)</f>
        <v>34136</v>
      </c>
      <c r="AF184" s="74">
        <f>$L184*U184</f>
        <v>8965.25</v>
      </c>
      <c r="AG184" s="77">
        <f>$L184*SUM(V184:W184)+M184*SUM(X184:AA184)</f>
        <v>610.4</v>
      </c>
      <c r="AH184" s="71">
        <f>SUM(AF184:AG184)</f>
        <v>9575.65</v>
      </c>
      <c r="AI184" s="74">
        <f>$M184*U184</f>
        <v>7050</v>
      </c>
      <c r="AJ184" s="77">
        <f>$M184*SUM(V184:AA184)</f>
        <v>480</v>
      </c>
      <c r="AK184" s="71">
        <f>SUM(AI184:AJ184)</f>
        <v>7530</v>
      </c>
    </row>
    <row r="185" spans="1:37" ht="15.95" customHeight="1">
      <c r="A185" s="25" t="s">
        <v>462</v>
      </c>
      <c r="B185" s="25" t="s">
        <v>252</v>
      </c>
      <c r="C185" s="26" t="s">
        <v>619</v>
      </c>
      <c r="D185" s="26" t="s">
        <v>615</v>
      </c>
      <c r="E185" s="26" t="s">
        <v>616</v>
      </c>
      <c r="F185" s="26" t="s">
        <v>620</v>
      </c>
      <c r="G185" s="26"/>
      <c r="H185" s="27" t="s">
        <v>621</v>
      </c>
      <c r="I185" s="26" t="s">
        <v>27</v>
      </c>
      <c r="J185" s="28" t="s">
        <v>308</v>
      </c>
      <c r="K185" s="123">
        <v>110</v>
      </c>
      <c r="L185" s="29">
        <v>21.445999999999998</v>
      </c>
      <c r="M185" s="110">
        <v>15.5</v>
      </c>
      <c r="N185" s="30">
        <v>0.28199999999999997</v>
      </c>
      <c r="O185" s="116">
        <v>4.3709999999999996</v>
      </c>
      <c r="P185" s="30"/>
      <c r="Q185" s="116"/>
      <c r="R185" s="30">
        <v>7.0000000000000007E-2</v>
      </c>
      <c r="S185" s="116">
        <v>1.0850000000000002</v>
      </c>
      <c r="T185" s="117">
        <v>0.49</v>
      </c>
      <c r="U185" s="31">
        <v>470</v>
      </c>
      <c r="V185" s="32">
        <v>32</v>
      </c>
      <c r="W185" s="33"/>
      <c r="X185" s="32"/>
      <c r="Y185" s="32"/>
      <c r="Z185" s="32"/>
      <c r="AA185" s="34"/>
      <c r="AB185" s="35">
        <v>502</v>
      </c>
      <c r="AC185" s="75">
        <f t="shared" ref="AC185:AC248" si="30">$K185*U185</f>
        <v>51700</v>
      </c>
      <c r="AD185" s="78">
        <f t="shared" ref="AD185:AD248" si="31">$K185*SUM(V185:AA185)</f>
        <v>3520</v>
      </c>
      <c r="AE185" s="72">
        <f t="shared" ref="AE185:AE248" si="32">SUM(AC185:AD185)</f>
        <v>55220</v>
      </c>
      <c r="AF185" s="75">
        <f t="shared" ref="AF185:AF248" si="33">$L185*U185</f>
        <v>10079.619999999999</v>
      </c>
      <c r="AG185" s="78">
        <f t="shared" ref="AG185:AG248" si="34">$L185*SUM(V185:W185)+M185*SUM(X185:AA185)</f>
        <v>686.27199999999993</v>
      </c>
      <c r="AH185" s="72">
        <f t="shared" ref="AH185:AH248" si="35">SUM(AF185:AG185)</f>
        <v>10765.892</v>
      </c>
      <c r="AI185" s="75">
        <f t="shared" ref="AI185:AI248" si="36">$M185*U185</f>
        <v>7285</v>
      </c>
      <c r="AJ185" s="78">
        <f t="shared" ref="AJ185:AJ248" si="37">$M185*SUM(V185:AA185)</f>
        <v>496</v>
      </c>
      <c r="AK185" s="72">
        <f t="shared" ref="AK185:AK248" si="38">SUM(AI185:AJ185)</f>
        <v>7781</v>
      </c>
    </row>
    <row r="186" spans="1:37" ht="15.95" customHeight="1">
      <c r="A186" s="25" t="s">
        <v>462</v>
      </c>
      <c r="B186" s="25" t="s">
        <v>252</v>
      </c>
      <c r="C186" s="26" t="s">
        <v>309</v>
      </c>
      <c r="D186" s="26" t="s">
        <v>615</v>
      </c>
      <c r="E186" s="26" t="s">
        <v>616</v>
      </c>
      <c r="F186" s="26" t="s">
        <v>617</v>
      </c>
      <c r="G186" s="26"/>
      <c r="H186" s="27" t="s">
        <v>621</v>
      </c>
      <c r="I186" s="26" t="s">
        <v>27</v>
      </c>
      <c r="J186" s="28" t="s">
        <v>311</v>
      </c>
      <c r="K186" s="123">
        <v>68</v>
      </c>
      <c r="L186" s="29">
        <v>19.074999999999999</v>
      </c>
      <c r="M186" s="110">
        <v>15</v>
      </c>
      <c r="N186" s="30">
        <v>0.16900000000000001</v>
      </c>
      <c r="O186" s="116">
        <v>2.5350000000000001</v>
      </c>
      <c r="P186" s="30"/>
      <c r="Q186" s="116"/>
      <c r="R186" s="30">
        <v>7.0000000000000007E-2</v>
      </c>
      <c r="S186" s="116">
        <v>1.05</v>
      </c>
      <c r="T186" s="117">
        <v>0.49</v>
      </c>
      <c r="U186" s="31">
        <v>491</v>
      </c>
      <c r="V186" s="32">
        <v>8</v>
      </c>
      <c r="W186" s="33"/>
      <c r="X186" s="32"/>
      <c r="Y186" s="32"/>
      <c r="Z186" s="32"/>
      <c r="AA186" s="34"/>
      <c r="AB186" s="35">
        <v>499</v>
      </c>
      <c r="AC186" s="75">
        <f t="shared" si="30"/>
        <v>33388</v>
      </c>
      <c r="AD186" s="78">
        <f t="shared" si="31"/>
        <v>544</v>
      </c>
      <c r="AE186" s="72">
        <f t="shared" si="32"/>
        <v>33932</v>
      </c>
      <c r="AF186" s="75">
        <f t="shared" si="33"/>
        <v>9365.8249999999989</v>
      </c>
      <c r="AG186" s="78">
        <f t="shared" si="34"/>
        <v>152.6</v>
      </c>
      <c r="AH186" s="72">
        <f t="shared" si="35"/>
        <v>9518.4249999999993</v>
      </c>
      <c r="AI186" s="75">
        <f t="shared" si="36"/>
        <v>7365</v>
      </c>
      <c r="AJ186" s="78">
        <f t="shared" si="37"/>
        <v>120</v>
      </c>
      <c r="AK186" s="72">
        <f t="shared" si="38"/>
        <v>7485</v>
      </c>
    </row>
    <row r="187" spans="1:37" ht="15.95" customHeight="1">
      <c r="A187" s="25" t="s">
        <v>462</v>
      </c>
      <c r="B187" s="25" t="s">
        <v>252</v>
      </c>
      <c r="C187" s="26" t="s">
        <v>619</v>
      </c>
      <c r="D187" s="26" t="s">
        <v>615</v>
      </c>
      <c r="E187" s="26" t="s">
        <v>616</v>
      </c>
      <c r="F187" s="26" t="s">
        <v>620</v>
      </c>
      <c r="G187" s="26"/>
      <c r="H187" s="27" t="s">
        <v>621</v>
      </c>
      <c r="I187" s="26" t="s">
        <v>27</v>
      </c>
      <c r="J187" s="28" t="s">
        <v>308</v>
      </c>
      <c r="K187" s="123">
        <v>110</v>
      </c>
      <c r="L187" s="29">
        <v>21.445999999999998</v>
      </c>
      <c r="M187" s="110">
        <v>15.5</v>
      </c>
      <c r="N187" s="30">
        <v>0.28199999999999997</v>
      </c>
      <c r="O187" s="116">
        <v>4.3709999999999996</v>
      </c>
      <c r="P187" s="30"/>
      <c r="Q187" s="116"/>
      <c r="R187" s="30">
        <v>7.0000000000000007E-2</v>
      </c>
      <c r="S187" s="116">
        <v>1.0850000000000002</v>
      </c>
      <c r="T187" s="117">
        <v>0.49</v>
      </c>
      <c r="U187" s="31">
        <v>492</v>
      </c>
      <c r="V187" s="32">
        <v>8</v>
      </c>
      <c r="W187" s="33"/>
      <c r="X187" s="32"/>
      <c r="Y187" s="32"/>
      <c r="Z187" s="32"/>
      <c r="AA187" s="34"/>
      <c r="AB187" s="35">
        <v>500</v>
      </c>
      <c r="AC187" s="75">
        <f t="shared" si="30"/>
        <v>54120</v>
      </c>
      <c r="AD187" s="78">
        <f t="shared" si="31"/>
        <v>880</v>
      </c>
      <c r="AE187" s="72">
        <f t="shared" si="32"/>
        <v>55000</v>
      </c>
      <c r="AF187" s="75">
        <f t="shared" si="33"/>
        <v>10551.431999999999</v>
      </c>
      <c r="AG187" s="78">
        <f t="shared" si="34"/>
        <v>171.56799999999998</v>
      </c>
      <c r="AH187" s="72">
        <f t="shared" si="35"/>
        <v>10722.999999999998</v>
      </c>
      <c r="AI187" s="75">
        <f t="shared" si="36"/>
        <v>7626</v>
      </c>
      <c r="AJ187" s="78">
        <f t="shared" si="37"/>
        <v>124</v>
      </c>
      <c r="AK187" s="72">
        <f t="shared" si="38"/>
        <v>7750</v>
      </c>
    </row>
    <row r="188" spans="1:37" ht="15.95" customHeight="1">
      <c r="A188" s="25" t="s">
        <v>462</v>
      </c>
      <c r="B188" s="25" t="s">
        <v>252</v>
      </c>
      <c r="C188" s="26" t="s">
        <v>309</v>
      </c>
      <c r="D188" s="26" t="s">
        <v>615</v>
      </c>
      <c r="E188" s="26" t="s">
        <v>616</v>
      </c>
      <c r="F188" s="26" t="s">
        <v>617</v>
      </c>
      <c r="G188" s="36"/>
      <c r="H188" s="27" t="s">
        <v>618</v>
      </c>
      <c r="I188" s="26" t="s">
        <v>27</v>
      </c>
      <c r="J188" s="28" t="s">
        <v>311</v>
      </c>
      <c r="K188" s="123">
        <v>68</v>
      </c>
      <c r="L188" s="29">
        <v>19.074999999999999</v>
      </c>
      <c r="M188" s="110">
        <v>15</v>
      </c>
      <c r="N188" s="30">
        <v>0.16900000000000001</v>
      </c>
      <c r="O188" s="116">
        <v>2.5350000000000001</v>
      </c>
      <c r="P188" s="30"/>
      <c r="Q188" s="116"/>
      <c r="R188" s="30">
        <v>7.0000000000000007E-2</v>
      </c>
      <c r="S188" s="116">
        <v>1.05</v>
      </c>
      <c r="T188" s="117">
        <v>0.49</v>
      </c>
      <c r="U188" s="31">
        <v>469</v>
      </c>
      <c r="V188" s="32">
        <v>32</v>
      </c>
      <c r="W188" s="33"/>
      <c r="X188" s="32"/>
      <c r="Y188" s="32"/>
      <c r="Z188" s="32"/>
      <c r="AA188" s="34"/>
      <c r="AB188" s="35">
        <v>501</v>
      </c>
      <c r="AC188" s="75">
        <f t="shared" si="30"/>
        <v>31892</v>
      </c>
      <c r="AD188" s="78">
        <f t="shared" si="31"/>
        <v>2176</v>
      </c>
      <c r="AE188" s="72">
        <f t="shared" si="32"/>
        <v>34068</v>
      </c>
      <c r="AF188" s="75">
        <f t="shared" si="33"/>
        <v>8946.1749999999993</v>
      </c>
      <c r="AG188" s="78">
        <f t="shared" si="34"/>
        <v>610.4</v>
      </c>
      <c r="AH188" s="72">
        <f t="shared" si="35"/>
        <v>9556.5749999999989</v>
      </c>
      <c r="AI188" s="75">
        <f t="shared" si="36"/>
        <v>7035</v>
      </c>
      <c r="AJ188" s="78">
        <f t="shared" si="37"/>
        <v>480</v>
      </c>
      <c r="AK188" s="72">
        <f t="shared" si="38"/>
        <v>7515</v>
      </c>
    </row>
    <row r="189" spans="1:37" ht="15.95" customHeight="1">
      <c r="A189" s="25" t="s">
        <v>462</v>
      </c>
      <c r="B189" s="25" t="s">
        <v>252</v>
      </c>
      <c r="C189" s="26" t="s">
        <v>619</v>
      </c>
      <c r="D189" s="26" t="s">
        <v>615</v>
      </c>
      <c r="E189" s="26" t="s">
        <v>616</v>
      </c>
      <c r="F189" s="26" t="s">
        <v>620</v>
      </c>
      <c r="G189" s="36"/>
      <c r="H189" s="27" t="s">
        <v>621</v>
      </c>
      <c r="I189" s="26" t="s">
        <v>27</v>
      </c>
      <c r="J189" s="28" t="s">
        <v>308</v>
      </c>
      <c r="K189" s="123">
        <v>110</v>
      </c>
      <c r="L189" s="29">
        <v>21.445999999999998</v>
      </c>
      <c r="M189" s="110">
        <v>15.5</v>
      </c>
      <c r="N189" s="30">
        <v>0.28199999999999997</v>
      </c>
      <c r="O189" s="116">
        <v>4.3709999999999996</v>
      </c>
      <c r="P189" s="30"/>
      <c r="Q189" s="116"/>
      <c r="R189" s="30">
        <v>7.0000000000000007E-2</v>
      </c>
      <c r="S189" s="116">
        <v>1.0850000000000002</v>
      </c>
      <c r="T189" s="117">
        <v>0.49</v>
      </c>
      <c r="U189" s="31">
        <v>467</v>
      </c>
      <c r="V189" s="32">
        <v>32</v>
      </c>
      <c r="W189" s="33"/>
      <c r="X189" s="32"/>
      <c r="Y189" s="32"/>
      <c r="Z189" s="32"/>
      <c r="AA189" s="34"/>
      <c r="AB189" s="35">
        <v>499</v>
      </c>
      <c r="AC189" s="75">
        <f t="shared" si="30"/>
        <v>51370</v>
      </c>
      <c r="AD189" s="78">
        <f t="shared" si="31"/>
        <v>3520</v>
      </c>
      <c r="AE189" s="72">
        <f t="shared" si="32"/>
        <v>54890</v>
      </c>
      <c r="AF189" s="75">
        <f t="shared" si="33"/>
        <v>10015.281999999999</v>
      </c>
      <c r="AG189" s="78">
        <f t="shared" si="34"/>
        <v>686.27199999999993</v>
      </c>
      <c r="AH189" s="72">
        <f t="shared" si="35"/>
        <v>10701.554</v>
      </c>
      <c r="AI189" s="75">
        <f t="shared" si="36"/>
        <v>7238.5</v>
      </c>
      <c r="AJ189" s="78">
        <f t="shared" si="37"/>
        <v>496</v>
      </c>
      <c r="AK189" s="72">
        <f t="shared" si="38"/>
        <v>7734.5</v>
      </c>
    </row>
    <row r="190" spans="1:37" ht="15.95" customHeight="1">
      <c r="A190" s="25" t="s">
        <v>462</v>
      </c>
      <c r="B190" s="25" t="s">
        <v>252</v>
      </c>
      <c r="C190" s="26" t="s">
        <v>24</v>
      </c>
      <c r="D190" s="26" t="s">
        <v>615</v>
      </c>
      <c r="E190" s="26" t="s">
        <v>616</v>
      </c>
      <c r="F190" s="26" t="s">
        <v>622</v>
      </c>
      <c r="G190" s="26"/>
      <c r="H190" s="27" t="s">
        <v>618</v>
      </c>
      <c r="I190" s="26" t="s">
        <v>27</v>
      </c>
      <c r="J190" s="37" t="s">
        <v>256</v>
      </c>
      <c r="K190" s="123">
        <v>58</v>
      </c>
      <c r="L190" s="29">
        <v>15.363</v>
      </c>
      <c r="M190" s="110">
        <v>10.7</v>
      </c>
      <c r="N190" s="30">
        <v>0.32</v>
      </c>
      <c r="O190" s="116">
        <v>3.4239999999999999</v>
      </c>
      <c r="P190" s="30"/>
      <c r="Q190" s="116"/>
      <c r="R190" s="30">
        <v>7.0000000000000007E-2</v>
      </c>
      <c r="S190" s="116">
        <v>0.749</v>
      </c>
      <c r="T190" s="117">
        <v>0.49</v>
      </c>
      <c r="U190" s="31">
        <v>500</v>
      </c>
      <c r="V190" s="32"/>
      <c r="W190" s="33"/>
      <c r="X190" s="32"/>
      <c r="Y190" s="32"/>
      <c r="Z190" s="32"/>
      <c r="AA190" s="34"/>
      <c r="AB190" s="35">
        <v>500</v>
      </c>
      <c r="AC190" s="75">
        <f t="shared" si="30"/>
        <v>29000</v>
      </c>
      <c r="AD190" s="78">
        <f t="shared" si="31"/>
        <v>0</v>
      </c>
      <c r="AE190" s="72">
        <f t="shared" si="32"/>
        <v>29000</v>
      </c>
      <c r="AF190" s="75">
        <f t="shared" si="33"/>
        <v>7681.5</v>
      </c>
      <c r="AG190" s="78">
        <f t="shared" si="34"/>
        <v>0</v>
      </c>
      <c r="AH190" s="72">
        <f t="shared" si="35"/>
        <v>7681.5</v>
      </c>
      <c r="AI190" s="75">
        <f t="shared" si="36"/>
        <v>5350</v>
      </c>
      <c r="AJ190" s="78">
        <f t="shared" si="37"/>
        <v>0</v>
      </c>
      <c r="AK190" s="72">
        <f t="shared" si="38"/>
        <v>5350</v>
      </c>
    </row>
    <row r="191" spans="1:37" ht="15.95" customHeight="1">
      <c r="A191" s="25" t="s">
        <v>462</v>
      </c>
      <c r="B191" s="25" t="s">
        <v>252</v>
      </c>
      <c r="C191" s="26" t="s">
        <v>24</v>
      </c>
      <c r="D191" s="26" t="s">
        <v>615</v>
      </c>
      <c r="E191" s="26" t="s">
        <v>616</v>
      </c>
      <c r="F191" s="26" t="s">
        <v>622</v>
      </c>
      <c r="G191" s="26"/>
      <c r="H191" s="27" t="s">
        <v>621</v>
      </c>
      <c r="I191" s="26" t="s">
        <v>27</v>
      </c>
      <c r="J191" s="37" t="s">
        <v>256</v>
      </c>
      <c r="K191" s="123">
        <v>58</v>
      </c>
      <c r="L191" s="29">
        <v>15.363</v>
      </c>
      <c r="M191" s="110">
        <v>10.7</v>
      </c>
      <c r="N191" s="30">
        <v>0.32</v>
      </c>
      <c r="O191" s="116">
        <v>3.4239999999999999</v>
      </c>
      <c r="P191" s="30"/>
      <c r="Q191" s="116"/>
      <c r="R191" s="30">
        <v>7.0000000000000007E-2</v>
      </c>
      <c r="S191" s="116">
        <v>0.749</v>
      </c>
      <c r="T191" s="117">
        <v>0.49</v>
      </c>
      <c r="U191" s="31">
        <v>500</v>
      </c>
      <c r="V191" s="32"/>
      <c r="W191" s="33"/>
      <c r="X191" s="32"/>
      <c r="Y191" s="32"/>
      <c r="Z191" s="32"/>
      <c r="AA191" s="34"/>
      <c r="AB191" s="35">
        <v>500</v>
      </c>
      <c r="AC191" s="75">
        <f t="shared" si="30"/>
        <v>29000</v>
      </c>
      <c r="AD191" s="78">
        <f t="shared" si="31"/>
        <v>0</v>
      </c>
      <c r="AE191" s="72">
        <f t="shared" si="32"/>
        <v>29000</v>
      </c>
      <c r="AF191" s="75">
        <f t="shared" si="33"/>
        <v>7681.5</v>
      </c>
      <c r="AG191" s="78">
        <f t="shared" si="34"/>
        <v>0</v>
      </c>
      <c r="AH191" s="72">
        <f t="shared" si="35"/>
        <v>7681.5</v>
      </c>
      <c r="AI191" s="75">
        <f t="shared" si="36"/>
        <v>5350</v>
      </c>
      <c r="AJ191" s="78">
        <f t="shared" si="37"/>
        <v>0</v>
      </c>
      <c r="AK191" s="72">
        <f t="shared" si="38"/>
        <v>5350</v>
      </c>
    </row>
    <row r="192" spans="1:37" ht="15.95" customHeight="1">
      <c r="A192" s="25" t="s">
        <v>462</v>
      </c>
      <c r="B192" s="25" t="s">
        <v>252</v>
      </c>
      <c r="C192" s="26" t="s">
        <v>24</v>
      </c>
      <c r="D192" s="26" t="s">
        <v>615</v>
      </c>
      <c r="E192" s="26" t="s">
        <v>616</v>
      </c>
      <c r="F192" s="26" t="s">
        <v>622</v>
      </c>
      <c r="G192" s="26"/>
      <c r="H192" s="27" t="s">
        <v>618</v>
      </c>
      <c r="I192" s="26" t="s">
        <v>27</v>
      </c>
      <c r="J192" s="28" t="s">
        <v>256</v>
      </c>
      <c r="K192" s="123">
        <v>58</v>
      </c>
      <c r="L192" s="29">
        <v>15.363</v>
      </c>
      <c r="M192" s="110">
        <v>10.7</v>
      </c>
      <c r="N192" s="30">
        <v>0.32</v>
      </c>
      <c r="O192" s="116">
        <v>3.4239999999999999</v>
      </c>
      <c r="P192" s="30"/>
      <c r="Q192" s="116"/>
      <c r="R192" s="30">
        <v>7.0000000000000007E-2</v>
      </c>
      <c r="S192" s="116">
        <v>0.749</v>
      </c>
      <c r="T192" s="117">
        <v>0.49</v>
      </c>
      <c r="U192" s="31">
        <v>500</v>
      </c>
      <c r="V192" s="32"/>
      <c r="W192" s="33"/>
      <c r="X192" s="32"/>
      <c r="Y192" s="32"/>
      <c r="Z192" s="32"/>
      <c r="AA192" s="34"/>
      <c r="AB192" s="35">
        <v>500</v>
      </c>
      <c r="AC192" s="75">
        <f t="shared" si="30"/>
        <v>29000</v>
      </c>
      <c r="AD192" s="78">
        <f t="shared" si="31"/>
        <v>0</v>
      </c>
      <c r="AE192" s="72">
        <f t="shared" si="32"/>
        <v>29000</v>
      </c>
      <c r="AF192" s="75">
        <f t="shared" si="33"/>
        <v>7681.5</v>
      </c>
      <c r="AG192" s="78">
        <f t="shared" si="34"/>
        <v>0</v>
      </c>
      <c r="AH192" s="72">
        <f t="shared" si="35"/>
        <v>7681.5</v>
      </c>
      <c r="AI192" s="75">
        <f t="shared" si="36"/>
        <v>5350</v>
      </c>
      <c r="AJ192" s="78">
        <f t="shared" si="37"/>
        <v>0</v>
      </c>
      <c r="AK192" s="72">
        <f t="shared" si="38"/>
        <v>5350</v>
      </c>
    </row>
    <row r="193" spans="1:37" ht="15.95" customHeight="1">
      <c r="A193" s="25" t="s">
        <v>462</v>
      </c>
      <c r="B193" s="25" t="s">
        <v>252</v>
      </c>
      <c r="C193" s="26" t="s">
        <v>293</v>
      </c>
      <c r="D193" s="26" t="s">
        <v>615</v>
      </c>
      <c r="E193" s="26" t="s">
        <v>616</v>
      </c>
      <c r="F193" s="26" t="s">
        <v>623</v>
      </c>
      <c r="G193" s="36"/>
      <c r="H193" s="27" t="s">
        <v>621</v>
      </c>
      <c r="I193" s="26" t="s">
        <v>27</v>
      </c>
      <c r="J193" s="28" t="s">
        <v>301</v>
      </c>
      <c r="K193" s="123">
        <v>110</v>
      </c>
      <c r="L193" s="29">
        <v>26.319999999999997</v>
      </c>
      <c r="M193" s="110">
        <v>21</v>
      </c>
      <c r="N193" s="30">
        <v>0.16</v>
      </c>
      <c r="O193" s="116">
        <v>3.36</v>
      </c>
      <c r="P193" s="30"/>
      <c r="Q193" s="116"/>
      <c r="R193" s="30">
        <v>7.0000000000000007E-2</v>
      </c>
      <c r="S193" s="116">
        <v>1.4700000000000002</v>
      </c>
      <c r="T193" s="117">
        <v>0.49</v>
      </c>
      <c r="U193" s="31">
        <v>501</v>
      </c>
      <c r="V193" s="32">
        <v>17</v>
      </c>
      <c r="W193" s="33"/>
      <c r="X193" s="32"/>
      <c r="Y193" s="32"/>
      <c r="Z193" s="32"/>
      <c r="AA193" s="34"/>
      <c r="AB193" s="35">
        <v>518</v>
      </c>
      <c r="AC193" s="75">
        <f t="shared" si="30"/>
        <v>55110</v>
      </c>
      <c r="AD193" s="78">
        <f t="shared" si="31"/>
        <v>1870</v>
      </c>
      <c r="AE193" s="72">
        <f t="shared" si="32"/>
        <v>56980</v>
      </c>
      <c r="AF193" s="75">
        <f t="shared" si="33"/>
        <v>13186.319999999998</v>
      </c>
      <c r="AG193" s="78">
        <f t="shared" si="34"/>
        <v>447.43999999999994</v>
      </c>
      <c r="AH193" s="72">
        <f t="shared" si="35"/>
        <v>13633.759999999998</v>
      </c>
      <c r="AI193" s="75">
        <f t="shared" si="36"/>
        <v>10521</v>
      </c>
      <c r="AJ193" s="78">
        <f t="shared" si="37"/>
        <v>357</v>
      </c>
      <c r="AK193" s="72">
        <f t="shared" si="38"/>
        <v>10878</v>
      </c>
    </row>
    <row r="194" spans="1:37" ht="15.95" customHeight="1">
      <c r="A194" s="25" t="s">
        <v>462</v>
      </c>
      <c r="B194" s="25" t="s">
        <v>252</v>
      </c>
      <c r="C194" s="26" t="s">
        <v>293</v>
      </c>
      <c r="D194" s="26" t="s">
        <v>615</v>
      </c>
      <c r="E194" s="26" t="s">
        <v>616</v>
      </c>
      <c r="F194" s="26" t="s">
        <v>623</v>
      </c>
      <c r="G194" s="36"/>
      <c r="H194" s="27" t="s">
        <v>621</v>
      </c>
      <c r="I194" s="26" t="s">
        <v>27</v>
      </c>
      <c r="J194" s="28" t="s">
        <v>301</v>
      </c>
      <c r="K194" s="123">
        <v>110</v>
      </c>
      <c r="L194" s="29">
        <v>26.319999999999997</v>
      </c>
      <c r="M194" s="110">
        <v>21</v>
      </c>
      <c r="N194" s="30">
        <v>0.16</v>
      </c>
      <c r="O194" s="116">
        <v>3.36</v>
      </c>
      <c r="P194" s="30"/>
      <c r="Q194" s="116"/>
      <c r="R194" s="30">
        <v>7.0000000000000007E-2</v>
      </c>
      <c r="S194" s="116">
        <v>1.4700000000000002</v>
      </c>
      <c r="T194" s="117">
        <v>0.49</v>
      </c>
      <c r="U194" s="31">
        <v>501</v>
      </c>
      <c r="V194" s="32">
        <v>12</v>
      </c>
      <c r="W194" s="33"/>
      <c r="X194" s="32"/>
      <c r="Y194" s="32"/>
      <c r="Z194" s="32"/>
      <c r="AA194" s="34"/>
      <c r="AB194" s="35">
        <v>513</v>
      </c>
      <c r="AC194" s="75">
        <f t="shared" si="30"/>
        <v>55110</v>
      </c>
      <c r="AD194" s="78">
        <f t="shared" si="31"/>
        <v>1320</v>
      </c>
      <c r="AE194" s="72">
        <f t="shared" si="32"/>
        <v>56430</v>
      </c>
      <c r="AF194" s="75">
        <f t="shared" si="33"/>
        <v>13186.319999999998</v>
      </c>
      <c r="AG194" s="78">
        <f t="shared" si="34"/>
        <v>315.83999999999997</v>
      </c>
      <c r="AH194" s="72">
        <f t="shared" si="35"/>
        <v>13502.159999999998</v>
      </c>
      <c r="AI194" s="75">
        <f t="shared" si="36"/>
        <v>10521</v>
      </c>
      <c r="AJ194" s="78">
        <f t="shared" si="37"/>
        <v>252</v>
      </c>
      <c r="AK194" s="72">
        <f t="shared" si="38"/>
        <v>10773</v>
      </c>
    </row>
    <row r="195" spans="1:37" ht="15.95" customHeight="1">
      <c r="A195" s="25" t="s">
        <v>462</v>
      </c>
      <c r="B195" s="25" t="s">
        <v>252</v>
      </c>
      <c r="C195" s="26" t="s">
        <v>293</v>
      </c>
      <c r="D195" s="26" t="s">
        <v>615</v>
      </c>
      <c r="E195" s="26" t="s">
        <v>616</v>
      </c>
      <c r="F195" s="26" t="s">
        <v>623</v>
      </c>
      <c r="G195" s="36"/>
      <c r="H195" s="27" t="s">
        <v>621</v>
      </c>
      <c r="I195" s="26" t="s">
        <v>27</v>
      </c>
      <c r="J195" s="28" t="s">
        <v>301</v>
      </c>
      <c r="K195" s="123">
        <v>110</v>
      </c>
      <c r="L195" s="29">
        <v>26.443000000000001</v>
      </c>
      <c r="M195" s="110">
        <v>21.1</v>
      </c>
      <c r="N195" s="30">
        <v>0.16</v>
      </c>
      <c r="O195" s="116">
        <v>3.3760000000000003</v>
      </c>
      <c r="P195" s="30"/>
      <c r="Q195" s="116"/>
      <c r="R195" s="30">
        <v>7.0000000000000007E-2</v>
      </c>
      <c r="S195" s="116">
        <v>1.4770000000000003</v>
      </c>
      <c r="T195" s="117">
        <v>0.49</v>
      </c>
      <c r="U195" s="31">
        <v>501</v>
      </c>
      <c r="V195" s="32">
        <v>21</v>
      </c>
      <c r="W195" s="33"/>
      <c r="X195" s="32"/>
      <c r="Y195" s="32"/>
      <c r="Z195" s="32"/>
      <c r="AA195" s="34"/>
      <c r="AB195" s="35">
        <v>522</v>
      </c>
      <c r="AC195" s="75">
        <f t="shared" si="30"/>
        <v>55110</v>
      </c>
      <c r="AD195" s="78">
        <f t="shared" si="31"/>
        <v>2310</v>
      </c>
      <c r="AE195" s="72">
        <f t="shared" si="32"/>
        <v>57420</v>
      </c>
      <c r="AF195" s="75">
        <f t="shared" si="33"/>
        <v>13247.943000000001</v>
      </c>
      <c r="AG195" s="78">
        <f t="shared" si="34"/>
        <v>555.303</v>
      </c>
      <c r="AH195" s="72">
        <f t="shared" si="35"/>
        <v>13803.246000000001</v>
      </c>
      <c r="AI195" s="75">
        <f t="shared" si="36"/>
        <v>10571.1</v>
      </c>
      <c r="AJ195" s="78">
        <f t="shared" si="37"/>
        <v>443.1</v>
      </c>
      <c r="AK195" s="72">
        <f t="shared" si="38"/>
        <v>11014.2</v>
      </c>
    </row>
    <row r="196" spans="1:37" ht="15.95" customHeight="1">
      <c r="A196" s="25" t="s">
        <v>462</v>
      </c>
      <c r="B196" s="25" t="s">
        <v>252</v>
      </c>
      <c r="C196" s="26" t="s">
        <v>293</v>
      </c>
      <c r="D196" s="26" t="s">
        <v>615</v>
      </c>
      <c r="E196" s="26" t="s">
        <v>616</v>
      </c>
      <c r="F196" s="26" t="s">
        <v>624</v>
      </c>
      <c r="G196" s="36"/>
      <c r="H196" s="27" t="s">
        <v>621</v>
      </c>
      <c r="I196" s="26" t="s">
        <v>27</v>
      </c>
      <c r="J196" s="28" t="s">
        <v>301</v>
      </c>
      <c r="K196" s="123">
        <v>125</v>
      </c>
      <c r="L196" s="29">
        <v>34.930000000000007</v>
      </c>
      <c r="M196" s="110">
        <v>28</v>
      </c>
      <c r="N196" s="30">
        <v>0.16</v>
      </c>
      <c r="O196" s="116">
        <v>4.4800000000000004</v>
      </c>
      <c r="P196" s="30"/>
      <c r="Q196" s="116"/>
      <c r="R196" s="30">
        <v>7.0000000000000007E-2</v>
      </c>
      <c r="S196" s="116">
        <v>1.9600000000000002</v>
      </c>
      <c r="T196" s="117">
        <v>0.49</v>
      </c>
      <c r="U196" s="31">
        <v>501</v>
      </c>
      <c r="V196" s="32">
        <v>12</v>
      </c>
      <c r="W196" s="33"/>
      <c r="X196" s="32"/>
      <c r="Y196" s="32"/>
      <c r="Z196" s="32"/>
      <c r="AA196" s="34"/>
      <c r="AB196" s="35">
        <v>513</v>
      </c>
      <c r="AC196" s="75">
        <f t="shared" si="30"/>
        <v>62625</v>
      </c>
      <c r="AD196" s="78">
        <f t="shared" si="31"/>
        <v>1500</v>
      </c>
      <c r="AE196" s="72">
        <f t="shared" si="32"/>
        <v>64125</v>
      </c>
      <c r="AF196" s="75">
        <f t="shared" si="33"/>
        <v>17499.930000000004</v>
      </c>
      <c r="AG196" s="78">
        <f t="shared" si="34"/>
        <v>419.16000000000008</v>
      </c>
      <c r="AH196" s="72">
        <f t="shared" si="35"/>
        <v>17919.090000000004</v>
      </c>
      <c r="AI196" s="75">
        <f t="shared" si="36"/>
        <v>14028</v>
      </c>
      <c r="AJ196" s="78">
        <f t="shared" si="37"/>
        <v>336</v>
      </c>
      <c r="AK196" s="72">
        <f t="shared" si="38"/>
        <v>14364</v>
      </c>
    </row>
    <row r="197" spans="1:37" ht="15.95" customHeight="1">
      <c r="A197" s="25" t="s">
        <v>462</v>
      </c>
      <c r="B197" s="25" t="s">
        <v>252</v>
      </c>
      <c r="C197" s="26" t="s">
        <v>24</v>
      </c>
      <c r="D197" s="26" t="s">
        <v>464</v>
      </c>
      <c r="E197" s="26" t="s">
        <v>16</v>
      </c>
      <c r="F197" s="26" t="s">
        <v>625</v>
      </c>
      <c r="G197" s="36"/>
      <c r="H197" s="27" t="s">
        <v>626</v>
      </c>
      <c r="I197" s="26" t="s">
        <v>27</v>
      </c>
      <c r="J197" s="28" t="s">
        <v>227</v>
      </c>
      <c r="K197" s="123">
        <v>68</v>
      </c>
      <c r="L197" s="29">
        <v>14.899999999999999</v>
      </c>
      <c r="M197" s="110">
        <v>11</v>
      </c>
      <c r="N197" s="30">
        <v>0.16500000000000001</v>
      </c>
      <c r="O197" s="116">
        <v>1.8150000000000002</v>
      </c>
      <c r="P197" s="30">
        <v>7.4999999999999997E-2</v>
      </c>
      <c r="Q197" s="116">
        <v>0.82499999999999996</v>
      </c>
      <c r="R197" s="30">
        <v>7.0000000000000007E-2</v>
      </c>
      <c r="S197" s="116">
        <v>0.77</v>
      </c>
      <c r="T197" s="117">
        <v>0.49</v>
      </c>
      <c r="U197" s="31">
        <v>152</v>
      </c>
      <c r="V197" s="32">
        <v>94</v>
      </c>
      <c r="W197" s="33"/>
      <c r="X197" s="32"/>
      <c r="Y197" s="32"/>
      <c r="Z197" s="32"/>
      <c r="AA197" s="34"/>
      <c r="AB197" s="35">
        <v>246</v>
      </c>
      <c r="AC197" s="75">
        <f t="shared" si="30"/>
        <v>10336</v>
      </c>
      <c r="AD197" s="78">
        <f t="shared" si="31"/>
        <v>6392</v>
      </c>
      <c r="AE197" s="72">
        <f t="shared" si="32"/>
        <v>16728</v>
      </c>
      <c r="AF197" s="75">
        <f t="shared" si="33"/>
        <v>2264.7999999999997</v>
      </c>
      <c r="AG197" s="78">
        <f t="shared" si="34"/>
        <v>1400.6</v>
      </c>
      <c r="AH197" s="72">
        <f t="shared" si="35"/>
        <v>3665.3999999999996</v>
      </c>
      <c r="AI197" s="75">
        <f t="shared" si="36"/>
        <v>1672</v>
      </c>
      <c r="AJ197" s="78">
        <f t="shared" si="37"/>
        <v>1034</v>
      </c>
      <c r="AK197" s="72">
        <f t="shared" si="38"/>
        <v>2706</v>
      </c>
    </row>
    <row r="198" spans="1:37" ht="15.95" customHeight="1">
      <c r="A198" s="25" t="s">
        <v>462</v>
      </c>
      <c r="B198" s="25" t="s">
        <v>252</v>
      </c>
      <c r="C198" s="26" t="s">
        <v>24</v>
      </c>
      <c r="D198" s="26" t="s">
        <v>464</v>
      </c>
      <c r="E198" s="26" t="s">
        <v>16</v>
      </c>
      <c r="F198" s="26" t="s">
        <v>625</v>
      </c>
      <c r="G198" s="26"/>
      <c r="H198" s="27" t="s">
        <v>627</v>
      </c>
      <c r="I198" s="26" t="s">
        <v>27</v>
      </c>
      <c r="J198" s="28" t="s">
        <v>227</v>
      </c>
      <c r="K198" s="123">
        <v>68</v>
      </c>
      <c r="L198" s="29">
        <v>14.899999999999999</v>
      </c>
      <c r="M198" s="110">
        <v>11</v>
      </c>
      <c r="N198" s="30">
        <v>0.16500000000000001</v>
      </c>
      <c r="O198" s="116">
        <v>1.8150000000000002</v>
      </c>
      <c r="P198" s="30">
        <v>7.4999999999999997E-2</v>
      </c>
      <c r="Q198" s="116">
        <v>0.82499999999999996</v>
      </c>
      <c r="R198" s="30">
        <v>7.0000000000000007E-2</v>
      </c>
      <c r="S198" s="116">
        <v>0.77</v>
      </c>
      <c r="T198" s="117">
        <v>0.49</v>
      </c>
      <c r="U198" s="31">
        <v>152</v>
      </c>
      <c r="V198" s="32">
        <v>158</v>
      </c>
      <c r="W198" s="38"/>
      <c r="X198" s="32"/>
      <c r="Y198" s="32"/>
      <c r="Z198" s="32"/>
      <c r="AA198" s="34"/>
      <c r="AB198" s="35">
        <v>310</v>
      </c>
      <c r="AC198" s="75">
        <f t="shared" si="30"/>
        <v>10336</v>
      </c>
      <c r="AD198" s="78">
        <f t="shared" si="31"/>
        <v>10744</v>
      </c>
      <c r="AE198" s="72">
        <f t="shared" si="32"/>
        <v>21080</v>
      </c>
      <c r="AF198" s="75">
        <f t="shared" si="33"/>
        <v>2264.7999999999997</v>
      </c>
      <c r="AG198" s="78">
        <f t="shared" si="34"/>
        <v>2354.1999999999998</v>
      </c>
      <c r="AH198" s="72">
        <f t="shared" si="35"/>
        <v>4619</v>
      </c>
      <c r="AI198" s="75">
        <f t="shared" si="36"/>
        <v>1672</v>
      </c>
      <c r="AJ198" s="78">
        <f t="shared" si="37"/>
        <v>1738</v>
      </c>
      <c r="AK198" s="72">
        <f t="shared" si="38"/>
        <v>3410</v>
      </c>
    </row>
    <row r="199" spans="1:37" ht="15.95" customHeight="1">
      <c r="A199" s="25" t="s">
        <v>462</v>
      </c>
      <c r="B199" s="25" t="s">
        <v>252</v>
      </c>
      <c r="C199" s="26" t="s">
        <v>44</v>
      </c>
      <c r="D199" s="26" t="s">
        <v>464</v>
      </c>
      <c r="E199" s="26" t="s">
        <v>16</v>
      </c>
      <c r="F199" s="26" t="s">
        <v>628</v>
      </c>
      <c r="G199" s="26"/>
      <c r="H199" s="27" t="s">
        <v>629</v>
      </c>
      <c r="I199" s="26" t="s">
        <v>27</v>
      </c>
      <c r="J199" s="28" t="s">
        <v>630</v>
      </c>
      <c r="K199" s="123">
        <v>78</v>
      </c>
      <c r="L199" s="29">
        <v>14.187749999999999</v>
      </c>
      <c r="M199" s="110">
        <v>9.35</v>
      </c>
      <c r="N199" s="30">
        <v>0.32</v>
      </c>
      <c r="O199" s="116">
        <v>2.992</v>
      </c>
      <c r="P199" s="30">
        <v>7.4999999999999997E-2</v>
      </c>
      <c r="Q199" s="116">
        <v>0.70124999999999993</v>
      </c>
      <c r="R199" s="30">
        <v>7.0000000000000007E-2</v>
      </c>
      <c r="S199" s="116">
        <v>0.65450000000000008</v>
      </c>
      <c r="T199" s="117">
        <v>0.49</v>
      </c>
      <c r="U199" s="31">
        <v>200</v>
      </c>
      <c r="V199" s="32">
        <v>23</v>
      </c>
      <c r="W199" s="38"/>
      <c r="X199" s="32"/>
      <c r="Y199" s="32"/>
      <c r="Z199" s="32"/>
      <c r="AA199" s="34"/>
      <c r="AB199" s="35">
        <v>223</v>
      </c>
      <c r="AC199" s="75">
        <f t="shared" si="30"/>
        <v>15600</v>
      </c>
      <c r="AD199" s="78">
        <f t="shared" si="31"/>
        <v>1794</v>
      </c>
      <c r="AE199" s="72">
        <f t="shared" si="32"/>
        <v>17394</v>
      </c>
      <c r="AF199" s="75">
        <f t="shared" si="33"/>
        <v>2837.5499999999997</v>
      </c>
      <c r="AG199" s="78">
        <f t="shared" si="34"/>
        <v>326.31824999999998</v>
      </c>
      <c r="AH199" s="72">
        <f t="shared" si="35"/>
        <v>3163.8682499999995</v>
      </c>
      <c r="AI199" s="75">
        <f t="shared" si="36"/>
        <v>1870</v>
      </c>
      <c r="AJ199" s="78">
        <f t="shared" si="37"/>
        <v>215.04999999999998</v>
      </c>
      <c r="AK199" s="72">
        <f t="shared" si="38"/>
        <v>2085.0500000000002</v>
      </c>
    </row>
    <row r="200" spans="1:37" ht="15.95" customHeight="1">
      <c r="A200" s="25" t="s">
        <v>462</v>
      </c>
      <c r="B200" s="25" t="s">
        <v>252</v>
      </c>
      <c r="C200" s="26" t="s">
        <v>257</v>
      </c>
      <c r="D200" s="26" t="s">
        <v>464</v>
      </c>
      <c r="E200" s="26" t="s">
        <v>16</v>
      </c>
      <c r="F200" s="26" t="s">
        <v>631</v>
      </c>
      <c r="G200" s="26"/>
      <c r="H200" s="27" t="s">
        <v>632</v>
      </c>
      <c r="I200" s="26" t="s">
        <v>19</v>
      </c>
      <c r="J200" s="28" t="s">
        <v>269</v>
      </c>
      <c r="K200" s="123">
        <v>78</v>
      </c>
      <c r="L200" s="29">
        <v>18.470199999999998</v>
      </c>
      <c r="M200" s="110">
        <v>12.6</v>
      </c>
      <c r="N200" s="30">
        <v>0.28199999999999997</v>
      </c>
      <c r="O200" s="116">
        <v>3.5531999999999995</v>
      </c>
      <c r="P200" s="30">
        <v>7.4999999999999997E-2</v>
      </c>
      <c r="Q200" s="116">
        <v>0.94499999999999995</v>
      </c>
      <c r="R200" s="30">
        <v>7.0000000000000007E-2</v>
      </c>
      <c r="S200" s="116">
        <v>0.88200000000000001</v>
      </c>
      <c r="T200" s="117">
        <v>0.49</v>
      </c>
      <c r="U200" s="31">
        <v>200</v>
      </c>
      <c r="V200" s="32">
        <v>38</v>
      </c>
      <c r="W200" s="33"/>
      <c r="X200" s="32"/>
      <c r="Y200" s="32"/>
      <c r="Z200" s="32"/>
      <c r="AA200" s="34"/>
      <c r="AB200" s="35">
        <v>238</v>
      </c>
      <c r="AC200" s="75">
        <f t="shared" si="30"/>
        <v>15600</v>
      </c>
      <c r="AD200" s="78">
        <f t="shared" si="31"/>
        <v>2964</v>
      </c>
      <c r="AE200" s="72">
        <f t="shared" si="32"/>
        <v>18564</v>
      </c>
      <c r="AF200" s="75">
        <f t="shared" si="33"/>
        <v>3694.0399999999995</v>
      </c>
      <c r="AG200" s="78">
        <f t="shared" si="34"/>
        <v>701.86759999999992</v>
      </c>
      <c r="AH200" s="72">
        <f t="shared" si="35"/>
        <v>4395.9075999999995</v>
      </c>
      <c r="AI200" s="75">
        <f t="shared" si="36"/>
        <v>2520</v>
      </c>
      <c r="AJ200" s="78">
        <f t="shared" si="37"/>
        <v>478.8</v>
      </c>
      <c r="AK200" s="72">
        <f t="shared" si="38"/>
        <v>2998.8</v>
      </c>
    </row>
    <row r="201" spans="1:37" ht="15.95" customHeight="1">
      <c r="A201" s="25" t="s">
        <v>462</v>
      </c>
      <c r="B201" s="25" t="s">
        <v>252</v>
      </c>
      <c r="C201" s="26" t="s">
        <v>44</v>
      </c>
      <c r="D201" s="26" t="s">
        <v>464</v>
      </c>
      <c r="E201" s="26" t="s">
        <v>16</v>
      </c>
      <c r="F201" s="26" t="s">
        <v>628</v>
      </c>
      <c r="G201" s="26"/>
      <c r="H201" s="27" t="s">
        <v>629</v>
      </c>
      <c r="I201" s="26" t="s">
        <v>27</v>
      </c>
      <c r="J201" s="28" t="s">
        <v>630</v>
      </c>
      <c r="K201" s="123">
        <v>78</v>
      </c>
      <c r="L201" s="29">
        <v>14.187749999999999</v>
      </c>
      <c r="M201" s="110">
        <v>9.35</v>
      </c>
      <c r="N201" s="30">
        <v>0.32</v>
      </c>
      <c r="O201" s="116">
        <v>2.992</v>
      </c>
      <c r="P201" s="30">
        <v>7.4999999999999997E-2</v>
      </c>
      <c r="Q201" s="116">
        <v>0.70124999999999993</v>
      </c>
      <c r="R201" s="30">
        <v>7.0000000000000007E-2</v>
      </c>
      <c r="S201" s="116">
        <v>0.65450000000000008</v>
      </c>
      <c r="T201" s="117">
        <v>0.49</v>
      </c>
      <c r="U201" s="39">
        <v>200</v>
      </c>
      <c r="V201" s="32">
        <v>51</v>
      </c>
      <c r="W201" s="33"/>
      <c r="X201" s="32"/>
      <c r="Y201" s="32"/>
      <c r="Z201" s="32"/>
      <c r="AA201" s="34"/>
      <c r="AB201" s="35">
        <v>251</v>
      </c>
      <c r="AC201" s="75">
        <f t="shared" si="30"/>
        <v>15600</v>
      </c>
      <c r="AD201" s="78">
        <f t="shared" si="31"/>
        <v>3978</v>
      </c>
      <c r="AE201" s="72">
        <f t="shared" si="32"/>
        <v>19578</v>
      </c>
      <c r="AF201" s="75">
        <f t="shared" si="33"/>
        <v>2837.5499999999997</v>
      </c>
      <c r="AG201" s="78">
        <f t="shared" si="34"/>
        <v>723.57524999999998</v>
      </c>
      <c r="AH201" s="72">
        <f t="shared" si="35"/>
        <v>3561.1252499999996</v>
      </c>
      <c r="AI201" s="75">
        <f t="shared" si="36"/>
        <v>1870</v>
      </c>
      <c r="AJ201" s="78">
        <f t="shared" si="37"/>
        <v>476.84999999999997</v>
      </c>
      <c r="AK201" s="72">
        <f t="shared" si="38"/>
        <v>2346.85</v>
      </c>
    </row>
    <row r="202" spans="1:37" ht="15.95" customHeight="1">
      <c r="A202" s="25" t="s">
        <v>462</v>
      </c>
      <c r="B202" s="25" t="s">
        <v>252</v>
      </c>
      <c r="C202" s="26" t="s">
        <v>257</v>
      </c>
      <c r="D202" s="26" t="s">
        <v>464</v>
      </c>
      <c r="E202" s="26" t="s">
        <v>16</v>
      </c>
      <c r="F202" s="26" t="s">
        <v>631</v>
      </c>
      <c r="G202" s="26"/>
      <c r="H202" s="27" t="s">
        <v>632</v>
      </c>
      <c r="I202" s="26" t="s">
        <v>19</v>
      </c>
      <c r="J202" s="28" t="s">
        <v>269</v>
      </c>
      <c r="K202" s="123">
        <v>78</v>
      </c>
      <c r="L202" s="29">
        <v>18.470199999999998</v>
      </c>
      <c r="M202" s="110">
        <v>12.6</v>
      </c>
      <c r="N202" s="30">
        <v>0.28199999999999997</v>
      </c>
      <c r="O202" s="116">
        <v>3.5531999999999995</v>
      </c>
      <c r="P202" s="30">
        <v>7.4999999999999997E-2</v>
      </c>
      <c r="Q202" s="116">
        <v>0.94499999999999995</v>
      </c>
      <c r="R202" s="30">
        <v>7.0000000000000007E-2</v>
      </c>
      <c r="S202" s="116">
        <v>0.88200000000000001</v>
      </c>
      <c r="T202" s="117">
        <v>0.49</v>
      </c>
      <c r="U202" s="39">
        <v>200</v>
      </c>
      <c r="V202" s="32">
        <v>54</v>
      </c>
      <c r="W202" s="33"/>
      <c r="X202" s="32"/>
      <c r="Y202" s="32"/>
      <c r="Z202" s="32"/>
      <c r="AA202" s="34"/>
      <c r="AB202" s="35">
        <v>254</v>
      </c>
      <c r="AC202" s="75">
        <f t="shared" si="30"/>
        <v>15600</v>
      </c>
      <c r="AD202" s="78">
        <f t="shared" si="31"/>
        <v>4212</v>
      </c>
      <c r="AE202" s="72">
        <f t="shared" si="32"/>
        <v>19812</v>
      </c>
      <c r="AF202" s="75">
        <f t="shared" si="33"/>
        <v>3694.0399999999995</v>
      </c>
      <c r="AG202" s="78">
        <f t="shared" si="34"/>
        <v>997.3907999999999</v>
      </c>
      <c r="AH202" s="72">
        <f t="shared" si="35"/>
        <v>4691.4307999999992</v>
      </c>
      <c r="AI202" s="75">
        <f t="shared" si="36"/>
        <v>2520</v>
      </c>
      <c r="AJ202" s="78">
        <f t="shared" si="37"/>
        <v>680.4</v>
      </c>
      <c r="AK202" s="72">
        <f t="shared" si="38"/>
        <v>3200.4</v>
      </c>
    </row>
    <row r="203" spans="1:37" ht="15.95" customHeight="1">
      <c r="A203" s="25" t="s">
        <v>462</v>
      </c>
      <c r="B203" s="25" t="s">
        <v>252</v>
      </c>
      <c r="C203" s="26" t="s">
        <v>293</v>
      </c>
      <c r="D203" s="26" t="s">
        <v>373</v>
      </c>
      <c r="E203" s="26" t="s">
        <v>16</v>
      </c>
      <c r="F203" s="26" t="s">
        <v>633</v>
      </c>
      <c r="G203" s="26"/>
      <c r="H203" s="27" t="s">
        <v>634</v>
      </c>
      <c r="I203" s="26" t="s">
        <v>27</v>
      </c>
      <c r="J203" s="28" t="s">
        <v>301</v>
      </c>
      <c r="K203" s="123">
        <v>135</v>
      </c>
      <c r="L203" s="29">
        <v>21.761500000000002</v>
      </c>
      <c r="M203" s="110">
        <v>16.3</v>
      </c>
      <c r="N203" s="30">
        <v>0.16</v>
      </c>
      <c r="O203" s="116">
        <v>2.6080000000000001</v>
      </c>
      <c r="P203" s="30">
        <v>7.4999999999999997E-2</v>
      </c>
      <c r="Q203" s="116">
        <v>1.2224999999999999</v>
      </c>
      <c r="R203" s="30">
        <v>7.0000000000000007E-2</v>
      </c>
      <c r="S203" s="116">
        <v>1.1410000000000002</v>
      </c>
      <c r="T203" s="117">
        <v>0.49</v>
      </c>
      <c r="U203" s="39">
        <v>252</v>
      </c>
      <c r="V203" s="32"/>
      <c r="W203" s="33"/>
      <c r="X203" s="32"/>
      <c r="Y203" s="32"/>
      <c r="Z203" s="32"/>
      <c r="AA203" s="34"/>
      <c r="AB203" s="35">
        <v>252</v>
      </c>
      <c r="AC203" s="75">
        <f t="shared" si="30"/>
        <v>34020</v>
      </c>
      <c r="AD203" s="78">
        <f t="shared" si="31"/>
        <v>0</v>
      </c>
      <c r="AE203" s="72">
        <f t="shared" si="32"/>
        <v>34020</v>
      </c>
      <c r="AF203" s="75">
        <f t="shared" si="33"/>
        <v>5483.8980000000001</v>
      </c>
      <c r="AG203" s="78">
        <f t="shared" si="34"/>
        <v>0</v>
      </c>
      <c r="AH203" s="72">
        <f t="shared" si="35"/>
        <v>5483.8980000000001</v>
      </c>
      <c r="AI203" s="75">
        <f t="shared" si="36"/>
        <v>4107.6000000000004</v>
      </c>
      <c r="AJ203" s="78">
        <f t="shared" si="37"/>
        <v>0</v>
      </c>
      <c r="AK203" s="72">
        <f t="shared" si="38"/>
        <v>4107.6000000000004</v>
      </c>
    </row>
    <row r="204" spans="1:37" ht="15.95" customHeight="1">
      <c r="A204" s="25" t="s">
        <v>462</v>
      </c>
      <c r="B204" s="25" t="s">
        <v>252</v>
      </c>
      <c r="C204" s="26" t="s">
        <v>293</v>
      </c>
      <c r="D204" s="26" t="s">
        <v>373</v>
      </c>
      <c r="E204" s="26" t="s">
        <v>16</v>
      </c>
      <c r="F204" s="26" t="s">
        <v>633</v>
      </c>
      <c r="G204" s="26"/>
      <c r="H204" s="27" t="s">
        <v>635</v>
      </c>
      <c r="I204" s="26" t="s">
        <v>27</v>
      </c>
      <c r="J204" s="28" t="s">
        <v>301</v>
      </c>
      <c r="K204" s="123">
        <v>135</v>
      </c>
      <c r="L204" s="29">
        <v>21.761500000000002</v>
      </c>
      <c r="M204" s="110">
        <v>16.3</v>
      </c>
      <c r="N204" s="30">
        <v>0.16</v>
      </c>
      <c r="O204" s="116">
        <v>2.6080000000000001</v>
      </c>
      <c r="P204" s="30">
        <v>7.4999999999999997E-2</v>
      </c>
      <c r="Q204" s="116">
        <v>1.2224999999999999</v>
      </c>
      <c r="R204" s="30">
        <v>7.0000000000000007E-2</v>
      </c>
      <c r="S204" s="116">
        <v>1.1410000000000002</v>
      </c>
      <c r="T204" s="117">
        <v>0.49</v>
      </c>
      <c r="U204" s="39">
        <v>252</v>
      </c>
      <c r="V204" s="32"/>
      <c r="W204" s="33"/>
      <c r="X204" s="32"/>
      <c r="Y204" s="32"/>
      <c r="Z204" s="32"/>
      <c r="AA204" s="34"/>
      <c r="AB204" s="35">
        <v>252</v>
      </c>
      <c r="AC204" s="75">
        <f t="shared" si="30"/>
        <v>34020</v>
      </c>
      <c r="AD204" s="78">
        <f t="shared" si="31"/>
        <v>0</v>
      </c>
      <c r="AE204" s="72">
        <f t="shared" si="32"/>
        <v>34020</v>
      </c>
      <c r="AF204" s="75">
        <f t="shared" si="33"/>
        <v>5483.8980000000001</v>
      </c>
      <c r="AG204" s="78">
        <f t="shared" si="34"/>
        <v>0</v>
      </c>
      <c r="AH204" s="72">
        <f t="shared" si="35"/>
        <v>5483.8980000000001</v>
      </c>
      <c r="AI204" s="75">
        <f t="shared" si="36"/>
        <v>4107.6000000000004</v>
      </c>
      <c r="AJ204" s="78">
        <f t="shared" si="37"/>
        <v>0</v>
      </c>
      <c r="AK204" s="72">
        <f t="shared" si="38"/>
        <v>4107.6000000000004</v>
      </c>
    </row>
    <row r="205" spans="1:37" ht="15.95" customHeight="1">
      <c r="A205" s="25" t="s">
        <v>462</v>
      </c>
      <c r="B205" s="25" t="s">
        <v>252</v>
      </c>
      <c r="C205" s="26" t="s">
        <v>14</v>
      </c>
      <c r="D205" s="26" t="s">
        <v>373</v>
      </c>
      <c r="E205" s="26" t="s">
        <v>16</v>
      </c>
      <c r="F205" s="26" t="s">
        <v>636</v>
      </c>
      <c r="G205" s="26"/>
      <c r="H205" s="27" t="s">
        <v>634</v>
      </c>
      <c r="I205" s="26" t="s">
        <v>27</v>
      </c>
      <c r="J205" s="28" t="s">
        <v>261</v>
      </c>
      <c r="K205" s="123">
        <v>125</v>
      </c>
      <c r="L205" s="29">
        <v>25.890599999999999</v>
      </c>
      <c r="M205" s="110">
        <v>17.8</v>
      </c>
      <c r="N205" s="30">
        <v>0.28199999999999997</v>
      </c>
      <c r="O205" s="116">
        <v>5.0195999999999996</v>
      </c>
      <c r="P205" s="30">
        <v>7.4999999999999997E-2</v>
      </c>
      <c r="Q205" s="116">
        <v>1.335</v>
      </c>
      <c r="R205" s="30">
        <v>7.0000000000000007E-2</v>
      </c>
      <c r="S205" s="116">
        <v>1.2460000000000002</v>
      </c>
      <c r="T205" s="117">
        <v>0.49</v>
      </c>
      <c r="U205" s="39">
        <v>251</v>
      </c>
      <c r="V205" s="32">
        <v>5</v>
      </c>
      <c r="W205" s="33"/>
      <c r="X205" s="32"/>
      <c r="Y205" s="32"/>
      <c r="Z205" s="32"/>
      <c r="AA205" s="34">
        <v>8</v>
      </c>
      <c r="AB205" s="35">
        <v>264</v>
      </c>
      <c r="AC205" s="75">
        <f t="shared" si="30"/>
        <v>31375</v>
      </c>
      <c r="AD205" s="78">
        <f t="shared" si="31"/>
        <v>1625</v>
      </c>
      <c r="AE205" s="72">
        <f t="shared" si="32"/>
        <v>33000</v>
      </c>
      <c r="AF205" s="75">
        <f t="shared" si="33"/>
        <v>6498.5405999999994</v>
      </c>
      <c r="AG205" s="78">
        <f t="shared" si="34"/>
        <v>271.85300000000001</v>
      </c>
      <c r="AH205" s="72">
        <f t="shared" si="35"/>
        <v>6770.3935999999994</v>
      </c>
      <c r="AI205" s="75">
        <f t="shared" si="36"/>
        <v>4467.8</v>
      </c>
      <c r="AJ205" s="78">
        <f t="shared" si="37"/>
        <v>231.4</v>
      </c>
      <c r="AK205" s="72">
        <f t="shared" si="38"/>
        <v>4699.2</v>
      </c>
    </row>
    <row r="206" spans="1:37" ht="15.95" customHeight="1">
      <c r="A206" s="25" t="s">
        <v>462</v>
      </c>
      <c r="B206" s="25" t="s">
        <v>252</v>
      </c>
      <c r="C206" s="26" t="s">
        <v>21</v>
      </c>
      <c r="D206" s="26" t="s">
        <v>373</v>
      </c>
      <c r="E206" s="26" t="s">
        <v>16</v>
      </c>
      <c r="F206" s="26" t="s">
        <v>637</v>
      </c>
      <c r="G206" s="26"/>
      <c r="H206" s="27" t="s">
        <v>634</v>
      </c>
      <c r="I206" s="26" t="s">
        <v>27</v>
      </c>
      <c r="J206" s="28" t="s">
        <v>265</v>
      </c>
      <c r="K206" s="123">
        <v>110</v>
      </c>
      <c r="L206" s="29">
        <v>21.6096</v>
      </c>
      <c r="M206" s="110">
        <v>14.8</v>
      </c>
      <c r="N206" s="30">
        <v>0.28199999999999997</v>
      </c>
      <c r="O206" s="116">
        <v>4.1735999999999995</v>
      </c>
      <c r="P206" s="30">
        <v>7.4999999999999997E-2</v>
      </c>
      <c r="Q206" s="116">
        <v>1.1100000000000001</v>
      </c>
      <c r="R206" s="30">
        <v>7.0000000000000007E-2</v>
      </c>
      <c r="S206" s="116">
        <v>1.0360000000000003</v>
      </c>
      <c r="T206" s="117">
        <v>0.49</v>
      </c>
      <c r="U206" s="39">
        <v>251</v>
      </c>
      <c r="V206" s="32"/>
      <c r="W206" s="33"/>
      <c r="X206" s="32"/>
      <c r="Y206" s="32"/>
      <c r="Z206" s="32"/>
      <c r="AA206" s="34">
        <v>8</v>
      </c>
      <c r="AB206" s="35">
        <v>259</v>
      </c>
      <c r="AC206" s="75">
        <f t="shared" si="30"/>
        <v>27610</v>
      </c>
      <c r="AD206" s="78">
        <f t="shared" si="31"/>
        <v>880</v>
      </c>
      <c r="AE206" s="72">
        <f t="shared" si="32"/>
        <v>28490</v>
      </c>
      <c r="AF206" s="75">
        <f t="shared" si="33"/>
        <v>5424.0096000000003</v>
      </c>
      <c r="AG206" s="78">
        <f t="shared" si="34"/>
        <v>118.4</v>
      </c>
      <c r="AH206" s="72">
        <f t="shared" si="35"/>
        <v>5542.4096</v>
      </c>
      <c r="AI206" s="75">
        <f t="shared" si="36"/>
        <v>3714.8</v>
      </c>
      <c r="AJ206" s="78">
        <f t="shared" si="37"/>
        <v>118.4</v>
      </c>
      <c r="AK206" s="72">
        <f t="shared" si="38"/>
        <v>3833.2000000000003</v>
      </c>
    </row>
    <row r="207" spans="1:37" ht="15.95" customHeight="1">
      <c r="A207" s="25" t="s">
        <v>462</v>
      </c>
      <c r="B207" s="25" t="s">
        <v>252</v>
      </c>
      <c r="C207" s="26" t="s">
        <v>14</v>
      </c>
      <c r="D207" s="26" t="s">
        <v>373</v>
      </c>
      <c r="E207" s="26" t="s">
        <v>16</v>
      </c>
      <c r="F207" s="26" t="s">
        <v>636</v>
      </c>
      <c r="G207" s="26"/>
      <c r="H207" s="27" t="s">
        <v>634</v>
      </c>
      <c r="I207" s="26" t="s">
        <v>27</v>
      </c>
      <c r="J207" s="28" t="s">
        <v>261</v>
      </c>
      <c r="K207" s="123">
        <v>125</v>
      </c>
      <c r="L207" s="29">
        <v>25.890599999999999</v>
      </c>
      <c r="M207" s="110">
        <v>17.8</v>
      </c>
      <c r="N207" s="30">
        <v>0.28199999999999997</v>
      </c>
      <c r="O207" s="116">
        <v>5.0195999999999996</v>
      </c>
      <c r="P207" s="30">
        <v>7.4999999999999997E-2</v>
      </c>
      <c r="Q207" s="116">
        <v>1.335</v>
      </c>
      <c r="R207" s="30">
        <v>7.0000000000000007E-2</v>
      </c>
      <c r="S207" s="116">
        <v>1.2460000000000002</v>
      </c>
      <c r="T207" s="117">
        <v>0.49</v>
      </c>
      <c r="U207" s="39">
        <v>251</v>
      </c>
      <c r="V207" s="32"/>
      <c r="W207" s="33"/>
      <c r="X207" s="32"/>
      <c r="Y207" s="32"/>
      <c r="Z207" s="32"/>
      <c r="AA207" s="34">
        <v>8</v>
      </c>
      <c r="AB207" s="35">
        <v>259</v>
      </c>
      <c r="AC207" s="75">
        <f t="shared" si="30"/>
        <v>31375</v>
      </c>
      <c r="AD207" s="78">
        <f t="shared" si="31"/>
        <v>1000</v>
      </c>
      <c r="AE207" s="72">
        <f t="shared" si="32"/>
        <v>32375</v>
      </c>
      <c r="AF207" s="75">
        <f t="shared" si="33"/>
        <v>6498.5405999999994</v>
      </c>
      <c r="AG207" s="78">
        <f t="shared" si="34"/>
        <v>142.4</v>
      </c>
      <c r="AH207" s="72">
        <f t="shared" si="35"/>
        <v>6640.940599999999</v>
      </c>
      <c r="AI207" s="75">
        <f t="shared" si="36"/>
        <v>4467.8</v>
      </c>
      <c r="AJ207" s="78">
        <f t="shared" si="37"/>
        <v>142.4</v>
      </c>
      <c r="AK207" s="72">
        <f t="shared" si="38"/>
        <v>4610.2</v>
      </c>
    </row>
    <row r="208" spans="1:37" ht="15.95" customHeight="1">
      <c r="A208" s="25" t="s">
        <v>462</v>
      </c>
      <c r="B208" s="25" t="s">
        <v>252</v>
      </c>
      <c r="C208" s="26" t="s">
        <v>21</v>
      </c>
      <c r="D208" s="26" t="s">
        <v>373</v>
      </c>
      <c r="E208" s="26" t="s">
        <v>16</v>
      </c>
      <c r="F208" s="26" t="s">
        <v>637</v>
      </c>
      <c r="G208" s="36"/>
      <c r="H208" s="27" t="s">
        <v>635</v>
      </c>
      <c r="I208" s="26" t="s">
        <v>27</v>
      </c>
      <c r="J208" s="28" t="s">
        <v>265</v>
      </c>
      <c r="K208" s="123">
        <v>110</v>
      </c>
      <c r="L208" s="29">
        <v>21.6096</v>
      </c>
      <c r="M208" s="110">
        <v>14.8</v>
      </c>
      <c r="N208" s="30">
        <v>0.28199999999999997</v>
      </c>
      <c r="O208" s="116">
        <v>4.1735999999999995</v>
      </c>
      <c r="P208" s="30">
        <v>7.4999999999999997E-2</v>
      </c>
      <c r="Q208" s="116">
        <v>1.1100000000000001</v>
      </c>
      <c r="R208" s="30">
        <v>7.0000000000000007E-2</v>
      </c>
      <c r="S208" s="116">
        <v>1.0360000000000003</v>
      </c>
      <c r="T208" s="117">
        <v>0.49</v>
      </c>
      <c r="U208" s="39">
        <v>251</v>
      </c>
      <c r="V208" s="32"/>
      <c r="W208" s="33"/>
      <c r="X208" s="32"/>
      <c r="Y208" s="32"/>
      <c r="Z208" s="32"/>
      <c r="AA208" s="34">
        <v>8</v>
      </c>
      <c r="AB208" s="35">
        <v>259</v>
      </c>
      <c r="AC208" s="75">
        <f t="shared" si="30"/>
        <v>27610</v>
      </c>
      <c r="AD208" s="78">
        <f t="shared" si="31"/>
        <v>880</v>
      </c>
      <c r="AE208" s="72">
        <f t="shared" si="32"/>
        <v>28490</v>
      </c>
      <c r="AF208" s="75">
        <f t="shared" si="33"/>
        <v>5424.0096000000003</v>
      </c>
      <c r="AG208" s="78">
        <f t="shared" si="34"/>
        <v>118.4</v>
      </c>
      <c r="AH208" s="72">
        <f t="shared" si="35"/>
        <v>5542.4096</v>
      </c>
      <c r="AI208" s="75">
        <f t="shared" si="36"/>
        <v>3714.8</v>
      </c>
      <c r="AJ208" s="78">
        <f t="shared" si="37"/>
        <v>118.4</v>
      </c>
      <c r="AK208" s="72">
        <f t="shared" si="38"/>
        <v>3833.2000000000003</v>
      </c>
    </row>
    <row r="209" spans="1:37" ht="15.95" customHeight="1">
      <c r="A209" s="25" t="s">
        <v>462</v>
      </c>
      <c r="B209" s="25" t="s">
        <v>252</v>
      </c>
      <c r="C209" s="26" t="s">
        <v>14</v>
      </c>
      <c r="D209" s="26" t="s">
        <v>373</v>
      </c>
      <c r="E209" s="26" t="s">
        <v>16</v>
      </c>
      <c r="F209" s="26" t="s">
        <v>638</v>
      </c>
      <c r="G209" s="36"/>
      <c r="H209" s="27" t="s">
        <v>639</v>
      </c>
      <c r="I209" s="26" t="s">
        <v>27</v>
      </c>
      <c r="J209" s="28" t="s">
        <v>261</v>
      </c>
      <c r="K209" s="123">
        <v>145</v>
      </c>
      <c r="L209" s="29">
        <v>30.956449999999997</v>
      </c>
      <c r="M209" s="110">
        <v>21.35</v>
      </c>
      <c r="N209" s="30">
        <v>0.28199999999999997</v>
      </c>
      <c r="O209" s="116">
        <v>6.0206999999999997</v>
      </c>
      <c r="P209" s="30">
        <v>7.4999999999999997E-2</v>
      </c>
      <c r="Q209" s="116">
        <v>1.6012500000000001</v>
      </c>
      <c r="R209" s="30">
        <v>7.0000000000000007E-2</v>
      </c>
      <c r="S209" s="116">
        <v>1.4945000000000002</v>
      </c>
      <c r="T209" s="117">
        <v>0.49</v>
      </c>
      <c r="U209" s="39">
        <v>251</v>
      </c>
      <c r="V209" s="32">
        <v>13</v>
      </c>
      <c r="W209" s="33"/>
      <c r="X209" s="32"/>
      <c r="Y209" s="32"/>
      <c r="Z209" s="32"/>
      <c r="AA209" s="34">
        <v>4</v>
      </c>
      <c r="AB209" s="35">
        <v>268</v>
      </c>
      <c r="AC209" s="75">
        <f t="shared" si="30"/>
        <v>36395</v>
      </c>
      <c r="AD209" s="78">
        <f t="shared" si="31"/>
        <v>2465</v>
      </c>
      <c r="AE209" s="72">
        <f t="shared" si="32"/>
        <v>38860</v>
      </c>
      <c r="AF209" s="75">
        <f t="shared" si="33"/>
        <v>7770.0689499999989</v>
      </c>
      <c r="AG209" s="78">
        <f t="shared" si="34"/>
        <v>487.83384999999998</v>
      </c>
      <c r="AH209" s="72">
        <f t="shared" si="35"/>
        <v>8257.9027999999998</v>
      </c>
      <c r="AI209" s="75">
        <f t="shared" si="36"/>
        <v>5358.85</v>
      </c>
      <c r="AJ209" s="78">
        <f t="shared" si="37"/>
        <v>362.95000000000005</v>
      </c>
      <c r="AK209" s="72">
        <f t="shared" si="38"/>
        <v>5721.8</v>
      </c>
    </row>
    <row r="210" spans="1:37" ht="15.95" customHeight="1">
      <c r="A210" s="25" t="s">
        <v>462</v>
      </c>
      <c r="B210" s="25" t="s">
        <v>252</v>
      </c>
      <c r="C210" s="26" t="s">
        <v>14</v>
      </c>
      <c r="D210" s="26" t="s">
        <v>373</v>
      </c>
      <c r="E210" s="26" t="s">
        <v>16</v>
      </c>
      <c r="F210" s="26" t="s">
        <v>638</v>
      </c>
      <c r="G210" s="26"/>
      <c r="H210" s="27" t="s">
        <v>640</v>
      </c>
      <c r="I210" s="26" t="s">
        <v>27</v>
      </c>
      <c r="J210" s="28" t="s">
        <v>261</v>
      </c>
      <c r="K210" s="123">
        <v>145</v>
      </c>
      <c r="L210" s="29">
        <v>30.956449999999997</v>
      </c>
      <c r="M210" s="110">
        <v>21.35</v>
      </c>
      <c r="N210" s="30">
        <v>0.28199999999999997</v>
      </c>
      <c r="O210" s="116">
        <v>6.0206999999999997</v>
      </c>
      <c r="P210" s="30">
        <v>7.4999999999999997E-2</v>
      </c>
      <c r="Q210" s="116">
        <v>1.6012500000000001</v>
      </c>
      <c r="R210" s="30">
        <v>7.0000000000000007E-2</v>
      </c>
      <c r="S210" s="116">
        <v>1.4945000000000002</v>
      </c>
      <c r="T210" s="117">
        <v>0.49</v>
      </c>
      <c r="U210" s="39">
        <v>251</v>
      </c>
      <c r="V210" s="32">
        <v>10</v>
      </c>
      <c r="W210" s="33"/>
      <c r="X210" s="32"/>
      <c r="Y210" s="32"/>
      <c r="Z210" s="32"/>
      <c r="AA210" s="34">
        <v>4</v>
      </c>
      <c r="AB210" s="35">
        <v>265</v>
      </c>
      <c r="AC210" s="75">
        <f t="shared" si="30"/>
        <v>36395</v>
      </c>
      <c r="AD210" s="78">
        <f t="shared" si="31"/>
        <v>2030</v>
      </c>
      <c r="AE210" s="72">
        <f t="shared" si="32"/>
        <v>38425</v>
      </c>
      <c r="AF210" s="75">
        <f t="shared" si="33"/>
        <v>7770.0689499999989</v>
      </c>
      <c r="AG210" s="78">
        <f t="shared" si="34"/>
        <v>394.96449999999993</v>
      </c>
      <c r="AH210" s="72">
        <f t="shared" si="35"/>
        <v>8165.033449999999</v>
      </c>
      <c r="AI210" s="75">
        <f t="shared" si="36"/>
        <v>5358.85</v>
      </c>
      <c r="AJ210" s="78">
        <f t="shared" si="37"/>
        <v>298.90000000000003</v>
      </c>
      <c r="AK210" s="72">
        <f t="shared" si="38"/>
        <v>5657.75</v>
      </c>
    </row>
    <row r="211" spans="1:37" ht="15.95" customHeight="1">
      <c r="A211" s="25" t="s">
        <v>462</v>
      </c>
      <c r="B211" s="25" t="s">
        <v>252</v>
      </c>
      <c r="C211" s="26" t="s">
        <v>14</v>
      </c>
      <c r="D211" s="26" t="s">
        <v>373</v>
      </c>
      <c r="E211" s="26" t="s">
        <v>16</v>
      </c>
      <c r="F211" s="26" t="s">
        <v>641</v>
      </c>
      <c r="G211" s="26"/>
      <c r="H211" s="27" t="s">
        <v>89</v>
      </c>
      <c r="I211" s="26" t="s">
        <v>27</v>
      </c>
      <c r="J211" s="28" t="s">
        <v>261</v>
      </c>
      <c r="K211" s="123">
        <v>125</v>
      </c>
      <c r="L211" s="29">
        <v>20.71059</v>
      </c>
      <c r="M211" s="110">
        <v>14.17</v>
      </c>
      <c r="N211" s="30">
        <v>0.28199999999999997</v>
      </c>
      <c r="O211" s="116">
        <v>3.9959399999999996</v>
      </c>
      <c r="P211" s="30">
        <v>7.4999999999999997E-2</v>
      </c>
      <c r="Q211" s="116">
        <v>1.0627499999999999</v>
      </c>
      <c r="R211" s="30">
        <v>7.0000000000000007E-2</v>
      </c>
      <c r="S211" s="116">
        <v>0.99190000000000011</v>
      </c>
      <c r="T211" s="117">
        <v>0.49</v>
      </c>
      <c r="U211" s="39">
        <v>200</v>
      </c>
      <c r="V211" s="32">
        <v>8</v>
      </c>
      <c r="W211" s="33"/>
      <c r="X211" s="32"/>
      <c r="Y211" s="32"/>
      <c r="Z211" s="32"/>
      <c r="AA211" s="34">
        <v>8</v>
      </c>
      <c r="AB211" s="35">
        <v>216</v>
      </c>
      <c r="AC211" s="75">
        <f t="shared" si="30"/>
        <v>25000</v>
      </c>
      <c r="AD211" s="78">
        <f t="shared" si="31"/>
        <v>2000</v>
      </c>
      <c r="AE211" s="72">
        <f t="shared" si="32"/>
        <v>27000</v>
      </c>
      <c r="AF211" s="75">
        <f t="shared" si="33"/>
        <v>4142.1180000000004</v>
      </c>
      <c r="AG211" s="78">
        <f t="shared" si="34"/>
        <v>279.04471999999998</v>
      </c>
      <c r="AH211" s="72">
        <f t="shared" si="35"/>
        <v>4421.1627200000003</v>
      </c>
      <c r="AI211" s="75">
        <f t="shared" si="36"/>
        <v>2834</v>
      </c>
      <c r="AJ211" s="78">
        <f t="shared" si="37"/>
        <v>226.72</v>
      </c>
      <c r="AK211" s="72">
        <f t="shared" si="38"/>
        <v>3060.72</v>
      </c>
    </row>
    <row r="212" spans="1:37" ht="15.95" customHeight="1">
      <c r="A212" s="25" t="s">
        <v>462</v>
      </c>
      <c r="B212" s="25" t="s">
        <v>252</v>
      </c>
      <c r="C212" s="26" t="s">
        <v>21</v>
      </c>
      <c r="D212" s="26" t="s">
        <v>373</v>
      </c>
      <c r="E212" s="26" t="s">
        <v>16</v>
      </c>
      <c r="F212" s="26" t="s">
        <v>642</v>
      </c>
      <c r="G212" s="26"/>
      <c r="H212" s="27" t="s">
        <v>89</v>
      </c>
      <c r="I212" s="26" t="s">
        <v>27</v>
      </c>
      <c r="J212" s="28" t="s">
        <v>265</v>
      </c>
      <c r="K212" s="123">
        <v>110</v>
      </c>
      <c r="L212" s="29">
        <v>23.321999999999999</v>
      </c>
      <c r="M212" s="110">
        <v>16</v>
      </c>
      <c r="N212" s="30">
        <v>0.28199999999999997</v>
      </c>
      <c r="O212" s="116">
        <v>4.5119999999999996</v>
      </c>
      <c r="P212" s="30">
        <v>7.4999999999999997E-2</v>
      </c>
      <c r="Q212" s="116">
        <v>1.2</v>
      </c>
      <c r="R212" s="30">
        <v>7.0000000000000007E-2</v>
      </c>
      <c r="S212" s="116">
        <v>1.1200000000000001</v>
      </c>
      <c r="T212" s="117">
        <v>0.49</v>
      </c>
      <c r="U212" s="39">
        <v>200</v>
      </c>
      <c r="V212" s="32">
        <v>8</v>
      </c>
      <c r="W212" s="33"/>
      <c r="X212" s="32"/>
      <c r="Y212" s="32"/>
      <c r="Z212" s="32"/>
      <c r="AA212" s="34">
        <v>8</v>
      </c>
      <c r="AB212" s="35">
        <v>216</v>
      </c>
      <c r="AC212" s="75">
        <f t="shared" si="30"/>
        <v>22000</v>
      </c>
      <c r="AD212" s="78">
        <f t="shared" si="31"/>
        <v>1760</v>
      </c>
      <c r="AE212" s="72">
        <f t="shared" si="32"/>
        <v>23760</v>
      </c>
      <c r="AF212" s="75">
        <f t="shared" si="33"/>
        <v>4664.3999999999996</v>
      </c>
      <c r="AG212" s="78">
        <f t="shared" si="34"/>
        <v>314.57600000000002</v>
      </c>
      <c r="AH212" s="72">
        <f t="shared" si="35"/>
        <v>4978.9759999999997</v>
      </c>
      <c r="AI212" s="75">
        <f t="shared" si="36"/>
        <v>3200</v>
      </c>
      <c r="AJ212" s="78">
        <f t="shared" si="37"/>
        <v>256</v>
      </c>
      <c r="AK212" s="72">
        <f t="shared" si="38"/>
        <v>3456</v>
      </c>
    </row>
    <row r="213" spans="1:37" ht="15.95" customHeight="1">
      <c r="A213" s="25" t="s">
        <v>462</v>
      </c>
      <c r="B213" s="25" t="s">
        <v>252</v>
      </c>
      <c r="C213" s="26" t="s">
        <v>14</v>
      </c>
      <c r="D213" s="26" t="s">
        <v>373</v>
      </c>
      <c r="E213" s="26" t="s">
        <v>16</v>
      </c>
      <c r="F213" s="26" t="s">
        <v>641</v>
      </c>
      <c r="G213" s="26"/>
      <c r="H213" s="27" t="s">
        <v>414</v>
      </c>
      <c r="I213" s="26" t="s">
        <v>27</v>
      </c>
      <c r="J213" s="37" t="s">
        <v>261</v>
      </c>
      <c r="K213" s="123">
        <v>125</v>
      </c>
      <c r="L213" s="29">
        <v>20.71059</v>
      </c>
      <c r="M213" s="110">
        <v>14.17</v>
      </c>
      <c r="N213" s="30">
        <v>0.28199999999999997</v>
      </c>
      <c r="O213" s="116">
        <v>3.9959399999999996</v>
      </c>
      <c r="P213" s="30">
        <v>7.4999999999999997E-2</v>
      </c>
      <c r="Q213" s="116">
        <v>1.0627499999999999</v>
      </c>
      <c r="R213" s="30">
        <v>7.0000000000000007E-2</v>
      </c>
      <c r="S213" s="116">
        <v>0.99190000000000011</v>
      </c>
      <c r="T213" s="117">
        <v>0.49</v>
      </c>
      <c r="U213" s="39">
        <v>251</v>
      </c>
      <c r="V213" s="32"/>
      <c r="W213" s="33">
        <v>25</v>
      </c>
      <c r="X213" s="32"/>
      <c r="Y213" s="32"/>
      <c r="Z213" s="32"/>
      <c r="AA213" s="34">
        <v>8</v>
      </c>
      <c r="AB213" s="35">
        <v>284</v>
      </c>
      <c r="AC213" s="75">
        <f t="shared" si="30"/>
        <v>31375</v>
      </c>
      <c r="AD213" s="78">
        <f t="shared" si="31"/>
        <v>4125</v>
      </c>
      <c r="AE213" s="72">
        <f t="shared" si="32"/>
        <v>35500</v>
      </c>
      <c r="AF213" s="75">
        <f t="shared" si="33"/>
        <v>5198.3580899999997</v>
      </c>
      <c r="AG213" s="78">
        <f t="shared" si="34"/>
        <v>631.12475000000006</v>
      </c>
      <c r="AH213" s="72">
        <f t="shared" si="35"/>
        <v>5829.4828399999997</v>
      </c>
      <c r="AI213" s="75">
        <f t="shared" si="36"/>
        <v>3556.67</v>
      </c>
      <c r="AJ213" s="78">
        <f t="shared" si="37"/>
        <v>467.61</v>
      </c>
      <c r="AK213" s="72">
        <f t="shared" si="38"/>
        <v>4024.28</v>
      </c>
    </row>
    <row r="214" spans="1:37" ht="15.95" customHeight="1">
      <c r="A214" s="25" t="s">
        <v>462</v>
      </c>
      <c r="B214" s="25" t="s">
        <v>252</v>
      </c>
      <c r="C214" s="26" t="s">
        <v>21</v>
      </c>
      <c r="D214" s="26" t="s">
        <v>373</v>
      </c>
      <c r="E214" s="26" t="s">
        <v>16</v>
      </c>
      <c r="F214" s="26" t="s">
        <v>642</v>
      </c>
      <c r="G214" s="26"/>
      <c r="H214" s="27" t="s">
        <v>89</v>
      </c>
      <c r="I214" s="26" t="s">
        <v>27</v>
      </c>
      <c r="J214" s="28" t="s">
        <v>265</v>
      </c>
      <c r="K214" s="123">
        <v>110</v>
      </c>
      <c r="L214" s="29">
        <v>23.321999999999999</v>
      </c>
      <c r="M214" s="110">
        <v>16</v>
      </c>
      <c r="N214" s="30">
        <v>0.28199999999999997</v>
      </c>
      <c r="O214" s="116">
        <v>4.5119999999999996</v>
      </c>
      <c r="P214" s="30">
        <v>7.4999999999999997E-2</v>
      </c>
      <c r="Q214" s="116">
        <v>1.2</v>
      </c>
      <c r="R214" s="30">
        <v>7.0000000000000007E-2</v>
      </c>
      <c r="S214" s="116">
        <v>1.1200000000000001</v>
      </c>
      <c r="T214" s="117">
        <v>0.49</v>
      </c>
      <c r="U214" s="39">
        <v>251</v>
      </c>
      <c r="V214" s="32"/>
      <c r="W214" s="33">
        <v>25</v>
      </c>
      <c r="X214" s="32"/>
      <c r="Y214" s="32"/>
      <c r="Z214" s="32"/>
      <c r="AA214" s="34">
        <v>8</v>
      </c>
      <c r="AB214" s="35">
        <v>284</v>
      </c>
      <c r="AC214" s="75">
        <f t="shared" si="30"/>
        <v>27610</v>
      </c>
      <c r="AD214" s="78">
        <f t="shared" si="31"/>
        <v>3630</v>
      </c>
      <c r="AE214" s="72">
        <f t="shared" si="32"/>
        <v>31240</v>
      </c>
      <c r="AF214" s="75">
        <f t="shared" si="33"/>
        <v>5853.8220000000001</v>
      </c>
      <c r="AG214" s="78">
        <f t="shared" si="34"/>
        <v>711.05</v>
      </c>
      <c r="AH214" s="72">
        <f t="shared" si="35"/>
        <v>6564.8720000000003</v>
      </c>
      <c r="AI214" s="75">
        <f t="shared" si="36"/>
        <v>4016</v>
      </c>
      <c r="AJ214" s="78">
        <f t="shared" si="37"/>
        <v>528</v>
      </c>
      <c r="AK214" s="72">
        <f t="shared" si="38"/>
        <v>4544</v>
      </c>
    </row>
    <row r="215" spans="1:37" ht="15.95" customHeight="1">
      <c r="A215" s="25" t="s">
        <v>462</v>
      </c>
      <c r="B215" s="25" t="s">
        <v>252</v>
      </c>
      <c r="C215" s="26" t="s">
        <v>643</v>
      </c>
      <c r="D215" s="26" t="s">
        <v>373</v>
      </c>
      <c r="E215" s="26" t="s">
        <v>16</v>
      </c>
      <c r="F215" s="26" t="s">
        <v>644</v>
      </c>
      <c r="G215" s="26"/>
      <c r="H215" s="27" t="s">
        <v>645</v>
      </c>
      <c r="I215" s="26" t="s">
        <v>27</v>
      </c>
      <c r="J215" s="37" t="s">
        <v>340</v>
      </c>
      <c r="K215" s="123">
        <v>125</v>
      </c>
      <c r="L215" s="29">
        <v>25.510999999999999</v>
      </c>
      <c r="M215" s="110">
        <v>19.100000000000001</v>
      </c>
      <c r="N215" s="30">
        <v>0.16500000000000001</v>
      </c>
      <c r="O215" s="116">
        <v>3.1515000000000004</v>
      </c>
      <c r="P215" s="30">
        <v>7.4999999999999997E-2</v>
      </c>
      <c r="Q215" s="116">
        <v>1.4325000000000001</v>
      </c>
      <c r="R215" s="30">
        <v>7.0000000000000007E-2</v>
      </c>
      <c r="S215" s="116">
        <v>1.3370000000000002</v>
      </c>
      <c r="T215" s="117">
        <v>0.49</v>
      </c>
      <c r="U215" s="39">
        <v>200</v>
      </c>
      <c r="V215" s="32"/>
      <c r="W215" s="33"/>
      <c r="X215" s="32"/>
      <c r="Y215" s="32"/>
      <c r="Z215" s="32"/>
      <c r="AA215" s="34"/>
      <c r="AB215" s="35">
        <v>200</v>
      </c>
      <c r="AC215" s="75">
        <f t="shared" si="30"/>
        <v>25000</v>
      </c>
      <c r="AD215" s="78">
        <f t="shared" si="31"/>
        <v>0</v>
      </c>
      <c r="AE215" s="72">
        <f t="shared" si="32"/>
        <v>25000</v>
      </c>
      <c r="AF215" s="75">
        <f t="shared" si="33"/>
        <v>5102.2</v>
      </c>
      <c r="AG215" s="78">
        <f t="shared" si="34"/>
        <v>0</v>
      </c>
      <c r="AH215" s="72">
        <f t="shared" si="35"/>
        <v>5102.2</v>
      </c>
      <c r="AI215" s="75">
        <f t="shared" si="36"/>
        <v>3820.0000000000005</v>
      </c>
      <c r="AJ215" s="78">
        <f t="shared" si="37"/>
        <v>0</v>
      </c>
      <c r="AK215" s="72">
        <f t="shared" si="38"/>
        <v>3820.0000000000005</v>
      </c>
    </row>
    <row r="216" spans="1:37" ht="15.95" customHeight="1">
      <c r="A216" s="25" t="s">
        <v>462</v>
      </c>
      <c r="B216" s="25" t="s">
        <v>252</v>
      </c>
      <c r="C216" s="26" t="s">
        <v>347</v>
      </c>
      <c r="D216" s="26" t="s">
        <v>373</v>
      </c>
      <c r="E216" s="26" t="s">
        <v>16</v>
      </c>
      <c r="F216" s="26" t="s">
        <v>646</v>
      </c>
      <c r="G216" s="26"/>
      <c r="H216" s="27" t="s">
        <v>645</v>
      </c>
      <c r="I216" s="26" t="s">
        <v>27</v>
      </c>
      <c r="J216" s="28" t="s">
        <v>349</v>
      </c>
      <c r="K216" s="123">
        <v>125</v>
      </c>
      <c r="L216" s="29">
        <v>25.248999999999999</v>
      </c>
      <c r="M216" s="110">
        <v>18.899999999999999</v>
      </c>
      <c r="N216" s="30">
        <v>0.16500000000000001</v>
      </c>
      <c r="O216" s="116">
        <v>3.1185</v>
      </c>
      <c r="P216" s="30">
        <v>7.4999999999999997E-2</v>
      </c>
      <c r="Q216" s="116">
        <v>1.4174999999999998</v>
      </c>
      <c r="R216" s="30">
        <v>7.0000000000000007E-2</v>
      </c>
      <c r="S216" s="116">
        <v>1.323</v>
      </c>
      <c r="T216" s="117">
        <v>0.49</v>
      </c>
      <c r="U216" s="39">
        <v>200</v>
      </c>
      <c r="V216" s="32"/>
      <c r="W216" s="33"/>
      <c r="X216" s="32"/>
      <c r="Y216" s="32"/>
      <c r="Z216" s="32"/>
      <c r="AA216" s="34"/>
      <c r="AB216" s="35">
        <v>200</v>
      </c>
      <c r="AC216" s="75">
        <f t="shared" si="30"/>
        <v>25000</v>
      </c>
      <c r="AD216" s="78">
        <f t="shared" si="31"/>
        <v>0</v>
      </c>
      <c r="AE216" s="72">
        <f t="shared" si="32"/>
        <v>25000</v>
      </c>
      <c r="AF216" s="75">
        <f t="shared" si="33"/>
        <v>5049.8</v>
      </c>
      <c r="AG216" s="78">
        <f t="shared" si="34"/>
        <v>0</v>
      </c>
      <c r="AH216" s="72">
        <f t="shared" si="35"/>
        <v>5049.8</v>
      </c>
      <c r="AI216" s="75">
        <f t="shared" si="36"/>
        <v>3779.9999999999995</v>
      </c>
      <c r="AJ216" s="78">
        <f t="shared" si="37"/>
        <v>0</v>
      </c>
      <c r="AK216" s="72">
        <f t="shared" si="38"/>
        <v>3779.9999999999995</v>
      </c>
    </row>
    <row r="217" spans="1:37" ht="15.95" customHeight="1">
      <c r="A217" s="25" t="s">
        <v>462</v>
      </c>
      <c r="B217" s="25" t="s">
        <v>252</v>
      </c>
      <c r="C217" s="26" t="s">
        <v>643</v>
      </c>
      <c r="D217" s="26" t="s">
        <v>374</v>
      </c>
      <c r="E217" s="26" t="s">
        <v>16</v>
      </c>
      <c r="F217" s="26" t="s">
        <v>644</v>
      </c>
      <c r="G217" s="26"/>
      <c r="H217" s="27" t="s">
        <v>645</v>
      </c>
      <c r="I217" s="26" t="s">
        <v>27</v>
      </c>
      <c r="J217" s="28" t="s">
        <v>340</v>
      </c>
      <c r="K217" s="123">
        <v>125</v>
      </c>
      <c r="L217" s="29">
        <v>25.510999999999999</v>
      </c>
      <c r="M217" s="110">
        <v>19.100000000000001</v>
      </c>
      <c r="N217" s="30">
        <v>0.16500000000000001</v>
      </c>
      <c r="O217" s="116">
        <v>3.1515000000000004</v>
      </c>
      <c r="P217" s="30">
        <v>7.4999999999999997E-2</v>
      </c>
      <c r="Q217" s="116">
        <v>1.4325000000000001</v>
      </c>
      <c r="R217" s="30">
        <v>7.0000000000000007E-2</v>
      </c>
      <c r="S217" s="116">
        <v>1.3370000000000002</v>
      </c>
      <c r="T217" s="117">
        <v>0.49</v>
      </c>
      <c r="U217" s="39">
        <v>200</v>
      </c>
      <c r="V217" s="32"/>
      <c r="W217" s="33">
        <v>100</v>
      </c>
      <c r="X217" s="32"/>
      <c r="Y217" s="32"/>
      <c r="Z217" s="32"/>
      <c r="AA217" s="34"/>
      <c r="AB217" s="35">
        <v>300</v>
      </c>
      <c r="AC217" s="75">
        <f t="shared" si="30"/>
        <v>25000</v>
      </c>
      <c r="AD217" s="78">
        <f t="shared" si="31"/>
        <v>12500</v>
      </c>
      <c r="AE217" s="72">
        <f t="shared" si="32"/>
        <v>37500</v>
      </c>
      <c r="AF217" s="75">
        <f t="shared" si="33"/>
        <v>5102.2</v>
      </c>
      <c r="AG217" s="78">
        <f t="shared" si="34"/>
        <v>2551.1</v>
      </c>
      <c r="AH217" s="72">
        <f t="shared" si="35"/>
        <v>7653.2999999999993</v>
      </c>
      <c r="AI217" s="75">
        <f t="shared" si="36"/>
        <v>3820.0000000000005</v>
      </c>
      <c r="AJ217" s="78">
        <f t="shared" si="37"/>
        <v>1910.0000000000002</v>
      </c>
      <c r="AK217" s="72">
        <f t="shared" si="38"/>
        <v>5730.0000000000009</v>
      </c>
    </row>
    <row r="218" spans="1:37" ht="15.95" customHeight="1">
      <c r="A218" s="25" t="s">
        <v>462</v>
      </c>
      <c r="B218" s="25" t="s">
        <v>252</v>
      </c>
      <c r="C218" s="26" t="s">
        <v>347</v>
      </c>
      <c r="D218" s="26" t="s">
        <v>373</v>
      </c>
      <c r="E218" s="26" t="s">
        <v>16</v>
      </c>
      <c r="F218" s="26" t="s">
        <v>646</v>
      </c>
      <c r="G218" s="26"/>
      <c r="H218" s="27" t="s">
        <v>645</v>
      </c>
      <c r="I218" s="26" t="s">
        <v>27</v>
      </c>
      <c r="J218" s="28" t="s">
        <v>349</v>
      </c>
      <c r="K218" s="123">
        <v>125</v>
      </c>
      <c r="L218" s="29">
        <v>25.248999999999999</v>
      </c>
      <c r="M218" s="110">
        <v>18.899999999999999</v>
      </c>
      <c r="N218" s="30">
        <v>0.16500000000000001</v>
      </c>
      <c r="O218" s="116">
        <v>3.1185</v>
      </c>
      <c r="P218" s="30">
        <v>7.4999999999999997E-2</v>
      </c>
      <c r="Q218" s="116">
        <v>1.4174999999999998</v>
      </c>
      <c r="R218" s="30">
        <v>7.0000000000000007E-2</v>
      </c>
      <c r="S218" s="116">
        <v>1.323</v>
      </c>
      <c r="T218" s="117">
        <v>0.49</v>
      </c>
      <c r="U218" s="39">
        <v>200</v>
      </c>
      <c r="V218" s="32"/>
      <c r="W218" s="33">
        <v>100</v>
      </c>
      <c r="X218" s="32"/>
      <c r="Y218" s="32"/>
      <c r="Z218" s="32"/>
      <c r="AA218" s="34"/>
      <c r="AB218" s="35">
        <v>300</v>
      </c>
      <c r="AC218" s="75">
        <f t="shared" si="30"/>
        <v>25000</v>
      </c>
      <c r="AD218" s="78">
        <f t="shared" si="31"/>
        <v>12500</v>
      </c>
      <c r="AE218" s="72">
        <f t="shared" si="32"/>
        <v>37500</v>
      </c>
      <c r="AF218" s="75">
        <f t="shared" si="33"/>
        <v>5049.8</v>
      </c>
      <c r="AG218" s="78">
        <f t="shared" si="34"/>
        <v>2524.9</v>
      </c>
      <c r="AH218" s="72">
        <f t="shared" si="35"/>
        <v>7574.7000000000007</v>
      </c>
      <c r="AI218" s="75">
        <f t="shared" si="36"/>
        <v>3779.9999999999995</v>
      </c>
      <c r="AJ218" s="78">
        <f t="shared" si="37"/>
        <v>1889.9999999999998</v>
      </c>
      <c r="AK218" s="72">
        <f t="shared" si="38"/>
        <v>5669.9999999999991</v>
      </c>
    </row>
    <row r="219" spans="1:37" ht="15.95" customHeight="1">
      <c r="A219" s="25" t="s">
        <v>462</v>
      </c>
      <c r="B219" s="25" t="s">
        <v>252</v>
      </c>
      <c r="C219" s="26" t="s">
        <v>76</v>
      </c>
      <c r="D219" s="26" t="s">
        <v>373</v>
      </c>
      <c r="E219" s="26" t="s">
        <v>16</v>
      </c>
      <c r="F219" s="26" t="s">
        <v>647</v>
      </c>
      <c r="G219" s="26"/>
      <c r="H219" s="27" t="s">
        <v>79</v>
      </c>
      <c r="I219" s="26" t="s">
        <v>27</v>
      </c>
      <c r="J219" s="37" t="s">
        <v>261</v>
      </c>
      <c r="K219" s="123">
        <v>125</v>
      </c>
      <c r="L219" s="29">
        <v>28.316499999999994</v>
      </c>
      <c r="M219" s="110">
        <v>19.5</v>
      </c>
      <c r="N219" s="30">
        <v>0.28199999999999997</v>
      </c>
      <c r="O219" s="116">
        <v>5.4989999999999997</v>
      </c>
      <c r="P219" s="30">
        <v>7.4999999999999997E-2</v>
      </c>
      <c r="Q219" s="116">
        <v>1.4624999999999999</v>
      </c>
      <c r="R219" s="30">
        <v>7.0000000000000007E-2</v>
      </c>
      <c r="S219" s="116">
        <v>1.3650000000000002</v>
      </c>
      <c r="T219" s="117">
        <v>0.49</v>
      </c>
      <c r="U219" s="39">
        <v>200</v>
      </c>
      <c r="V219" s="32">
        <v>15</v>
      </c>
      <c r="W219" s="33"/>
      <c r="X219" s="32"/>
      <c r="Y219" s="32"/>
      <c r="Z219" s="32"/>
      <c r="AA219" s="34"/>
      <c r="AB219" s="35">
        <v>215</v>
      </c>
      <c r="AC219" s="75">
        <f t="shared" si="30"/>
        <v>25000</v>
      </c>
      <c r="AD219" s="78">
        <f t="shared" si="31"/>
        <v>1875</v>
      </c>
      <c r="AE219" s="72">
        <f t="shared" si="32"/>
        <v>26875</v>
      </c>
      <c r="AF219" s="75">
        <f t="shared" si="33"/>
        <v>5663.2999999999993</v>
      </c>
      <c r="AG219" s="78">
        <f t="shared" si="34"/>
        <v>424.74749999999989</v>
      </c>
      <c r="AH219" s="72">
        <f t="shared" si="35"/>
        <v>6088.0474999999988</v>
      </c>
      <c r="AI219" s="75">
        <f t="shared" si="36"/>
        <v>3900</v>
      </c>
      <c r="AJ219" s="78">
        <f t="shared" si="37"/>
        <v>292.5</v>
      </c>
      <c r="AK219" s="72">
        <f t="shared" si="38"/>
        <v>4192.5</v>
      </c>
    </row>
    <row r="220" spans="1:37" ht="15.95" customHeight="1">
      <c r="A220" s="25" t="s">
        <v>462</v>
      </c>
      <c r="B220" s="25" t="s">
        <v>252</v>
      </c>
      <c r="C220" s="26" t="s">
        <v>347</v>
      </c>
      <c r="D220" s="26" t="s">
        <v>373</v>
      </c>
      <c r="E220" s="26" t="s">
        <v>16</v>
      </c>
      <c r="F220" s="26" t="s">
        <v>648</v>
      </c>
      <c r="G220" s="26"/>
      <c r="H220" s="27" t="s">
        <v>79</v>
      </c>
      <c r="I220" s="26" t="s">
        <v>27</v>
      </c>
      <c r="J220" s="37" t="s">
        <v>265</v>
      </c>
      <c r="K220" s="123">
        <v>110</v>
      </c>
      <c r="L220" s="29">
        <v>25.048669999999998</v>
      </c>
      <c r="M220" s="110">
        <v>17.21</v>
      </c>
      <c r="N220" s="30">
        <v>0.28199999999999997</v>
      </c>
      <c r="O220" s="116">
        <v>4.8532199999999994</v>
      </c>
      <c r="P220" s="30">
        <v>7.4999999999999997E-2</v>
      </c>
      <c r="Q220" s="116">
        <v>1.2907500000000001</v>
      </c>
      <c r="R220" s="30">
        <v>7.0000000000000007E-2</v>
      </c>
      <c r="S220" s="116">
        <v>1.2047000000000001</v>
      </c>
      <c r="T220" s="117">
        <v>0.49</v>
      </c>
      <c r="U220" s="39">
        <v>200</v>
      </c>
      <c r="V220" s="32">
        <v>10</v>
      </c>
      <c r="W220" s="33"/>
      <c r="X220" s="32"/>
      <c r="Y220" s="32"/>
      <c r="Z220" s="32"/>
      <c r="AA220" s="34"/>
      <c r="AB220" s="35">
        <v>210</v>
      </c>
      <c r="AC220" s="75">
        <f t="shared" si="30"/>
        <v>22000</v>
      </c>
      <c r="AD220" s="78">
        <f t="shared" si="31"/>
        <v>1100</v>
      </c>
      <c r="AE220" s="72">
        <f t="shared" si="32"/>
        <v>23100</v>
      </c>
      <c r="AF220" s="75">
        <f t="shared" si="33"/>
        <v>5009.7339999999995</v>
      </c>
      <c r="AG220" s="78">
        <f t="shared" si="34"/>
        <v>250.48669999999998</v>
      </c>
      <c r="AH220" s="72">
        <f t="shared" si="35"/>
        <v>5260.2206999999999</v>
      </c>
      <c r="AI220" s="75">
        <f t="shared" si="36"/>
        <v>3442</v>
      </c>
      <c r="AJ220" s="78">
        <f t="shared" si="37"/>
        <v>172.10000000000002</v>
      </c>
      <c r="AK220" s="72">
        <f t="shared" si="38"/>
        <v>3614.1</v>
      </c>
    </row>
    <row r="221" spans="1:37" ht="15.95" customHeight="1">
      <c r="A221" s="25" t="s">
        <v>462</v>
      </c>
      <c r="B221" s="25" t="s">
        <v>252</v>
      </c>
      <c r="C221" s="26" t="s">
        <v>76</v>
      </c>
      <c r="D221" s="26" t="s">
        <v>373</v>
      </c>
      <c r="E221" s="26" t="s">
        <v>16</v>
      </c>
      <c r="F221" s="26" t="s">
        <v>647</v>
      </c>
      <c r="G221" s="26"/>
      <c r="H221" s="27" t="s">
        <v>79</v>
      </c>
      <c r="I221" s="26" t="s">
        <v>27</v>
      </c>
      <c r="J221" s="28" t="s">
        <v>261</v>
      </c>
      <c r="K221" s="123">
        <v>125</v>
      </c>
      <c r="L221" s="29">
        <v>28.316499999999994</v>
      </c>
      <c r="M221" s="110">
        <v>19.5</v>
      </c>
      <c r="N221" s="30">
        <v>0.28199999999999997</v>
      </c>
      <c r="O221" s="116">
        <v>5.4989999999999997</v>
      </c>
      <c r="P221" s="30">
        <v>7.4999999999999997E-2</v>
      </c>
      <c r="Q221" s="116">
        <v>1.4624999999999999</v>
      </c>
      <c r="R221" s="30">
        <v>7.0000000000000007E-2</v>
      </c>
      <c r="S221" s="116">
        <v>1.3650000000000002</v>
      </c>
      <c r="T221" s="117">
        <v>0.49</v>
      </c>
      <c r="U221" s="39">
        <v>200</v>
      </c>
      <c r="V221" s="32">
        <v>111</v>
      </c>
      <c r="W221" s="33"/>
      <c r="X221" s="32"/>
      <c r="Y221" s="32"/>
      <c r="Z221" s="32"/>
      <c r="AA221" s="34"/>
      <c r="AB221" s="35">
        <v>311</v>
      </c>
      <c r="AC221" s="75">
        <f t="shared" si="30"/>
        <v>25000</v>
      </c>
      <c r="AD221" s="78">
        <f t="shared" si="31"/>
        <v>13875</v>
      </c>
      <c r="AE221" s="72">
        <f t="shared" si="32"/>
        <v>38875</v>
      </c>
      <c r="AF221" s="75">
        <f t="shared" si="33"/>
        <v>5663.2999999999993</v>
      </c>
      <c r="AG221" s="78">
        <f t="shared" si="34"/>
        <v>3143.1314999999995</v>
      </c>
      <c r="AH221" s="72">
        <f t="shared" si="35"/>
        <v>8806.4314999999988</v>
      </c>
      <c r="AI221" s="75">
        <f t="shared" si="36"/>
        <v>3900</v>
      </c>
      <c r="AJ221" s="78">
        <f t="shared" si="37"/>
        <v>2164.5</v>
      </c>
      <c r="AK221" s="72">
        <f t="shared" si="38"/>
        <v>6064.5</v>
      </c>
    </row>
    <row r="222" spans="1:37" ht="15.95" customHeight="1">
      <c r="A222" s="25" t="s">
        <v>462</v>
      </c>
      <c r="B222" s="25" t="s">
        <v>252</v>
      </c>
      <c r="C222" s="26" t="s">
        <v>347</v>
      </c>
      <c r="D222" s="26" t="s">
        <v>373</v>
      </c>
      <c r="E222" s="26" t="s">
        <v>16</v>
      </c>
      <c r="F222" s="26" t="s">
        <v>648</v>
      </c>
      <c r="G222" s="26"/>
      <c r="H222" s="27" t="s">
        <v>79</v>
      </c>
      <c r="I222" s="26" t="s">
        <v>27</v>
      </c>
      <c r="J222" s="28" t="s">
        <v>265</v>
      </c>
      <c r="K222" s="123">
        <v>110</v>
      </c>
      <c r="L222" s="29">
        <v>25.048669999999998</v>
      </c>
      <c r="M222" s="110">
        <v>17.21</v>
      </c>
      <c r="N222" s="30">
        <v>0.28199999999999997</v>
      </c>
      <c r="O222" s="116">
        <v>4.8532199999999994</v>
      </c>
      <c r="P222" s="30">
        <v>7.4999999999999997E-2</v>
      </c>
      <c r="Q222" s="116">
        <v>1.2907500000000001</v>
      </c>
      <c r="R222" s="30">
        <v>7.0000000000000007E-2</v>
      </c>
      <c r="S222" s="116">
        <v>1.2047000000000001</v>
      </c>
      <c r="T222" s="117">
        <v>0.49</v>
      </c>
      <c r="U222" s="39">
        <v>200</v>
      </c>
      <c r="V222" s="32">
        <v>111</v>
      </c>
      <c r="W222" s="33"/>
      <c r="X222" s="32"/>
      <c r="Y222" s="32"/>
      <c r="Z222" s="32"/>
      <c r="AA222" s="34"/>
      <c r="AB222" s="35">
        <v>311</v>
      </c>
      <c r="AC222" s="75">
        <f t="shared" si="30"/>
        <v>22000</v>
      </c>
      <c r="AD222" s="78">
        <f t="shared" si="31"/>
        <v>12210</v>
      </c>
      <c r="AE222" s="72">
        <f t="shared" si="32"/>
        <v>34210</v>
      </c>
      <c r="AF222" s="75">
        <f t="shared" si="33"/>
        <v>5009.7339999999995</v>
      </c>
      <c r="AG222" s="78">
        <f t="shared" si="34"/>
        <v>2780.4023699999998</v>
      </c>
      <c r="AH222" s="72">
        <f t="shared" si="35"/>
        <v>7790.1363699999993</v>
      </c>
      <c r="AI222" s="75">
        <f t="shared" si="36"/>
        <v>3442</v>
      </c>
      <c r="AJ222" s="78">
        <f t="shared" si="37"/>
        <v>1910.3100000000002</v>
      </c>
      <c r="AK222" s="72">
        <f t="shared" si="38"/>
        <v>5352.31</v>
      </c>
    </row>
    <row r="223" spans="1:37" ht="15.95" customHeight="1">
      <c r="A223" s="25" t="s">
        <v>462</v>
      </c>
      <c r="B223" s="25" t="s">
        <v>252</v>
      </c>
      <c r="C223" s="26" t="s">
        <v>124</v>
      </c>
      <c r="D223" s="26" t="s">
        <v>373</v>
      </c>
      <c r="E223" s="26" t="s">
        <v>16</v>
      </c>
      <c r="F223" s="26" t="s">
        <v>649</v>
      </c>
      <c r="G223" s="26"/>
      <c r="H223" s="27" t="s">
        <v>650</v>
      </c>
      <c r="I223" s="26" t="s">
        <v>19</v>
      </c>
      <c r="J223" s="28" t="s">
        <v>283</v>
      </c>
      <c r="K223" s="123">
        <v>225</v>
      </c>
      <c r="L223" s="29">
        <v>38.172999999999995</v>
      </c>
      <c r="M223" s="110">
        <v>26.5</v>
      </c>
      <c r="N223" s="30">
        <v>0.27700000000000002</v>
      </c>
      <c r="O223" s="116">
        <v>7.3405000000000005</v>
      </c>
      <c r="P223" s="30">
        <v>7.4999999999999997E-2</v>
      </c>
      <c r="Q223" s="116">
        <v>1.9874999999999998</v>
      </c>
      <c r="R223" s="30">
        <v>7.0000000000000007E-2</v>
      </c>
      <c r="S223" s="116">
        <v>1.8550000000000002</v>
      </c>
      <c r="T223" s="117">
        <v>0.49</v>
      </c>
      <c r="U223" s="39">
        <v>200</v>
      </c>
      <c r="V223" s="32"/>
      <c r="W223" s="33"/>
      <c r="X223" s="32"/>
      <c r="Y223" s="32"/>
      <c r="Z223" s="32"/>
      <c r="AA223" s="34"/>
      <c r="AB223" s="35">
        <v>200</v>
      </c>
      <c r="AC223" s="75">
        <f t="shared" si="30"/>
        <v>45000</v>
      </c>
      <c r="AD223" s="78">
        <f t="shared" si="31"/>
        <v>0</v>
      </c>
      <c r="AE223" s="72">
        <f t="shared" si="32"/>
        <v>45000</v>
      </c>
      <c r="AF223" s="75">
        <f t="shared" si="33"/>
        <v>7634.5999999999985</v>
      </c>
      <c r="AG223" s="78">
        <f t="shared" si="34"/>
        <v>0</v>
      </c>
      <c r="AH223" s="72">
        <f t="shared" si="35"/>
        <v>7634.5999999999985</v>
      </c>
      <c r="AI223" s="75">
        <f t="shared" si="36"/>
        <v>5300</v>
      </c>
      <c r="AJ223" s="78">
        <f t="shared" si="37"/>
        <v>0</v>
      </c>
      <c r="AK223" s="72">
        <f t="shared" si="38"/>
        <v>5300</v>
      </c>
    </row>
    <row r="224" spans="1:37" ht="15.95" customHeight="1">
      <c r="A224" s="25" t="s">
        <v>462</v>
      </c>
      <c r="B224" s="25" t="s">
        <v>252</v>
      </c>
      <c r="C224" s="26" t="s">
        <v>124</v>
      </c>
      <c r="D224" s="26" t="s">
        <v>373</v>
      </c>
      <c r="E224" s="26" t="s">
        <v>16</v>
      </c>
      <c r="F224" s="26" t="s">
        <v>651</v>
      </c>
      <c r="G224" s="26"/>
      <c r="H224" s="27" t="s">
        <v>652</v>
      </c>
      <c r="I224" s="26" t="s">
        <v>19</v>
      </c>
      <c r="J224" s="28" t="s">
        <v>283</v>
      </c>
      <c r="K224" s="123">
        <v>295</v>
      </c>
      <c r="L224" s="29">
        <v>48.198100000000004</v>
      </c>
      <c r="M224" s="110">
        <v>33.549999999999997</v>
      </c>
      <c r="N224" s="30">
        <v>0.27700000000000002</v>
      </c>
      <c r="O224" s="116">
        <v>9.2933500000000002</v>
      </c>
      <c r="P224" s="30">
        <v>7.4999999999999997E-2</v>
      </c>
      <c r="Q224" s="116">
        <v>2.5162499999999999</v>
      </c>
      <c r="R224" s="30">
        <v>7.0000000000000007E-2</v>
      </c>
      <c r="S224" s="116">
        <v>2.3485</v>
      </c>
      <c r="T224" s="117">
        <v>0.49</v>
      </c>
      <c r="U224" s="39">
        <v>151</v>
      </c>
      <c r="V224" s="32"/>
      <c r="W224" s="33"/>
      <c r="X224" s="32"/>
      <c r="Y224" s="32"/>
      <c r="Z224" s="32"/>
      <c r="AA224" s="34"/>
      <c r="AB224" s="35">
        <v>151</v>
      </c>
      <c r="AC224" s="75">
        <f t="shared" si="30"/>
        <v>44545</v>
      </c>
      <c r="AD224" s="78">
        <f t="shared" si="31"/>
        <v>0</v>
      </c>
      <c r="AE224" s="72">
        <f t="shared" si="32"/>
        <v>44545</v>
      </c>
      <c r="AF224" s="75">
        <f t="shared" si="33"/>
        <v>7277.9131000000007</v>
      </c>
      <c r="AG224" s="78">
        <f t="shared" si="34"/>
        <v>0</v>
      </c>
      <c r="AH224" s="72">
        <f t="shared" si="35"/>
        <v>7277.9131000000007</v>
      </c>
      <c r="AI224" s="75">
        <f t="shared" si="36"/>
        <v>5066.0499999999993</v>
      </c>
      <c r="AJ224" s="78">
        <f t="shared" si="37"/>
        <v>0</v>
      </c>
      <c r="AK224" s="72">
        <f t="shared" si="38"/>
        <v>5066.0499999999993</v>
      </c>
    </row>
    <row r="225" spans="1:37" ht="15.95" customHeight="1">
      <c r="A225" s="25" t="s">
        <v>462</v>
      </c>
      <c r="B225" s="25" t="s">
        <v>252</v>
      </c>
      <c r="C225" s="26" t="s">
        <v>24</v>
      </c>
      <c r="D225" s="26" t="s">
        <v>213</v>
      </c>
      <c r="E225" s="26" t="s">
        <v>214</v>
      </c>
      <c r="F225" s="26" t="s">
        <v>653</v>
      </c>
      <c r="G225" s="26"/>
      <c r="H225" s="27" t="s">
        <v>654</v>
      </c>
      <c r="I225" s="26" t="s">
        <v>27</v>
      </c>
      <c r="J225" s="28" t="s">
        <v>227</v>
      </c>
      <c r="K225" s="123">
        <v>48</v>
      </c>
      <c r="L225" s="29">
        <v>7.5912500000000005</v>
      </c>
      <c r="M225" s="110">
        <v>5.75</v>
      </c>
      <c r="N225" s="30">
        <v>0.16500000000000001</v>
      </c>
      <c r="O225" s="116">
        <v>0.94875000000000009</v>
      </c>
      <c r="P225" s="30"/>
      <c r="Q225" s="116"/>
      <c r="R225" s="30">
        <v>7.0000000000000007E-2</v>
      </c>
      <c r="S225" s="116">
        <v>0.40250000000000002</v>
      </c>
      <c r="T225" s="117">
        <v>0.49</v>
      </c>
      <c r="U225" s="39">
        <v>252</v>
      </c>
      <c r="V225" s="32">
        <v>11</v>
      </c>
      <c r="W225" s="33"/>
      <c r="X225" s="32"/>
      <c r="Y225" s="32"/>
      <c r="Z225" s="32"/>
      <c r="AA225" s="34"/>
      <c r="AB225" s="35">
        <v>263</v>
      </c>
      <c r="AC225" s="75">
        <f t="shared" si="30"/>
        <v>12096</v>
      </c>
      <c r="AD225" s="78">
        <f t="shared" si="31"/>
        <v>528</v>
      </c>
      <c r="AE225" s="72">
        <f t="shared" si="32"/>
        <v>12624</v>
      </c>
      <c r="AF225" s="75">
        <f t="shared" si="33"/>
        <v>1912.9950000000001</v>
      </c>
      <c r="AG225" s="78">
        <f t="shared" si="34"/>
        <v>83.503750000000011</v>
      </c>
      <c r="AH225" s="72">
        <f t="shared" si="35"/>
        <v>1996.4987500000002</v>
      </c>
      <c r="AI225" s="75">
        <f t="shared" si="36"/>
        <v>1449</v>
      </c>
      <c r="AJ225" s="78">
        <f t="shared" si="37"/>
        <v>63.25</v>
      </c>
      <c r="AK225" s="72">
        <f t="shared" si="38"/>
        <v>1512.25</v>
      </c>
    </row>
    <row r="226" spans="1:37" ht="15.95" customHeight="1">
      <c r="A226" s="25" t="s">
        <v>462</v>
      </c>
      <c r="B226" s="25" t="s">
        <v>252</v>
      </c>
      <c r="C226" s="26" t="s">
        <v>24</v>
      </c>
      <c r="D226" s="26" t="s">
        <v>213</v>
      </c>
      <c r="E226" s="26" t="s">
        <v>214</v>
      </c>
      <c r="F226" s="26" t="s">
        <v>653</v>
      </c>
      <c r="G226" s="26"/>
      <c r="H226" s="27" t="s">
        <v>654</v>
      </c>
      <c r="I226" s="26" t="s">
        <v>27</v>
      </c>
      <c r="J226" s="28" t="s">
        <v>227</v>
      </c>
      <c r="K226" s="123">
        <v>48</v>
      </c>
      <c r="L226" s="29">
        <v>7.5912500000000005</v>
      </c>
      <c r="M226" s="110">
        <v>5.75</v>
      </c>
      <c r="N226" s="30">
        <v>0.16500000000000001</v>
      </c>
      <c r="O226" s="116">
        <v>0.94875000000000009</v>
      </c>
      <c r="P226" s="30"/>
      <c r="Q226" s="116"/>
      <c r="R226" s="30">
        <v>7.0000000000000007E-2</v>
      </c>
      <c r="S226" s="116">
        <v>0.40250000000000002</v>
      </c>
      <c r="T226" s="117">
        <v>0.49</v>
      </c>
      <c r="U226" s="39">
        <v>152</v>
      </c>
      <c r="V226" s="32">
        <v>150</v>
      </c>
      <c r="W226" s="33"/>
      <c r="X226" s="32"/>
      <c r="Y226" s="32"/>
      <c r="Z226" s="32"/>
      <c r="AA226" s="34"/>
      <c r="AB226" s="35">
        <v>302</v>
      </c>
      <c r="AC226" s="75">
        <f t="shared" si="30"/>
        <v>7296</v>
      </c>
      <c r="AD226" s="78">
        <f t="shared" si="31"/>
        <v>7200</v>
      </c>
      <c r="AE226" s="72">
        <f t="shared" si="32"/>
        <v>14496</v>
      </c>
      <c r="AF226" s="75">
        <f t="shared" si="33"/>
        <v>1153.8700000000001</v>
      </c>
      <c r="AG226" s="78">
        <f t="shared" si="34"/>
        <v>1138.6875</v>
      </c>
      <c r="AH226" s="72">
        <f t="shared" si="35"/>
        <v>2292.5574999999999</v>
      </c>
      <c r="AI226" s="75">
        <f t="shared" si="36"/>
        <v>874</v>
      </c>
      <c r="AJ226" s="78">
        <f t="shared" si="37"/>
        <v>862.5</v>
      </c>
      <c r="AK226" s="72">
        <f t="shared" si="38"/>
        <v>1736.5</v>
      </c>
    </row>
    <row r="227" spans="1:37" ht="15.95" customHeight="1">
      <c r="A227" s="25" t="s">
        <v>462</v>
      </c>
      <c r="B227" s="25" t="s">
        <v>252</v>
      </c>
      <c r="C227" s="26" t="s">
        <v>24</v>
      </c>
      <c r="D227" s="26" t="s">
        <v>213</v>
      </c>
      <c r="E227" s="26" t="s">
        <v>214</v>
      </c>
      <c r="F227" s="26" t="s">
        <v>653</v>
      </c>
      <c r="G227" s="26"/>
      <c r="H227" s="27" t="s">
        <v>654</v>
      </c>
      <c r="I227" s="26" t="s">
        <v>27</v>
      </c>
      <c r="J227" s="28" t="s">
        <v>227</v>
      </c>
      <c r="K227" s="123">
        <v>48</v>
      </c>
      <c r="L227" s="29">
        <v>7.5912500000000005</v>
      </c>
      <c r="M227" s="110">
        <v>5.75</v>
      </c>
      <c r="N227" s="30">
        <v>0.16500000000000001</v>
      </c>
      <c r="O227" s="116">
        <v>0.94875000000000009</v>
      </c>
      <c r="P227" s="30"/>
      <c r="Q227" s="116"/>
      <c r="R227" s="30">
        <v>7.0000000000000007E-2</v>
      </c>
      <c r="S227" s="116">
        <v>0.40250000000000002</v>
      </c>
      <c r="T227" s="117">
        <v>0.49</v>
      </c>
      <c r="U227" s="39">
        <v>252</v>
      </c>
      <c r="V227" s="32">
        <v>34</v>
      </c>
      <c r="W227" s="33"/>
      <c r="X227" s="32"/>
      <c r="Y227" s="32"/>
      <c r="Z227" s="32"/>
      <c r="AA227" s="34"/>
      <c r="AB227" s="35">
        <v>286</v>
      </c>
      <c r="AC227" s="75">
        <f t="shared" si="30"/>
        <v>12096</v>
      </c>
      <c r="AD227" s="78">
        <f t="shared" si="31"/>
        <v>1632</v>
      </c>
      <c r="AE227" s="72">
        <f t="shared" si="32"/>
        <v>13728</v>
      </c>
      <c r="AF227" s="75">
        <f t="shared" si="33"/>
        <v>1912.9950000000001</v>
      </c>
      <c r="AG227" s="78">
        <f t="shared" si="34"/>
        <v>258.10250000000002</v>
      </c>
      <c r="AH227" s="72">
        <f t="shared" si="35"/>
        <v>2171.0975000000003</v>
      </c>
      <c r="AI227" s="75">
        <f t="shared" si="36"/>
        <v>1449</v>
      </c>
      <c r="AJ227" s="78">
        <f t="shared" si="37"/>
        <v>195.5</v>
      </c>
      <c r="AK227" s="72">
        <f t="shared" si="38"/>
        <v>1644.5</v>
      </c>
    </row>
    <row r="228" spans="1:37" ht="15.95" customHeight="1">
      <c r="A228" s="25" t="s">
        <v>462</v>
      </c>
      <c r="B228" s="25" t="s">
        <v>252</v>
      </c>
      <c r="C228" s="26" t="s">
        <v>14</v>
      </c>
      <c r="D228" s="26" t="s">
        <v>375</v>
      </c>
      <c r="E228" s="26" t="s">
        <v>16</v>
      </c>
      <c r="F228" s="26" t="s">
        <v>655</v>
      </c>
      <c r="G228" s="26"/>
      <c r="H228" s="27" t="s">
        <v>656</v>
      </c>
      <c r="I228" s="26" t="s">
        <v>19</v>
      </c>
      <c r="J228" s="28" t="s">
        <v>283</v>
      </c>
      <c r="K228" s="124">
        <v>225</v>
      </c>
      <c r="L228" s="29">
        <v>47.344900000000003</v>
      </c>
      <c r="M228" s="110">
        <v>32.950000000000003</v>
      </c>
      <c r="N228" s="30">
        <v>0.27700000000000002</v>
      </c>
      <c r="O228" s="116">
        <v>9.1271500000000021</v>
      </c>
      <c r="P228" s="30">
        <v>7.4999999999999997E-2</v>
      </c>
      <c r="Q228" s="116">
        <v>2.4712499999999999</v>
      </c>
      <c r="R228" s="30">
        <v>7.0000000000000007E-2</v>
      </c>
      <c r="S228" s="116">
        <v>2.3065000000000002</v>
      </c>
      <c r="T228" s="117">
        <v>0.49</v>
      </c>
      <c r="U228" s="39">
        <v>200</v>
      </c>
      <c r="V228" s="32"/>
      <c r="W228" s="33"/>
      <c r="X228" s="32"/>
      <c r="Y228" s="32"/>
      <c r="Z228" s="32"/>
      <c r="AA228" s="34"/>
      <c r="AB228" s="35">
        <v>200</v>
      </c>
      <c r="AC228" s="75">
        <f t="shared" si="30"/>
        <v>45000</v>
      </c>
      <c r="AD228" s="78">
        <f t="shared" si="31"/>
        <v>0</v>
      </c>
      <c r="AE228" s="72">
        <f t="shared" si="32"/>
        <v>45000</v>
      </c>
      <c r="AF228" s="75">
        <f t="shared" si="33"/>
        <v>9468.9800000000014</v>
      </c>
      <c r="AG228" s="78">
        <f t="shared" si="34"/>
        <v>0</v>
      </c>
      <c r="AH228" s="72">
        <f t="shared" si="35"/>
        <v>9468.9800000000014</v>
      </c>
      <c r="AI228" s="75">
        <f t="shared" si="36"/>
        <v>6590.0000000000009</v>
      </c>
      <c r="AJ228" s="78">
        <f t="shared" si="37"/>
        <v>0</v>
      </c>
      <c r="AK228" s="72">
        <f t="shared" si="38"/>
        <v>6590.0000000000009</v>
      </c>
    </row>
    <row r="229" spans="1:37" ht="15.95" customHeight="1">
      <c r="A229" s="25" t="s">
        <v>462</v>
      </c>
      <c r="B229" s="25" t="s">
        <v>252</v>
      </c>
      <c r="C229" s="26" t="s">
        <v>21</v>
      </c>
      <c r="D229" s="26" t="s">
        <v>375</v>
      </c>
      <c r="E229" s="26" t="s">
        <v>16</v>
      </c>
      <c r="F229" s="26" t="s">
        <v>657</v>
      </c>
      <c r="G229" s="26"/>
      <c r="H229" s="27" t="s">
        <v>656</v>
      </c>
      <c r="I229" s="26" t="s">
        <v>19</v>
      </c>
      <c r="J229" s="28" t="s">
        <v>658</v>
      </c>
      <c r="K229" s="123">
        <v>175</v>
      </c>
      <c r="L229" s="29">
        <v>34.594799999999999</v>
      </c>
      <c r="M229" s="110">
        <v>23.95</v>
      </c>
      <c r="N229" s="30">
        <v>0.27900000000000003</v>
      </c>
      <c r="O229" s="116">
        <v>6.6820500000000003</v>
      </c>
      <c r="P229" s="30">
        <v>7.4999999999999997E-2</v>
      </c>
      <c r="Q229" s="116">
        <v>1.7962499999999999</v>
      </c>
      <c r="R229" s="30">
        <v>7.0000000000000007E-2</v>
      </c>
      <c r="S229" s="116">
        <v>1.6765000000000001</v>
      </c>
      <c r="T229" s="117">
        <v>0.49</v>
      </c>
      <c r="U229" s="39">
        <v>200</v>
      </c>
      <c r="V229" s="32"/>
      <c r="W229" s="33"/>
      <c r="X229" s="32"/>
      <c r="Y229" s="32"/>
      <c r="Z229" s="32"/>
      <c r="AA229" s="34"/>
      <c r="AB229" s="35">
        <v>200</v>
      </c>
      <c r="AC229" s="75">
        <f t="shared" si="30"/>
        <v>35000</v>
      </c>
      <c r="AD229" s="78">
        <f t="shared" si="31"/>
        <v>0</v>
      </c>
      <c r="AE229" s="72">
        <f t="shared" si="32"/>
        <v>35000</v>
      </c>
      <c r="AF229" s="75">
        <f t="shared" si="33"/>
        <v>6918.96</v>
      </c>
      <c r="AG229" s="78">
        <f t="shared" si="34"/>
        <v>0</v>
      </c>
      <c r="AH229" s="72">
        <f t="shared" si="35"/>
        <v>6918.96</v>
      </c>
      <c r="AI229" s="75">
        <f t="shared" si="36"/>
        <v>4790</v>
      </c>
      <c r="AJ229" s="78">
        <f t="shared" si="37"/>
        <v>0</v>
      </c>
      <c r="AK229" s="72">
        <f t="shared" si="38"/>
        <v>4790</v>
      </c>
    </row>
    <row r="230" spans="1:37" ht="15.95" customHeight="1">
      <c r="A230" s="25" t="s">
        <v>462</v>
      </c>
      <c r="B230" s="25" t="s">
        <v>252</v>
      </c>
      <c r="C230" s="26" t="s">
        <v>527</v>
      </c>
      <c r="D230" s="26" t="s">
        <v>375</v>
      </c>
      <c r="E230" s="26" t="s">
        <v>16</v>
      </c>
      <c r="F230" s="26" t="s">
        <v>659</v>
      </c>
      <c r="G230" s="26"/>
      <c r="H230" s="27" t="s">
        <v>660</v>
      </c>
      <c r="I230" s="26" t="s">
        <v>19</v>
      </c>
      <c r="J230" s="28" t="s">
        <v>661</v>
      </c>
      <c r="K230" s="123">
        <v>135</v>
      </c>
      <c r="L230" s="29">
        <v>31.456599999999998</v>
      </c>
      <c r="M230" s="110">
        <v>21.9</v>
      </c>
      <c r="N230" s="30">
        <v>0.26900000000000002</v>
      </c>
      <c r="O230" s="116">
        <v>5.8910999999999998</v>
      </c>
      <c r="P230" s="30">
        <v>7.4999999999999997E-2</v>
      </c>
      <c r="Q230" s="116">
        <v>1.6424999999999998</v>
      </c>
      <c r="R230" s="30">
        <v>7.0000000000000007E-2</v>
      </c>
      <c r="S230" s="116">
        <v>1.5330000000000001</v>
      </c>
      <c r="T230" s="117">
        <v>0.49</v>
      </c>
      <c r="U230" s="39">
        <v>200</v>
      </c>
      <c r="V230" s="32">
        <v>8</v>
      </c>
      <c r="W230" s="33"/>
      <c r="X230" s="32"/>
      <c r="Y230" s="32"/>
      <c r="Z230" s="32"/>
      <c r="AA230" s="34"/>
      <c r="AB230" s="35">
        <v>208</v>
      </c>
      <c r="AC230" s="75">
        <f t="shared" si="30"/>
        <v>27000</v>
      </c>
      <c r="AD230" s="78">
        <f t="shared" si="31"/>
        <v>1080</v>
      </c>
      <c r="AE230" s="72">
        <f t="shared" si="32"/>
        <v>28080</v>
      </c>
      <c r="AF230" s="75">
        <f t="shared" si="33"/>
        <v>6291.32</v>
      </c>
      <c r="AG230" s="78">
        <f t="shared" si="34"/>
        <v>251.65279999999998</v>
      </c>
      <c r="AH230" s="72">
        <f t="shared" si="35"/>
        <v>6542.9727999999996</v>
      </c>
      <c r="AI230" s="75">
        <f t="shared" si="36"/>
        <v>4380</v>
      </c>
      <c r="AJ230" s="78">
        <f t="shared" si="37"/>
        <v>175.2</v>
      </c>
      <c r="AK230" s="72">
        <f t="shared" si="38"/>
        <v>4555.2</v>
      </c>
    </row>
    <row r="231" spans="1:37" ht="15.95" customHeight="1">
      <c r="A231" s="25" t="s">
        <v>462</v>
      </c>
      <c r="B231" s="25" t="s">
        <v>252</v>
      </c>
      <c r="C231" s="26" t="s">
        <v>267</v>
      </c>
      <c r="D231" s="26" t="s">
        <v>375</v>
      </c>
      <c r="E231" s="26" t="s">
        <v>16</v>
      </c>
      <c r="F231" s="26" t="s">
        <v>662</v>
      </c>
      <c r="G231" s="26"/>
      <c r="H231" s="27" t="s">
        <v>660</v>
      </c>
      <c r="I231" s="26" t="s">
        <v>19</v>
      </c>
      <c r="J231" s="28" t="s">
        <v>663</v>
      </c>
      <c r="K231" s="123">
        <v>125</v>
      </c>
      <c r="L231" s="29">
        <v>29.067069999999998</v>
      </c>
      <c r="M231" s="110">
        <v>19.97</v>
      </c>
      <c r="N231" s="30">
        <v>0.28599999999999998</v>
      </c>
      <c r="O231" s="116">
        <v>5.7114199999999995</v>
      </c>
      <c r="P231" s="30">
        <v>7.4999999999999997E-2</v>
      </c>
      <c r="Q231" s="116">
        <v>1.4977499999999999</v>
      </c>
      <c r="R231" s="30">
        <v>7.0000000000000007E-2</v>
      </c>
      <c r="S231" s="116">
        <v>1.3979000000000001</v>
      </c>
      <c r="T231" s="117">
        <v>0.49</v>
      </c>
      <c r="U231" s="39">
        <v>200</v>
      </c>
      <c r="V231" s="32">
        <v>162</v>
      </c>
      <c r="W231" s="33"/>
      <c r="X231" s="32"/>
      <c r="Y231" s="32"/>
      <c r="Z231" s="32"/>
      <c r="AA231" s="34"/>
      <c r="AB231" s="35">
        <v>362</v>
      </c>
      <c r="AC231" s="75">
        <f t="shared" si="30"/>
        <v>25000</v>
      </c>
      <c r="AD231" s="78">
        <f t="shared" si="31"/>
        <v>20250</v>
      </c>
      <c r="AE231" s="72">
        <f t="shared" si="32"/>
        <v>45250</v>
      </c>
      <c r="AF231" s="75">
        <f t="shared" si="33"/>
        <v>5813.4139999999998</v>
      </c>
      <c r="AG231" s="78">
        <f t="shared" si="34"/>
        <v>4708.8653399999994</v>
      </c>
      <c r="AH231" s="72">
        <f t="shared" si="35"/>
        <v>10522.279339999999</v>
      </c>
      <c r="AI231" s="75">
        <f t="shared" si="36"/>
        <v>3994</v>
      </c>
      <c r="AJ231" s="78">
        <f t="shared" si="37"/>
        <v>3235.14</v>
      </c>
      <c r="AK231" s="72">
        <f t="shared" si="38"/>
        <v>7229.1399999999994</v>
      </c>
    </row>
    <row r="232" spans="1:37" ht="15.95" customHeight="1">
      <c r="A232" s="25" t="s">
        <v>462</v>
      </c>
      <c r="B232" s="25" t="s">
        <v>252</v>
      </c>
      <c r="C232" s="26" t="s">
        <v>14</v>
      </c>
      <c r="D232" s="26" t="s">
        <v>375</v>
      </c>
      <c r="E232" s="26" t="s">
        <v>16</v>
      </c>
      <c r="F232" s="26" t="s">
        <v>664</v>
      </c>
      <c r="G232" s="26"/>
      <c r="H232" s="27" t="s">
        <v>162</v>
      </c>
      <c r="I232" s="26" t="s">
        <v>27</v>
      </c>
      <c r="J232" s="28" t="s">
        <v>261</v>
      </c>
      <c r="K232" s="123">
        <v>135</v>
      </c>
      <c r="L232" s="29">
        <v>28.673249999999996</v>
      </c>
      <c r="M232" s="110">
        <v>19.75</v>
      </c>
      <c r="N232" s="30">
        <v>0.28199999999999997</v>
      </c>
      <c r="O232" s="116">
        <v>5.5694999999999997</v>
      </c>
      <c r="P232" s="30">
        <v>7.4999999999999997E-2</v>
      </c>
      <c r="Q232" s="116">
        <v>1.48125</v>
      </c>
      <c r="R232" s="30">
        <v>7.0000000000000007E-2</v>
      </c>
      <c r="S232" s="116">
        <v>1.3825000000000001</v>
      </c>
      <c r="T232" s="117">
        <v>0.49</v>
      </c>
      <c r="U232" s="39">
        <v>251</v>
      </c>
      <c r="V232" s="32">
        <v>8</v>
      </c>
      <c r="W232" s="33"/>
      <c r="X232" s="32"/>
      <c r="Y232" s="32"/>
      <c r="Z232" s="32"/>
      <c r="AA232" s="34"/>
      <c r="AB232" s="35">
        <v>259</v>
      </c>
      <c r="AC232" s="75">
        <f t="shared" si="30"/>
        <v>33885</v>
      </c>
      <c r="AD232" s="78">
        <f t="shared" si="31"/>
        <v>1080</v>
      </c>
      <c r="AE232" s="72">
        <f t="shared" si="32"/>
        <v>34965</v>
      </c>
      <c r="AF232" s="75">
        <f t="shared" si="33"/>
        <v>7196.9857499999989</v>
      </c>
      <c r="AG232" s="78">
        <f t="shared" si="34"/>
        <v>229.38599999999997</v>
      </c>
      <c r="AH232" s="72">
        <f t="shared" si="35"/>
        <v>7426.3717499999984</v>
      </c>
      <c r="AI232" s="75">
        <f t="shared" si="36"/>
        <v>4957.25</v>
      </c>
      <c r="AJ232" s="78">
        <f t="shared" si="37"/>
        <v>158</v>
      </c>
      <c r="AK232" s="72">
        <f t="shared" si="38"/>
        <v>5115.25</v>
      </c>
    </row>
    <row r="233" spans="1:37" ht="15.95" customHeight="1">
      <c r="A233" s="25" t="s">
        <v>462</v>
      </c>
      <c r="B233" s="25" t="s">
        <v>252</v>
      </c>
      <c r="C233" s="26" t="s">
        <v>21</v>
      </c>
      <c r="D233" s="26" t="s">
        <v>375</v>
      </c>
      <c r="E233" s="26" t="s">
        <v>16</v>
      </c>
      <c r="F233" s="26" t="s">
        <v>665</v>
      </c>
      <c r="G233" s="26"/>
      <c r="H233" s="27" t="s">
        <v>666</v>
      </c>
      <c r="I233" s="26" t="s">
        <v>27</v>
      </c>
      <c r="J233" s="37" t="s">
        <v>265</v>
      </c>
      <c r="K233" s="123">
        <v>125</v>
      </c>
      <c r="L233" s="29">
        <v>27.602999999999998</v>
      </c>
      <c r="M233" s="110">
        <v>19</v>
      </c>
      <c r="N233" s="30">
        <v>0.28199999999999997</v>
      </c>
      <c r="O233" s="116">
        <v>5.3579999999999997</v>
      </c>
      <c r="P233" s="30">
        <v>7.4999999999999997E-2</v>
      </c>
      <c r="Q233" s="116">
        <v>1.425</v>
      </c>
      <c r="R233" s="30">
        <v>7.0000000000000007E-2</v>
      </c>
      <c r="S233" s="116">
        <v>1.33</v>
      </c>
      <c r="T233" s="117">
        <v>0.49</v>
      </c>
      <c r="U233" s="39">
        <v>251</v>
      </c>
      <c r="V233" s="32">
        <v>8</v>
      </c>
      <c r="W233" s="33"/>
      <c r="X233" s="32"/>
      <c r="Y233" s="32"/>
      <c r="Z233" s="32"/>
      <c r="AA233" s="34"/>
      <c r="AB233" s="35">
        <v>259</v>
      </c>
      <c r="AC233" s="75">
        <f t="shared" si="30"/>
        <v>31375</v>
      </c>
      <c r="AD233" s="78">
        <f t="shared" si="31"/>
        <v>1000</v>
      </c>
      <c r="AE233" s="72">
        <f t="shared" si="32"/>
        <v>32375</v>
      </c>
      <c r="AF233" s="75">
        <f t="shared" si="33"/>
        <v>6928.3529999999992</v>
      </c>
      <c r="AG233" s="78">
        <f t="shared" si="34"/>
        <v>220.82399999999998</v>
      </c>
      <c r="AH233" s="72">
        <f t="shared" si="35"/>
        <v>7149.1769999999988</v>
      </c>
      <c r="AI233" s="75">
        <f t="shared" si="36"/>
        <v>4769</v>
      </c>
      <c r="AJ233" s="78">
        <f t="shared" si="37"/>
        <v>152</v>
      </c>
      <c r="AK233" s="72">
        <f t="shared" si="38"/>
        <v>4921</v>
      </c>
    </row>
    <row r="234" spans="1:37" ht="15.95" customHeight="1">
      <c r="A234" s="25" t="s">
        <v>462</v>
      </c>
      <c r="B234" s="25" t="s">
        <v>252</v>
      </c>
      <c r="C234" s="26" t="s">
        <v>14</v>
      </c>
      <c r="D234" s="26" t="s">
        <v>375</v>
      </c>
      <c r="E234" s="26" t="s">
        <v>16</v>
      </c>
      <c r="F234" s="26" t="s">
        <v>664</v>
      </c>
      <c r="G234" s="26"/>
      <c r="H234" s="27" t="s">
        <v>666</v>
      </c>
      <c r="I234" s="26" t="s">
        <v>27</v>
      </c>
      <c r="J234" s="28" t="s">
        <v>261</v>
      </c>
      <c r="K234" s="123">
        <v>135</v>
      </c>
      <c r="L234" s="29">
        <v>28.673249999999996</v>
      </c>
      <c r="M234" s="110">
        <v>19.75</v>
      </c>
      <c r="N234" s="30">
        <v>0.28199999999999997</v>
      </c>
      <c r="O234" s="116">
        <v>5.5694999999999997</v>
      </c>
      <c r="P234" s="30">
        <v>7.4999999999999997E-2</v>
      </c>
      <c r="Q234" s="116">
        <v>1.48125</v>
      </c>
      <c r="R234" s="30">
        <v>7.0000000000000007E-2</v>
      </c>
      <c r="S234" s="116">
        <v>1.3825000000000001</v>
      </c>
      <c r="T234" s="117">
        <v>0.49</v>
      </c>
      <c r="U234" s="39">
        <v>251</v>
      </c>
      <c r="V234" s="32"/>
      <c r="W234" s="33"/>
      <c r="X234" s="32"/>
      <c r="Y234" s="32"/>
      <c r="Z234" s="32"/>
      <c r="AA234" s="34"/>
      <c r="AB234" s="35">
        <v>251</v>
      </c>
      <c r="AC234" s="75">
        <f t="shared" si="30"/>
        <v>33885</v>
      </c>
      <c r="AD234" s="78">
        <f t="shared" si="31"/>
        <v>0</v>
      </c>
      <c r="AE234" s="72">
        <f t="shared" si="32"/>
        <v>33885</v>
      </c>
      <c r="AF234" s="75">
        <f t="shared" si="33"/>
        <v>7196.9857499999989</v>
      </c>
      <c r="AG234" s="78">
        <f t="shared" si="34"/>
        <v>0</v>
      </c>
      <c r="AH234" s="72">
        <f t="shared" si="35"/>
        <v>7196.9857499999989</v>
      </c>
      <c r="AI234" s="75">
        <f t="shared" si="36"/>
        <v>4957.25</v>
      </c>
      <c r="AJ234" s="78">
        <f t="shared" si="37"/>
        <v>0</v>
      </c>
      <c r="AK234" s="72">
        <f t="shared" si="38"/>
        <v>4957.25</v>
      </c>
    </row>
    <row r="235" spans="1:37" ht="15.95" customHeight="1">
      <c r="A235" s="25" t="s">
        <v>462</v>
      </c>
      <c r="B235" s="25" t="s">
        <v>252</v>
      </c>
      <c r="C235" s="26" t="s">
        <v>21</v>
      </c>
      <c r="D235" s="26" t="s">
        <v>375</v>
      </c>
      <c r="E235" s="26" t="s">
        <v>16</v>
      </c>
      <c r="F235" s="26" t="s">
        <v>665</v>
      </c>
      <c r="G235" s="26"/>
      <c r="H235" s="27" t="s">
        <v>666</v>
      </c>
      <c r="I235" s="26" t="s">
        <v>27</v>
      </c>
      <c r="J235" s="37" t="s">
        <v>265</v>
      </c>
      <c r="K235" s="123">
        <v>125</v>
      </c>
      <c r="L235" s="29">
        <v>27.602999999999998</v>
      </c>
      <c r="M235" s="110">
        <v>19</v>
      </c>
      <c r="N235" s="30">
        <v>0.28199999999999997</v>
      </c>
      <c r="O235" s="116">
        <v>5.3579999999999997</v>
      </c>
      <c r="P235" s="30">
        <v>7.4999999999999997E-2</v>
      </c>
      <c r="Q235" s="116">
        <v>1.425</v>
      </c>
      <c r="R235" s="30">
        <v>7.0000000000000007E-2</v>
      </c>
      <c r="S235" s="116">
        <v>1.33</v>
      </c>
      <c r="T235" s="117">
        <v>0.49</v>
      </c>
      <c r="U235" s="39">
        <v>251</v>
      </c>
      <c r="V235" s="32"/>
      <c r="W235" s="33"/>
      <c r="X235" s="32"/>
      <c r="Y235" s="32"/>
      <c r="Z235" s="32"/>
      <c r="AA235" s="34"/>
      <c r="AB235" s="35">
        <v>251</v>
      </c>
      <c r="AC235" s="75">
        <f t="shared" si="30"/>
        <v>31375</v>
      </c>
      <c r="AD235" s="78">
        <f t="shared" si="31"/>
        <v>0</v>
      </c>
      <c r="AE235" s="72">
        <f t="shared" si="32"/>
        <v>31375</v>
      </c>
      <c r="AF235" s="75">
        <f t="shared" si="33"/>
        <v>6928.3529999999992</v>
      </c>
      <c r="AG235" s="78">
        <f t="shared" si="34"/>
        <v>0</v>
      </c>
      <c r="AH235" s="72">
        <f t="shared" si="35"/>
        <v>6928.3529999999992</v>
      </c>
      <c r="AI235" s="75">
        <f t="shared" si="36"/>
        <v>4769</v>
      </c>
      <c r="AJ235" s="78">
        <f t="shared" si="37"/>
        <v>0</v>
      </c>
      <c r="AK235" s="72">
        <f t="shared" si="38"/>
        <v>4769</v>
      </c>
    </row>
    <row r="236" spans="1:37" ht="15.95" customHeight="1">
      <c r="A236" s="25" t="s">
        <v>462</v>
      </c>
      <c r="B236" s="25" t="s">
        <v>252</v>
      </c>
      <c r="C236" s="26" t="s">
        <v>167</v>
      </c>
      <c r="D236" s="26" t="s">
        <v>375</v>
      </c>
      <c r="E236" s="26" t="s">
        <v>16</v>
      </c>
      <c r="F236" s="26" t="s">
        <v>667</v>
      </c>
      <c r="G236" s="26"/>
      <c r="H236" s="27" t="s">
        <v>668</v>
      </c>
      <c r="I236" s="26" t="s">
        <v>669</v>
      </c>
      <c r="J236" s="28" t="s">
        <v>315</v>
      </c>
      <c r="K236" s="123">
        <v>190</v>
      </c>
      <c r="L236" s="29">
        <v>47.296750000000003</v>
      </c>
      <c r="M236" s="110">
        <v>31.95</v>
      </c>
      <c r="N236" s="30">
        <v>0.32</v>
      </c>
      <c r="O236" s="116">
        <v>10.224</v>
      </c>
      <c r="P236" s="30">
        <v>7.4999999999999997E-2</v>
      </c>
      <c r="Q236" s="116">
        <v>2.3962499999999998</v>
      </c>
      <c r="R236" s="30">
        <v>7.0000000000000007E-2</v>
      </c>
      <c r="S236" s="116">
        <v>2.2365000000000004</v>
      </c>
      <c r="T236" s="117">
        <v>0.49</v>
      </c>
      <c r="U236" s="39">
        <v>252</v>
      </c>
      <c r="V236" s="32">
        <v>5</v>
      </c>
      <c r="W236" s="33"/>
      <c r="X236" s="32"/>
      <c r="Y236" s="32"/>
      <c r="Z236" s="32"/>
      <c r="AA236" s="34"/>
      <c r="AB236" s="35">
        <v>257</v>
      </c>
      <c r="AC236" s="75">
        <f t="shared" si="30"/>
        <v>47880</v>
      </c>
      <c r="AD236" s="78">
        <f t="shared" si="31"/>
        <v>950</v>
      </c>
      <c r="AE236" s="72">
        <f t="shared" si="32"/>
        <v>48830</v>
      </c>
      <c r="AF236" s="75">
        <f t="shared" si="33"/>
        <v>11918.781000000001</v>
      </c>
      <c r="AG236" s="78">
        <f t="shared" si="34"/>
        <v>236.48375000000001</v>
      </c>
      <c r="AH236" s="72">
        <f t="shared" si="35"/>
        <v>12155.26475</v>
      </c>
      <c r="AI236" s="75">
        <f t="shared" si="36"/>
        <v>8051.4</v>
      </c>
      <c r="AJ236" s="78">
        <f t="shared" si="37"/>
        <v>159.75</v>
      </c>
      <c r="AK236" s="72">
        <f t="shared" si="38"/>
        <v>8211.15</v>
      </c>
    </row>
    <row r="237" spans="1:37" ht="15.95" customHeight="1">
      <c r="A237" s="25" t="s">
        <v>462</v>
      </c>
      <c r="B237" s="25" t="s">
        <v>252</v>
      </c>
      <c r="C237" s="26" t="s">
        <v>167</v>
      </c>
      <c r="D237" s="26" t="s">
        <v>375</v>
      </c>
      <c r="E237" s="26" t="s">
        <v>16</v>
      </c>
      <c r="F237" s="26" t="s">
        <v>670</v>
      </c>
      <c r="G237" s="26"/>
      <c r="H237" s="27" t="s">
        <v>671</v>
      </c>
      <c r="I237" s="26" t="s">
        <v>669</v>
      </c>
      <c r="J237" s="28" t="s">
        <v>672</v>
      </c>
      <c r="K237" s="123">
        <v>125</v>
      </c>
      <c r="L237" s="29">
        <v>34.452599999999997</v>
      </c>
      <c r="M237" s="110">
        <v>23.8</v>
      </c>
      <c r="N237" s="30">
        <v>0.28199999999999997</v>
      </c>
      <c r="O237" s="116">
        <v>6.7115999999999998</v>
      </c>
      <c r="P237" s="30">
        <v>7.4999999999999997E-2</v>
      </c>
      <c r="Q237" s="116">
        <v>1.7849999999999999</v>
      </c>
      <c r="R237" s="30">
        <v>7.0000000000000007E-2</v>
      </c>
      <c r="S237" s="116">
        <v>1.6660000000000001</v>
      </c>
      <c r="T237" s="117">
        <v>0.49</v>
      </c>
      <c r="U237" s="39">
        <v>251</v>
      </c>
      <c r="V237" s="32">
        <v>5</v>
      </c>
      <c r="W237" s="33"/>
      <c r="X237" s="32"/>
      <c r="Y237" s="32"/>
      <c r="Z237" s="32"/>
      <c r="AA237" s="34"/>
      <c r="AB237" s="35">
        <v>256</v>
      </c>
      <c r="AC237" s="75">
        <f t="shared" si="30"/>
        <v>31375</v>
      </c>
      <c r="AD237" s="78">
        <f t="shared" si="31"/>
        <v>625</v>
      </c>
      <c r="AE237" s="72">
        <f t="shared" si="32"/>
        <v>32000</v>
      </c>
      <c r="AF237" s="75">
        <f t="shared" si="33"/>
        <v>8647.6025999999983</v>
      </c>
      <c r="AG237" s="78">
        <f t="shared" si="34"/>
        <v>172.26299999999998</v>
      </c>
      <c r="AH237" s="72">
        <f t="shared" si="35"/>
        <v>8819.8655999999992</v>
      </c>
      <c r="AI237" s="75">
        <f t="shared" si="36"/>
        <v>5973.8</v>
      </c>
      <c r="AJ237" s="78">
        <f t="shared" si="37"/>
        <v>119</v>
      </c>
      <c r="AK237" s="72">
        <f t="shared" si="38"/>
        <v>6092.8</v>
      </c>
    </row>
    <row r="238" spans="1:37" ht="15.95" customHeight="1">
      <c r="A238" s="25" t="s">
        <v>462</v>
      </c>
      <c r="B238" s="25" t="s">
        <v>252</v>
      </c>
      <c r="C238" s="26" t="s">
        <v>167</v>
      </c>
      <c r="D238" s="26" t="s">
        <v>375</v>
      </c>
      <c r="E238" s="26" t="s">
        <v>16</v>
      </c>
      <c r="F238" s="26" t="s">
        <v>667</v>
      </c>
      <c r="G238" s="26"/>
      <c r="H238" s="27" t="s">
        <v>671</v>
      </c>
      <c r="I238" s="26" t="s">
        <v>669</v>
      </c>
      <c r="J238" s="28" t="s">
        <v>315</v>
      </c>
      <c r="K238" s="123">
        <v>190</v>
      </c>
      <c r="L238" s="29">
        <v>47.296750000000003</v>
      </c>
      <c r="M238" s="110">
        <v>31.95</v>
      </c>
      <c r="N238" s="30">
        <v>0.32</v>
      </c>
      <c r="O238" s="116">
        <v>10.224</v>
      </c>
      <c r="P238" s="30">
        <v>7.4999999999999997E-2</v>
      </c>
      <c r="Q238" s="116">
        <v>2.3962499999999998</v>
      </c>
      <c r="R238" s="30">
        <v>7.0000000000000007E-2</v>
      </c>
      <c r="S238" s="116">
        <v>2.2365000000000004</v>
      </c>
      <c r="T238" s="117">
        <v>0.49</v>
      </c>
      <c r="U238" s="39">
        <v>252</v>
      </c>
      <c r="V238" s="32">
        <v>33</v>
      </c>
      <c r="W238" s="33"/>
      <c r="X238" s="32"/>
      <c r="Y238" s="32"/>
      <c r="Z238" s="32"/>
      <c r="AA238" s="34"/>
      <c r="AB238" s="35">
        <v>285</v>
      </c>
      <c r="AC238" s="75">
        <f t="shared" si="30"/>
        <v>47880</v>
      </c>
      <c r="AD238" s="78">
        <f t="shared" si="31"/>
        <v>6270</v>
      </c>
      <c r="AE238" s="72">
        <f t="shared" si="32"/>
        <v>54150</v>
      </c>
      <c r="AF238" s="75">
        <f t="shared" si="33"/>
        <v>11918.781000000001</v>
      </c>
      <c r="AG238" s="78">
        <f t="shared" si="34"/>
        <v>1560.7927500000001</v>
      </c>
      <c r="AH238" s="72">
        <f t="shared" si="35"/>
        <v>13479.573750000001</v>
      </c>
      <c r="AI238" s="75">
        <f t="shared" si="36"/>
        <v>8051.4</v>
      </c>
      <c r="AJ238" s="78">
        <f t="shared" si="37"/>
        <v>1054.3499999999999</v>
      </c>
      <c r="AK238" s="72">
        <f t="shared" si="38"/>
        <v>9105.75</v>
      </c>
    </row>
    <row r="239" spans="1:37" ht="15.95" customHeight="1">
      <c r="A239" s="25" t="s">
        <v>462</v>
      </c>
      <c r="B239" s="25" t="s">
        <v>252</v>
      </c>
      <c r="C239" s="40" t="s">
        <v>167</v>
      </c>
      <c r="D239" s="26" t="s">
        <v>375</v>
      </c>
      <c r="E239" s="26" t="s">
        <v>16</v>
      </c>
      <c r="F239" s="26" t="s">
        <v>670</v>
      </c>
      <c r="G239" s="41"/>
      <c r="H239" s="27" t="s">
        <v>671</v>
      </c>
      <c r="I239" s="26" t="s">
        <v>669</v>
      </c>
      <c r="J239" s="28" t="s">
        <v>672</v>
      </c>
      <c r="K239" s="123">
        <v>125</v>
      </c>
      <c r="L239" s="29">
        <v>34.452599999999997</v>
      </c>
      <c r="M239" s="110">
        <v>23.8</v>
      </c>
      <c r="N239" s="30">
        <v>0.28199999999999997</v>
      </c>
      <c r="O239" s="116">
        <v>6.7115999999999998</v>
      </c>
      <c r="P239" s="30">
        <v>7.4999999999999997E-2</v>
      </c>
      <c r="Q239" s="116">
        <v>1.7849999999999999</v>
      </c>
      <c r="R239" s="30">
        <v>7.0000000000000007E-2</v>
      </c>
      <c r="S239" s="116">
        <v>1.6660000000000001</v>
      </c>
      <c r="T239" s="117">
        <v>0.49</v>
      </c>
      <c r="U239" s="39">
        <v>251</v>
      </c>
      <c r="V239" s="32">
        <v>9</v>
      </c>
      <c r="W239" s="33"/>
      <c r="X239" s="32"/>
      <c r="Y239" s="32"/>
      <c r="Z239" s="32"/>
      <c r="AA239" s="34"/>
      <c r="AB239" s="35">
        <v>260</v>
      </c>
      <c r="AC239" s="75">
        <f t="shared" si="30"/>
        <v>31375</v>
      </c>
      <c r="AD239" s="78">
        <f t="shared" si="31"/>
        <v>1125</v>
      </c>
      <c r="AE239" s="72">
        <f t="shared" si="32"/>
        <v>32500</v>
      </c>
      <c r="AF239" s="75">
        <f t="shared" si="33"/>
        <v>8647.6025999999983</v>
      </c>
      <c r="AG239" s="78">
        <f t="shared" si="34"/>
        <v>310.07339999999999</v>
      </c>
      <c r="AH239" s="72">
        <f t="shared" si="35"/>
        <v>8957.6759999999977</v>
      </c>
      <c r="AI239" s="75">
        <f t="shared" si="36"/>
        <v>5973.8</v>
      </c>
      <c r="AJ239" s="78">
        <f t="shared" si="37"/>
        <v>214.20000000000002</v>
      </c>
      <c r="AK239" s="72">
        <f t="shared" si="38"/>
        <v>6188</v>
      </c>
    </row>
    <row r="240" spans="1:37" ht="15.95" customHeight="1">
      <c r="A240" s="25" t="s">
        <v>462</v>
      </c>
      <c r="B240" s="25" t="s">
        <v>252</v>
      </c>
      <c r="C240" s="26" t="s">
        <v>14</v>
      </c>
      <c r="D240" s="26" t="s">
        <v>375</v>
      </c>
      <c r="E240" s="26" t="s">
        <v>16</v>
      </c>
      <c r="F240" s="26" t="s">
        <v>673</v>
      </c>
      <c r="G240" s="41"/>
      <c r="H240" s="27" t="s">
        <v>185</v>
      </c>
      <c r="I240" s="26" t="s">
        <v>27</v>
      </c>
      <c r="J240" s="37" t="s">
        <v>261</v>
      </c>
      <c r="K240" s="123">
        <v>150</v>
      </c>
      <c r="L240" s="29">
        <v>29.029999999999998</v>
      </c>
      <c r="M240" s="110">
        <v>20</v>
      </c>
      <c r="N240" s="30">
        <v>0.28199999999999997</v>
      </c>
      <c r="O240" s="116">
        <v>5.64</v>
      </c>
      <c r="P240" s="30">
        <v>7.4999999999999997E-2</v>
      </c>
      <c r="Q240" s="116">
        <v>1.5</v>
      </c>
      <c r="R240" s="30">
        <v>7.0000000000000007E-2</v>
      </c>
      <c r="S240" s="116">
        <v>1.4000000000000001</v>
      </c>
      <c r="T240" s="117">
        <v>0.49</v>
      </c>
      <c r="U240" s="39">
        <v>300</v>
      </c>
      <c r="V240" s="32">
        <v>8</v>
      </c>
      <c r="W240" s="33"/>
      <c r="X240" s="32"/>
      <c r="Y240" s="32"/>
      <c r="Z240" s="32"/>
      <c r="AA240" s="34">
        <v>8</v>
      </c>
      <c r="AB240" s="35">
        <v>316</v>
      </c>
      <c r="AC240" s="75">
        <f t="shared" si="30"/>
        <v>45000</v>
      </c>
      <c r="AD240" s="78">
        <f t="shared" si="31"/>
        <v>2400</v>
      </c>
      <c r="AE240" s="72">
        <f t="shared" si="32"/>
        <v>47400</v>
      </c>
      <c r="AF240" s="75">
        <f t="shared" si="33"/>
        <v>8709</v>
      </c>
      <c r="AG240" s="78">
        <f t="shared" si="34"/>
        <v>392.24</v>
      </c>
      <c r="AH240" s="72">
        <f t="shared" si="35"/>
        <v>9101.24</v>
      </c>
      <c r="AI240" s="75">
        <f t="shared" si="36"/>
        <v>6000</v>
      </c>
      <c r="AJ240" s="78">
        <f t="shared" si="37"/>
        <v>320</v>
      </c>
      <c r="AK240" s="72">
        <f t="shared" si="38"/>
        <v>6320</v>
      </c>
    </row>
    <row r="241" spans="1:37" ht="15.95" customHeight="1">
      <c r="A241" s="25" t="s">
        <v>462</v>
      </c>
      <c r="B241" s="25" t="s">
        <v>252</v>
      </c>
      <c r="C241" s="40" t="s">
        <v>21</v>
      </c>
      <c r="D241" s="26" t="s">
        <v>375</v>
      </c>
      <c r="E241" s="26" t="s">
        <v>16</v>
      </c>
      <c r="F241" s="26" t="s">
        <v>674</v>
      </c>
      <c r="G241" s="41"/>
      <c r="H241" s="27" t="s">
        <v>185</v>
      </c>
      <c r="I241" s="26" t="s">
        <v>27</v>
      </c>
      <c r="J241" s="28" t="s">
        <v>265</v>
      </c>
      <c r="K241" s="123">
        <v>125</v>
      </c>
      <c r="L241" s="29">
        <v>24.748999999999999</v>
      </c>
      <c r="M241" s="110">
        <v>17</v>
      </c>
      <c r="N241" s="30">
        <v>0.28199999999999997</v>
      </c>
      <c r="O241" s="116">
        <v>4.7939999999999996</v>
      </c>
      <c r="P241" s="30">
        <v>7.4999999999999997E-2</v>
      </c>
      <c r="Q241" s="116">
        <v>1.2749999999999999</v>
      </c>
      <c r="R241" s="30">
        <v>7.0000000000000007E-2</v>
      </c>
      <c r="S241" s="116">
        <v>1.1900000000000002</v>
      </c>
      <c r="T241" s="117">
        <v>0.49</v>
      </c>
      <c r="U241" s="39">
        <v>300</v>
      </c>
      <c r="V241" s="32">
        <v>8</v>
      </c>
      <c r="W241" s="33"/>
      <c r="X241" s="32"/>
      <c r="Y241" s="32"/>
      <c r="Z241" s="32"/>
      <c r="AA241" s="34">
        <v>8</v>
      </c>
      <c r="AB241" s="35">
        <v>316</v>
      </c>
      <c r="AC241" s="75">
        <f t="shared" si="30"/>
        <v>37500</v>
      </c>
      <c r="AD241" s="78">
        <f t="shared" si="31"/>
        <v>2000</v>
      </c>
      <c r="AE241" s="72">
        <f t="shared" si="32"/>
        <v>39500</v>
      </c>
      <c r="AF241" s="75">
        <f t="shared" si="33"/>
        <v>7424.7</v>
      </c>
      <c r="AG241" s="78">
        <f t="shared" si="34"/>
        <v>333.99199999999996</v>
      </c>
      <c r="AH241" s="72">
        <f t="shared" si="35"/>
        <v>7758.692</v>
      </c>
      <c r="AI241" s="75">
        <f t="shared" si="36"/>
        <v>5100</v>
      </c>
      <c r="AJ241" s="78">
        <f t="shared" si="37"/>
        <v>272</v>
      </c>
      <c r="AK241" s="72">
        <f t="shared" si="38"/>
        <v>5372</v>
      </c>
    </row>
    <row r="242" spans="1:37" ht="15.95" customHeight="1">
      <c r="A242" s="25" t="s">
        <v>462</v>
      </c>
      <c r="B242" s="25" t="s">
        <v>252</v>
      </c>
      <c r="C242" s="26" t="s">
        <v>14</v>
      </c>
      <c r="D242" s="26" t="s">
        <v>375</v>
      </c>
      <c r="E242" s="26" t="s">
        <v>16</v>
      </c>
      <c r="F242" s="26" t="s">
        <v>673</v>
      </c>
      <c r="G242" s="41"/>
      <c r="H242" s="27" t="s">
        <v>185</v>
      </c>
      <c r="I242" s="26" t="s">
        <v>27</v>
      </c>
      <c r="J242" s="37" t="s">
        <v>261</v>
      </c>
      <c r="K242" s="123">
        <v>150</v>
      </c>
      <c r="L242" s="29">
        <v>29.029999999999998</v>
      </c>
      <c r="M242" s="110">
        <v>20</v>
      </c>
      <c r="N242" s="30">
        <v>0.28199999999999997</v>
      </c>
      <c r="O242" s="116">
        <v>5.64</v>
      </c>
      <c r="P242" s="30">
        <v>7.4999999999999997E-2</v>
      </c>
      <c r="Q242" s="116">
        <v>1.5</v>
      </c>
      <c r="R242" s="30">
        <v>7.0000000000000007E-2</v>
      </c>
      <c r="S242" s="116">
        <v>1.4000000000000001</v>
      </c>
      <c r="T242" s="117">
        <v>0.49</v>
      </c>
      <c r="U242" s="39">
        <v>300</v>
      </c>
      <c r="V242" s="32">
        <v>14</v>
      </c>
      <c r="W242" s="33"/>
      <c r="X242" s="32"/>
      <c r="Y242" s="32"/>
      <c r="Z242" s="32"/>
      <c r="AA242" s="34">
        <v>8</v>
      </c>
      <c r="AB242" s="35">
        <v>322</v>
      </c>
      <c r="AC242" s="75">
        <f t="shared" si="30"/>
        <v>45000</v>
      </c>
      <c r="AD242" s="78">
        <f t="shared" si="31"/>
        <v>3300</v>
      </c>
      <c r="AE242" s="72">
        <f t="shared" si="32"/>
        <v>48300</v>
      </c>
      <c r="AF242" s="75">
        <f t="shared" si="33"/>
        <v>8709</v>
      </c>
      <c r="AG242" s="78">
        <f t="shared" si="34"/>
        <v>566.41999999999996</v>
      </c>
      <c r="AH242" s="72">
        <f t="shared" si="35"/>
        <v>9275.42</v>
      </c>
      <c r="AI242" s="75">
        <f t="shared" si="36"/>
        <v>6000</v>
      </c>
      <c r="AJ242" s="78">
        <f t="shared" si="37"/>
        <v>440</v>
      </c>
      <c r="AK242" s="72">
        <f t="shared" si="38"/>
        <v>6440</v>
      </c>
    </row>
    <row r="243" spans="1:37" ht="15.95" customHeight="1">
      <c r="A243" s="25" t="s">
        <v>462</v>
      </c>
      <c r="B243" s="25" t="s">
        <v>252</v>
      </c>
      <c r="C243" s="40" t="s">
        <v>21</v>
      </c>
      <c r="D243" s="26" t="s">
        <v>375</v>
      </c>
      <c r="E243" s="26" t="s">
        <v>16</v>
      </c>
      <c r="F243" s="26" t="s">
        <v>674</v>
      </c>
      <c r="G243" s="41"/>
      <c r="H243" s="27" t="s">
        <v>185</v>
      </c>
      <c r="I243" s="26" t="s">
        <v>27</v>
      </c>
      <c r="J243" s="28" t="s">
        <v>265</v>
      </c>
      <c r="K243" s="123">
        <v>125</v>
      </c>
      <c r="L243" s="29">
        <v>24.748999999999999</v>
      </c>
      <c r="M243" s="110">
        <v>17</v>
      </c>
      <c r="N243" s="30">
        <v>0.28199999999999997</v>
      </c>
      <c r="O243" s="116">
        <v>4.7939999999999996</v>
      </c>
      <c r="P243" s="30">
        <v>7.4999999999999997E-2</v>
      </c>
      <c r="Q243" s="116">
        <v>1.2749999999999999</v>
      </c>
      <c r="R243" s="30">
        <v>7.0000000000000007E-2</v>
      </c>
      <c r="S243" s="116">
        <v>1.1900000000000002</v>
      </c>
      <c r="T243" s="117">
        <v>0.49</v>
      </c>
      <c r="U243" s="39">
        <v>300</v>
      </c>
      <c r="V243" s="32">
        <v>14</v>
      </c>
      <c r="W243" s="33"/>
      <c r="X243" s="32"/>
      <c r="Y243" s="32"/>
      <c r="Z243" s="32"/>
      <c r="AA243" s="34">
        <v>8</v>
      </c>
      <c r="AB243" s="35">
        <v>322</v>
      </c>
      <c r="AC243" s="75">
        <f t="shared" si="30"/>
        <v>37500</v>
      </c>
      <c r="AD243" s="78">
        <f t="shared" si="31"/>
        <v>2750</v>
      </c>
      <c r="AE243" s="72">
        <f t="shared" si="32"/>
        <v>40250</v>
      </c>
      <c r="AF243" s="75">
        <f t="shared" si="33"/>
        <v>7424.7</v>
      </c>
      <c r="AG243" s="78">
        <f t="shared" si="34"/>
        <v>482.48599999999999</v>
      </c>
      <c r="AH243" s="72">
        <f t="shared" si="35"/>
        <v>7907.1859999999997</v>
      </c>
      <c r="AI243" s="75">
        <f t="shared" si="36"/>
        <v>5100</v>
      </c>
      <c r="AJ243" s="78">
        <f t="shared" si="37"/>
        <v>374</v>
      </c>
      <c r="AK243" s="72">
        <f t="shared" si="38"/>
        <v>5474</v>
      </c>
    </row>
    <row r="244" spans="1:37" ht="15.95" customHeight="1">
      <c r="A244" s="25" t="s">
        <v>462</v>
      </c>
      <c r="B244" s="25" t="s">
        <v>252</v>
      </c>
      <c r="C244" s="26" t="s">
        <v>14</v>
      </c>
      <c r="D244" s="26" t="s">
        <v>375</v>
      </c>
      <c r="E244" s="26" t="s">
        <v>16</v>
      </c>
      <c r="F244" s="26" t="s">
        <v>673</v>
      </c>
      <c r="G244" s="41"/>
      <c r="H244" s="27" t="s">
        <v>185</v>
      </c>
      <c r="I244" s="26" t="s">
        <v>27</v>
      </c>
      <c r="J244" s="37" t="s">
        <v>261</v>
      </c>
      <c r="K244" s="123">
        <v>150</v>
      </c>
      <c r="L244" s="29">
        <v>29.029999999999998</v>
      </c>
      <c r="M244" s="110">
        <v>20</v>
      </c>
      <c r="N244" s="30">
        <v>0.28199999999999997</v>
      </c>
      <c r="O244" s="116">
        <v>5.64</v>
      </c>
      <c r="P244" s="30">
        <v>7.4999999999999997E-2</v>
      </c>
      <c r="Q244" s="116">
        <v>1.5</v>
      </c>
      <c r="R244" s="30">
        <v>7.0000000000000007E-2</v>
      </c>
      <c r="S244" s="116">
        <v>1.4000000000000001</v>
      </c>
      <c r="T244" s="117">
        <v>0.49</v>
      </c>
      <c r="U244" s="39">
        <v>251</v>
      </c>
      <c r="V244" s="32">
        <v>8</v>
      </c>
      <c r="W244" s="33"/>
      <c r="X244" s="32"/>
      <c r="Y244" s="32"/>
      <c r="Z244" s="32"/>
      <c r="AA244" s="34">
        <v>8</v>
      </c>
      <c r="AB244" s="35">
        <v>267</v>
      </c>
      <c r="AC244" s="75">
        <f t="shared" si="30"/>
        <v>37650</v>
      </c>
      <c r="AD244" s="78">
        <f t="shared" si="31"/>
        <v>2400</v>
      </c>
      <c r="AE244" s="72">
        <f t="shared" si="32"/>
        <v>40050</v>
      </c>
      <c r="AF244" s="75">
        <f t="shared" si="33"/>
        <v>7286.53</v>
      </c>
      <c r="AG244" s="78">
        <f t="shared" si="34"/>
        <v>392.24</v>
      </c>
      <c r="AH244" s="72">
        <f t="shared" si="35"/>
        <v>7678.7699999999995</v>
      </c>
      <c r="AI244" s="75">
        <f t="shared" si="36"/>
        <v>5020</v>
      </c>
      <c r="AJ244" s="78">
        <f t="shared" si="37"/>
        <v>320</v>
      </c>
      <c r="AK244" s="72">
        <f t="shared" si="38"/>
        <v>5340</v>
      </c>
    </row>
    <row r="245" spans="1:37" ht="15.95" customHeight="1">
      <c r="A245" s="25" t="s">
        <v>462</v>
      </c>
      <c r="B245" s="25" t="s">
        <v>252</v>
      </c>
      <c r="C245" s="26" t="s">
        <v>21</v>
      </c>
      <c r="D245" s="26" t="s">
        <v>375</v>
      </c>
      <c r="E245" s="26" t="s">
        <v>16</v>
      </c>
      <c r="F245" s="26" t="s">
        <v>674</v>
      </c>
      <c r="G245" s="26"/>
      <c r="H245" s="27" t="s">
        <v>185</v>
      </c>
      <c r="I245" s="26" t="s">
        <v>27</v>
      </c>
      <c r="J245" s="28" t="s">
        <v>265</v>
      </c>
      <c r="K245" s="123">
        <v>125</v>
      </c>
      <c r="L245" s="29">
        <v>24.748999999999999</v>
      </c>
      <c r="M245" s="110">
        <v>17</v>
      </c>
      <c r="N245" s="30">
        <v>0.28199999999999997</v>
      </c>
      <c r="O245" s="116">
        <v>4.7939999999999996</v>
      </c>
      <c r="P245" s="30">
        <v>7.4999999999999997E-2</v>
      </c>
      <c r="Q245" s="116">
        <v>1.2749999999999999</v>
      </c>
      <c r="R245" s="30">
        <v>7.0000000000000007E-2</v>
      </c>
      <c r="S245" s="116">
        <v>1.1900000000000002</v>
      </c>
      <c r="T245" s="117">
        <v>0.49</v>
      </c>
      <c r="U245" s="39">
        <v>251</v>
      </c>
      <c r="V245" s="32">
        <v>8</v>
      </c>
      <c r="W245" s="33"/>
      <c r="X245" s="32"/>
      <c r="Y245" s="32"/>
      <c r="Z245" s="32"/>
      <c r="AA245" s="34">
        <v>8</v>
      </c>
      <c r="AB245" s="35">
        <v>267</v>
      </c>
      <c r="AC245" s="75">
        <f t="shared" si="30"/>
        <v>31375</v>
      </c>
      <c r="AD245" s="78">
        <f t="shared" si="31"/>
        <v>2000</v>
      </c>
      <c r="AE245" s="72">
        <f t="shared" si="32"/>
        <v>33375</v>
      </c>
      <c r="AF245" s="75">
        <f t="shared" si="33"/>
        <v>6211.9989999999998</v>
      </c>
      <c r="AG245" s="78">
        <f t="shared" si="34"/>
        <v>333.99199999999996</v>
      </c>
      <c r="AH245" s="72">
        <f t="shared" si="35"/>
        <v>6545.991</v>
      </c>
      <c r="AI245" s="75">
        <f t="shared" si="36"/>
        <v>4267</v>
      </c>
      <c r="AJ245" s="78">
        <f t="shared" si="37"/>
        <v>272</v>
      </c>
      <c r="AK245" s="72">
        <f t="shared" si="38"/>
        <v>4539</v>
      </c>
    </row>
    <row r="246" spans="1:37" ht="15.95" customHeight="1">
      <c r="A246" s="25" t="s">
        <v>462</v>
      </c>
      <c r="B246" s="25" t="s">
        <v>252</v>
      </c>
      <c r="C246" s="26" t="s">
        <v>468</v>
      </c>
      <c r="D246" s="26" t="s">
        <v>375</v>
      </c>
      <c r="E246" s="26" t="s">
        <v>16</v>
      </c>
      <c r="F246" s="26" t="s">
        <v>675</v>
      </c>
      <c r="G246" s="26"/>
      <c r="H246" s="27" t="s">
        <v>185</v>
      </c>
      <c r="I246" s="26" t="s">
        <v>27</v>
      </c>
      <c r="J246" s="28" t="s">
        <v>630</v>
      </c>
      <c r="K246" s="123">
        <v>118</v>
      </c>
      <c r="L246" s="29">
        <v>23.93</v>
      </c>
      <c r="M246" s="110">
        <v>16</v>
      </c>
      <c r="N246" s="30">
        <v>0.32</v>
      </c>
      <c r="O246" s="116">
        <v>5.12</v>
      </c>
      <c r="P246" s="30">
        <v>7.4999999999999997E-2</v>
      </c>
      <c r="Q246" s="116">
        <v>1.2</v>
      </c>
      <c r="R246" s="30">
        <v>7.0000000000000007E-2</v>
      </c>
      <c r="S246" s="116">
        <v>1.1200000000000001</v>
      </c>
      <c r="T246" s="117">
        <v>0.49</v>
      </c>
      <c r="U246" s="39">
        <v>300</v>
      </c>
      <c r="V246" s="32"/>
      <c r="W246" s="33"/>
      <c r="X246" s="32"/>
      <c r="Y246" s="32"/>
      <c r="Z246" s="32"/>
      <c r="AA246" s="34">
        <v>8</v>
      </c>
      <c r="AB246" s="35">
        <v>308</v>
      </c>
      <c r="AC246" s="75">
        <f t="shared" si="30"/>
        <v>35400</v>
      </c>
      <c r="AD246" s="78">
        <f t="shared" si="31"/>
        <v>944</v>
      </c>
      <c r="AE246" s="72">
        <f t="shared" si="32"/>
        <v>36344</v>
      </c>
      <c r="AF246" s="75">
        <f t="shared" si="33"/>
        <v>7179</v>
      </c>
      <c r="AG246" s="78">
        <f t="shared" si="34"/>
        <v>128</v>
      </c>
      <c r="AH246" s="72">
        <f t="shared" si="35"/>
        <v>7307</v>
      </c>
      <c r="AI246" s="75">
        <f t="shared" si="36"/>
        <v>4800</v>
      </c>
      <c r="AJ246" s="78">
        <f t="shared" si="37"/>
        <v>128</v>
      </c>
      <c r="AK246" s="72">
        <f t="shared" si="38"/>
        <v>4928</v>
      </c>
    </row>
    <row r="247" spans="1:37" ht="15.95" customHeight="1">
      <c r="A247" s="25" t="s">
        <v>462</v>
      </c>
      <c r="B247" s="25" t="s">
        <v>252</v>
      </c>
      <c r="C247" s="26" t="s">
        <v>275</v>
      </c>
      <c r="D247" s="26" t="s">
        <v>375</v>
      </c>
      <c r="E247" s="26" t="s">
        <v>16</v>
      </c>
      <c r="F247" s="26" t="s">
        <v>676</v>
      </c>
      <c r="G247" s="26"/>
      <c r="H247" s="27" t="s">
        <v>677</v>
      </c>
      <c r="I247" s="26" t="s">
        <v>27</v>
      </c>
      <c r="J247" s="28" t="s">
        <v>259</v>
      </c>
      <c r="K247" s="123">
        <v>88</v>
      </c>
      <c r="L247" s="29">
        <v>16.149999999999999</v>
      </c>
      <c r="M247" s="110">
        <v>12</v>
      </c>
      <c r="N247" s="30">
        <v>0.16</v>
      </c>
      <c r="O247" s="116">
        <v>1.92</v>
      </c>
      <c r="P247" s="30">
        <v>7.4999999999999997E-2</v>
      </c>
      <c r="Q247" s="116">
        <v>0.89999999999999991</v>
      </c>
      <c r="R247" s="30">
        <v>7.0000000000000007E-2</v>
      </c>
      <c r="S247" s="116">
        <v>0.84000000000000008</v>
      </c>
      <c r="T247" s="117">
        <v>0.49</v>
      </c>
      <c r="U247" s="39">
        <v>300</v>
      </c>
      <c r="V247" s="32"/>
      <c r="W247" s="33"/>
      <c r="X247" s="32"/>
      <c r="Y247" s="32"/>
      <c r="Z247" s="32"/>
      <c r="AA247" s="34">
        <v>8</v>
      </c>
      <c r="AB247" s="35">
        <v>308</v>
      </c>
      <c r="AC247" s="75">
        <f t="shared" si="30"/>
        <v>26400</v>
      </c>
      <c r="AD247" s="78">
        <f t="shared" si="31"/>
        <v>704</v>
      </c>
      <c r="AE247" s="72">
        <f t="shared" si="32"/>
        <v>27104</v>
      </c>
      <c r="AF247" s="75">
        <f t="shared" si="33"/>
        <v>4845</v>
      </c>
      <c r="AG247" s="78">
        <f t="shared" si="34"/>
        <v>96</v>
      </c>
      <c r="AH247" s="72">
        <f t="shared" si="35"/>
        <v>4941</v>
      </c>
      <c r="AI247" s="75">
        <f t="shared" si="36"/>
        <v>3600</v>
      </c>
      <c r="AJ247" s="78">
        <f t="shared" si="37"/>
        <v>96</v>
      </c>
      <c r="AK247" s="72">
        <f t="shared" si="38"/>
        <v>3696</v>
      </c>
    </row>
    <row r="248" spans="1:37" ht="15.95" customHeight="1">
      <c r="A248" s="25" t="s">
        <v>462</v>
      </c>
      <c r="B248" s="25" t="s">
        <v>252</v>
      </c>
      <c r="C248" s="26" t="s">
        <v>468</v>
      </c>
      <c r="D248" s="26" t="s">
        <v>375</v>
      </c>
      <c r="E248" s="26" t="s">
        <v>16</v>
      </c>
      <c r="F248" s="26" t="s">
        <v>675</v>
      </c>
      <c r="G248" s="26"/>
      <c r="H248" s="27" t="s">
        <v>185</v>
      </c>
      <c r="I248" s="26" t="s">
        <v>27</v>
      </c>
      <c r="J248" s="28" t="s">
        <v>630</v>
      </c>
      <c r="K248" s="123">
        <v>118</v>
      </c>
      <c r="L248" s="29">
        <v>23.93</v>
      </c>
      <c r="M248" s="110">
        <v>16</v>
      </c>
      <c r="N248" s="30">
        <v>0.32</v>
      </c>
      <c r="O248" s="116">
        <v>5.12</v>
      </c>
      <c r="P248" s="30">
        <v>7.4999999999999997E-2</v>
      </c>
      <c r="Q248" s="116">
        <v>1.2</v>
      </c>
      <c r="R248" s="30">
        <v>7.0000000000000007E-2</v>
      </c>
      <c r="S248" s="116">
        <v>1.1200000000000001</v>
      </c>
      <c r="T248" s="117">
        <v>0.49</v>
      </c>
      <c r="U248" s="39">
        <v>300</v>
      </c>
      <c r="V248" s="32"/>
      <c r="W248" s="33"/>
      <c r="X248" s="32"/>
      <c r="Y248" s="32"/>
      <c r="Z248" s="32"/>
      <c r="AA248" s="34">
        <v>8</v>
      </c>
      <c r="AB248" s="35">
        <v>308</v>
      </c>
      <c r="AC248" s="75">
        <f t="shared" si="30"/>
        <v>35400</v>
      </c>
      <c r="AD248" s="78">
        <f t="shared" si="31"/>
        <v>944</v>
      </c>
      <c r="AE248" s="72">
        <f t="shared" si="32"/>
        <v>36344</v>
      </c>
      <c r="AF248" s="75">
        <f t="shared" si="33"/>
        <v>7179</v>
      </c>
      <c r="AG248" s="78">
        <f t="shared" si="34"/>
        <v>128</v>
      </c>
      <c r="AH248" s="72">
        <f t="shared" si="35"/>
        <v>7307</v>
      </c>
      <c r="AI248" s="75">
        <f t="shared" si="36"/>
        <v>4800</v>
      </c>
      <c r="AJ248" s="78">
        <f t="shared" si="37"/>
        <v>128</v>
      </c>
      <c r="AK248" s="72">
        <f t="shared" si="38"/>
        <v>4928</v>
      </c>
    </row>
    <row r="249" spans="1:37" ht="15.95" customHeight="1">
      <c r="A249" s="25" t="s">
        <v>462</v>
      </c>
      <c r="B249" s="25" t="s">
        <v>252</v>
      </c>
      <c r="C249" s="26" t="s">
        <v>275</v>
      </c>
      <c r="D249" s="26" t="s">
        <v>375</v>
      </c>
      <c r="E249" s="26" t="s">
        <v>16</v>
      </c>
      <c r="F249" s="26" t="s">
        <v>676</v>
      </c>
      <c r="G249" s="26"/>
      <c r="H249" s="27" t="s">
        <v>677</v>
      </c>
      <c r="I249" s="26" t="s">
        <v>27</v>
      </c>
      <c r="J249" s="28" t="s">
        <v>259</v>
      </c>
      <c r="K249" s="123">
        <v>88</v>
      </c>
      <c r="L249" s="29">
        <v>16.149999999999999</v>
      </c>
      <c r="M249" s="110">
        <v>12</v>
      </c>
      <c r="N249" s="30">
        <v>0.16</v>
      </c>
      <c r="O249" s="116">
        <v>1.92</v>
      </c>
      <c r="P249" s="30">
        <v>7.4999999999999997E-2</v>
      </c>
      <c r="Q249" s="116">
        <v>0.89999999999999991</v>
      </c>
      <c r="R249" s="30">
        <v>7.0000000000000007E-2</v>
      </c>
      <c r="S249" s="116">
        <v>0.84000000000000008</v>
      </c>
      <c r="T249" s="117">
        <v>0.49</v>
      </c>
      <c r="U249" s="39">
        <v>300</v>
      </c>
      <c r="V249" s="32">
        <v>4</v>
      </c>
      <c r="W249" s="33"/>
      <c r="X249" s="32"/>
      <c r="Y249" s="32"/>
      <c r="Z249" s="32"/>
      <c r="AA249" s="34">
        <v>8</v>
      </c>
      <c r="AB249" s="35">
        <v>312</v>
      </c>
      <c r="AC249" s="75">
        <f t="shared" ref="AC249:AC267" si="39">$K249*U249</f>
        <v>26400</v>
      </c>
      <c r="AD249" s="78">
        <f t="shared" ref="AD249:AD267" si="40">$K249*SUM(V249:AA249)</f>
        <v>1056</v>
      </c>
      <c r="AE249" s="72">
        <f t="shared" ref="AE249:AE267" si="41">SUM(AC249:AD249)</f>
        <v>27456</v>
      </c>
      <c r="AF249" s="75">
        <f t="shared" ref="AF249:AF267" si="42">$L249*U249</f>
        <v>4845</v>
      </c>
      <c r="AG249" s="78">
        <f t="shared" ref="AG249:AG267" si="43">$L249*SUM(V249:W249)+M249*SUM(X249:AA249)</f>
        <v>160.6</v>
      </c>
      <c r="AH249" s="72">
        <f t="shared" ref="AH249:AH267" si="44">SUM(AF249:AG249)</f>
        <v>5005.6000000000004</v>
      </c>
      <c r="AI249" s="75">
        <f t="shared" ref="AI249:AI267" si="45">$M249*U249</f>
        <v>3600</v>
      </c>
      <c r="AJ249" s="78">
        <f t="shared" ref="AJ249:AJ267" si="46">$M249*SUM(V249:AA249)</f>
        <v>144</v>
      </c>
      <c r="AK249" s="72">
        <f t="shared" ref="AK249:AK267" si="47">SUM(AI249:AJ249)</f>
        <v>3744</v>
      </c>
    </row>
    <row r="250" spans="1:37" ht="15.95" customHeight="1">
      <c r="A250" s="25" t="s">
        <v>462</v>
      </c>
      <c r="B250" s="25" t="s">
        <v>252</v>
      </c>
      <c r="C250" s="26" t="s">
        <v>167</v>
      </c>
      <c r="D250" s="26" t="s">
        <v>375</v>
      </c>
      <c r="E250" s="26" t="s">
        <v>16</v>
      </c>
      <c r="F250" s="26" t="s">
        <v>678</v>
      </c>
      <c r="G250" s="26"/>
      <c r="H250" s="27" t="s">
        <v>679</v>
      </c>
      <c r="I250" s="26" t="s">
        <v>669</v>
      </c>
      <c r="J250" s="28" t="s">
        <v>680</v>
      </c>
      <c r="K250" s="123">
        <v>150</v>
      </c>
      <c r="L250" s="29">
        <v>29.702999999999999</v>
      </c>
      <c r="M250" s="110">
        <v>22.3</v>
      </c>
      <c r="N250" s="30">
        <v>0.16500000000000001</v>
      </c>
      <c r="O250" s="116">
        <v>3.6795000000000004</v>
      </c>
      <c r="P250" s="30">
        <v>7.4999999999999997E-2</v>
      </c>
      <c r="Q250" s="116">
        <v>1.6725000000000001</v>
      </c>
      <c r="R250" s="30">
        <v>7.0000000000000007E-2</v>
      </c>
      <c r="S250" s="116">
        <v>1.5610000000000002</v>
      </c>
      <c r="T250" s="117">
        <v>0.49</v>
      </c>
      <c r="U250" s="39">
        <v>200</v>
      </c>
      <c r="V250" s="32">
        <v>9</v>
      </c>
      <c r="W250" s="33"/>
      <c r="X250" s="32"/>
      <c r="Y250" s="32"/>
      <c r="Z250" s="32"/>
      <c r="AA250" s="34">
        <v>8</v>
      </c>
      <c r="AB250" s="35">
        <v>217</v>
      </c>
      <c r="AC250" s="75">
        <f t="shared" si="39"/>
        <v>30000</v>
      </c>
      <c r="AD250" s="78">
        <f t="shared" si="40"/>
        <v>2550</v>
      </c>
      <c r="AE250" s="72">
        <f t="shared" si="41"/>
        <v>32550</v>
      </c>
      <c r="AF250" s="75">
        <f t="shared" si="42"/>
        <v>5940.5999999999995</v>
      </c>
      <c r="AG250" s="78">
        <f t="shared" si="43"/>
        <v>445.72699999999998</v>
      </c>
      <c r="AH250" s="72">
        <f t="shared" si="44"/>
        <v>6386.3269999999993</v>
      </c>
      <c r="AI250" s="75">
        <f t="shared" si="45"/>
        <v>4460</v>
      </c>
      <c r="AJ250" s="78">
        <f t="shared" si="46"/>
        <v>379.1</v>
      </c>
      <c r="AK250" s="72">
        <f t="shared" si="47"/>
        <v>4839.1000000000004</v>
      </c>
    </row>
    <row r="251" spans="1:37" ht="15.95" customHeight="1">
      <c r="A251" s="25" t="s">
        <v>462</v>
      </c>
      <c r="B251" s="25" t="s">
        <v>252</v>
      </c>
      <c r="C251" s="26" t="s">
        <v>267</v>
      </c>
      <c r="D251" s="26" t="s">
        <v>375</v>
      </c>
      <c r="E251" s="26" t="s">
        <v>16</v>
      </c>
      <c r="F251" s="26" t="s">
        <v>681</v>
      </c>
      <c r="G251" s="26"/>
      <c r="H251" s="27" t="s">
        <v>185</v>
      </c>
      <c r="I251" s="26" t="s">
        <v>27</v>
      </c>
      <c r="J251" s="28" t="s">
        <v>682</v>
      </c>
      <c r="K251" s="123">
        <v>88</v>
      </c>
      <c r="L251" s="29">
        <v>20.967449999999996</v>
      </c>
      <c r="M251" s="110">
        <v>14.35</v>
      </c>
      <c r="N251" s="30">
        <v>0.28199999999999997</v>
      </c>
      <c r="O251" s="116">
        <v>4.0466999999999995</v>
      </c>
      <c r="P251" s="30">
        <v>7.4999999999999997E-2</v>
      </c>
      <c r="Q251" s="116">
        <v>1.0762499999999999</v>
      </c>
      <c r="R251" s="30">
        <v>7.0000000000000007E-2</v>
      </c>
      <c r="S251" s="116">
        <v>1.0045000000000002</v>
      </c>
      <c r="T251" s="117">
        <v>0.49</v>
      </c>
      <c r="U251" s="39">
        <v>200</v>
      </c>
      <c r="V251" s="32">
        <v>159</v>
      </c>
      <c r="W251" s="33"/>
      <c r="X251" s="32"/>
      <c r="Y251" s="32"/>
      <c r="Z251" s="32"/>
      <c r="AA251" s="34"/>
      <c r="AB251" s="35">
        <v>359</v>
      </c>
      <c r="AC251" s="75">
        <f t="shared" si="39"/>
        <v>17600</v>
      </c>
      <c r="AD251" s="78">
        <f t="shared" si="40"/>
        <v>13992</v>
      </c>
      <c r="AE251" s="72">
        <f t="shared" si="41"/>
        <v>31592</v>
      </c>
      <c r="AF251" s="75">
        <f t="shared" si="42"/>
        <v>4193.4899999999989</v>
      </c>
      <c r="AG251" s="78">
        <f t="shared" si="43"/>
        <v>3333.8245499999994</v>
      </c>
      <c r="AH251" s="72">
        <f t="shared" si="44"/>
        <v>7527.3145499999982</v>
      </c>
      <c r="AI251" s="75">
        <f t="shared" si="45"/>
        <v>2870</v>
      </c>
      <c r="AJ251" s="78">
        <f t="shared" si="46"/>
        <v>2281.65</v>
      </c>
      <c r="AK251" s="72">
        <f t="shared" si="47"/>
        <v>5151.6499999999996</v>
      </c>
    </row>
    <row r="252" spans="1:37" ht="15.95" customHeight="1">
      <c r="A252" s="25" t="s">
        <v>462</v>
      </c>
      <c r="B252" s="25" t="s">
        <v>252</v>
      </c>
      <c r="C252" s="26" t="s">
        <v>293</v>
      </c>
      <c r="D252" s="26" t="s">
        <v>375</v>
      </c>
      <c r="E252" s="26" t="s">
        <v>16</v>
      </c>
      <c r="F252" s="26" t="s">
        <v>683</v>
      </c>
      <c r="G252" s="26"/>
      <c r="H252" s="27" t="s">
        <v>185</v>
      </c>
      <c r="I252" s="26" t="s">
        <v>27</v>
      </c>
      <c r="J252" s="28" t="s">
        <v>301</v>
      </c>
      <c r="K252" s="123">
        <v>125</v>
      </c>
      <c r="L252" s="29">
        <v>19.412499999999998</v>
      </c>
      <c r="M252" s="110">
        <v>14.5</v>
      </c>
      <c r="N252" s="30">
        <v>0.16</v>
      </c>
      <c r="O252" s="116">
        <v>2.3199999999999998</v>
      </c>
      <c r="P252" s="30">
        <v>7.4999999999999997E-2</v>
      </c>
      <c r="Q252" s="116">
        <v>1.0874999999999999</v>
      </c>
      <c r="R252" s="30">
        <v>7.0000000000000007E-2</v>
      </c>
      <c r="S252" s="116">
        <v>1.0150000000000001</v>
      </c>
      <c r="T252" s="117">
        <v>0.49</v>
      </c>
      <c r="U252" s="39">
        <v>200</v>
      </c>
      <c r="V252" s="32"/>
      <c r="W252" s="33"/>
      <c r="X252" s="32"/>
      <c r="Y252" s="32"/>
      <c r="Z252" s="32"/>
      <c r="AA252" s="34"/>
      <c r="AB252" s="35">
        <v>200</v>
      </c>
      <c r="AC252" s="75">
        <f t="shared" si="39"/>
        <v>25000</v>
      </c>
      <c r="AD252" s="78">
        <f t="shared" si="40"/>
        <v>0</v>
      </c>
      <c r="AE252" s="72">
        <f t="shared" si="41"/>
        <v>25000</v>
      </c>
      <c r="AF252" s="75">
        <f t="shared" si="42"/>
        <v>3882.4999999999995</v>
      </c>
      <c r="AG252" s="78">
        <f t="shared" si="43"/>
        <v>0</v>
      </c>
      <c r="AH252" s="72">
        <f t="shared" si="44"/>
        <v>3882.4999999999995</v>
      </c>
      <c r="AI252" s="75">
        <f t="shared" si="45"/>
        <v>2900</v>
      </c>
      <c r="AJ252" s="78">
        <f t="shared" si="46"/>
        <v>0</v>
      </c>
      <c r="AK252" s="72">
        <f t="shared" si="47"/>
        <v>2900</v>
      </c>
    </row>
    <row r="253" spans="1:37" ht="15.95" customHeight="1">
      <c r="A253" s="25" t="s">
        <v>462</v>
      </c>
      <c r="B253" s="25" t="s">
        <v>252</v>
      </c>
      <c r="C253" s="26" t="s">
        <v>293</v>
      </c>
      <c r="D253" s="26" t="s">
        <v>375</v>
      </c>
      <c r="E253" s="26" t="s">
        <v>16</v>
      </c>
      <c r="F253" s="26" t="s">
        <v>683</v>
      </c>
      <c r="G253" s="26"/>
      <c r="H253" s="27" t="s">
        <v>185</v>
      </c>
      <c r="I253" s="26" t="s">
        <v>27</v>
      </c>
      <c r="J253" s="28" t="s">
        <v>301</v>
      </c>
      <c r="K253" s="123">
        <v>125</v>
      </c>
      <c r="L253" s="29">
        <v>19.412499999999998</v>
      </c>
      <c r="M253" s="110">
        <v>14.5</v>
      </c>
      <c r="N253" s="30">
        <v>0.16</v>
      </c>
      <c r="O253" s="116">
        <v>2.3199999999999998</v>
      </c>
      <c r="P253" s="30">
        <v>7.4999999999999997E-2</v>
      </c>
      <c r="Q253" s="116">
        <v>1.0874999999999999</v>
      </c>
      <c r="R253" s="30">
        <v>7.0000000000000007E-2</v>
      </c>
      <c r="S253" s="116">
        <v>1.0150000000000001</v>
      </c>
      <c r="T253" s="117">
        <v>0.49</v>
      </c>
      <c r="U253" s="39">
        <v>200</v>
      </c>
      <c r="V253" s="32"/>
      <c r="W253" s="33"/>
      <c r="X253" s="32"/>
      <c r="Y253" s="32"/>
      <c r="Z253" s="32"/>
      <c r="AA253" s="34"/>
      <c r="AB253" s="35">
        <v>200</v>
      </c>
      <c r="AC253" s="75">
        <f t="shared" si="39"/>
        <v>25000</v>
      </c>
      <c r="AD253" s="78">
        <f t="shared" si="40"/>
        <v>0</v>
      </c>
      <c r="AE253" s="72">
        <f t="shared" si="41"/>
        <v>25000</v>
      </c>
      <c r="AF253" s="75">
        <f t="shared" si="42"/>
        <v>3882.4999999999995</v>
      </c>
      <c r="AG253" s="78">
        <f t="shared" si="43"/>
        <v>0</v>
      </c>
      <c r="AH253" s="72">
        <f t="shared" si="44"/>
        <v>3882.4999999999995</v>
      </c>
      <c r="AI253" s="75">
        <f t="shared" si="45"/>
        <v>2900</v>
      </c>
      <c r="AJ253" s="78">
        <f t="shared" si="46"/>
        <v>0</v>
      </c>
      <c r="AK253" s="72">
        <f t="shared" si="47"/>
        <v>2900</v>
      </c>
    </row>
    <row r="254" spans="1:37" ht="15.95" customHeight="1">
      <c r="A254" s="25" t="s">
        <v>462</v>
      </c>
      <c r="B254" s="25" t="s">
        <v>252</v>
      </c>
      <c r="C254" s="26" t="s">
        <v>167</v>
      </c>
      <c r="D254" s="26" t="s">
        <v>375</v>
      </c>
      <c r="E254" s="26" t="s">
        <v>16</v>
      </c>
      <c r="F254" s="26" t="s">
        <v>684</v>
      </c>
      <c r="G254" s="26"/>
      <c r="H254" s="27" t="s">
        <v>685</v>
      </c>
      <c r="I254" s="26" t="s">
        <v>669</v>
      </c>
      <c r="J254" s="28" t="s">
        <v>315</v>
      </c>
      <c r="K254" s="123">
        <v>210</v>
      </c>
      <c r="L254" s="29">
        <v>44.220250000000007</v>
      </c>
      <c r="M254" s="110">
        <v>29.85</v>
      </c>
      <c r="N254" s="30">
        <v>0.32</v>
      </c>
      <c r="O254" s="116">
        <v>9.5520000000000014</v>
      </c>
      <c r="P254" s="30">
        <v>7.4999999999999997E-2</v>
      </c>
      <c r="Q254" s="116">
        <v>2.23875</v>
      </c>
      <c r="R254" s="30">
        <v>7.0000000000000007E-2</v>
      </c>
      <c r="S254" s="116">
        <v>2.0895000000000001</v>
      </c>
      <c r="T254" s="117">
        <v>0.49</v>
      </c>
      <c r="U254" s="39">
        <v>200</v>
      </c>
      <c r="V254" s="32">
        <v>105</v>
      </c>
      <c r="W254" s="33"/>
      <c r="X254" s="32"/>
      <c r="Y254" s="32"/>
      <c r="Z254" s="32"/>
      <c r="AA254" s="34"/>
      <c r="AB254" s="35">
        <v>305</v>
      </c>
      <c r="AC254" s="75">
        <f t="shared" si="39"/>
        <v>42000</v>
      </c>
      <c r="AD254" s="78">
        <f t="shared" si="40"/>
        <v>22050</v>
      </c>
      <c r="AE254" s="72">
        <f t="shared" si="41"/>
        <v>64050</v>
      </c>
      <c r="AF254" s="75">
        <f t="shared" si="42"/>
        <v>8844.0500000000011</v>
      </c>
      <c r="AG254" s="78">
        <f t="shared" si="43"/>
        <v>4643.1262500000012</v>
      </c>
      <c r="AH254" s="72">
        <f t="shared" si="44"/>
        <v>13487.176250000002</v>
      </c>
      <c r="AI254" s="75">
        <f t="shared" si="45"/>
        <v>5970</v>
      </c>
      <c r="AJ254" s="78">
        <f t="shared" si="46"/>
        <v>3134.25</v>
      </c>
      <c r="AK254" s="72">
        <f t="shared" si="47"/>
        <v>9104.25</v>
      </c>
    </row>
    <row r="255" spans="1:37" ht="15.95" customHeight="1">
      <c r="A255" s="25" t="s">
        <v>462</v>
      </c>
      <c r="B255" s="25" t="s">
        <v>252</v>
      </c>
      <c r="C255" s="26" t="s">
        <v>167</v>
      </c>
      <c r="D255" s="26" t="s">
        <v>375</v>
      </c>
      <c r="E255" s="26" t="s">
        <v>16</v>
      </c>
      <c r="F255" s="26" t="s">
        <v>684</v>
      </c>
      <c r="G255" s="26"/>
      <c r="H255" s="27" t="s">
        <v>685</v>
      </c>
      <c r="I255" s="26" t="s">
        <v>669</v>
      </c>
      <c r="J255" s="28" t="s">
        <v>315</v>
      </c>
      <c r="K255" s="123">
        <v>210</v>
      </c>
      <c r="L255" s="29">
        <v>44.220250000000007</v>
      </c>
      <c r="M255" s="110">
        <v>29.85</v>
      </c>
      <c r="N255" s="30">
        <v>0.32</v>
      </c>
      <c r="O255" s="116">
        <v>9.5520000000000014</v>
      </c>
      <c r="P255" s="30">
        <v>7.4999999999999997E-2</v>
      </c>
      <c r="Q255" s="116">
        <v>2.23875</v>
      </c>
      <c r="R255" s="30">
        <v>7.0000000000000007E-2</v>
      </c>
      <c r="S255" s="116">
        <v>2.0895000000000001</v>
      </c>
      <c r="T255" s="117">
        <v>0.49</v>
      </c>
      <c r="U255" s="39">
        <v>200</v>
      </c>
      <c r="V255" s="32"/>
      <c r="W255" s="33"/>
      <c r="X255" s="32"/>
      <c r="Y255" s="32"/>
      <c r="Z255" s="32"/>
      <c r="AA255" s="34"/>
      <c r="AB255" s="35">
        <v>200</v>
      </c>
      <c r="AC255" s="75">
        <f t="shared" si="39"/>
        <v>42000</v>
      </c>
      <c r="AD255" s="78">
        <f t="shared" si="40"/>
        <v>0</v>
      </c>
      <c r="AE255" s="72">
        <f t="shared" si="41"/>
        <v>42000</v>
      </c>
      <c r="AF255" s="75">
        <f t="shared" si="42"/>
        <v>8844.0500000000011</v>
      </c>
      <c r="AG255" s="78">
        <f t="shared" si="43"/>
        <v>0</v>
      </c>
      <c r="AH255" s="72">
        <f t="shared" si="44"/>
        <v>8844.0500000000011</v>
      </c>
      <c r="AI255" s="75">
        <f t="shared" si="45"/>
        <v>5970</v>
      </c>
      <c r="AJ255" s="78">
        <f t="shared" si="46"/>
        <v>0</v>
      </c>
      <c r="AK255" s="72">
        <f t="shared" si="47"/>
        <v>5970</v>
      </c>
    </row>
    <row r="256" spans="1:37" ht="15.95" customHeight="1">
      <c r="A256" s="25" t="s">
        <v>462</v>
      </c>
      <c r="B256" s="25" t="s">
        <v>252</v>
      </c>
      <c r="C256" s="26" t="s">
        <v>167</v>
      </c>
      <c r="D256" s="26" t="s">
        <v>375</v>
      </c>
      <c r="E256" s="26" t="s">
        <v>16</v>
      </c>
      <c r="F256" s="26" t="s">
        <v>686</v>
      </c>
      <c r="G256" s="26"/>
      <c r="H256" s="27" t="s">
        <v>671</v>
      </c>
      <c r="I256" s="26" t="s">
        <v>669</v>
      </c>
      <c r="J256" s="28" t="s">
        <v>315</v>
      </c>
      <c r="K256" s="123">
        <v>250</v>
      </c>
      <c r="L256" s="29">
        <v>63.411750000000005</v>
      </c>
      <c r="M256" s="110">
        <v>42.95</v>
      </c>
      <c r="N256" s="30">
        <v>0.32</v>
      </c>
      <c r="O256" s="116">
        <v>13.744000000000002</v>
      </c>
      <c r="P256" s="30">
        <v>7.4999999999999997E-2</v>
      </c>
      <c r="Q256" s="116">
        <v>3.2212499999999999</v>
      </c>
      <c r="R256" s="30">
        <v>7.0000000000000007E-2</v>
      </c>
      <c r="S256" s="116">
        <v>3.0065000000000004</v>
      </c>
      <c r="T256" s="117">
        <v>0.49</v>
      </c>
      <c r="U256" s="39">
        <v>200</v>
      </c>
      <c r="V256" s="32">
        <v>15</v>
      </c>
      <c r="W256" s="33"/>
      <c r="X256" s="32"/>
      <c r="Y256" s="32"/>
      <c r="Z256" s="32"/>
      <c r="AA256" s="34">
        <v>4</v>
      </c>
      <c r="AB256" s="35">
        <v>219</v>
      </c>
      <c r="AC256" s="75">
        <f t="shared" si="39"/>
        <v>50000</v>
      </c>
      <c r="AD256" s="78">
        <f t="shared" si="40"/>
        <v>4750</v>
      </c>
      <c r="AE256" s="72">
        <f t="shared" si="41"/>
        <v>54750</v>
      </c>
      <c r="AF256" s="75">
        <f t="shared" si="42"/>
        <v>12682.35</v>
      </c>
      <c r="AG256" s="78">
        <f t="shared" si="43"/>
        <v>1122.9762500000002</v>
      </c>
      <c r="AH256" s="72">
        <f t="shared" si="44"/>
        <v>13805.32625</v>
      </c>
      <c r="AI256" s="75">
        <f t="shared" si="45"/>
        <v>8590</v>
      </c>
      <c r="AJ256" s="78">
        <f t="shared" si="46"/>
        <v>816.05000000000007</v>
      </c>
      <c r="AK256" s="72">
        <f t="shared" si="47"/>
        <v>9406.0499999999993</v>
      </c>
    </row>
    <row r="257" spans="1:37" ht="15.95" customHeight="1">
      <c r="A257" s="25" t="s">
        <v>462</v>
      </c>
      <c r="B257" s="25" t="s">
        <v>252</v>
      </c>
      <c r="C257" s="26" t="s">
        <v>167</v>
      </c>
      <c r="D257" s="26" t="s">
        <v>375</v>
      </c>
      <c r="E257" s="26" t="s">
        <v>16</v>
      </c>
      <c r="F257" s="26" t="s">
        <v>687</v>
      </c>
      <c r="G257" s="25"/>
      <c r="H257" s="42" t="s">
        <v>671</v>
      </c>
      <c r="I257" s="43" t="s">
        <v>669</v>
      </c>
      <c r="J257" s="28" t="s">
        <v>688</v>
      </c>
      <c r="K257" s="123">
        <v>225</v>
      </c>
      <c r="L257" s="29">
        <v>57.498650000000012</v>
      </c>
      <c r="M257" s="110">
        <v>39.950000000000003</v>
      </c>
      <c r="N257" s="30">
        <v>0.28199999999999997</v>
      </c>
      <c r="O257" s="116">
        <v>11.2659</v>
      </c>
      <c r="P257" s="30">
        <v>7.4999999999999997E-2</v>
      </c>
      <c r="Q257" s="116">
        <v>2.9962500000000003</v>
      </c>
      <c r="R257" s="30">
        <v>7.0000000000000007E-2</v>
      </c>
      <c r="S257" s="116">
        <v>2.7965000000000004</v>
      </c>
      <c r="T257" s="117">
        <v>0.49</v>
      </c>
      <c r="U257" s="39">
        <v>200</v>
      </c>
      <c r="V257" s="32">
        <v>24</v>
      </c>
      <c r="W257" s="33"/>
      <c r="X257" s="32"/>
      <c r="Y257" s="32"/>
      <c r="Z257" s="32"/>
      <c r="AA257" s="34">
        <v>4</v>
      </c>
      <c r="AB257" s="35">
        <v>228</v>
      </c>
      <c r="AC257" s="75">
        <f t="shared" si="39"/>
        <v>45000</v>
      </c>
      <c r="AD257" s="78">
        <f t="shared" si="40"/>
        <v>6300</v>
      </c>
      <c r="AE257" s="72">
        <f t="shared" si="41"/>
        <v>51300</v>
      </c>
      <c r="AF257" s="75">
        <f t="shared" si="42"/>
        <v>11499.730000000003</v>
      </c>
      <c r="AG257" s="78">
        <f t="shared" si="43"/>
        <v>1539.7676000000004</v>
      </c>
      <c r="AH257" s="72">
        <f t="shared" si="44"/>
        <v>13039.497600000004</v>
      </c>
      <c r="AI257" s="75">
        <f t="shared" si="45"/>
        <v>7990.0000000000009</v>
      </c>
      <c r="AJ257" s="78">
        <f t="shared" si="46"/>
        <v>1118.6000000000001</v>
      </c>
      <c r="AK257" s="72">
        <f t="shared" si="47"/>
        <v>9108.6</v>
      </c>
    </row>
    <row r="258" spans="1:37" ht="15.95" customHeight="1">
      <c r="A258" s="25" t="s">
        <v>462</v>
      </c>
      <c r="B258" s="25" t="s">
        <v>252</v>
      </c>
      <c r="C258" s="26" t="s">
        <v>167</v>
      </c>
      <c r="D258" s="26" t="s">
        <v>375</v>
      </c>
      <c r="E258" s="26" t="s">
        <v>16</v>
      </c>
      <c r="F258" s="26" t="s">
        <v>686</v>
      </c>
      <c r="G258" s="25"/>
      <c r="H258" s="42" t="s">
        <v>671</v>
      </c>
      <c r="I258" s="43" t="s">
        <v>669</v>
      </c>
      <c r="J258" s="28" t="s">
        <v>315</v>
      </c>
      <c r="K258" s="123">
        <v>250</v>
      </c>
      <c r="L258" s="29">
        <v>63.411750000000005</v>
      </c>
      <c r="M258" s="110">
        <v>42.95</v>
      </c>
      <c r="N258" s="30">
        <v>0.32</v>
      </c>
      <c r="O258" s="116">
        <v>13.744000000000002</v>
      </c>
      <c r="P258" s="30">
        <v>7.4999999999999997E-2</v>
      </c>
      <c r="Q258" s="116">
        <v>3.2212499999999999</v>
      </c>
      <c r="R258" s="30">
        <v>7.0000000000000007E-2</v>
      </c>
      <c r="S258" s="116">
        <v>3.0065000000000004</v>
      </c>
      <c r="T258" s="117">
        <v>0.49</v>
      </c>
      <c r="U258" s="39">
        <v>200</v>
      </c>
      <c r="V258" s="32">
        <v>15</v>
      </c>
      <c r="W258" s="33"/>
      <c r="X258" s="32"/>
      <c r="Y258" s="32"/>
      <c r="Z258" s="32"/>
      <c r="AA258" s="34"/>
      <c r="AB258" s="35">
        <v>215</v>
      </c>
      <c r="AC258" s="75">
        <f t="shared" si="39"/>
        <v>50000</v>
      </c>
      <c r="AD258" s="78">
        <f t="shared" si="40"/>
        <v>3750</v>
      </c>
      <c r="AE258" s="72">
        <f t="shared" si="41"/>
        <v>53750</v>
      </c>
      <c r="AF258" s="75">
        <f t="shared" si="42"/>
        <v>12682.35</v>
      </c>
      <c r="AG258" s="78">
        <f t="shared" si="43"/>
        <v>951.1762500000001</v>
      </c>
      <c r="AH258" s="72">
        <f t="shared" si="44"/>
        <v>13633.526250000001</v>
      </c>
      <c r="AI258" s="75">
        <f t="shared" si="45"/>
        <v>8590</v>
      </c>
      <c r="AJ258" s="78">
        <f t="shared" si="46"/>
        <v>644.25</v>
      </c>
      <c r="AK258" s="72">
        <f t="shared" si="47"/>
        <v>9234.25</v>
      </c>
    </row>
    <row r="259" spans="1:37" ht="15.95" customHeight="1">
      <c r="A259" s="25" t="s">
        <v>462</v>
      </c>
      <c r="B259" s="25" t="s">
        <v>252</v>
      </c>
      <c r="C259" s="26" t="s">
        <v>167</v>
      </c>
      <c r="D259" s="26" t="s">
        <v>375</v>
      </c>
      <c r="E259" s="26" t="s">
        <v>16</v>
      </c>
      <c r="F259" s="26" t="s">
        <v>687</v>
      </c>
      <c r="G259" s="26"/>
      <c r="H259" s="27" t="s">
        <v>671</v>
      </c>
      <c r="I259" s="26" t="s">
        <v>669</v>
      </c>
      <c r="J259" s="28" t="s">
        <v>688</v>
      </c>
      <c r="K259" s="123">
        <v>225</v>
      </c>
      <c r="L259" s="29">
        <v>57.498650000000012</v>
      </c>
      <c r="M259" s="110">
        <v>39.950000000000003</v>
      </c>
      <c r="N259" s="30">
        <v>0.28199999999999997</v>
      </c>
      <c r="O259" s="116">
        <v>11.2659</v>
      </c>
      <c r="P259" s="30">
        <v>7.4999999999999997E-2</v>
      </c>
      <c r="Q259" s="116">
        <v>2.9962500000000003</v>
      </c>
      <c r="R259" s="30">
        <v>7.0000000000000007E-2</v>
      </c>
      <c r="S259" s="116">
        <v>2.7965000000000004</v>
      </c>
      <c r="T259" s="117">
        <v>0.49</v>
      </c>
      <c r="U259" s="39">
        <v>200</v>
      </c>
      <c r="V259" s="32">
        <v>15</v>
      </c>
      <c r="W259" s="33"/>
      <c r="X259" s="32"/>
      <c r="Y259" s="32"/>
      <c r="Z259" s="32"/>
      <c r="AA259" s="34"/>
      <c r="AB259" s="35">
        <v>215</v>
      </c>
      <c r="AC259" s="75">
        <f t="shared" si="39"/>
        <v>45000</v>
      </c>
      <c r="AD259" s="78">
        <f t="shared" si="40"/>
        <v>3375</v>
      </c>
      <c r="AE259" s="72">
        <f t="shared" si="41"/>
        <v>48375</v>
      </c>
      <c r="AF259" s="75">
        <f t="shared" si="42"/>
        <v>11499.730000000003</v>
      </c>
      <c r="AG259" s="78">
        <f t="shared" si="43"/>
        <v>862.47975000000019</v>
      </c>
      <c r="AH259" s="72">
        <f t="shared" si="44"/>
        <v>12362.209750000004</v>
      </c>
      <c r="AI259" s="75">
        <f t="shared" si="45"/>
        <v>7990.0000000000009</v>
      </c>
      <c r="AJ259" s="78">
        <f t="shared" si="46"/>
        <v>599.25</v>
      </c>
      <c r="AK259" s="72">
        <f t="shared" si="47"/>
        <v>8589.25</v>
      </c>
    </row>
    <row r="260" spans="1:37" ht="15.95" customHeight="1">
      <c r="A260" s="25" t="s">
        <v>462</v>
      </c>
      <c r="B260" s="25" t="s">
        <v>252</v>
      </c>
      <c r="C260" s="26" t="s">
        <v>14</v>
      </c>
      <c r="D260" s="26" t="s">
        <v>375</v>
      </c>
      <c r="E260" s="26" t="s">
        <v>16</v>
      </c>
      <c r="F260" s="26" t="s">
        <v>689</v>
      </c>
      <c r="G260" s="26"/>
      <c r="H260" s="27" t="s">
        <v>690</v>
      </c>
      <c r="I260" s="26" t="s">
        <v>27</v>
      </c>
      <c r="J260" s="37" t="s">
        <v>261</v>
      </c>
      <c r="K260" s="123">
        <v>150</v>
      </c>
      <c r="L260" s="29">
        <v>28.958649999999995</v>
      </c>
      <c r="M260" s="110">
        <v>19.95</v>
      </c>
      <c r="N260" s="30">
        <v>0.28199999999999997</v>
      </c>
      <c r="O260" s="116">
        <v>5.6258999999999997</v>
      </c>
      <c r="P260" s="30">
        <v>7.4999999999999997E-2</v>
      </c>
      <c r="Q260" s="116">
        <v>1.4962499999999999</v>
      </c>
      <c r="R260" s="30">
        <v>7.0000000000000007E-2</v>
      </c>
      <c r="S260" s="116">
        <v>1.3965000000000001</v>
      </c>
      <c r="T260" s="117">
        <v>0.49</v>
      </c>
      <c r="U260" s="39">
        <v>251</v>
      </c>
      <c r="V260" s="32">
        <v>112</v>
      </c>
      <c r="W260" s="33"/>
      <c r="X260" s="32"/>
      <c r="Y260" s="32"/>
      <c r="Z260" s="32"/>
      <c r="AA260" s="34"/>
      <c r="AB260" s="35">
        <v>363</v>
      </c>
      <c r="AC260" s="75">
        <f t="shared" si="39"/>
        <v>37650</v>
      </c>
      <c r="AD260" s="78">
        <f t="shared" si="40"/>
        <v>16800</v>
      </c>
      <c r="AE260" s="72">
        <f t="shared" si="41"/>
        <v>54450</v>
      </c>
      <c r="AF260" s="75">
        <f t="shared" si="42"/>
        <v>7268.621149999999</v>
      </c>
      <c r="AG260" s="78">
        <f t="shared" si="43"/>
        <v>3243.3687999999993</v>
      </c>
      <c r="AH260" s="72">
        <f t="shared" si="44"/>
        <v>10511.989949999999</v>
      </c>
      <c r="AI260" s="75">
        <f t="shared" si="45"/>
        <v>5007.45</v>
      </c>
      <c r="AJ260" s="78">
        <f t="shared" si="46"/>
        <v>2234.4</v>
      </c>
      <c r="AK260" s="72">
        <f t="shared" si="47"/>
        <v>7241.85</v>
      </c>
    </row>
    <row r="261" spans="1:37" ht="15.95" customHeight="1">
      <c r="A261" s="25" t="s">
        <v>462</v>
      </c>
      <c r="B261" s="25" t="s">
        <v>252</v>
      </c>
      <c r="C261" s="26" t="s">
        <v>21</v>
      </c>
      <c r="D261" s="26" t="s">
        <v>375</v>
      </c>
      <c r="E261" s="26" t="s">
        <v>16</v>
      </c>
      <c r="F261" s="26" t="s">
        <v>691</v>
      </c>
      <c r="G261" s="26"/>
      <c r="H261" s="27" t="s">
        <v>690</v>
      </c>
      <c r="I261" s="26" t="s">
        <v>27</v>
      </c>
      <c r="J261" s="28" t="s">
        <v>265</v>
      </c>
      <c r="K261" s="123">
        <v>135</v>
      </c>
      <c r="L261" s="29">
        <v>25.462499999999999</v>
      </c>
      <c r="M261" s="110">
        <v>17.5</v>
      </c>
      <c r="N261" s="30">
        <v>0.28199999999999997</v>
      </c>
      <c r="O261" s="116">
        <v>4.9349999999999996</v>
      </c>
      <c r="P261" s="30">
        <v>7.4999999999999997E-2</v>
      </c>
      <c r="Q261" s="116">
        <v>1.3125</v>
      </c>
      <c r="R261" s="30">
        <v>7.0000000000000007E-2</v>
      </c>
      <c r="S261" s="116">
        <v>1.2250000000000001</v>
      </c>
      <c r="T261" s="117">
        <v>0.49</v>
      </c>
      <c r="U261" s="39">
        <v>251</v>
      </c>
      <c r="V261" s="32">
        <v>112</v>
      </c>
      <c r="W261" s="33"/>
      <c r="X261" s="32"/>
      <c r="Y261" s="32"/>
      <c r="Z261" s="32"/>
      <c r="AA261" s="34"/>
      <c r="AB261" s="35">
        <v>363</v>
      </c>
      <c r="AC261" s="75">
        <f t="shared" si="39"/>
        <v>33885</v>
      </c>
      <c r="AD261" s="78">
        <f t="shared" si="40"/>
        <v>15120</v>
      </c>
      <c r="AE261" s="72">
        <f t="shared" si="41"/>
        <v>49005</v>
      </c>
      <c r="AF261" s="75">
        <f t="shared" si="42"/>
        <v>6391.0874999999996</v>
      </c>
      <c r="AG261" s="78">
        <f t="shared" si="43"/>
        <v>2851.7999999999997</v>
      </c>
      <c r="AH261" s="72">
        <f t="shared" si="44"/>
        <v>9242.8874999999989</v>
      </c>
      <c r="AI261" s="75">
        <f t="shared" si="45"/>
        <v>4392.5</v>
      </c>
      <c r="AJ261" s="78">
        <f t="shared" si="46"/>
        <v>1960</v>
      </c>
      <c r="AK261" s="72">
        <f t="shared" si="47"/>
        <v>6352.5</v>
      </c>
    </row>
    <row r="262" spans="1:37" ht="15.95" customHeight="1">
      <c r="A262" s="25" t="s">
        <v>462</v>
      </c>
      <c r="B262" s="25" t="s">
        <v>252</v>
      </c>
      <c r="C262" s="26" t="s">
        <v>14</v>
      </c>
      <c r="D262" s="26" t="s">
        <v>375</v>
      </c>
      <c r="E262" s="26" t="s">
        <v>16</v>
      </c>
      <c r="F262" s="26" t="s">
        <v>689</v>
      </c>
      <c r="G262" s="26"/>
      <c r="H262" s="27" t="s">
        <v>690</v>
      </c>
      <c r="I262" s="26" t="s">
        <v>27</v>
      </c>
      <c r="J262" s="28" t="s">
        <v>261</v>
      </c>
      <c r="K262" s="123">
        <v>150</v>
      </c>
      <c r="L262" s="29">
        <v>28.958649999999995</v>
      </c>
      <c r="M262" s="110">
        <v>19.95</v>
      </c>
      <c r="N262" s="30">
        <v>0.28199999999999997</v>
      </c>
      <c r="O262" s="116">
        <v>5.6258999999999997</v>
      </c>
      <c r="P262" s="30">
        <v>7.4999999999999997E-2</v>
      </c>
      <c r="Q262" s="116">
        <v>1.4962499999999999</v>
      </c>
      <c r="R262" s="30">
        <v>7.0000000000000007E-2</v>
      </c>
      <c r="S262" s="116">
        <v>1.3965000000000001</v>
      </c>
      <c r="T262" s="117">
        <v>0.49</v>
      </c>
      <c r="U262" s="39">
        <v>300</v>
      </c>
      <c r="V262" s="32">
        <v>26</v>
      </c>
      <c r="W262" s="33"/>
      <c r="X262" s="32"/>
      <c r="Y262" s="32"/>
      <c r="Z262" s="32"/>
      <c r="AA262" s="34"/>
      <c r="AB262" s="35">
        <v>326</v>
      </c>
      <c r="AC262" s="75">
        <f t="shared" si="39"/>
        <v>45000</v>
      </c>
      <c r="AD262" s="78">
        <f t="shared" si="40"/>
        <v>3900</v>
      </c>
      <c r="AE262" s="72">
        <f t="shared" si="41"/>
        <v>48900</v>
      </c>
      <c r="AF262" s="75">
        <f t="shared" si="42"/>
        <v>8687.5949999999993</v>
      </c>
      <c r="AG262" s="78">
        <f t="shared" si="43"/>
        <v>752.92489999999987</v>
      </c>
      <c r="AH262" s="72">
        <f t="shared" si="44"/>
        <v>9440.5198999999993</v>
      </c>
      <c r="AI262" s="75">
        <f t="shared" si="45"/>
        <v>5985</v>
      </c>
      <c r="AJ262" s="78">
        <f t="shared" si="46"/>
        <v>518.69999999999993</v>
      </c>
      <c r="AK262" s="72">
        <f t="shared" si="47"/>
        <v>6503.7</v>
      </c>
    </row>
    <row r="263" spans="1:37" ht="15.95" customHeight="1">
      <c r="A263" s="25" t="s">
        <v>462</v>
      </c>
      <c r="B263" s="25" t="s">
        <v>252</v>
      </c>
      <c r="C263" s="26" t="s">
        <v>21</v>
      </c>
      <c r="D263" s="26" t="s">
        <v>375</v>
      </c>
      <c r="E263" s="26" t="s">
        <v>16</v>
      </c>
      <c r="F263" s="26" t="s">
        <v>691</v>
      </c>
      <c r="G263" s="26"/>
      <c r="H263" s="27" t="s">
        <v>690</v>
      </c>
      <c r="I263" s="26" t="s">
        <v>27</v>
      </c>
      <c r="J263" s="28" t="s">
        <v>265</v>
      </c>
      <c r="K263" s="123">
        <v>135</v>
      </c>
      <c r="L263" s="29">
        <v>25.462499999999999</v>
      </c>
      <c r="M263" s="110">
        <v>17.5</v>
      </c>
      <c r="N263" s="30">
        <v>0.28199999999999997</v>
      </c>
      <c r="O263" s="116">
        <v>4.9349999999999996</v>
      </c>
      <c r="P263" s="30">
        <v>7.4999999999999997E-2</v>
      </c>
      <c r="Q263" s="116">
        <v>1.3125</v>
      </c>
      <c r="R263" s="30">
        <v>7.0000000000000007E-2</v>
      </c>
      <c r="S263" s="116">
        <v>1.2250000000000001</v>
      </c>
      <c r="T263" s="117">
        <v>0.49</v>
      </c>
      <c r="U263" s="39">
        <v>300</v>
      </c>
      <c r="V263" s="32">
        <v>26</v>
      </c>
      <c r="W263" s="33"/>
      <c r="X263" s="32"/>
      <c r="Y263" s="32"/>
      <c r="Z263" s="32"/>
      <c r="AA263" s="34"/>
      <c r="AB263" s="35">
        <v>326</v>
      </c>
      <c r="AC263" s="75">
        <f t="shared" si="39"/>
        <v>40500</v>
      </c>
      <c r="AD263" s="78">
        <f t="shared" si="40"/>
        <v>3510</v>
      </c>
      <c r="AE263" s="72">
        <f t="shared" si="41"/>
        <v>44010</v>
      </c>
      <c r="AF263" s="75">
        <f t="shared" si="42"/>
        <v>7638.75</v>
      </c>
      <c r="AG263" s="78">
        <f t="shared" si="43"/>
        <v>662.02499999999998</v>
      </c>
      <c r="AH263" s="72">
        <f t="shared" si="44"/>
        <v>8300.7749999999996</v>
      </c>
      <c r="AI263" s="75">
        <f t="shared" si="45"/>
        <v>5250</v>
      </c>
      <c r="AJ263" s="78">
        <f t="shared" si="46"/>
        <v>455</v>
      </c>
      <c r="AK263" s="72">
        <f t="shared" si="47"/>
        <v>5705</v>
      </c>
    </row>
    <row r="264" spans="1:37" ht="15.95" customHeight="1">
      <c r="A264" s="25" t="s">
        <v>462</v>
      </c>
      <c r="B264" s="25" t="s">
        <v>252</v>
      </c>
      <c r="C264" s="26" t="s">
        <v>14</v>
      </c>
      <c r="D264" s="26" t="s">
        <v>375</v>
      </c>
      <c r="E264" s="26" t="s">
        <v>16</v>
      </c>
      <c r="F264" s="26" t="s">
        <v>689</v>
      </c>
      <c r="G264" s="26"/>
      <c r="H264" s="27" t="s">
        <v>690</v>
      </c>
      <c r="I264" s="26" t="s">
        <v>27</v>
      </c>
      <c r="J264" s="28" t="s">
        <v>261</v>
      </c>
      <c r="K264" s="123">
        <v>150</v>
      </c>
      <c r="L264" s="29">
        <v>28.958649999999995</v>
      </c>
      <c r="M264" s="110">
        <v>19.95</v>
      </c>
      <c r="N264" s="30">
        <v>0.28199999999999997</v>
      </c>
      <c r="O264" s="116">
        <v>5.6258999999999997</v>
      </c>
      <c r="P264" s="30">
        <v>7.4999999999999997E-2</v>
      </c>
      <c r="Q264" s="116">
        <v>1.4962499999999999</v>
      </c>
      <c r="R264" s="30">
        <v>7.0000000000000007E-2</v>
      </c>
      <c r="S264" s="116">
        <v>1.3965000000000001</v>
      </c>
      <c r="T264" s="117">
        <v>0.49</v>
      </c>
      <c r="U264" s="39">
        <v>300</v>
      </c>
      <c r="V264" s="32">
        <v>10</v>
      </c>
      <c r="W264" s="33"/>
      <c r="X264" s="32"/>
      <c r="Y264" s="32"/>
      <c r="Z264" s="32"/>
      <c r="AA264" s="34"/>
      <c r="AB264" s="35">
        <v>310</v>
      </c>
      <c r="AC264" s="75">
        <f t="shared" si="39"/>
        <v>45000</v>
      </c>
      <c r="AD264" s="78">
        <f t="shared" si="40"/>
        <v>1500</v>
      </c>
      <c r="AE264" s="72">
        <f t="shared" si="41"/>
        <v>46500</v>
      </c>
      <c r="AF264" s="75">
        <f t="shared" si="42"/>
        <v>8687.5949999999993</v>
      </c>
      <c r="AG264" s="78">
        <f t="shared" si="43"/>
        <v>289.58649999999994</v>
      </c>
      <c r="AH264" s="72">
        <f t="shared" si="44"/>
        <v>8977.1814999999988</v>
      </c>
      <c r="AI264" s="75">
        <f t="shared" si="45"/>
        <v>5985</v>
      </c>
      <c r="AJ264" s="78">
        <f t="shared" si="46"/>
        <v>199.5</v>
      </c>
      <c r="AK264" s="72">
        <f t="shared" si="47"/>
        <v>6184.5</v>
      </c>
    </row>
    <row r="265" spans="1:37" ht="15.95" customHeight="1">
      <c r="A265" s="25" t="s">
        <v>462</v>
      </c>
      <c r="B265" s="25" t="s">
        <v>252</v>
      </c>
      <c r="C265" s="26" t="s">
        <v>21</v>
      </c>
      <c r="D265" s="26" t="s">
        <v>375</v>
      </c>
      <c r="E265" s="26" t="s">
        <v>16</v>
      </c>
      <c r="F265" s="26" t="s">
        <v>691</v>
      </c>
      <c r="G265" s="26"/>
      <c r="H265" s="27" t="s">
        <v>690</v>
      </c>
      <c r="I265" s="26" t="s">
        <v>27</v>
      </c>
      <c r="J265" s="28" t="s">
        <v>265</v>
      </c>
      <c r="K265" s="123">
        <v>135</v>
      </c>
      <c r="L265" s="29">
        <v>25.462499999999999</v>
      </c>
      <c r="M265" s="110">
        <v>17.5</v>
      </c>
      <c r="N265" s="30">
        <v>0.28199999999999997</v>
      </c>
      <c r="O265" s="116">
        <v>4.9349999999999996</v>
      </c>
      <c r="P265" s="30">
        <v>7.4999999999999997E-2</v>
      </c>
      <c r="Q265" s="116">
        <v>1.3125</v>
      </c>
      <c r="R265" s="30">
        <v>7.0000000000000007E-2</v>
      </c>
      <c r="S265" s="116">
        <v>1.2250000000000001</v>
      </c>
      <c r="T265" s="117">
        <v>0.49</v>
      </c>
      <c r="U265" s="39">
        <v>300</v>
      </c>
      <c r="V265" s="32">
        <v>10</v>
      </c>
      <c r="W265" s="33"/>
      <c r="X265" s="32"/>
      <c r="Y265" s="32"/>
      <c r="Z265" s="32"/>
      <c r="AA265" s="34"/>
      <c r="AB265" s="35">
        <v>310</v>
      </c>
      <c r="AC265" s="75">
        <f t="shared" si="39"/>
        <v>40500</v>
      </c>
      <c r="AD265" s="78">
        <f t="shared" si="40"/>
        <v>1350</v>
      </c>
      <c r="AE265" s="72">
        <f t="shared" si="41"/>
        <v>41850</v>
      </c>
      <c r="AF265" s="75">
        <f t="shared" si="42"/>
        <v>7638.75</v>
      </c>
      <c r="AG265" s="78">
        <f t="shared" si="43"/>
        <v>254.625</v>
      </c>
      <c r="AH265" s="72">
        <f t="shared" si="44"/>
        <v>7893.375</v>
      </c>
      <c r="AI265" s="75">
        <f t="shared" si="45"/>
        <v>5250</v>
      </c>
      <c r="AJ265" s="78">
        <f t="shared" si="46"/>
        <v>175</v>
      </c>
      <c r="AK265" s="72">
        <f t="shared" si="47"/>
        <v>5425</v>
      </c>
    </row>
    <row r="266" spans="1:37" ht="15.95" customHeight="1">
      <c r="A266" s="25" t="s">
        <v>462</v>
      </c>
      <c r="B266" s="25" t="s">
        <v>252</v>
      </c>
      <c r="C266" s="26" t="s">
        <v>14</v>
      </c>
      <c r="D266" s="26" t="s">
        <v>375</v>
      </c>
      <c r="E266" s="26" t="s">
        <v>16</v>
      </c>
      <c r="F266" s="26" t="s">
        <v>692</v>
      </c>
      <c r="G266" s="26"/>
      <c r="H266" s="27" t="s">
        <v>693</v>
      </c>
      <c r="I266" s="26" t="s">
        <v>27</v>
      </c>
      <c r="J266" s="28" t="s">
        <v>261</v>
      </c>
      <c r="K266" s="123">
        <v>325</v>
      </c>
      <c r="L266" s="29">
        <v>55.429500000000004</v>
      </c>
      <c r="M266" s="110">
        <v>38.5</v>
      </c>
      <c r="N266" s="30">
        <v>0.28199999999999997</v>
      </c>
      <c r="O266" s="116">
        <v>10.856999999999999</v>
      </c>
      <c r="P266" s="30">
        <v>7.4999999999999997E-2</v>
      </c>
      <c r="Q266" s="116">
        <v>2.8874999999999997</v>
      </c>
      <c r="R266" s="30">
        <v>7.0000000000000007E-2</v>
      </c>
      <c r="S266" s="116">
        <v>2.6950000000000003</v>
      </c>
      <c r="T266" s="117">
        <v>0.49</v>
      </c>
      <c r="U266" s="39">
        <v>151</v>
      </c>
      <c r="V266" s="32"/>
      <c r="W266" s="33"/>
      <c r="X266" s="32"/>
      <c r="Y266" s="32"/>
      <c r="Z266" s="32"/>
      <c r="AA266" s="34"/>
      <c r="AB266" s="35">
        <v>151</v>
      </c>
      <c r="AC266" s="75">
        <f t="shared" si="39"/>
        <v>49075</v>
      </c>
      <c r="AD266" s="78">
        <f t="shared" si="40"/>
        <v>0</v>
      </c>
      <c r="AE266" s="72">
        <f t="shared" si="41"/>
        <v>49075</v>
      </c>
      <c r="AF266" s="75">
        <f t="shared" si="42"/>
        <v>8369.8545000000013</v>
      </c>
      <c r="AG266" s="78">
        <f t="shared" si="43"/>
        <v>0</v>
      </c>
      <c r="AH266" s="72">
        <f t="shared" si="44"/>
        <v>8369.8545000000013</v>
      </c>
      <c r="AI266" s="75">
        <f t="shared" si="45"/>
        <v>5813.5</v>
      </c>
      <c r="AJ266" s="78">
        <f t="shared" si="46"/>
        <v>0</v>
      </c>
      <c r="AK266" s="72">
        <f t="shared" si="47"/>
        <v>5813.5</v>
      </c>
    </row>
    <row r="267" spans="1:37" ht="15.95" customHeight="1">
      <c r="A267" s="25" t="s">
        <v>462</v>
      </c>
      <c r="B267" s="25" t="s">
        <v>252</v>
      </c>
      <c r="C267" s="26" t="s">
        <v>124</v>
      </c>
      <c r="D267" s="26" t="s">
        <v>375</v>
      </c>
      <c r="E267" s="26" t="s">
        <v>16</v>
      </c>
      <c r="F267" s="26" t="s">
        <v>694</v>
      </c>
      <c r="G267" s="26"/>
      <c r="H267" s="27" t="s">
        <v>695</v>
      </c>
      <c r="I267" s="26" t="s">
        <v>27</v>
      </c>
      <c r="J267" s="28" t="s">
        <v>696</v>
      </c>
      <c r="K267" s="123">
        <v>225</v>
      </c>
      <c r="L267" s="29">
        <v>49.721499999999999</v>
      </c>
      <c r="M267" s="110">
        <v>34.5</v>
      </c>
      <c r="N267" s="30">
        <v>0.28199999999999997</v>
      </c>
      <c r="O267" s="116">
        <v>9.7289999999999992</v>
      </c>
      <c r="P267" s="30">
        <v>7.4999999999999997E-2</v>
      </c>
      <c r="Q267" s="116">
        <v>2.5874999999999999</v>
      </c>
      <c r="R267" s="30">
        <v>7.0000000000000007E-2</v>
      </c>
      <c r="S267" s="116">
        <v>2.415</v>
      </c>
      <c r="T267" s="117">
        <v>0.49</v>
      </c>
      <c r="U267" s="39">
        <v>151</v>
      </c>
      <c r="V267" s="32">
        <v>5</v>
      </c>
      <c r="W267" s="33"/>
      <c r="X267" s="32"/>
      <c r="Y267" s="32"/>
      <c r="Z267" s="32"/>
      <c r="AA267" s="34"/>
      <c r="AB267" s="35">
        <v>156</v>
      </c>
      <c r="AC267" s="75">
        <f t="shared" si="39"/>
        <v>33975</v>
      </c>
      <c r="AD267" s="78">
        <f t="shared" si="40"/>
        <v>1125</v>
      </c>
      <c r="AE267" s="72">
        <f t="shared" si="41"/>
        <v>35100</v>
      </c>
      <c r="AF267" s="75">
        <f t="shared" si="42"/>
        <v>7507.9465</v>
      </c>
      <c r="AG267" s="78">
        <f t="shared" si="43"/>
        <v>248.60749999999999</v>
      </c>
      <c r="AH267" s="72">
        <f t="shared" si="44"/>
        <v>7756.5540000000001</v>
      </c>
      <c r="AI267" s="75">
        <f t="shared" si="45"/>
        <v>5209.5</v>
      </c>
      <c r="AJ267" s="78">
        <f t="shared" si="46"/>
        <v>172.5</v>
      </c>
      <c r="AK267" s="72">
        <f t="shared" si="47"/>
        <v>5382</v>
      </c>
    </row>
    <row r="268" spans="1:37" ht="15.95" customHeight="1">
      <c r="A268" s="141" t="s">
        <v>399</v>
      </c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3"/>
      <c r="U268" s="105">
        <f>SUM(U4:U267)</f>
        <v>89767</v>
      </c>
      <c r="V268" s="106">
        <f t="shared" ref="V268:AK268" si="48">SUM(V4:V267)</f>
        <v>17779</v>
      </c>
      <c r="W268" s="107">
        <f t="shared" si="48"/>
        <v>3959</v>
      </c>
      <c r="X268" s="106">
        <f t="shared" si="48"/>
        <v>0</v>
      </c>
      <c r="Y268" s="106">
        <f t="shared" si="48"/>
        <v>0</v>
      </c>
      <c r="Z268" s="106">
        <f t="shared" si="48"/>
        <v>439</v>
      </c>
      <c r="AA268" s="108">
        <f t="shared" si="48"/>
        <v>824</v>
      </c>
      <c r="AB268" s="69">
        <f t="shared" si="48"/>
        <v>112768</v>
      </c>
      <c r="AC268" s="76">
        <f t="shared" si="48"/>
        <v>12010406</v>
      </c>
      <c r="AD268" s="79">
        <f t="shared" si="48"/>
        <v>2973976</v>
      </c>
      <c r="AE268" s="70">
        <f t="shared" si="48"/>
        <v>14984382</v>
      </c>
      <c r="AF268" s="76">
        <f t="shared" si="48"/>
        <v>2371968.4147800007</v>
      </c>
      <c r="AG268" s="79">
        <f t="shared" si="48"/>
        <v>571913.73032000056</v>
      </c>
      <c r="AH268" s="70">
        <f t="shared" si="48"/>
        <v>2943882.1450999975</v>
      </c>
      <c r="AI268" s="76">
        <f t="shared" si="48"/>
        <v>1657771.78</v>
      </c>
      <c r="AJ268" s="79">
        <f t="shared" si="48"/>
        <v>405897.35</v>
      </c>
      <c r="AK268" s="70">
        <f t="shared" si="48"/>
        <v>2063669.1300000004</v>
      </c>
    </row>
    <row r="269" spans="1:37" s="10" customFormat="1" ht="12" customHeight="1">
      <c r="A269" s="2"/>
      <c r="B269" s="6"/>
      <c r="C269" s="6"/>
      <c r="D269" s="7"/>
      <c r="E269" s="6"/>
      <c r="F269" s="3"/>
      <c r="G269" s="4"/>
      <c r="H269" s="7"/>
      <c r="I269" s="6"/>
      <c r="J269" s="5"/>
      <c r="K269" s="11"/>
      <c r="L269" s="11"/>
      <c r="M269" s="11"/>
      <c r="N269" s="12"/>
      <c r="O269" s="13"/>
      <c r="P269" s="12"/>
      <c r="Q269" s="13"/>
      <c r="R269" s="12"/>
      <c r="S269" s="13"/>
      <c r="T269" s="13"/>
      <c r="U269" s="1"/>
      <c r="V269" s="1"/>
      <c r="W269" s="8"/>
      <c r="X269" s="1"/>
      <c r="Y269" s="9"/>
      <c r="Z269" s="9"/>
      <c r="AA269" s="9"/>
      <c r="AB269" s="2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s="10" customFormat="1" ht="12" customHeight="1">
      <c r="A270" s="2"/>
      <c r="B270" s="6"/>
      <c r="C270" s="6"/>
      <c r="D270" s="7"/>
      <c r="E270" s="6"/>
      <c r="F270" s="3"/>
      <c r="G270" s="4"/>
      <c r="H270" s="7"/>
      <c r="I270" s="6"/>
      <c r="J270" s="5"/>
      <c r="K270" s="11"/>
      <c r="L270" s="11"/>
      <c r="M270" s="11"/>
      <c r="N270" s="12"/>
      <c r="O270" s="13"/>
      <c r="P270" s="12"/>
      <c r="Q270" s="13"/>
      <c r="R270" s="12"/>
      <c r="S270" s="13"/>
      <c r="T270" s="13"/>
      <c r="U270" s="1"/>
      <c r="V270" s="1"/>
      <c r="W270" s="8"/>
      <c r="X270" s="1"/>
      <c r="Y270" s="9"/>
      <c r="Z270" s="9"/>
      <c r="AA270" s="9"/>
      <c r="AB270" s="2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s="10" customFormat="1" ht="12" customHeight="1">
      <c r="A271" s="2"/>
      <c r="B271" s="6"/>
      <c r="C271" s="6"/>
      <c r="D271" s="7"/>
      <c r="E271" s="6"/>
      <c r="F271" s="3"/>
      <c r="G271" s="4"/>
      <c r="H271" s="7"/>
      <c r="I271" s="6"/>
      <c r="J271" s="5"/>
      <c r="K271" s="11"/>
      <c r="L271" s="11"/>
      <c r="M271" s="11"/>
      <c r="N271" s="12"/>
      <c r="O271" s="13"/>
      <c r="P271" s="12"/>
      <c r="Q271" s="13"/>
      <c r="R271" s="12"/>
      <c r="S271" s="13"/>
      <c r="T271" s="13"/>
      <c r="U271" s="1"/>
      <c r="V271" s="1"/>
      <c r="W271" s="8"/>
      <c r="X271" s="1"/>
      <c r="Y271" s="9"/>
      <c r="Z271" s="9"/>
      <c r="AA271" s="9"/>
      <c r="AB271" s="2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s="10" customFormat="1" ht="12" customHeight="1">
      <c r="A272" s="2"/>
      <c r="B272" s="6"/>
      <c r="C272" s="6"/>
      <c r="D272" s="7"/>
      <c r="E272" s="6"/>
      <c r="F272" s="3"/>
      <c r="G272" s="4"/>
      <c r="H272" s="7"/>
      <c r="I272" s="6"/>
      <c r="J272" s="5"/>
      <c r="K272" s="11"/>
      <c r="L272" s="11"/>
      <c r="M272" s="11"/>
      <c r="N272" s="12"/>
      <c r="O272" s="13"/>
      <c r="P272" s="12"/>
      <c r="Q272" s="13"/>
      <c r="R272" s="12"/>
      <c r="S272" s="13"/>
      <c r="T272" s="13"/>
      <c r="U272" s="1"/>
      <c r="V272" s="1"/>
      <c r="W272" s="8"/>
      <c r="X272" s="1"/>
      <c r="Y272" s="9"/>
      <c r="Z272" s="9"/>
      <c r="AA272" s="9"/>
      <c r="AB272" s="2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s="10" customFormat="1" ht="12" customHeight="1">
      <c r="A273" s="2"/>
      <c r="B273" s="6"/>
      <c r="C273" s="6"/>
      <c r="D273" s="7"/>
      <c r="E273" s="6"/>
      <c r="F273" s="3"/>
      <c r="G273" s="4"/>
      <c r="H273" s="7"/>
      <c r="I273" s="6"/>
      <c r="J273" s="5"/>
      <c r="K273" s="11"/>
      <c r="L273" s="11"/>
      <c r="M273" s="11"/>
      <c r="N273" s="12"/>
      <c r="O273" s="13"/>
      <c r="P273" s="12"/>
      <c r="Q273" s="13"/>
      <c r="R273" s="12"/>
      <c r="S273" s="13"/>
      <c r="T273" s="13"/>
      <c r="U273" s="1"/>
      <c r="V273" s="1"/>
      <c r="W273" s="8"/>
      <c r="X273" s="1"/>
      <c r="Y273" s="9"/>
      <c r="Z273" s="9"/>
      <c r="AA273" s="9"/>
      <c r="AB273" s="2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s="10" customFormat="1" ht="12" customHeight="1">
      <c r="A274" s="2"/>
      <c r="B274" s="6"/>
      <c r="C274" s="6"/>
      <c r="D274" s="7"/>
      <c r="E274" s="6"/>
      <c r="F274" s="3"/>
      <c r="G274" s="4"/>
      <c r="H274" s="7"/>
      <c r="I274" s="6"/>
      <c r="J274" s="5"/>
      <c r="K274" s="11"/>
      <c r="L274" s="11"/>
      <c r="M274" s="11"/>
      <c r="N274" s="12"/>
      <c r="O274" s="13"/>
      <c r="P274" s="12"/>
      <c r="Q274" s="13"/>
      <c r="R274" s="12"/>
      <c r="S274" s="13"/>
      <c r="T274" s="13"/>
      <c r="U274" s="1"/>
      <c r="V274" s="1"/>
      <c r="W274" s="8"/>
      <c r="X274" s="1"/>
      <c r="Y274" s="9"/>
      <c r="Z274" s="9"/>
      <c r="AA274" s="9"/>
      <c r="AB274" s="2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s="10" customFormat="1" ht="12" customHeight="1">
      <c r="A275" s="2"/>
      <c r="B275" s="6"/>
      <c r="C275" s="6"/>
      <c r="D275" s="7"/>
      <c r="E275" s="6"/>
      <c r="F275" s="3"/>
      <c r="G275" s="4"/>
      <c r="H275" s="7"/>
      <c r="I275" s="6"/>
      <c r="J275" s="5"/>
      <c r="K275" s="11"/>
      <c r="L275" s="11"/>
      <c r="M275" s="11"/>
      <c r="N275" s="12"/>
      <c r="O275" s="13"/>
      <c r="P275" s="12"/>
      <c r="Q275" s="13"/>
      <c r="R275" s="12"/>
      <c r="S275" s="13"/>
      <c r="T275" s="13"/>
      <c r="U275" s="1"/>
      <c r="V275" s="1"/>
      <c r="W275" s="8"/>
      <c r="X275" s="1"/>
      <c r="Y275" s="9"/>
      <c r="Z275" s="9"/>
      <c r="AA275" s="9"/>
      <c r="AB275" s="2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s="10" customFormat="1" ht="12" customHeight="1">
      <c r="A276" s="2"/>
      <c r="B276" s="6"/>
      <c r="C276" s="6"/>
      <c r="D276" s="7"/>
      <c r="E276" s="6"/>
      <c r="F276" s="3"/>
      <c r="G276" s="4"/>
      <c r="H276" s="7"/>
      <c r="I276" s="6"/>
      <c r="J276" s="5"/>
      <c r="K276" s="11"/>
      <c r="L276" s="11"/>
      <c r="M276" s="11"/>
      <c r="N276" s="12"/>
      <c r="O276" s="13"/>
      <c r="P276" s="12"/>
      <c r="Q276" s="13"/>
      <c r="R276" s="12"/>
      <c r="S276" s="13"/>
      <c r="T276" s="13"/>
      <c r="U276" s="1"/>
      <c r="V276" s="1"/>
      <c r="W276" s="8"/>
      <c r="X276" s="1"/>
      <c r="Y276" s="9"/>
      <c r="Z276" s="9"/>
      <c r="AA276" s="9"/>
      <c r="AB276" s="2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s="10" customFormat="1" ht="12" customHeight="1">
      <c r="A277" s="2"/>
      <c r="B277" s="6"/>
      <c r="C277" s="6"/>
      <c r="D277" s="7"/>
      <c r="E277" s="6"/>
      <c r="F277" s="3"/>
      <c r="G277" s="4"/>
      <c r="H277" s="7"/>
      <c r="I277" s="6"/>
      <c r="J277" s="5"/>
      <c r="K277" s="11"/>
      <c r="L277" s="11"/>
      <c r="M277" s="11"/>
      <c r="N277" s="12"/>
      <c r="O277" s="13"/>
      <c r="P277" s="12"/>
      <c r="Q277" s="13"/>
      <c r="R277" s="12"/>
      <c r="S277" s="13"/>
      <c r="T277" s="13"/>
      <c r="U277" s="1"/>
      <c r="V277" s="1"/>
      <c r="W277" s="8"/>
      <c r="X277" s="1"/>
      <c r="Y277" s="9"/>
      <c r="Z277" s="9"/>
      <c r="AA277" s="9"/>
      <c r="AB277" s="2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s="10" customFormat="1" ht="12" customHeight="1">
      <c r="A278" s="2"/>
      <c r="B278" s="6"/>
      <c r="C278" s="6"/>
      <c r="D278" s="7"/>
      <c r="E278" s="6"/>
      <c r="F278" s="3"/>
      <c r="G278" s="4"/>
      <c r="H278" s="7"/>
      <c r="I278" s="6"/>
      <c r="J278" s="5"/>
      <c r="K278" s="11"/>
      <c r="L278" s="11"/>
      <c r="M278" s="11"/>
      <c r="N278" s="12"/>
      <c r="O278" s="13"/>
      <c r="P278" s="12"/>
      <c r="Q278" s="13"/>
      <c r="R278" s="12"/>
      <c r="S278" s="13"/>
      <c r="T278" s="13"/>
      <c r="U278" s="1"/>
      <c r="V278" s="1"/>
      <c r="W278" s="8"/>
      <c r="X278" s="1"/>
      <c r="Y278" s="9"/>
      <c r="Z278" s="9"/>
      <c r="AA278" s="9"/>
      <c r="AB278" s="2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s="10" customFormat="1" ht="12" customHeight="1">
      <c r="A279" s="2"/>
      <c r="B279" s="6"/>
      <c r="C279" s="6"/>
      <c r="D279" s="7"/>
      <c r="E279" s="6"/>
      <c r="F279" s="3"/>
      <c r="G279" s="4"/>
      <c r="H279" s="7"/>
      <c r="I279" s="6"/>
      <c r="J279" s="5"/>
      <c r="K279" s="11"/>
      <c r="L279" s="11"/>
      <c r="M279" s="11"/>
      <c r="N279" s="12"/>
      <c r="O279" s="13"/>
      <c r="P279" s="12"/>
      <c r="Q279" s="13"/>
      <c r="R279" s="12"/>
      <c r="S279" s="13"/>
      <c r="T279" s="13"/>
      <c r="U279" s="1"/>
      <c r="V279" s="1"/>
      <c r="W279" s="8"/>
      <c r="X279" s="1"/>
      <c r="Y279" s="9"/>
      <c r="Z279" s="9"/>
      <c r="AA279" s="9"/>
      <c r="AB279" s="2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s="10" customFormat="1" ht="12" customHeight="1">
      <c r="A280" s="2"/>
      <c r="B280" s="6"/>
      <c r="C280" s="6"/>
      <c r="D280" s="7"/>
      <c r="E280" s="6"/>
      <c r="F280" s="3"/>
      <c r="G280" s="4"/>
      <c r="H280" s="7"/>
      <c r="I280" s="6"/>
      <c r="J280" s="5"/>
      <c r="K280" s="11"/>
      <c r="L280" s="11"/>
      <c r="M280" s="11"/>
      <c r="N280" s="12"/>
      <c r="O280" s="13"/>
      <c r="P280" s="12"/>
      <c r="Q280" s="13"/>
      <c r="R280" s="12"/>
      <c r="S280" s="13"/>
      <c r="T280" s="13"/>
      <c r="U280" s="1"/>
      <c r="V280" s="1"/>
      <c r="W280" s="8"/>
      <c r="X280" s="1"/>
      <c r="Y280" s="9"/>
      <c r="Z280" s="9"/>
      <c r="AA280" s="9"/>
      <c r="AB280" s="2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s="10" customFormat="1" ht="12" customHeight="1">
      <c r="A281" s="2"/>
      <c r="B281" s="6"/>
      <c r="C281" s="6"/>
      <c r="D281" s="7"/>
      <c r="E281" s="6"/>
      <c r="F281" s="3"/>
      <c r="G281" s="4"/>
      <c r="H281" s="7"/>
      <c r="I281" s="6"/>
      <c r="J281" s="5"/>
      <c r="K281" s="11"/>
      <c r="L281" s="11"/>
      <c r="M281" s="11"/>
      <c r="N281" s="12"/>
      <c r="O281" s="13"/>
      <c r="P281" s="12"/>
      <c r="Q281" s="13"/>
      <c r="R281" s="12"/>
      <c r="S281" s="13"/>
      <c r="T281" s="13"/>
      <c r="U281" s="1"/>
      <c r="V281" s="1"/>
      <c r="W281" s="8"/>
      <c r="X281" s="1"/>
      <c r="Y281" s="9"/>
      <c r="Z281" s="9"/>
      <c r="AA281" s="9"/>
      <c r="AB281" s="2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s="10" customFormat="1" ht="12" customHeight="1">
      <c r="A282" s="2"/>
      <c r="B282" s="6"/>
      <c r="C282" s="6"/>
      <c r="D282" s="7"/>
      <c r="E282" s="6"/>
      <c r="F282" s="3"/>
      <c r="G282" s="4"/>
      <c r="H282" s="7"/>
      <c r="I282" s="6"/>
      <c r="J282" s="5"/>
      <c r="K282" s="11"/>
      <c r="L282" s="11"/>
      <c r="M282" s="11"/>
      <c r="N282" s="12"/>
      <c r="O282" s="13"/>
      <c r="P282" s="12"/>
      <c r="Q282" s="13"/>
      <c r="R282" s="12"/>
      <c r="S282" s="13"/>
      <c r="T282" s="13"/>
      <c r="U282" s="1"/>
      <c r="V282" s="1"/>
      <c r="W282" s="8"/>
      <c r="X282" s="1"/>
      <c r="Y282" s="9"/>
      <c r="Z282" s="9"/>
      <c r="AA282" s="9"/>
      <c r="AB282" s="2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s="10" customFormat="1" ht="12" customHeight="1">
      <c r="A283" s="2"/>
      <c r="B283" s="6"/>
      <c r="C283" s="6"/>
      <c r="D283" s="7"/>
      <c r="E283" s="6"/>
      <c r="F283" s="3"/>
      <c r="G283" s="4"/>
      <c r="H283" s="7"/>
      <c r="I283" s="6"/>
      <c r="J283" s="5"/>
      <c r="K283" s="11"/>
      <c r="L283" s="11"/>
      <c r="M283" s="11"/>
      <c r="N283" s="12"/>
      <c r="O283" s="13"/>
      <c r="P283" s="12"/>
      <c r="Q283" s="13"/>
      <c r="R283" s="12"/>
      <c r="S283" s="13"/>
      <c r="T283" s="13"/>
      <c r="U283" s="1"/>
      <c r="V283" s="1"/>
      <c r="W283" s="8"/>
      <c r="X283" s="1"/>
      <c r="Y283" s="9"/>
      <c r="Z283" s="9"/>
      <c r="AA283" s="9"/>
      <c r="AB283" s="2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s="10" customFormat="1" ht="12" customHeight="1">
      <c r="A284" s="2"/>
      <c r="B284" s="6"/>
      <c r="C284" s="6"/>
      <c r="D284" s="7"/>
      <c r="E284" s="6"/>
      <c r="F284" s="3"/>
      <c r="G284" s="4"/>
      <c r="H284" s="7"/>
      <c r="I284" s="6"/>
      <c r="J284" s="5"/>
      <c r="K284" s="11"/>
      <c r="L284" s="11"/>
      <c r="M284" s="11"/>
      <c r="N284" s="12"/>
      <c r="O284" s="13"/>
      <c r="P284" s="12"/>
      <c r="Q284" s="13"/>
      <c r="R284" s="12"/>
      <c r="S284" s="13"/>
      <c r="T284" s="13"/>
      <c r="U284" s="1"/>
      <c r="V284" s="1"/>
      <c r="W284" s="8"/>
      <c r="X284" s="1"/>
      <c r="Y284" s="9"/>
      <c r="Z284" s="9"/>
      <c r="AA284" s="9"/>
      <c r="AB284" s="2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s="10" customFormat="1" ht="12" customHeight="1">
      <c r="A285" s="2"/>
      <c r="B285" s="6"/>
      <c r="C285" s="6"/>
      <c r="D285" s="7"/>
      <c r="E285" s="6"/>
      <c r="F285" s="3"/>
      <c r="G285" s="4"/>
      <c r="H285" s="7"/>
      <c r="I285" s="6"/>
      <c r="J285" s="5"/>
      <c r="K285" s="11"/>
      <c r="L285" s="11"/>
      <c r="M285" s="11"/>
      <c r="N285" s="12"/>
      <c r="O285" s="13"/>
      <c r="P285" s="12"/>
      <c r="Q285" s="13"/>
      <c r="R285" s="12"/>
      <c r="S285" s="13"/>
      <c r="T285" s="13"/>
      <c r="U285" s="1"/>
      <c r="V285" s="1"/>
      <c r="W285" s="8"/>
      <c r="X285" s="1"/>
      <c r="Y285" s="9"/>
      <c r="Z285" s="9"/>
      <c r="AA285" s="9"/>
      <c r="AB285" s="2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s="10" customFormat="1" ht="12" customHeight="1">
      <c r="A286" s="2"/>
      <c r="B286" s="6"/>
      <c r="C286" s="6"/>
      <c r="D286" s="7"/>
      <c r="E286" s="6"/>
      <c r="F286" s="3"/>
      <c r="G286" s="4"/>
      <c r="H286" s="7"/>
      <c r="I286" s="6"/>
      <c r="J286" s="5"/>
      <c r="K286" s="11"/>
      <c r="L286" s="11"/>
      <c r="M286" s="11"/>
      <c r="N286" s="12"/>
      <c r="O286" s="13"/>
      <c r="P286" s="12"/>
      <c r="Q286" s="13"/>
      <c r="R286" s="12"/>
      <c r="S286" s="13"/>
      <c r="T286" s="13"/>
      <c r="U286" s="1"/>
      <c r="V286" s="1"/>
      <c r="W286" s="8"/>
      <c r="X286" s="1"/>
      <c r="Y286" s="9"/>
      <c r="Z286" s="9"/>
      <c r="AA286" s="9"/>
      <c r="AB286" s="2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s="10" customFormat="1" ht="12" customHeight="1">
      <c r="A287" s="2"/>
      <c r="B287" s="6"/>
      <c r="C287" s="6"/>
      <c r="D287" s="7"/>
      <c r="E287" s="6"/>
      <c r="F287" s="3"/>
      <c r="G287" s="4"/>
      <c r="H287" s="7"/>
      <c r="I287" s="6"/>
      <c r="J287" s="5"/>
      <c r="K287" s="11"/>
      <c r="L287" s="11"/>
      <c r="M287" s="11"/>
      <c r="N287" s="12"/>
      <c r="O287" s="13"/>
      <c r="P287" s="12"/>
      <c r="Q287" s="13"/>
      <c r="R287" s="12"/>
      <c r="S287" s="13"/>
      <c r="T287" s="13"/>
      <c r="U287" s="1"/>
      <c r="V287" s="1"/>
      <c r="W287" s="8"/>
      <c r="X287" s="1"/>
      <c r="Y287" s="9"/>
      <c r="Z287" s="9"/>
      <c r="AA287" s="9"/>
      <c r="AB287" s="2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s="10" customFormat="1" ht="12" customHeight="1">
      <c r="A288" s="2"/>
      <c r="B288" s="6"/>
      <c r="C288" s="6"/>
      <c r="D288" s="7"/>
      <c r="E288" s="6"/>
      <c r="F288" s="3"/>
      <c r="G288" s="4"/>
      <c r="H288" s="7"/>
      <c r="I288" s="6"/>
      <c r="J288" s="5"/>
      <c r="K288" s="11"/>
      <c r="L288" s="11"/>
      <c r="M288" s="11"/>
      <c r="N288" s="12"/>
      <c r="O288" s="13"/>
      <c r="P288" s="12"/>
      <c r="Q288" s="13"/>
      <c r="R288" s="12"/>
      <c r="S288" s="13"/>
      <c r="T288" s="13"/>
      <c r="U288" s="1"/>
      <c r="V288" s="1"/>
      <c r="W288" s="8"/>
      <c r="X288" s="1"/>
      <c r="Y288" s="9"/>
      <c r="Z288" s="9"/>
      <c r="AA288" s="9"/>
      <c r="AB288" s="2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s="10" customFormat="1" ht="12" customHeight="1">
      <c r="A289" s="2"/>
      <c r="B289" s="6"/>
      <c r="C289" s="6"/>
      <c r="D289" s="7"/>
      <c r="E289" s="6"/>
      <c r="F289" s="3"/>
      <c r="G289" s="4"/>
      <c r="H289" s="7"/>
      <c r="I289" s="6"/>
      <c r="J289" s="5"/>
      <c r="K289" s="11"/>
      <c r="L289" s="11"/>
      <c r="M289" s="11"/>
      <c r="N289" s="12"/>
      <c r="O289" s="13"/>
      <c r="P289" s="12"/>
      <c r="Q289" s="13"/>
      <c r="R289" s="12"/>
      <c r="S289" s="13"/>
      <c r="T289" s="13"/>
      <c r="U289" s="1"/>
      <c r="V289" s="1"/>
      <c r="W289" s="8"/>
      <c r="X289" s="1"/>
      <c r="Y289" s="9"/>
      <c r="Z289" s="9"/>
      <c r="AA289" s="9"/>
      <c r="AB289" s="2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s="10" customFormat="1" ht="12" customHeight="1">
      <c r="A290" s="2"/>
      <c r="B290" s="6"/>
      <c r="C290" s="6"/>
      <c r="D290" s="7"/>
      <c r="E290" s="6"/>
      <c r="F290" s="3"/>
      <c r="G290" s="4"/>
      <c r="H290" s="7"/>
      <c r="I290" s="6"/>
      <c r="J290" s="5"/>
      <c r="K290" s="11"/>
      <c r="L290" s="11"/>
      <c r="M290" s="11"/>
      <c r="N290" s="12"/>
      <c r="O290" s="13"/>
      <c r="P290" s="12"/>
      <c r="Q290" s="13"/>
      <c r="R290" s="12"/>
      <c r="S290" s="13"/>
      <c r="T290" s="13"/>
      <c r="U290" s="1"/>
      <c r="V290" s="1"/>
      <c r="W290" s="8"/>
      <c r="X290" s="1"/>
      <c r="Y290" s="9"/>
      <c r="Z290" s="9"/>
      <c r="AA290" s="9"/>
      <c r="AB290" s="2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s="10" customFormat="1" ht="12" customHeight="1">
      <c r="A291" s="2"/>
      <c r="B291" s="6"/>
      <c r="C291" s="6"/>
      <c r="D291" s="7"/>
      <c r="E291" s="6"/>
      <c r="F291" s="3"/>
      <c r="G291" s="4"/>
      <c r="H291" s="7"/>
      <c r="I291" s="6"/>
      <c r="J291" s="5"/>
      <c r="K291" s="11"/>
      <c r="L291" s="11"/>
      <c r="M291" s="11"/>
      <c r="N291" s="12"/>
      <c r="O291" s="13"/>
      <c r="P291" s="12"/>
      <c r="Q291" s="13"/>
      <c r="R291" s="12"/>
      <c r="S291" s="13"/>
      <c r="T291" s="13"/>
      <c r="U291" s="1"/>
      <c r="V291" s="1"/>
      <c r="W291" s="8"/>
      <c r="X291" s="1"/>
      <c r="Y291" s="9"/>
      <c r="Z291" s="9"/>
      <c r="AA291" s="9"/>
      <c r="AB291" s="2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s="10" customFormat="1" ht="12" customHeight="1">
      <c r="A292" s="2"/>
      <c r="B292" s="6"/>
      <c r="C292" s="6"/>
      <c r="D292" s="7"/>
      <c r="E292" s="6"/>
      <c r="F292" s="3"/>
      <c r="G292" s="4"/>
      <c r="H292" s="7"/>
      <c r="I292" s="6"/>
      <c r="J292" s="5"/>
      <c r="K292" s="11"/>
      <c r="L292" s="11"/>
      <c r="M292" s="11"/>
      <c r="N292" s="12"/>
      <c r="O292" s="13"/>
      <c r="P292" s="12"/>
      <c r="Q292" s="13"/>
      <c r="R292" s="12"/>
      <c r="S292" s="13"/>
      <c r="T292" s="13"/>
      <c r="U292" s="1"/>
      <c r="V292" s="1"/>
      <c r="W292" s="8"/>
      <c r="X292" s="1"/>
      <c r="Y292" s="9"/>
      <c r="Z292" s="9"/>
      <c r="AA292" s="9"/>
      <c r="AB292" s="2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s="10" customFormat="1" ht="12" customHeight="1">
      <c r="A293" s="2"/>
      <c r="B293" s="6"/>
      <c r="C293" s="6"/>
      <c r="D293" s="7"/>
      <c r="E293" s="6"/>
      <c r="F293" s="3"/>
      <c r="G293" s="4"/>
      <c r="H293" s="7"/>
      <c r="I293" s="6"/>
      <c r="J293" s="5"/>
      <c r="K293" s="11"/>
      <c r="L293" s="11"/>
      <c r="M293" s="11"/>
      <c r="N293" s="12"/>
      <c r="O293" s="13"/>
      <c r="P293" s="12"/>
      <c r="Q293" s="13"/>
      <c r="R293" s="12"/>
      <c r="S293" s="13"/>
      <c r="T293" s="13"/>
      <c r="U293" s="1"/>
      <c r="V293" s="1"/>
      <c r="W293" s="8"/>
      <c r="X293" s="1"/>
      <c r="Y293" s="9"/>
      <c r="Z293" s="9"/>
      <c r="AA293" s="9"/>
      <c r="AB293" s="2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s="10" customFormat="1" ht="12" customHeight="1">
      <c r="A294" s="2"/>
      <c r="B294" s="6"/>
      <c r="C294" s="6"/>
      <c r="D294" s="7"/>
      <c r="E294" s="6"/>
      <c r="F294" s="3"/>
      <c r="G294" s="4"/>
      <c r="H294" s="7"/>
      <c r="I294" s="6"/>
      <c r="J294" s="5"/>
      <c r="K294" s="11"/>
      <c r="L294" s="11"/>
      <c r="M294" s="11"/>
      <c r="N294" s="12"/>
      <c r="O294" s="13"/>
      <c r="P294" s="12"/>
      <c r="Q294" s="13"/>
      <c r="R294" s="12"/>
      <c r="S294" s="13"/>
      <c r="T294" s="13"/>
      <c r="U294" s="1"/>
      <c r="V294" s="1"/>
      <c r="W294" s="8"/>
      <c r="X294" s="1"/>
      <c r="Y294" s="9"/>
      <c r="Z294" s="9"/>
      <c r="AA294" s="9"/>
      <c r="AB294" s="2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s="10" customFormat="1" ht="12" customHeight="1">
      <c r="A295" s="2"/>
      <c r="B295" s="6"/>
      <c r="C295" s="6"/>
      <c r="D295" s="7"/>
      <c r="E295" s="6"/>
      <c r="F295" s="3"/>
      <c r="G295" s="4"/>
      <c r="H295" s="7"/>
      <c r="I295" s="6"/>
      <c r="J295" s="5"/>
      <c r="K295" s="11"/>
      <c r="L295" s="11"/>
      <c r="M295" s="11"/>
      <c r="N295" s="12"/>
      <c r="O295" s="13"/>
      <c r="P295" s="12"/>
      <c r="Q295" s="13"/>
      <c r="R295" s="12"/>
      <c r="S295" s="13"/>
      <c r="T295" s="13"/>
      <c r="U295" s="1"/>
      <c r="V295" s="1"/>
      <c r="W295" s="8"/>
      <c r="X295" s="1"/>
      <c r="Y295" s="9"/>
      <c r="Z295" s="9"/>
      <c r="AA295" s="9"/>
      <c r="AB295" s="2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s="10" customFormat="1" ht="12" customHeight="1">
      <c r="A296" s="2"/>
      <c r="B296" s="6"/>
      <c r="C296" s="6"/>
      <c r="D296" s="7"/>
      <c r="E296" s="6"/>
      <c r="F296" s="3"/>
      <c r="G296" s="4"/>
      <c r="H296" s="7"/>
      <c r="I296" s="6"/>
      <c r="J296" s="5"/>
      <c r="K296" s="11"/>
      <c r="L296" s="11"/>
      <c r="M296" s="11"/>
      <c r="N296" s="12"/>
      <c r="O296" s="13"/>
      <c r="P296" s="12"/>
      <c r="Q296" s="13"/>
      <c r="R296" s="12"/>
      <c r="S296" s="13"/>
      <c r="T296" s="13"/>
      <c r="U296" s="1"/>
      <c r="V296" s="1"/>
      <c r="W296" s="8"/>
      <c r="X296" s="1"/>
      <c r="Y296" s="9"/>
      <c r="Z296" s="9"/>
      <c r="AA296" s="9"/>
      <c r="AB296" s="2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s="10" customFormat="1" ht="12" customHeight="1">
      <c r="A297" s="2"/>
      <c r="B297" s="6"/>
      <c r="C297" s="6"/>
      <c r="D297" s="7"/>
      <c r="E297" s="6"/>
      <c r="F297" s="3"/>
      <c r="G297" s="4"/>
      <c r="H297" s="7"/>
      <c r="I297" s="6"/>
      <c r="J297" s="5"/>
      <c r="K297" s="11"/>
      <c r="L297" s="11"/>
      <c r="M297" s="11"/>
      <c r="N297" s="12"/>
      <c r="O297" s="13"/>
      <c r="P297" s="12"/>
      <c r="Q297" s="13"/>
      <c r="R297" s="12"/>
      <c r="S297" s="13"/>
      <c r="T297" s="13"/>
      <c r="U297" s="1"/>
      <c r="V297" s="1"/>
      <c r="W297" s="8"/>
      <c r="X297" s="1"/>
      <c r="Y297" s="9"/>
      <c r="Z297" s="9"/>
      <c r="AA297" s="9"/>
      <c r="AB297" s="2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s="10" customFormat="1" ht="12" customHeight="1">
      <c r="A298" s="2"/>
      <c r="B298" s="6"/>
      <c r="C298" s="6"/>
      <c r="D298" s="7"/>
      <c r="E298" s="6"/>
      <c r="F298" s="3"/>
      <c r="G298" s="4"/>
      <c r="H298" s="7"/>
      <c r="I298" s="6"/>
      <c r="J298" s="5"/>
      <c r="K298" s="11"/>
      <c r="L298" s="11"/>
      <c r="M298" s="11"/>
      <c r="N298" s="12"/>
      <c r="O298" s="13"/>
      <c r="P298" s="12"/>
      <c r="Q298" s="13"/>
      <c r="R298" s="12"/>
      <c r="S298" s="13"/>
      <c r="T298" s="13"/>
      <c r="U298" s="1"/>
      <c r="V298" s="1"/>
      <c r="W298" s="8"/>
      <c r="X298" s="1"/>
      <c r="Y298" s="9"/>
      <c r="Z298" s="9"/>
      <c r="AA298" s="9"/>
      <c r="AB298" s="2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s="10" customFormat="1" ht="12" customHeight="1">
      <c r="A299" s="2"/>
      <c r="B299" s="6"/>
      <c r="C299" s="6"/>
      <c r="D299" s="7"/>
      <c r="E299" s="6"/>
      <c r="F299" s="3"/>
      <c r="G299" s="4"/>
      <c r="H299" s="7"/>
      <c r="I299" s="6"/>
      <c r="J299" s="5"/>
      <c r="K299" s="11"/>
      <c r="L299" s="11"/>
      <c r="M299" s="11"/>
      <c r="N299" s="12"/>
      <c r="O299" s="13"/>
      <c r="P299" s="12"/>
      <c r="Q299" s="13"/>
      <c r="R299" s="12"/>
      <c r="S299" s="13"/>
      <c r="T299" s="13"/>
      <c r="U299" s="1"/>
      <c r="V299" s="1"/>
      <c r="W299" s="8"/>
      <c r="X299" s="1"/>
      <c r="Y299" s="9"/>
      <c r="Z299" s="9"/>
      <c r="AA299" s="9"/>
      <c r="AB299" s="2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s="10" customFormat="1" ht="12" customHeight="1">
      <c r="A300" s="2"/>
      <c r="B300" s="6"/>
      <c r="C300" s="6"/>
      <c r="D300" s="7"/>
      <c r="E300" s="6"/>
      <c r="F300" s="3"/>
      <c r="G300" s="4"/>
      <c r="H300" s="7"/>
      <c r="I300" s="6"/>
      <c r="J300" s="5"/>
      <c r="K300" s="11"/>
      <c r="L300" s="11"/>
      <c r="M300" s="11"/>
      <c r="N300" s="12"/>
      <c r="O300" s="13"/>
      <c r="P300" s="12"/>
      <c r="Q300" s="13"/>
      <c r="R300" s="12"/>
      <c r="S300" s="13"/>
      <c r="T300" s="13"/>
      <c r="U300" s="1"/>
      <c r="V300" s="1"/>
      <c r="W300" s="8"/>
      <c r="X300" s="1"/>
      <c r="Y300" s="9"/>
      <c r="Z300" s="9"/>
      <c r="AA300" s="9"/>
      <c r="AB300" s="2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s="10" customFormat="1" ht="12" customHeight="1">
      <c r="A301" s="2"/>
      <c r="B301" s="6"/>
      <c r="C301" s="6"/>
      <c r="D301" s="7"/>
      <c r="E301" s="6"/>
      <c r="F301" s="3"/>
      <c r="G301" s="4"/>
      <c r="H301" s="7"/>
      <c r="I301" s="6"/>
      <c r="J301" s="5"/>
      <c r="K301" s="11"/>
      <c r="L301" s="11"/>
      <c r="M301" s="11"/>
      <c r="N301" s="12"/>
      <c r="O301" s="13"/>
      <c r="P301" s="12"/>
      <c r="Q301" s="13"/>
      <c r="R301" s="12"/>
      <c r="S301" s="13"/>
      <c r="T301" s="13"/>
      <c r="U301" s="1"/>
      <c r="V301" s="1"/>
      <c r="W301" s="8"/>
      <c r="X301" s="1"/>
      <c r="Y301" s="9"/>
      <c r="Z301" s="9"/>
      <c r="AA301" s="9"/>
      <c r="AB301" s="2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s="10" customFormat="1" ht="12" customHeight="1">
      <c r="A302" s="2"/>
      <c r="B302" s="6"/>
      <c r="C302" s="6"/>
      <c r="D302" s="7"/>
      <c r="E302" s="6"/>
      <c r="F302" s="3"/>
      <c r="G302" s="4"/>
      <c r="H302" s="7"/>
      <c r="I302" s="6"/>
      <c r="J302" s="5"/>
      <c r="K302" s="11"/>
      <c r="L302" s="11"/>
      <c r="M302" s="11"/>
      <c r="N302" s="12"/>
      <c r="O302" s="13"/>
      <c r="P302" s="12"/>
      <c r="Q302" s="13"/>
      <c r="R302" s="12"/>
      <c r="S302" s="13"/>
      <c r="T302" s="13"/>
      <c r="U302" s="1"/>
      <c r="V302" s="1"/>
      <c r="W302" s="8"/>
      <c r="X302" s="1"/>
      <c r="Y302" s="9"/>
      <c r="Z302" s="9"/>
      <c r="AA302" s="9"/>
      <c r="AB302" s="2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s="10" customFormat="1" ht="12" customHeight="1">
      <c r="A303" s="2"/>
      <c r="B303" s="6"/>
      <c r="C303" s="6"/>
      <c r="D303" s="7"/>
      <c r="E303" s="6"/>
      <c r="F303" s="3"/>
      <c r="G303" s="4"/>
      <c r="H303" s="7"/>
      <c r="I303" s="6"/>
      <c r="J303" s="5"/>
      <c r="K303" s="11"/>
      <c r="L303" s="11"/>
      <c r="M303" s="11"/>
      <c r="N303" s="12"/>
      <c r="O303" s="13"/>
      <c r="P303" s="12"/>
      <c r="Q303" s="13"/>
      <c r="R303" s="12"/>
      <c r="S303" s="13"/>
      <c r="T303" s="13"/>
      <c r="U303" s="1"/>
      <c r="V303" s="1"/>
      <c r="W303" s="8"/>
      <c r="X303" s="1"/>
      <c r="Y303" s="9"/>
      <c r="Z303" s="9"/>
      <c r="AA303" s="9"/>
      <c r="AB303" s="2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s="10" customFormat="1" ht="12" customHeight="1">
      <c r="A304" s="2"/>
      <c r="B304" s="6"/>
      <c r="C304" s="6"/>
      <c r="D304" s="7"/>
      <c r="E304" s="6"/>
      <c r="F304" s="3"/>
      <c r="G304" s="4"/>
      <c r="H304" s="7"/>
      <c r="I304" s="6"/>
      <c r="J304" s="5"/>
      <c r="K304" s="11"/>
      <c r="L304" s="11"/>
      <c r="M304" s="11"/>
      <c r="N304" s="12"/>
      <c r="O304" s="13"/>
      <c r="P304" s="12"/>
      <c r="Q304" s="13"/>
      <c r="R304" s="12"/>
      <c r="S304" s="13"/>
      <c r="T304" s="13"/>
      <c r="U304" s="1"/>
      <c r="V304" s="1"/>
      <c r="W304" s="8"/>
      <c r="X304" s="1"/>
      <c r="Y304" s="9"/>
      <c r="Z304" s="9"/>
      <c r="AA304" s="9"/>
      <c r="AB304" s="2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s="10" customFormat="1" ht="12" customHeight="1">
      <c r="A305" s="2"/>
      <c r="B305" s="6"/>
      <c r="C305" s="6"/>
      <c r="D305" s="7"/>
      <c r="E305" s="6"/>
      <c r="F305" s="3"/>
      <c r="G305" s="4"/>
      <c r="H305" s="7"/>
      <c r="I305" s="6"/>
      <c r="J305" s="5"/>
      <c r="K305" s="11"/>
      <c r="L305" s="11"/>
      <c r="M305" s="11"/>
      <c r="N305" s="12"/>
      <c r="O305" s="13"/>
      <c r="P305" s="12"/>
      <c r="Q305" s="13"/>
      <c r="R305" s="12"/>
      <c r="S305" s="13"/>
      <c r="T305" s="13"/>
      <c r="U305" s="1"/>
      <c r="V305" s="1"/>
      <c r="W305" s="8"/>
      <c r="X305" s="1"/>
      <c r="Y305" s="9"/>
      <c r="Z305" s="9"/>
      <c r="AA305" s="9"/>
      <c r="AB305" s="2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s="10" customFormat="1" ht="12" customHeight="1">
      <c r="A306" s="2"/>
      <c r="B306" s="6"/>
      <c r="C306" s="6"/>
      <c r="D306" s="7"/>
      <c r="E306" s="6"/>
      <c r="F306" s="3"/>
      <c r="G306" s="4"/>
      <c r="H306" s="7"/>
      <c r="I306" s="6"/>
      <c r="J306" s="5"/>
      <c r="K306" s="11"/>
      <c r="L306" s="11"/>
      <c r="M306" s="11"/>
      <c r="N306" s="12"/>
      <c r="O306" s="13"/>
      <c r="P306" s="12"/>
      <c r="Q306" s="13"/>
      <c r="R306" s="12"/>
      <c r="S306" s="13"/>
      <c r="T306" s="13"/>
      <c r="U306" s="1"/>
      <c r="V306" s="1"/>
      <c r="W306" s="8"/>
      <c r="X306" s="1"/>
      <c r="Y306" s="9"/>
      <c r="Z306" s="9"/>
      <c r="AA306" s="9"/>
      <c r="AB306" s="2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s="10" customFormat="1" ht="12" customHeight="1">
      <c r="A307" s="2"/>
      <c r="B307" s="6"/>
      <c r="C307" s="6"/>
      <c r="D307" s="7"/>
      <c r="E307" s="6"/>
      <c r="F307" s="3"/>
      <c r="G307" s="4"/>
      <c r="H307" s="7"/>
      <c r="I307" s="6"/>
      <c r="J307" s="5"/>
      <c r="K307" s="11"/>
      <c r="L307" s="11"/>
      <c r="M307" s="11"/>
      <c r="N307" s="12"/>
      <c r="O307" s="13"/>
      <c r="P307" s="12"/>
      <c r="Q307" s="13"/>
      <c r="R307" s="12"/>
      <c r="S307" s="13"/>
      <c r="T307" s="13"/>
      <c r="U307" s="1"/>
      <c r="V307" s="1"/>
      <c r="W307" s="8"/>
      <c r="X307" s="1"/>
      <c r="Y307" s="9"/>
      <c r="Z307" s="9"/>
      <c r="AA307" s="9"/>
      <c r="AB307" s="2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s="10" customFormat="1" ht="12" customHeight="1">
      <c r="A308" s="2"/>
      <c r="B308" s="6"/>
      <c r="C308" s="6"/>
      <c r="D308" s="7"/>
      <c r="E308" s="6"/>
      <c r="F308" s="3"/>
      <c r="G308" s="4"/>
      <c r="H308" s="7"/>
      <c r="I308" s="6"/>
      <c r="J308" s="5"/>
      <c r="K308" s="11"/>
      <c r="L308" s="11"/>
      <c r="M308" s="11"/>
      <c r="N308" s="12"/>
      <c r="O308" s="13"/>
      <c r="P308" s="12"/>
      <c r="Q308" s="13"/>
      <c r="R308" s="12"/>
      <c r="S308" s="13"/>
      <c r="T308" s="13"/>
      <c r="U308" s="1"/>
      <c r="V308" s="1"/>
      <c r="W308" s="8"/>
      <c r="X308" s="1"/>
      <c r="Y308" s="9"/>
      <c r="Z308" s="9"/>
      <c r="AA308" s="9"/>
      <c r="AB308" s="2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s="10" customFormat="1" ht="12" customHeight="1">
      <c r="A309" s="2"/>
      <c r="B309" s="6"/>
      <c r="C309" s="6"/>
      <c r="D309" s="7"/>
      <c r="E309" s="6"/>
      <c r="F309" s="3"/>
      <c r="G309" s="4"/>
      <c r="H309" s="7"/>
      <c r="I309" s="6"/>
      <c r="J309" s="5"/>
      <c r="K309" s="11"/>
      <c r="L309" s="11"/>
      <c r="M309" s="11"/>
      <c r="N309" s="12"/>
      <c r="O309" s="13"/>
      <c r="P309" s="12"/>
      <c r="Q309" s="13"/>
      <c r="R309" s="12"/>
      <c r="S309" s="13"/>
      <c r="T309" s="13"/>
      <c r="U309" s="1"/>
      <c r="V309" s="1"/>
      <c r="W309" s="8"/>
      <c r="X309" s="1"/>
      <c r="Y309" s="9"/>
      <c r="Z309" s="9"/>
      <c r="AA309" s="9"/>
      <c r="AB309" s="2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s="10" customFormat="1" ht="12" customHeight="1">
      <c r="A310" s="2"/>
      <c r="B310" s="6"/>
      <c r="C310" s="6"/>
      <c r="D310" s="7"/>
      <c r="E310" s="6"/>
      <c r="F310" s="3"/>
      <c r="G310" s="4"/>
      <c r="H310" s="7"/>
      <c r="I310" s="6"/>
      <c r="J310" s="5"/>
      <c r="K310" s="11"/>
      <c r="L310" s="11"/>
      <c r="M310" s="11"/>
      <c r="N310" s="12"/>
      <c r="O310" s="13"/>
      <c r="P310" s="12"/>
      <c r="Q310" s="13"/>
      <c r="R310" s="12"/>
      <c r="S310" s="13"/>
      <c r="T310" s="13"/>
      <c r="U310" s="1"/>
      <c r="V310" s="1"/>
      <c r="W310" s="8"/>
      <c r="X310" s="1"/>
      <c r="Y310" s="9"/>
      <c r="Z310" s="9"/>
      <c r="AA310" s="9"/>
      <c r="AB310" s="2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s="10" customFormat="1" ht="12" customHeight="1">
      <c r="A311" s="2"/>
      <c r="B311" s="6"/>
      <c r="C311" s="6"/>
      <c r="D311" s="7"/>
      <c r="E311" s="6"/>
      <c r="F311" s="3"/>
      <c r="G311" s="4"/>
      <c r="H311" s="7"/>
      <c r="I311" s="6"/>
      <c r="J311" s="5"/>
      <c r="K311" s="11"/>
      <c r="L311" s="11"/>
      <c r="M311" s="11"/>
      <c r="N311" s="12"/>
      <c r="O311" s="13"/>
      <c r="P311" s="12"/>
      <c r="Q311" s="13"/>
      <c r="R311" s="12"/>
      <c r="S311" s="13"/>
      <c r="T311" s="13"/>
      <c r="U311" s="1"/>
      <c r="V311" s="1"/>
      <c r="W311" s="8"/>
      <c r="X311" s="1"/>
      <c r="Y311" s="9"/>
      <c r="Z311" s="9"/>
      <c r="AA311" s="9"/>
      <c r="AB311" s="2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ht="12" customHeight="1"/>
  </sheetData>
  <mergeCells count="5">
    <mergeCell ref="U2:AB2"/>
    <mergeCell ref="AC2:AE2"/>
    <mergeCell ref="AF2:AH2"/>
    <mergeCell ref="AI2:AK2"/>
    <mergeCell ref="A268:T268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3C04-57F6-44B8-BC3A-8F3636DDA08B}">
  <dimension ref="A3:E27"/>
  <sheetViews>
    <sheetView workbookViewId="0">
      <selection activeCell="E9" activeCellId="5" sqref="E4:E6 A4:A6 A7 E7 A9 E9"/>
    </sheetView>
  </sheetViews>
  <sheetFormatPr defaultRowHeight="16.5"/>
  <cols>
    <col min="1" max="1" width="18.875" bestFit="1" customWidth="1"/>
    <col min="2" max="2" width="20.75" bestFit="1" customWidth="1"/>
    <col min="3" max="3" width="22.5" bestFit="1" customWidth="1"/>
  </cols>
  <sheetData>
    <row r="3" spans="1:5">
      <c r="A3" s="98" t="s">
        <v>442</v>
      </c>
      <c r="B3" t="s">
        <v>1315</v>
      </c>
      <c r="C3" t="s">
        <v>1314</v>
      </c>
    </row>
    <row r="4" spans="1:5">
      <c r="A4" s="99" t="s">
        <v>14</v>
      </c>
      <c r="B4" s="100">
        <v>488705.0149999999</v>
      </c>
      <c r="C4" s="100">
        <v>2708250</v>
      </c>
      <c r="D4" s="134">
        <f>+B4/C4</f>
        <v>0.18045048093787497</v>
      </c>
      <c r="E4" s="137">
        <f>1/D4</f>
        <v>5.5416865325190097</v>
      </c>
    </row>
    <row r="5" spans="1:5">
      <c r="A5" s="99" t="s">
        <v>21</v>
      </c>
      <c r="B5" s="100">
        <v>385738.75750000001</v>
      </c>
      <c r="C5" s="100">
        <v>2197350</v>
      </c>
      <c r="D5" s="134">
        <f t="shared" ref="D5:D24" si="0">+B5/C5</f>
        <v>0.17554725350990966</v>
      </c>
      <c r="E5" s="137">
        <f t="shared" ref="E5:E27" si="1">1/D5</f>
        <v>5.696471918562656</v>
      </c>
    </row>
    <row r="6" spans="1:5">
      <c r="A6" s="99" t="s">
        <v>267</v>
      </c>
      <c r="B6" s="100">
        <v>243450.28000000003</v>
      </c>
      <c r="C6" s="100">
        <v>1297300</v>
      </c>
      <c r="D6" s="134">
        <f t="shared" si="0"/>
        <v>0.18765919987666693</v>
      </c>
      <c r="E6" s="137">
        <f t="shared" si="1"/>
        <v>5.3288088228939392</v>
      </c>
    </row>
    <row r="7" spans="1:5">
      <c r="A7" s="99" t="s">
        <v>24</v>
      </c>
      <c r="B7" s="100">
        <v>118513.33750000001</v>
      </c>
      <c r="C7" s="100">
        <v>807500</v>
      </c>
      <c r="D7" s="134">
        <f t="shared" si="0"/>
        <v>0.14676574303405573</v>
      </c>
      <c r="E7" s="137">
        <f t="shared" si="1"/>
        <v>6.8135791045459335</v>
      </c>
    </row>
    <row r="8" spans="1:5">
      <c r="A8" s="99" t="s">
        <v>44</v>
      </c>
      <c r="B8" s="100">
        <v>100235.34749999999</v>
      </c>
      <c r="C8" s="100">
        <v>565550</v>
      </c>
      <c r="D8" s="134">
        <f t="shared" si="0"/>
        <v>0.17723516488374147</v>
      </c>
      <c r="E8" s="137">
        <f t="shared" si="1"/>
        <v>5.6422211735236418</v>
      </c>
    </row>
    <row r="9" spans="1:5">
      <c r="A9" s="99" t="s">
        <v>167</v>
      </c>
      <c r="B9" s="100">
        <v>89333.931999999972</v>
      </c>
      <c r="C9" s="100">
        <v>389450</v>
      </c>
      <c r="D9" s="134">
        <f t="shared" si="0"/>
        <v>0.22938485556554108</v>
      </c>
      <c r="E9" s="137">
        <f t="shared" si="1"/>
        <v>4.3594857103121809</v>
      </c>
    </row>
    <row r="10" spans="1:5">
      <c r="A10" s="99" t="s">
        <v>527</v>
      </c>
      <c r="B10" s="100">
        <v>43415.831000000006</v>
      </c>
      <c r="C10" s="100">
        <v>204150</v>
      </c>
      <c r="D10" s="134">
        <f t="shared" si="0"/>
        <v>0.21266632867989227</v>
      </c>
      <c r="E10" s="137">
        <f t="shared" si="1"/>
        <v>4.702201830479761</v>
      </c>
    </row>
    <row r="11" spans="1:5">
      <c r="A11" s="99" t="s">
        <v>124</v>
      </c>
      <c r="B11" s="100">
        <v>33809.100000000006</v>
      </c>
      <c r="C11" s="100">
        <v>171000</v>
      </c>
      <c r="D11" s="134">
        <f t="shared" si="0"/>
        <v>0.19771403508771934</v>
      </c>
      <c r="E11" s="137">
        <f t="shared" si="1"/>
        <v>5.0578098795886302</v>
      </c>
    </row>
    <row r="12" spans="1:5">
      <c r="A12" s="99" t="s">
        <v>293</v>
      </c>
      <c r="B12" s="100">
        <v>29239.125</v>
      </c>
      <c r="C12" s="100">
        <v>148900</v>
      </c>
      <c r="D12" s="134">
        <f t="shared" si="0"/>
        <v>0.19636752854264608</v>
      </c>
      <c r="E12" s="137">
        <f t="shared" si="1"/>
        <v>5.092491652879489</v>
      </c>
    </row>
    <row r="13" spans="1:5">
      <c r="A13" s="99" t="s">
        <v>275</v>
      </c>
      <c r="B13" s="100">
        <v>23629.75</v>
      </c>
      <c r="C13" s="100">
        <v>129000</v>
      </c>
      <c r="D13" s="134">
        <f t="shared" si="0"/>
        <v>0.1831763565891473</v>
      </c>
      <c r="E13" s="137">
        <f t="shared" si="1"/>
        <v>5.4592198393973694</v>
      </c>
    </row>
    <row r="14" spans="1:5">
      <c r="A14" s="99" t="s">
        <v>907</v>
      </c>
      <c r="B14" s="100">
        <v>23193.719999999998</v>
      </c>
      <c r="C14" s="100">
        <v>115100</v>
      </c>
      <c r="D14" s="134">
        <f t="shared" si="0"/>
        <v>0.20150929626411815</v>
      </c>
      <c r="E14" s="137">
        <f t="shared" si="1"/>
        <v>4.9625502075561831</v>
      </c>
    </row>
    <row r="15" spans="1:5">
      <c r="A15" s="99" t="s">
        <v>76</v>
      </c>
      <c r="B15" s="100">
        <v>22968</v>
      </c>
      <c r="C15" s="100">
        <v>112500</v>
      </c>
      <c r="D15" s="134">
        <f t="shared" si="0"/>
        <v>0.20416000000000001</v>
      </c>
      <c r="E15" s="137">
        <f t="shared" si="1"/>
        <v>4.8981191222570528</v>
      </c>
    </row>
    <row r="16" spans="1:5">
      <c r="A16" s="99" t="s">
        <v>257</v>
      </c>
      <c r="B16" s="100">
        <v>22138.794999999995</v>
      </c>
      <c r="C16" s="100">
        <v>106000</v>
      </c>
      <c r="D16" s="134">
        <f t="shared" si="0"/>
        <v>0.20885655660377353</v>
      </c>
      <c r="E16" s="137">
        <f t="shared" si="1"/>
        <v>4.7879751359547811</v>
      </c>
    </row>
    <row r="17" spans="1:5">
      <c r="A17" s="99" t="s">
        <v>468</v>
      </c>
      <c r="B17" s="100">
        <v>14807.64</v>
      </c>
      <c r="C17" s="100">
        <v>88000</v>
      </c>
      <c r="D17" s="134">
        <f t="shared" si="0"/>
        <v>0.16826863636363637</v>
      </c>
      <c r="E17" s="137">
        <f t="shared" si="1"/>
        <v>5.9428781358812071</v>
      </c>
    </row>
    <row r="18" spans="1:5">
      <c r="A18" s="99" t="s">
        <v>816</v>
      </c>
      <c r="B18" s="100">
        <v>32943</v>
      </c>
      <c r="C18" s="100">
        <v>64500</v>
      </c>
      <c r="D18" s="134">
        <f t="shared" si="0"/>
        <v>0.51074418604651162</v>
      </c>
      <c r="E18" s="137">
        <f t="shared" si="1"/>
        <v>1.9579273290228576</v>
      </c>
    </row>
    <row r="19" spans="1:5">
      <c r="A19" s="99" t="s">
        <v>936</v>
      </c>
      <c r="B19" s="100">
        <v>9334</v>
      </c>
      <c r="C19" s="100">
        <v>54000</v>
      </c>
      <c r="D19" s="134">
        <f t="shared" si="0"/>
        <v>0.17285185185185184</v>
      </c>
      <c r="E19" s="137">
        <f t="shared" si="1"/>
        <v>5.7853010499250059</v>
      </c>
    </row>
    <row r="20" spans="1:5">
      <c r="A20" s="99" t="s">
        <v>262</v>
      </c>
      <c r="B20" s="100">
        <v>7998.9000000000015</v>
      </c>
      <c r="C20" s="100">
        <v>49600</v>
      </c>
      <c r="D20" s="134">
        <f t="shared" si="0"/>
        <v>0.16126814516129034</v>
      </c>
      <c r="E20" s="137">
        <f t="shared" si="1"/>
        <v>6.2008526172348688</v>
      </c>
    </row>
    <row r="21" spans="1:5">
      <c r="A21" s="99" t="s">
        <v>81</v>
      </c>
      <c r="B21" s="100">
        <v>8329.3749999999982</v>
      </c>
      <c r="C21" s="100">
        <v>44000</v>
      </c>
      <c r="D21" s="134">
        <f t="shared" si="0"/>
        <v>0.18930397727272724</v>
      </c>
      <c r="E21" s="137">
        <f t="shared" si="1"/>
        <v>5.2825091918661373</v>
      </c>
    </row>
    <row r="22" spans="1:5">
      <c r="A22" s="99" t="s">
        <v>368</v>
      </c>
      <c r="B22" s="100">
        <v>6757.5000000000009</v>
      </c>
      <c r="C22" s="100">
        <v>28800</v>
      </c>
      <c r="D22" s="134">
        <f t="shared" si="0"/>
        <v>0.23463541666666671</v>
      </c>
      <c r="E22" s="137">
        <f t="shared" si="1"/>
        <v>4.2619311875693668</v>
      </c>
    </row>
    <row r="23" spans="1:5">
      <c r="A23" s="99" t="s">
        <v>921</v>
      </c>
      <c r="B23" s="100">
        <v>4505.2000000000007</v>
      </c>
      <c r="C23" s="100">
        <v>24000</v>
      </c>
      <c r="D23" s="134">
        <f t="shared" si="0"/>
        <v>0.1877166666666667</v>
      </c>
      <c r="E23" s="137">
        <f t="shared" si="1"/>
        <v>5.3271774837965014</v>
      </c>
    </row>
    <row r="24" spans="1:5">
      <c r="A24" s="99" t="s">
        <v>895</v>
      </c>
      <c r="B24" s="100">
        <v>3874.375</v>
      </c>
      <c r="C24" s="100">
        <v>22000</v>
      </c>
      <c r="D24" s="134">
        <f t="shared" si="0"/>
        <v>0.17610795454545455</v>
      </c>
      <c r="E24" s="137">
        <f t="shared" si="1"/>
        <v>5.6783352153573157</v>
      </c>
    </row>
    <row r="25" spans="1:5">
      <c r="A25" s="99" t="s">
        <v>728</v>
      </c>
      <c r="B25" s="100">
        <v>0</v>
      </c>
      <c r="C25" s="100">
        <v>0</v>
      </c>
      <c r="D25" s="134" t="e">
        <f t="shared" ref="D25:D27" si="2">+B25/C25</f>
        <v>#DIV/0!</v>
      </c>
      <c r="E25" s="137" t="e">
        <f t="shared" si="1"/>
        <v>#DIV/0!</v>
      </c>
    </row>
    <row r="26" spans="1:5">
      <c r="A26" s="99" t="s">
        <v>443</v>
      </c>
      <c r="B26" s="100">
        <v>1712920.9804999998</v>
      </c>
      <c r="C26" s="100">
        <v>9326950</v>
      </c>
      <c r="D26" s="134">
        <f t="shared" si="2"/>
        <v>0.18365285334434084</v>
      </c>
      <c r="E26" s="137">
        <f t="shared" si="1"/>
        <v>5.4450556132936576</v>
      </c>
    </row>
    <row r="27" spans="1:5">
      <c r="D27" s="134" t="e">
        <f t="shared" si="2"/>
        <v>#DIV/0!</v>
      </c>
      <c r="E27" s="137" t="e">
        <f t="shared" si="1"/>
        <v>#DIV/0!</v>
      </c>
    </row>
  </sheetData>
  <autoFilter ref="A3:D26" xr:uid="{AF753C04-57F6-44B8-BC3A-8F3636DDA08B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DACB-F226-4326-A42D-1B0AAA733B54}">
  <dimension ref="A2:AK369"/>
  <sheetViews>
    <sheetView showGridLines="0" topLeftCell="C1" zoomScale="90" zoomScaleNormal="90" workbookViewId="0">
      <pane ySplit="3" topLeftCell="A4" activePane="bottomLeft" state="frozen"/>
      <selection pane="bottomLeft" activeCell="C3" sqref="C3:AH324"/>
    </sheetView>
  </sheetViews>
  <sheetFormatPr defaultColWidth="12.125" defaultRowHeight="13.5"/>
  <cols>
    <col min="1" max="1" width="22.125" style="2" customWidth="1"/>
    <col min="2" max="2" width="13.75" style="6" bestFit="1" customWidth="1"/>
    <col min="3" max="3" width="15.875" style="6" bestFit="1" customWidth="1"/>
    <col min="4" max="4" width="26.875" style="7" bestFit="1" customWidth="1"/>
    <col min="5" max="5" width="13.75" style="6" bestFit="1" customWidth="1"/>
    <col min="6" max="6" width="13.75" style="3" customWidth="1"/>
    <col min="7" max="7" width="14.5" style="4" customWidth="1"/>
    <col min="8" max="8" width="88.75" style="7" customWidth="1"/>
    <col min="9" max="9" width="12.75" style="6" customWidth="1"/>
    <col min="10" max="10" width="13" style="5" customWidth="1"/>
    <col min="11" max="13" width="10.625" style="11" customWidth="1"/>
    <col min="14" max="14" width="8.625" style="12" customWidth="1"/>
    <col min="15" max="15" width="8.625" style="13" customWidth="1"/>
    <col min="16" max="16" width="8.625" style="12" customWidth="1"/>
    <col min="17" max="17" width="8.625" style="13" customWidth="1"/>
    <col min="18" max="18" width="8.625" style="12" customWidth="1"/>
    <col min="19" max="20" width="8.625" style="13" customWidth="1"/>
    <col min="21" max="21" width="9.125" style="1" bestFit="1" customWidth="1"/>
    <col min="22" max="22" width="7.625" style="1" customWidth="1"/>
    <col min="23" max="23" width="7.625" style="8" customWidth="1"/>
    <col min="24" max="24" width="7.625" style="1" customWidth="1"/>
    <col min="25" max="27" width="7.625" style="9" customWidth="1"/>
    <col min="28" max="28" width="11.375" style="2" bestFit="1" customWidth="1"/>
    <col min="29" max="29" width="12.875" style="11" bestFit="1" customWidth="1"/>
    <col min="30" max="30" width="10.625" style="11" customWidth="1"/>
    <col min="31" max="31" width="14" style="11" bestFit="1" customWidth="1"/>
    <col min="32" max="32" width="12.125" style="11"/>
    <col min="33" max="33" width="10.625" style="11" customWidth="1"/>
    <col min="34" max="35" width="12.125" style="11"/>
    <col min="36" max="36" width="10.625" style="11" customWidth="1"/>
    <col min="37" max="37" width="12.125" style="11"/>
    <col min="38" max="16384" width="12.125" style="1"/>
  </cols>
  <sheetData>
    <row r="2" spans="1:37" ht="30" customHeight="1">
      <c r="L2" s="128" t="s">
        <v>461</v>
      </c>
      <c r="M2" s="11" t="s">
        <v>456</v>
      </c>
      <c r="O2" s="13" t="s">
        <v>457</v>
      </c>
      <c r="Q2" s="13" t="s">
        <v>460</v>
      </c>
      <c r="S2" s="13" t="s">
        <v>458</v>
      </c>
      <c r="T2" s="13" t="s">
        <v>459</v>
      </c>
      <c r="U2" s="144" t="s">
        <v>1309</v>
      </c>
      <c r="V2" s="144"/>
      <c r="W2" s="144"/>
      <c r="X2" s="144"/>
      <c r="Y2" s="144"/>
      <c r="Z2" s="144"/>
      <c r="AA2" s="144"/>
      <c r="AB2" s="145"/>
      <c r="AC2" s="139" t="s">
        <v>1310</v>
      </c>
      <c r="AD2" s="139"/>
      <c r="AE2" s="140"/>
      <c r="AF2" s="139" t="s">
        <v>1311</v>
      </c>
      <c r="AG2" s="139"/>
      <c r="AH2" s="140"/>
      <c r="AI2" s="139" t="s">
        <v>1312</v>
      </c>
      <c r="AJ2" s="139"/>
      <c r="AK2" s="140"/>
    </row>
    <row r="3" spans="1:37" ht="30" customHeight="1">
      <c r="A3" s="56" t="s">
        <v>0</v>
      </c>
      <c r="B3" s="57" t="s">
        <v>1</v>
      </c>
      <c r="C3" s="57" t="s">
        <v>2</v>
      </c>
      <c r="D3" s="57" t="s">
        <v>3</v>
      </c>
      <c r="E3" s="57" t="s">
        <v>4</v>
      </c>
      <c r="F3" s="58" t="s">
        <v>5</v>
      </c>
      <c r="G3" s="59" t="s">
        <v>6</v>
      </c>
      <c r="H3" s="57" t="s">
        <v>7</v>
      </c>
      <c r="I3" s="57" t="s">
        <v>8</v>
      </c>
      <c r="J3" s="60" t="s">
        <v>9</v>
      </c>
      <c r="K3" s="61" t="s">
        <v>11</v>
      </c>
      <c r="L3" s="61" t="s">
        <v>397</v>
      </c>
      <c r="M3" s="61" t="s">
        <v>396</v>
      </c>
      <c r="N3" s="62" t="s">
        <v>430</v>
      </c>
      <c r="O3" s="63" t="s">
        <v>431</v>
      </c>
      <c r="P3" s="62" t="s">
        <v>432</v>
      </c>
      <c r="Q3" s="63" t="s">
        <v>433</v>
      </c>
      <c r="R3" s="62" t="s">
        <v>434</v>
      </c>
      <c r="S3" s="63" t="s">
        <v>435</v>
      </c>
      <c r="T3" s="97" t="s">
        <v>398</v>
      </c>
      <c r="U3" s="64" t="s">
        <v>423</v>
      </c>
      <c r="V3" s="65" t="s">
        <v>422</v>
      </c>
      <c r="W3" s="66" t="s">
        <v>426</v>
      </c>
      <c r="X3" s="66" t="s">
        <v>427</v>
      </c>
      <c r="Y3" s="67" t="s">
        <v>424</v>
      </c>
      <c r="Z3" s="67" t="s">
        <v>701</v>
      </c>
      <c r="AA3" s="68" t="s">
        <v>428</v>
      </c>
      <c r="AB3" s="101" t="s">
        <v>429</v>
      </c>
      <c r="AC3" s="102" t="s">
        <v>436</v>
      </c>
      <c r="AD3" s="103" t="s">
        <v>437</v>
      </c>
      <c r="AE3" s="96" t="s">
        <v>446</v>
      </c>
      <c r="AF3" s="102" t="s">
        <v>438</v>
      </c>
      <c r="AG3" s="103" t="s">
        <v>439</v>
      </c>
      <c r="AH3" s="96" t="s">
        <v>447</v>
      </c>
      <c r="AI3" s="102" t="s">
        <v>440</v>
      </c>
      <c r="AJ3" s="103" t="s">
        <v>441</v>
      </c>
      <c r="AK3" s="96" t="s">
        <v>448</v>
      </c>
    </row>
    <row r="4" spans="1:37" ht="15.95" customHeight="1">
      <c r="A4" s="14" t="s">
        <v>702</v>
      </c>
      <c r="B4" s="14" t="s">
        <v>463</v>
      </c>
      <c r="C4" s="15" t="s">
        <v>24</v>
      </c>
      <c r="D4" s="15" t="s">
        <v>213</v>
      </c>
      <c r="E4" s="15" t="s">
        <v>214</v>
      </c>
      <c r="F4" s="15" t="s">
        <v>703</v>
      </c>
      <c r="G4" s="15"/>
      <c r="H4" s="16" t="s">
        <v>511</v>
      </c>
      <c r="I4" s="15" t="s">
        <v>27</v>
      </c>
      <c r="J4" s="17" t="s">
        <v>227</v>
      </c>
      <c r="K4" s="122">
        <v>48</v>
      </c>
      <c r="L4" s="18">
        <v>7.0475000000000003</v>
      </c>
      <c r="M4" s="109">
        <v>5.5</v>
      </c>
      <c r="N4" s="19">
        <v>0.16500000000000001</v>
      </c>
      <c r="O4" s="114">
        <v>0.90750000000000008</v>
      </c>
      <c r="P4" s="19"/>
      <c r="Q4" s="114"/>
      <c r="R4" s="19">
        <v>7.0000000000000007E-2</v>
      </c>
      <c r="S4" s="114">
        <v>0.15</v>
      </c>
      <c r="T4" s="115">
        <v>0.49</v>
      </c>
      <c r="U4" s="20">
        <v>200</v>
      </c>
      <c r="V4" s="21"/>
      <c r="W4" s="22">
        <v>400</v>
      </c>
      <c r="X4" s="21"/>
      <c r="Y4" s="21"/>
      <c r="Z4" s="21"/>
      <c r="AA4" s="23"/>
      <c r="AB4" s="24">
        <f>SUM(U4:AA4)</f>
        <v>600</v>
      </c>
      <c r="AC4" s="74">
        <f>$K4*U4</f>
        <v>9600</v>
      </c>
      <c r="AD4" s="77">
        <f>$K4*SUM(V4:AA4)</f>
        <v>19200</v>
      </c>
      <c r="AE4" s="71">
        <f>SUM(AC4:AD4)</f>
        <v>28800</v>
      </c>
      <c r="AF4" s="74">
        <f>$L4*U4</f>
        <v>1409.5</v>
      </c>
      <c r="AG4" s="77">
        <f>$L4*SUM(V4:W4)+M4*SUM(X4:AA4)</f>
        <v>2819</v>
      </c>
      <c r="AH4" s="71">
        <f>SUM(AF4:AG4)</f>
        <v>4228.5</v>
      </c>
      <c r="AI4" s="74">
        <f>$M4*U4</f>
        <v>1100</v>
      </c>
      <c r="AJ4" s="77">
        <f>$M4*SUM(V4:AA4)</f>
        <v>2200</v>
      </c>
      <c r="AK4" s="71">
        <f>SUM(AI4:AJ4)</f>
        <v>3300</v>
      </c>
    </row>
    <row r="5" spans="1:37" ht="15.95" customHeight="1">
      <c r="A5" s="25" t="s">
        <v>702</v>
      </c>
      <c r="B5" s="25" t="s">
        <v>463</v>
      </c>
      <c r="C5" s="26" t="s">
        <v>24</v>
      </c>
      <c r="D5" s="26" t="s">
        <v>213</v>
      </c>
      <c r="E5" s="26" t="s">
        <v>214</v>
      </c>
      <c r="F5" s="26" t="s">
        <v>703</v>
      </c>
      <c r="G5" s="26"/>
      <c r="H5" s="27" t="s">
        <v>234</v>
      </c>
      <c r="I5" s="26" t="s">
        <v>27</v>
      </c>
      <c r="J5" s="28" t="s">
        <v>227</v>
      </c>
      <c r="K5" s="123">
        <v>48</v>
      </c>
      <c r="L5" s="29">
        <v>7.0475000000000003</v>
      </c>
      <c r="M5" s="110">
        <v>5.5</v>
      </c>
      <c r="N5" s="30">
        <v>0.16500000000000001</v>
      </c>
      <c r="O5" s="116">
        <v>0.90750000000000008</v>
      </c>
      <c r="P5" s="30"/>
      <c r="Q5" s="116"/>
      <c r="R5" s="30">
        <v>7.0000000000000007E-2</v>
      </c>
      <c r="S5" s="116">
        <v>0.15</v>
      </c>
      <c r="T5" s="117">
        <v>0.49</v>
      </c>
      <c r="U5" s="31">
        <v>250</v>
      </c>
      <c r="V5" s="32"/>
      <c r="W5" s="33">
        <v>450</v>
      </c>
      <c r="X5" s="32"/>
      <c r="Y5" s="32"/>
      <c r="Z5" s="32"/>
      <c r="AA5" s="34"/>
      <c r="AB5" s="35">
        <f t="shared" ref="AB5:AB68" si="0">SUM(U5:AA5)</f>
        <v>700</v>
      </c>
      <c r="AC5" s="75">
        <f t="shared" ref="AC5:AC68" si="1">$K5*U5</f>
        <v>12000</v>
      </c>
      <c r="AD5" s="78">
        <f t="shared" ref="AD5:AD68" si="2">$K5*SUM(V5:AA5)</f>
        <v>21600</v>
      </c>
      <c r="AE5" s="72">
        <f t="shared" ref="AE5:AE68" si="3">SUM(AC5:AD5)</f>
        <v>33600</v>
      </c>
      <c r="AF5" s="75">
        <f t="shared" ref="AF5:AF68" si="4">$L5*U5</f>
        <v>1761.875</v>
      </c>
      <c r="AG5" s="78">
        <f t="shared" ref="AG5:AG68" si="5">$L5*SUM(V5:W5)+M5*SUM(X5:AA5)</f>
        <v>3171.375</v>
      </c>
      <c r="AH5" s="72">
        <f t="shared" ref="AH5:AH68" si="6">SUM(AF5:AG5)</f>
        <v>4933.25</v>
      </c>
      <c r="AI5" s="75">
        <f t="shared" ref="AI5:AI68" si="7">$M5*U5</f>
        <v>1375</v>
      </c>
      <c r="AJ5" s="78">
        <f t="shared" ref="AJ5:AJ68" si="8">$M5*SUM(V5:AA5)</f>
        <v>2475</v>
      </c>
      <c r="AK5" s="72">
        <f t="shared" ref="AK5:AK68" si="9">SUM(AI5:AJ5)</f>
        <v>3850</v>
      </c>
    </row>
    <row r="6" spans="1:37" ht="15.95" customHeight="1">
      <c r="A6" s="25" t="s">
        <v>702</v>
      </c>
      <c r="B6" s="25" t="s">
        <v>463</v>
      </c>
      <c r="C6" s="26" t="s">
        <v>24</v>
      </c>
      <c r="D6" s="26" t="s">
        <v>213</v>
      </c>
      <c r="E6" s="26" t="s">
        <v>214</v>
      </c>
      <c r="F6" s="26" t="s">
        <v>703</v>
      </c>
      <c r="G6" s="26"/>
      <c r="H6" s="27" t="s">
        <v>234</v>
      </c>
      <c r="I6" s="26" t="s">
        <v>27</v>
      </c>
      <c r="J6" s="28" t="s">
        <v>227</v>
      </c>
      <c r="K6" s="123">
        <v>48</v>
      </c>
      <c r="L6" s="29">
        <v>7.0475000000000003</v>
      </c>
      <c r="M6" s="110">
        <v>5.5</v>
      </c>
      <c r="N6" s="30">
        <v>0.16500000000000001</v>
      </c>
      <c r="O6" s="116">
        <v>0.90750000000000008</v>
      </c>
      <c r="P6" s="30"/>
      <c r="Q6" s="116"/>
      <c r="R6" s="30">
        <v>7.0000000000000007E-2</v>
      </c>
      <c r="S6" s="116">
        <v>0.15</v>
      </c>
      <c r="T6" s="117">
        <v>0.49</v>
      </c>
      <c r="U6" s="31">
        <v>250</v>
      </c>
      <c r="V6" s="32">
        <v>350</v>
      </c>
      <c r="W6" s="33">
        <v>250</v>
      </c>
      <c r="X6" s="32"/>
      <c r="Y6" s="32"/>
      <c r="Z6" s="32">
        <v>8</v>
      </c>
      <c r="AA6" s="34"/>
      <c r="AB6" s="35">
        <f t="shared" si="0"/>
        <v>858</v>
      </c>
      <c r="AC6" s="75">
        <f t="shared" si="1"/>
        <v>12000</v>
      </c>
      <c r="AD6" s="78">
        <f t="shared" si="2"/>
        <v>29184</v>
      </c>
      <c r="AE6" s="72">
        <f t="shared" si="3"/>
        <v>41184</v>
      </c>
      <c r="AF6" s="75">
        <f t="shared" si="4"/>
        <v>1761.875</v>
      </c>
      <c r="AG6" s="78">
        <f t="shared" si="5"/>
        <v>4272.5</v>
      </c>
      <c r="AH6" s="72">
        <f t="shared" si="6"/>
        <v>6034.375</v>
      </c>
      <c r="AI6" s="75">
        <f t="shared" si="7"/>
        <v>1375</v>
      </c>
      <c r="AJ6" s="78">
        <f t="shared" si="8"/>
        <v>3344</v>
      </c>
      <c r="AK6" s="72">
        <f t="shared" si="9"/>
        <v>4719</v>
      </c>
    </row>
    <row r="7" spans="1:37" ht="15.95" customHeight="1">
      <c r="A7" s="25" t="s">
        <v>702</v>
      </c>
      <c r="B7" s="25" t="s">
        <v>463</v>
      </c>
      <c r="C7" s="26" t="s">
        <v>267</v>
      </c>
      <c r="D7" s="26" t="s">
        <v>213</v>
      </c>
      <c r="E7" s="26" t="s">
        <v>214</v>
      </c>
      <c r="F7" s="26" t="s">
        <v>704</v>
      </c>
      <c r="G7" s="26"/>
      <c r="H7" s="27" t="s">
        <v>705</v>
      </c>
      <c r="I7" s="26" t="s">
        <v>27</v>
      </c>
      <c r="J7" s="28" t="s">
        <v>174</v>
      </c>
      <c r="K7" s="123">
        <v>85</v>
      </c>
      <c r="L7" s="29">
        <v>12.25</v>
      </c>
      <c r="M7" s="110">
        <v>10</v>
      </c>
      <c r="N7" s="30">
        <v>0.161</v>
      </c>
      <c r="O7" s="116">
        <v>1.61</v>
      </c>
      <c r="P7" s="30"/>
      <c r="Q7" s="116"/>
      <c r="R7" s="30">
        <v>7.0000000000000007E-2</v>
      </c>
      <c r="S7" s="116">
        <v>0.15</v>
      </c>
      <c r="T7" s="117">
        <v>0.49</v>
      </c>
      <c r="U7" s="31">
        <v>250</v>
      </c>
      <c r="V7" s="32">
        <v>350</v>
      </c>
      <c r="W7" s="33"/>
      <c r="X7" s="32"/>
      <c r="Y7" s="32"/>
      <c r="Z7" s="32"/>
      <c r="AA7" s="34"/>
      <c r="AB7" s="35">
        <f t="shared" si="0"/>
        <v>600</v>
      </c>
      <c r="AC7" s="75">
        <f t="shared" si="1"/>
        <v>21250</v>
      </c>
      <c r="AD7" s="78">
        <f t="shared" si="2"/>
        <v>29750</v>
      </c>
      <c r="AE7" s="72">
        <f t="shared" si="3"/>
        <v>51000</v>
      </c>
      <c r="AF7" s="75">
        <f t="shared" si="4"/>
        <v>3062.5</v>
      </c>
      <c r="AG7" s="78">
        <f t="shared" si="5"/>
        <v>4287.5</v>
      </c>
      <c r="AH7" s="72">
        <f t="shared" si="6"/>
        <v>7350</v>
      </c>
      <c r="AI7" s="75">
        <f t="shared" si="7"/>
        <v>2500</v>
      </c>
      <c r="AJ7" s="78">
        <f t="shared" si="8"/>
        <v>3500</v>
      </c>
      <c r="AK7" s="72">
        <f t="shared" si="9"/>
        <v>6000</v>
      </c>
    </row>
    <row r="8" spans="1:37" ht="15.95" customHeight="1">
      <c r="A8" s="25" t="s">
        <v>702</v>
      </c>
      <c r="B8" s="25" t="s">
        <v>463</v>
      </c>
      <c r="C8" s="26" t="s">
        <v>24</v>
      </c>
      <c r="D8" s="26" t="s">
        <v>213</v>
      </c>
      <c r="E8" s="26" t="s">
        <v>214</v>
      </c>
      <c r="F8" s="26" t="s">
        <v>703</v>
      </c>
      <c r="G8" s="36"/>
      <c r="H8" s="27" t="s">
        <v>511</v>
      </c>
      <c r="I8" s="26" t="s">
        <v>27</v>
      </c>
      <c r="J8" s="28" t="s">
        <v>227</v>
      </c>
      <c r="K8" s="123">
        <v>48</v>
      </c>
      <c r="L8" s="29">
        <v>7.0475000000000003</v>
      </c>
      <c r="M8" s="110">
        <v>5.5</v>
      </c>
      <c r="N8" s="30">
        <v>0.16500000000000001</v>
      </c>
      <c r="O8" s="116">
        <v>0.90750000000000008</v>
      </c>
      <c r="P8" s="30"/>
      <c r="Q8" s="116"/>
      <c r="R8" s="30">
        <v>7.0000000000000007E-2</v>
      </c>
      <c r="S8" s="116">
        <v>0.15</v>
      </c>
      <c r="T8" s="117">
        <v>0.49</v>
      </c>
      <c r="U8" s="31">
        <v>250</v>
      </c>
      <c r="V8" s="32">
        <v>480</v>
      </c>
      <c r="W8" s="33">
        <v>250</v>
      </c>
      <c r="X8" s="32"/>
      <c r="Y8" s="32"/>
      <c r="Z8" s="32">
        <v>41</v>
      </c>
      <c r="AA8" s="34"/>
      <c r="AB8" s="35">
        <f t="shared" si="0"/>
        <v>1021</v>
      </c>
      <c r="AC8" s="75">
        <f t="shared" si="1"/>
        <v>12000</v>
      </c>
      <c r="AD8" s="78">
        <f t="shared" si="2"/>
        <v>37008</v>
      </c>
      <c r="AE8" s="72">
        <f t="shared" si="3"/>
        <v>49008</v>
      </c>
      <c r="AF8" s="75">
        <f t="shared" si="4"/>
        <v>1761.875</v>
      </c>
      <c r="AG8" s="78">
        <f t="shared" si="5"/>
        <v>5370.1750000000002</v>
      </c>
      <c r="AH8" s="72">
        <f t="shared" si="6"/>
        <v>7132.05</v>
      </c>
      <c r="AI8" s="75">
        <f t="shared" si="7"/>
        <v>1375</v>
      </c>
      <c r="AJ8" s="78">
        <f t="shared" si="8"/>
        <v>4240.5</v>
      </c>
      <c r="AK8" s="72">
        <f t="shared" si="9"/>
        <v>5615.5</v>
      </c>
    </row>
    <row r="9" spans="1:37" ht="15.95" customHeight="1">
      <c r="A9" s="25" t="s">
        <v>702</v>
      </c>
      <c r="B9" s="25" t="s">
        <v>463</v>
      </c>
      <c r="C9" s="26" t="s">
        <v>267</v>
      </c>
      <c r="D9" s="26" t="s">
        <v>213</v>
      </c>
      <c r="E9" s="26" t="s">
        <v>214</v>
      </c>
      <c r="F9" s="26" t="s">
        <v>704</v>
      </c>
      <c r="G9" s="36"/>
      <c r="H9" s="27" t="s">
        <v>705</v>
      </c>
      <c r="I9" s="26" t="s">
        <v>27</v>
      </c>
      <c r="J9" s="28" t="s">
        <v>174</v>
      </c>
      <c r="K9" s="123">
        <v>85</v>
      </c>
      <c r="L9" s="29">
        <v>12.25</v>
      </c>
      <c r="M9" s="110">
        <v>10</v>
      </c>
      <c r="N9" s="30">
        <v>0.161</v>
      </c>
      <c r="O9" s="116">
        <v>1.61</v>
      </c>
      <c r="P9" s="30"/>
      <c r="Q9" s="116"/>
      <c r="R9" s="30">
        <v>7.0000000000000007E-2</v>
      </c>
      <c r="S9" s="116">
        <v>0.15</v>
      </c>
      <c r="T9" s="117">
        <v>0.49</v>
      </c>
      <c r="U9" s="31">
        <v>250</v>
      </c>
      <c r="V9" s="32">
        <v>480</v>
      </c>
      <c r="W9" s="33"/>
      <c r="X9" s="32"/>
      <c r="Y9" s="32"/>
      <c r="Z9" s="32"/>
      <c r="AA9" s="34"/>
      <c r="AB9" s="35">
        <f t="shared" si="0"/>
        <v>730</v>
      </c>
      <c r="AC9" s="75">
        <f t="shared" si="1"/>
        <v>21250</v>
      </c>
      <c r="AD9" s="78">
        <f t="shared" si="2"/>
        <v>40800</v>
      </c>
      <c r="AE9" s="72">
        <f t="shared" si="3"/>
        <v>62050</v>
      </c>
      <c r="AF9" s="75">
        <f t="shared" si="4"/>
        <v>3062.5</v>
      </c>
      <c r="AG9" s="78">
        <f t="shared" si="5"/>
        <v>5880</v>
      </c>
      <c r="AH9" s="72">
        <f t="shared" si="6"/>
        <v>8942.5</v>
      </c>
      <c r="AI9" s="75">
        <f t="shared" si="7"/>
        <v>2500</v>
      </c>
      <c r="AJ9" s="78">
        <f t="shared" si="8"/>
        <v>4800</v>
      </c>
      <c r="AK9" s="72">
        <f t="shared" si="9"/>
        <v>7300</v>
      </c>
    </row>
    <row r="10" spans="1:37" ht="15.95" customHeight="1">
      <c r="A10" s="25" t="s">
        <v>702</v>
      </c>
      <c r="B10" s="25" t="s">
        <v>463</v>
      </c>
      <c r="C10" s="26" t="s">
        <v>24</v>
      </c>
      <c r="D10" s="26" t="s">
        <v>213</v>
      </c>
      <c r="E10" s="26" t="s">
        <v>214</v>
      </c>
      <c r="F10" s="26" t="s">
        <v>703</v>
      </c>
      <c r="G10" s="26"/>
      <c r="H10" s="27" t="s">
        <v>511</v>
      </c>
      <c r="I10" s="26" t="s">
        <v>27</v>
      </c>
      <c r="J10" s="37" t="s">
        <v>227</v>
      </c>
      <c r="K10" s="123">
        <v>48</v>
      </c>
      <c r="L10" s="29">
        <v>7.0475000000000003</v>
      </c>
      <c r="M10" s="110">
        <v>5.5</v>
      </c>
      <c r="N10" s="30">
        <v>0.16500000000000001</v>
      </c>
      <c r="O10" s="116">
        <v>0.90750000000000008</v>
      </c>
      <c r="P10" s="30"/>
      <c r="Q10" s="116"/>
      <c r="R10" s="30">
        <v>7.0000000000000007E-2</v>
      </c>
      <c r="S10" s="116">
        <v>0.15</v>
      </c>
      <c r="T10" s="117">
        <v>0.49</v>
      </c>
      <c r="U10" s="31">
        <v>250</v>
      </c>
      <c r="V10" s="32">
        <v>480</v>
      </c>
      <c r="W10" s="33">
        <v>250</v>
      </c>
      <c r="X10" s="32"/>
      <c r="Y10" s="32"/>
      <c r="Z10" s="32">
        <v>26</v>
      </c>
      <c r="AA10" s="34"/>
      <c r="AB10" s="35">
        <f t="shared" si="0"/>
        <v>1006</v>
      </c>
      <c r="AC10" s="75">
        <f t="shared" si="1"/>
        <v>12000</v>
      </c>
      <c r="AD10" s="78">
        <f t="shared" si="2"/>
        <v>36288</v>
      </c>
      <c r="AE10" s="72">
        <f t="shared" si="3"/>
        <v>48288</v>
      </c>
      <c r="AF10" s="75">
        <f t="shared" si="4"/>
        <v>1761.875</v>
      </c>
      <c r="AG10" s="78">
        <f t="shared" si="5"/>
        <v>5287.6750000000002</v>
      </c>
      <c r="AH10" s="72">
        <f t="shared" si="6"/>
        <v>7049.55</v>
      </c>
      <c r="AI10" s="75">
        <f t="shared" si="7"/>
        <v>1375</v>
      </c>
      <c r="AJ10" s="78">
        <f t="shared" si="8"/>
        <v>4158</v>
      </c>
      <c r="AK10" s="72">
        <f t="shared" si="9"/>
        <v>5533</v>
      </c>
    </row>
    <row r="11" spans="1:37" ht="15.95" customHeight="1">
      <c r="A11" s="25" t="s">
        <v>702</v>
      </c>
      <c r="B11" s="25" t="s">
        <v>463</v>
      </c>
      <c r="C11" s="26" t="s">
        <v>267</v>
      </c>
      <c r="D11" s="26" t="s">
        <v>213</v>
      </c>
      <c r="E11" s="26" t="s">
        <v>214</v>
      </c>
      <c r="F11" s="26" t="s">
        <v>704</v>
      </c>
      <c r="G11" s="26"/>
      <c r="H11" s="27" t="s">
        <v>705</v>
      </c>
      <c r="I11" s="26" t="s">
        <v>27</v>
      </c>
      <c r="J11" s="37" t="s">
        <v>174</v>
      </c>
      <c r="K11" s="123">
        <v>85</v>
      </c>
      <c r="L11" s="29">
        <v>12.25</v>
      </c>
      <c r="M11" s="110">
        <v>10</v>
      </c>
      <c r="N11" s="30">
        <v>0.161</v>
      </c>
      <c r="O11" s="116">
        <v>1.61</v>
      </c>
      <c r="P11" s="30"/>
      <c r="Q11" s="116"/>
      <c r="R11" s="30">
        <v>7.0000000000000007E-2</v>
      </c>
      <c r="S11" s="116">
        <v>0.15</v>
      </c>
      <c r="T11" s="117">
        <v>0.49</v>
      </c>
      <c r="U11" s="31">
        <v>250</v>
      </c>
      <c r="V11" s="32">
        <v>480</v>
      </c>
      <c r="W11" s="33"/>
      <c r="X11" s="32"/>
      <c r="Y11" s="32"/>
      <c r="Z11" s="32"/>
      <c r="AA11" s="34"/>
      <c r="AB11" s="35">
        <f t="shared" si="0"/>
        <v>730</v>
      </c>
      <c r="AC11" s="75">
        <f t="shared" si="1"/>
        <v>21250</v>
      </c>
      <c r="AD11" s="78">
        <f t="shared" si="2"/>
        <v>40800</v>
      </c>
      <c r="AE11" s="72">
        <f t="shared" si="3"/>
        <v>62050</v>
      </c>
      <c r="AF11" s="75">
        <f t="shared" si="4"/>
        <v>3062.5</v>
      </c>
      <c r="AG11" s="78">
        <f t="shared" si="5"/>
        <v>5880</v>
      </c>
      <c r="AH11" s="72">
        <f t="shared" si="6"/>
        <v>8942.5</v>
      </c>
      <c r="AI11" s="75">
        <f t="shared" si="7"/>
        <v>2500</v>
      </c>
      <c r="AJ11" s="78">
        <f t="shared" si="8"/>
        <v>4800</v>
      </c>
      <c r="AK11" s="72">
        <f t="shared" si="9"/>
        <v>7300</v>
      </c>
    </row>
    <row r="12" spans="1:37" ht="15.95" customHeight="1">
      <c r="A12" s="25" t="s">
        <v>702</v>
      </c>
      <c r="B12" s="25" t="s">
        <v>463</v>
      </c>
      <c r="C12" s="26" t="s">
        <v>468</v>
      </c>
      <c r="D12" s="26" t="s">
        <v>213</v>
      </c>
      <c r="E12" s="26" t="s">
        <v>214</v>
      </c>
      <c r="F12" s="26" t="s">
        <v>706</v>
      </c>
      <c r="G12" s="26"/>
      <c r="H12" s="27" t="s">
        <v>707</v>
      </c>
      <c r="I12" s="26" t="s">
        <v>27</v>
      </c>
      <c r="J12" s="28" t="s">
        <v>708</v>
      </c>
      <c r="K12" s="123">
        <v>110</v>
      </c>
      <c r="L12" s="29">
        <v>18.744099999999996</v>
      </c>
      <c r="M12" s="110">
        <v>15.54</v>
      </c>
      <c r="N12" s="30">
        <v>0.16500000000000001</v>
      </c>
      <c r="O12" s="116">
        <v>2.5640999999999998</v>
      </c>
      <c r="P12" s="30"/>
      <c r="Q12" s="116"/>
      <c r="R12" s="30">
        <v>7.0000000000000007E-2</v>
      </c>
      <c r="S12" s="116">
        <v>0.15</v>
      </c>
      <c r="T12" s="117">
        <v>0.49</v>
      </c>
      <c r="U12" s="31">
        <v>200</v>
      </c>
      <c r="V12" s="32">
        <v>150</v>
      </c>
      <c r="W12" s="33"/>
      <c r="X12" s="32"/>
      <c r="Y12" s="32"/>
      <c r="Z12" s="32"/>
      <c r="AA12" s="34"/>
      <c r="AB12" s="35">
        <f t="shared" si="0"/>
        <v>350</v>
      </c>
      <c r="AC12" s="75">
        <f t="shared" si="1"/>
        <v>22000</v>
      </c>
      <c r="AD12" s="78">
        <f t="shared" si="2"/>
        <v>16500</v>
      </c>
      <c r="AE12" s="72">
        <f t="shared" si="3"/>
        <v>38500</v>
      </c>
      <c r="AF12" s="75">
        <f t="shared" si="4"/>
        <v>3748.8199999999993</v>
      </c>
      <c r="AG12" s="78">
        <f t="shared" si="5"/>
        <v>2811.6149999999993</v>
      </c>
      <c r="AH12" s="72">
        <f t="shared" si="6"/>
        <v>6560.4349999999986</v>
      </c>
      <c r="AI12" s="75">
        <f t="shared" si="7"/>
        <v>3108</v>
      </c>
      <c r="AJ12" s="78">
        <f t="shared" si="8"/>
        <v>2331</v>
      </c>
      <c r="AK12" s="72">
        <f t="shared" si="9"/>
        <v>5439</v>
      </c>
    </row>
    <row r="13" spans="1:37" ht="15.95" customHeight="1">
      <c r="A13" s="25" t="s">
        <v>702</v>
      </c>
      <c r="B13" s="25" t="s">
        <v>463</v>
      </c>
      <c r="C13" s="26" t="s">
        <v>468</v>
      </c>
      <c r="D13" s="26" t="s">
        <v>213</v>
      </c>
      <c r="E13" s="26" t="s">
        <v>214</v>
      </c>
      <c r="F13" s="26" t="s">
        <v>706</v>
      </c>
      <c r="G13" s="36"/>
      <c r="H13" s="27" t="s">
        <v>705</v>
      </c>
      <c r="I13" s="26" t="s">
        <v>27</v>
      </c>
      <c r="J13" s="28" t="s">
        <v>708</v>
      </c>
      <c r="K13" s="123">
        <v>110</v>
      </c>
      <c r="L13" s="29">
        <v>18.744099999999996</v>
      </c>
      <c r="M13" s="110">
        <v>15.54</v>
      </c>
      <c r="N13" s="30">
        <v>0.16500000000000001</v>
      </c>
      <c r="O13" s="116">
        <v>2.5640999999999998</v>
      </c>
      <c r="P13" s="30"/>
      <c r="Q13" s="116"/>
      <c r="R13" s="30">
        <v>7.0000000000000007E-2</v>
      </c>
      <c r="S13" s="116">
        <v>0.15</v>
      </c>
      <c r="T13" s="117">
        <v>0.49</v>
      </c>
      <c r="U13" s="31">
        <v>200</v>
      </c>
      <c r="V13" s="32">
        <v>150</v>
      </c>
      <c r="W13" s="33"/>
      <c r="X13" s="32"/>
      <c r="Y13" s="32"/>
      <c r="Z13" s="32"/>
      <c r="AA13" s="34"/>
      <c r="AB13" s="35">
        <f t="shared" si="0"/>
        <v>350</v>
      </c>
      <c r="AC13" s="75">
        <f t="shared" si="1"/>
        <v>22000</v>
      </c>
      <c r="AD13" s="78">
        <f t="shared" si="2"/>
        <v>16500</v>
      </c>
      <c r="AE13" s="72">
        <f t="shared" si="3"/>
        <v>38500</v>
      </c>
      <c r="AF13" s="75">
        <f t="shared" si="4"/>
        <v>3748.8199999999993</v>
      </c>
      <c r="AG13" s="78">
        <f t="shared" si="5"/>
        <v>2811.6149999999993</v>
      </c>
      <c r="AH13" s="72">
        <f t="shared" si="6"/>
        <v>6560.4349999999986</v>
      </c>
      <c r="AI13" s="75">
        <f t="shared" si="7"/>
        <v>3108</v>
      </c>
      <c r="AJ13" s="78">
        <f t="shared" si="8"/>
        <v>2331</v>
      </c>
      <c r="AK13" s="72">
        <f t="shared" si="9"/>
        <v>5439</v>
      </c>
    </row>
    <row r="14" spans="1:37" ht="15.95" customHeight="1">
      <c r="A14" s="25" t="s">
        <v>702</v>
      </c>
      <c r="B14" s="25" t="s">
        <v>463</v>
      </c>
      <c r="C14" s="26" t="s">
        <v>24</v>
      </c>
      <c r="D14" s="26" t="s">
        <v>213</v>
      </c>
      <c r="E14" s="26" t="s">
        <v>214</v>
      </c>
      <c r="F14" s="26" t="s">
        <v>709</v>
      </c>
      <c r="G14" s="36"/>
      <c r="H14" s="27" t="s">
        <v>234</v>
      </c>
      <c r="I14" s="26" t="s">
        <v>27</v>
      </c>
      <c r="J14" s="28" t="s">
        <v>227</v>
      </c>
      <c r="K14" s="123">
        <v>48</v>
      </c>
      <c r="L14" s="29">
        <v>6.9892500000000011</v>
      </c>
      <c r="M14" s="110">
        <v>5.45</v>
      </c>
      <c r="N14" s="30">
        <v>0.16500000000000001</v>
      </c>
      <c r="O14" s="116">
        <v>0.8992500000000001</v>
      </c>
      <c r="P14" s="30"/>
      <c r="Q14" s="116"/>
      <c r="R14" s="30">
        <v>7.0000000000000007E-2</v>
      </c>
      <c r="S14" s="116">
        <v>0.15</v>
      </c>
      <c r="T14" s="117">
        <v>0.49</v>
      </c>
      <c r="U14" s="31">
        <v>250</v>
      </c>
      <c r="V14" s="32">
        <v>240</v>
      </c>
      <c r="W14" s="33"/>
      <c r="X14" s="32"/>
      <c r="Y14" s="32"/>
      <c r="Z14" s="32">
        <v>203</v>
      </c>
      <c r="AA14" s="34"/>
      <c r="AB14" s="35">
        <f t="shared" si="0"/>
        <v>693</v>
      </c>
      <c r="AC14" s="75">
        <f t="shared" si="1"/>
        <v>12000</v>
      </c>
      <c r="AD14" s="78">
        <f t="shared" si="2"/>
        <v>21264</v>
      </c>
      <c r="AE14" s="72">
        <f t="shared" si="3"/>
        <v>33264</v>
      </c>
      <c r="AF14" s="75">
        <f t="shared" si="4"/>
        <v>1747.3125000000002</v>
      </c>
      <c r="AG14" s="78">
        <f t="shared" si="5"/>
        <v>2783.7700000000004</v>
      </c>
      <c r="AH14" s="72">
        <f t="shared" si="6"/>
        <v>4531.0825000000004</v>
      </c>
      <c r="AI14" s="75">
        <f t="shared" si="7"/>
        <v>1362.5</v>
      </c>
      <c r="AJ14" s="78">
        <f t="shared" si="8"/>
        <v>2414.35</v>
      </c>
      <c r="AK14" s="72">
        <f t="shared" si="9"/>
        <v>3776.85</v>
      </c>
    </row>
    <row r="15" spans="1:37" ht="15.95" customHeight="1">
      <c r="A15" s="25" t="s">
        <v>702</v>
      </c>
      <c r="B15" s="25" t="s">
        <v>463</v>
      </c>
      <c r="C15" s="26" t="s">
        <v>267</v>
      </c>
      <c r="D15" s="26" t="s">
        <v>213</v>
      </c>
      <c r="E15" s="26" t="s">
        <v>214</v>
      </c>
      <c r="F15" s="26" t="s">
        <v>710</v>
      </c>
      <c r="G15" s="36"/>
      <c r="H15" s="27" t="s">
        <v>705</v>
      </c>
      <c r="I15" s="26" t="s">
        <v>27</v>
      </c>
      <c r="J15" s="28" t="s">
        <v>174</v>
      </c>
      <c r="K15" s="123">
        <v>85</v>
      </c>
      <c r="L15" s="29">
        <v>12.830500000000001</v>
      </c>
      <c r="M15" s="110">
        <v>10.5</v>
      </c>
      <c r="N15" s="30">
        <v>0.161</v>
      </c>
      <c r="O15" s="116">
        <v>1.6905000000000001</v>
      </c>
      <c r="P15" s="30"/>
      <c r="Q15" s="116"/>
      <c r="R15" s="30">
        <v>7.0000000000000007E-2</v>
      </c>
      <c r="S15" s="116">
        <v>0.15</v>
      </c>
      <c r="T15" s="117">
        <v>0.49</v>
      </c>
      <c r="U15" s="31">
        <v>250</v>
      </c>
      <c r="V15" s="32"/>
      <c r="W15" s="33"/>
      <c r="X15" s="32"/>
      <c r="Y15" s="32"/>
      <c r="Z15" s="32">
        <v>110</v>
      </c>
      <c r="AA15" s="34"/>
      <c r="AB15" s="35">
        <f t="shared" si="0"/>
        <v>360</v>
      </c>
      <c r="AC15" s="75">
        <f t="shared" si="1"/>
        <v>21250</v>
      </c>
      <c r="AD15" s="78">
        <f t="shared" si="2"/>
        <v>9350</v>
      </c>
      <c r="AE15" s="72">
        <f t="shared" si="3"/>
        <v>30600</v>
      </c>
      <c r="AF15" s="75">
        <f t="shared" si="4"/>
        <v>3207.625</v>
      </c>
      <c r="AG15" s="78">
        <f t="shared" si="5"/>
        <v>1155</v>
      </c>
      <c r="AH15" s="72">
        <f t="shared" si="6"/>
        <v>4362.625</v>
      </c>
      <c r="AI15" s="75">
        <f t="shared" si="7"/>
        <v>2625</v>
      </c>
      <c r="AJ15" s="78">
        <f t="shared" si="8"/>
        <v>1155</v>
      </c>
      <c r="AK15" s="72">
        <f t="shared" si="9"/>
        <v>3780</v>
      </c>
    </row>
    <row r="16" spans="1:37" ht="15.95" customHeight="1">
      <c r="A16" s="25" t="s">
        <v>702</v>
      </c>
      <c r="B16" s="25" t="s">
        <v>463</v>
      </c>
      <c r="C16" s="26" t="s">
        <v>24</v>
      </c>
      <c r="D16" s="26" t="s">
        <v>213</v>
      </c>
      <c r="E16" s="26" t="s">
        <v>214</v>
      </c>
      <c r="F16" s="26" t="s">
        <v>709</v>
      </c>
      <c r="G16" s="36"/>
      <c r="H16" s="27" t="s">
        <v>234</v>
      </c>
      <c r="I16" s="26" t="s">
        <v>27</v>
      </c>
      <c r="J16" s="28" t="s">
        <v>227</v>
      </c>
      <c r="K16" s="123">
        <v>48</v>
      </c>
      <c r="L16" s="29">
        <v>6.9892500000000011</v>
      </c>
      <c r="M16" s="110">
        <v>5.45</v>
      </c>
      <c r="N16" s="30">
        <v>0.16500000000000001</v>
      </c>
      <c r="O16" s="116">
        <v>0.8992500000000001</v>
      </c>
      <c r="P16" s="30"/>
      <c r="Q16" s="116"/>
      <c r="R16" s="30">
        <v>7.0000000000000007E-2</v>
      </c>
      <c r="S16" s="116">
        <v>0.15</v>
      </c>
      <c r="T16" s="117">
        <v>0.49</v>
      </c>
      <c r="U16" s="31">
        <v>200</v>
      </c>
      <c r="V16" s="32">
        <v>600</v>
      </c>
      <c r="W16" s="33"/>
      <c r="X16" s="32"/>
      <c r="Y16" s="32"/>
      <c r="Z16" s="32">
        <v>140</v>
      </c>
      <c r="AA16" s="34"/>
      <c r="AB16" s="35">
        <f t="shared" si="0"/>
        <v>940</v>
      </c>
      <c r="AC16" s="75">
        <f t="shared" si="1"/>
        <v>9600</v>
      </c>
      <c r="AD16" s="78">
        <f t="shared" si="2"/>
        <v>35520</v>
      </c>
      <c r="AE16" s="72">
        <f t="shared" si="3"/>
        <v>45120</v>
      </c>
      <c r="AF16" s="75">
        <f t="shared" si="4"/>
        <v>1397.8500000000001</v>
      </c>
      <c r="AG16" s="78">
        <f t="shared" si="5"/>
        <v>4956.5500000000011</v>
      </c>
      <c r="AH16" s="72">
        <f t="shared" si="6"/>
        <v>6354.4000000000015</v>
      </c>
      <c r="AI16" s="75">
        <f t="shared" si="7"/>
        <v>1090</v>
      </c>
      <c r="AJ16" s="78">
        <f t="shared" si="8"/>
        <v>4033</v>
      </c>
      <c r="AK16" s="72">
        <f t="shared" si="9"/>
        <v>5123</v>
      </c>
    </row>
    <row r="17" spans="1:37" ht="15.95" customHeight="1">
      <c r="A17" s="25" t="s">
        <v>702</v>
      </c>
      <c r="B17" s="25" t="s">
        <v>463</v>
      </c>
      <c r="C17" s="26" t="s">
        <v>24</v>
      </c>
      <c r="D17" s="26" t="s">
        <v>213</v>
      </c>
      <c r="E17" s="26" t="s">
        <v>214</v>
      </c>
      <c r="F17" s="26" t="s">
        <v>711</v>
      </c>
      <c r="G17" s="36"/>
      <c r="H17" s="27" t="s">
        <v>234</v>
      </c>
      <c r="I17" s="26" t="s">
        <v>27</v>
      </c>
      <c r="J17" s="28" t="s">
        <v>227</v>
      </c>
      <c r="K17" s="123">
        <v>54</v>
      </c>
      <c r="L17" s="29">
        <v>7.0475000000000003</v>
      </c>
      <c r="M17" s="110">
        <v>5.5</v>
      </c>
      <c r="N17" s="30">
        <v>0.16500000000000001</v>
      </c>
      <c r="O17" s="116">
        <v>0.90750000000000008</v>
      </c>
      <c r="P17" s="30"/>
      <c r="Q17" s="116"/>
      <c r="R17" s="30">
        <v>7.0000000000000007E-2</v>
      </c>
      <c r="S17" s="116">
        <v>0.15</v>
      </c>
      <c r="T17" s="117">
        <v>0.49</v>
      </c>
      <c r="U17" s="31">
        <v>250</v>
      </c>
      <c r="V17" s="32">
        <v>350</v>
      </c>
      <c r="W17" s="33"/>
      <c r="X17" s="32"/>
      <c r="Y17" s="32">
        <v>30</v>
      </c>
      <c r="Z17" s="32">
        <v>229</v>
      </c>
      <c r="AA17" s="34"/>
      <c r="AB17" s="35">
        <f t="shared" si="0"/>
        <v>859</v>
      </c>
      <c r="AC17" s="75">
        <f t="shared" si="1"/>
        <v>13500</v>
      </c>
      <c r="AD17" s="78">
        <f t="shared" si="2"/>
        <v>32886</v>
      </c>
      <c r="AE17" s="72">
        <f t="shared" si="3"/>
        <v>46386</v>
      </c>
      <c r="AF17" s="75">
        <f t="shared" si="4"/>
        <v>1761.875</v>
      </c>
      <c r="AG17" s="78">
        <f t="shared" si="5"/>
        <v>3891.125</v>
      </c>
      <c r="AH17" s="72">
        <f t="shared" si="6"/>
        <v>5653</v>
      </c>
      <c r="AI17" s="75">
        <f t="shared" si="7"/>
        <v>1375</v>
      </c>
      <c r="AJ17" s="78">
        <f t="shared" si="8"/>
        <v>3349.5</v>
      </c>
      <c r="AK17" s="72">
        <f t="shared" si="9"/>
        <v>4724.5</v>
      </c>
    </row>
    <row r="18" spans="1:37" ht="15.95" customHeight="1">
      <c r="A18" s="25" t="s">
        <v>702</v>
      </c>
      <c r="B18" s="25" t="s">
        <v>463</v>
      </c>
      <c r="C18" s="26" t="s">
        <v>24</v>
      </c>
      <c r="D18" s="26" t="s">
        <v>213</v>
      </c>
      <c r="E18" s="26" t="s">
        <v>214</v>
      </c>
      <c r="F18" s="26" t="s">
        <v>711</v>
      </c>
      <c r="G18" s="26"/>
      <c r="H18" s="27" t="s">
        <v>511</v>
      </c>
      <c r="I18" s="26" t="s">
        <v>27</v>
      </c>
      <c r="J18" s="28" t="s">
        <v>227</v>
      </c>
      <c r="K18" s="123">
        <v>54</v>
      </c>
      <c r="L18" s="29">
        <v>7.0475000000000003</v>
      </c>
      <c r="M18" s="110">
        <v>5.5</v>
      </c>
      <c r="N18" s="30">
        <v>0.16500000000000001</v>
      </c>
      <c r="O18" s="116">
        <v>0.90750000000000008</v>
      </c>
      <c r="P18" s="30"/>
      <c r="Q18" s="116"/>
      <c r="R18" s="30">
        <v>7.0000000000000007E-2</v>
      </c>
      <c r="S18" s="116">
        <v>0.15</v>
      </c>
      <c r="T18" s="117">
        <v>0.49</v>
      </c>
      <c r="U18" s="31">
        <v>250</v>
      </c>
      <c r="V18" s="32">
        <v>350</v>
      </c>
      <c r="W18" s="38"/>
      <c r="X18" s="32"/>
      <c r="Y18" s="32">
        <v>45</v>
      </c>
      <c r="Z18" s="32">
        <v>7</v>
      </c>
      <c r="AA18" s="34"/>
      <c r="AB18" s="35">
        <f t="shared" si="0"/>
        <v>652</v>
      </c>
      <c r="AC18" s="75">
        <f t="shared" si="1"/>
        <v>13500</v>
      </c>
      <c r="AD18" s="78">
        <f t="shared" si="2"/>
        <v>21708</v>
      </c>
      <c r="AE18" s="72">
        <f t="shared" si="3"/>
        <v>35208</v>
      </c>
      <c r="AF18" s="75">
        <f t="shared" si="4"/>
        <v>1761.875</v>
      </c>
      <c r="AG18" s="78">
        <f t="shared" si="5"/>
        <v>2752.625</v>
      </c>
      <c r="AH18" s="72">
        <f t="shared" si="6"/>
        <v>4514.5</v>
      </c>
      <c r="AI18" s="75">
        <f t="shared" si="7"/>
        <v>1375</v>
      </c>
      <c r="AJ18" s="78">
        <f t="shared" si="8"/>
        <v>2211</v>
      </c>
      <c r="AK18" s="72">
        <f t="shared" si="9"/>
        <v>3586</v>
      </c>
    </row>
    <row r="19" spans="1:37" ht="15.95" customHeight="1">
      <c r="A19" s="25" t="s">
        <v>702</v>
      </c>
      <c r="B19" s="25" t="s">
        <v>463</v>
      </c>
      <c r="C19" s="26" t="s">
        <v>24</v>
      </c>
      <c r="D19" s="26" t="s">
        <v>213</v>
      </c>
      <c r="E19" s="26" t="s">
        <v>214</v>
      </c>
      <c r="F19" s="26" t="s">
        <v>711</v>
      </c>
      <c r="G19" s="26"/>
      <c r="H19" s="27" t="s">
        <v>234</v>
      </c>
      <c r="I19" s="26" t="s">
        <v>27</v>
      </c>
      <c r="J19" s="28" t="s">
        <v>227</v>
      </c>
      <c r="K19" s="123">
        <v>54</v>
      </c>
      <c r="L19" s="29">
        <v>7.0475000000000003</v>
      </c>
      <c r="M19" s="110">
        <v>5.5</v>
      </c>
      <c r="N19" s="30">
        <v>0.16500000000000001</v>
      </c>
      <c r="O19" s="116">
        <v>0.90750000000000008</v>
      </c>
      <c r="P19" s="30"/>
      <c r="Q19" s="116"/>
      <c r="R19" s="30">
        <v>7.0000000000000007E-2</v>
      </c>
      <c r="S19" s="116">
        <v>0.15</v>
      </c>
      <c r="T19" s="117">
        <v>0.49</v>
      </c>
      <c r="U19" s="31">
        <v>250</v>
      </c>
      <c r="V19" s="32">
        <v>250</v>
      </c>
      <c r="W19" s="38"/>
      <c r="X19" s="32"/>
      <c r="Y19" s="32">
        <v>30</v>
      </c>
      <c r="Z19" s="32">
        <v>14</v>
      </c>
      <c r="AA19" s="34"/>
      <c r="AB19" s="35">
        <f t="shared" si="0"/>
        <v>544</v>
      </c>
      <c r="AC19" s="75">
        <f t="shared" si="1"/>
        <v>13500</v>
      </c>
      <c r="AD19" s="78">
        <f t="shared" si="2"/>
        <v>15876</v>
      </c>
      <c r="AE19" s="72">
        <f t="shared" si="3"/>
        <v>29376</v>
      </c>
      <c r="AF19" s="75">
        <f t="shared" si="4"/>
        <v>1761.875</v>
      </c>
      <c r="AG19" s="78">
        <f t="shared" si="5"/>
        <v>2003.875</v>
      </c>
      <c r="AH19" s="72">
        <f t="shared" si="6"/>
        <v>3765.75</v>
      </c>
      <c r="AI19" s="75">
        <f t="shared" si="7"/>
        <v>1375</v>
      </c>
      <c r="AJ19" s="78">
        <f t="shared" si="8"/>
        <v>1617</v>
      </c>
      <c r="AK19" s="72">
        <f t="shared" si="9"/>
        <v>2992</v>
      </c>
    </row>
    <row r="20" spans="1:37" ht="15.95" customHeight="1">
      <c r="A20" s="25" t="s">
        <v>702</v>
      </c>
      <c r="B20" s="25" t="s">
        <v>463</v>
      </c>
      <c r="C20" s="26" t="s">
        <v>24</v>
      </c>
      <c r="D20" s="26" t="s">
        <v>213</v>
      </c>
      <c r="E20" s="26" t="s">
        <v>214</v>
      </c>
      <c r="F20" s="26" t="s">
        <v>711</v>
      </c>
      <c r="G20" s="26"/>
      <c r="H20" s="27" t="s">
        <v>234</v>
      </c>
      <c r="I20" s="26" t="s">
        <v>27</v>
      </c>
      <c r="J20" s="28" t="s">
        <v>227</v>
      </c>
      <c r="K20" s="123">
        <v>54</v>
      </c>
      <c r="L20" s="29">
        <v>7.0475000000000003</v>
      </c>
      <c r="M20" s="110">
        <v>5.5</v>
      </c>
      <c r="N20" s="30">
        <v>0.16500000000000001</v>
      </c>
      <c r="O20" s="116">
        <v>0.90750000000000008</v>
      </c>
      <c r="P20" s="30"/>
      <c r="Q20" s="116"/>
      <c r="R20" s="30">
        <v>7.0000000000000007E-2</v>
      </c>
      <c r="S20" s="116">
        <v>0.15</v>
      </c>
      <c r="T20" s="117">
        <v>0.49</v>
      </c>
      <c r="U20" s="31">
        <v>250</v>
      </c>
      <c r="V20" s="32">
        <v>350</v>
      </c>
      <c r="W20" s="33"/>
      <c r="X20" s="32"/>
      <c r="Y20" s="32"/>
      <c r="Z20" s="32">
        <v>177</v>
      </c>
      <c r="AA20" s="34"/>
      <c r="AB20" s="35">
        <f t="shared" si="0"/>
        <v>777</v>
      </c>
      <c r="AC20" s="75">
        <f t="shared" si="1"/>
        <v>13500</v>
      </c>
      <c r="AD20" s="78">
        <f t="shared" si="2"/>
        <v>28458</v>
      </c>
      <c r="AE20" s="72">
        <f t="shared" si="3"/>
        <v>41958</v>
      </c>
      <c r="AF20" s="75">
        <f t="shared" si="4"/>
        <v>1761.875</v>
      </c>
      <c r="AG20" s="78">
        <f t="shared" si="5"/>
        <v>3440.125</v>
      </c>
      <c r="AH20" s="72">
        <f t="shared" si="6"/>
        <v>5202</v>
      </c>
      <c r="AI20" s="75">
        <f t="shared" si="7"/>
        <v>1375</v>
      </c>
      <c r="AJ20" s="78">
        <f t="shared" si="8"/>
        <v>2898.5</v>
      </c>
      <c r="AK20" s="72">
        <f t="shared" si="9"/>
        <v>4273.5</v>
      </c>
    </row>
    <row r="21" spans="1:37" ht="15.95" customHeight="1">
      <c r="A21" s="25" t="s">
        <v>702</v>
      </c>
      <c r="B21" s="25" t="s">
        <v>463</v>
      </c>
      <c r="C21" s="26" t="s">
        <v>267</v>
      </c>
      <c r="D21" s="26" t="s">
        <v>373</v>
      </c>
      <c r="E21" s="26" t="s">
        <v>16</v>
      </c>
      <c r="F21" s="26" t="s">
        <v>712</v>
      </c>
      <c r="G21" s="26"/>
      <c r="H21" s="27" t="s">
        <v>713</v>
      </c>
      <c r="I21" s="26" t="s">
        <v>19</v>
      </c>
      <c r="J21" s="28" t="s">
        <v>31</v>
      </c>
      <c r="K21" s="123">
        <v>75</v>
      </c>
      <c r="L21" s="29">
        <v>12.79945</v>
      </c>
      <c r="M21" s="110">
        <v>8.85</v>
      </c>
      <c r="N21" s="30">
        <v>0.28199999999999997</v>
      </c>
      <c r="O21" s="116">
        <v>2.4956999999999998</v>
      </c>
      <c r="P21" s="30">
        <v>7.4999999999999997E-2</v>
      </c>
      <c r="Q21" s="116">
        <v>0.66374999999999995</v>
      </c>
      <c r="R21" s="30">
        <v>7.0000000000000007E-2</v>
      </c>
      <c r="S21" s="116">
        <v>0.3</v>
      </c>
      <c r="T21" s="117">
        <v>0.49</v>
      </c>
      <c r="U21" s="39">
        <v>200</v>
      </c>
      <c r="V21" s="32">
        <v>480</v>
      </c>
      <c r="W21" s="33"/>
      <c r="X21" s="32"/>
      <c r="Y21" s="32"/>
      <c r="Z21" s="32">
        <v>103</v>
      </c>
      <c r="AA21" s="34"/>
      <c r="AB21" s="35">
        <f t="shared" si="0"/>
        <v>783</v>
      </c>
      <c r="AC21" s="75">
        <f t="shared" si="1"/>
        <v>15000</v>
      </c>
      <c r="AD21" s="78">
        <f t="shared" si="2"/>
        <v>43725</v>
      </c>
      <c r="AE21" s="72">
        <f t="shared" si="3"/>
        <v>58725</v>
      </c>
      <c r="AF21" s="75">
        <f t="shared" si="4"/>
        <v>2559.89</v>
      </c>
      <c r="AG21" s="78">
        <f t="shared" si="5"/>
        <v>7055.2860000000001</v>
      </c>
      <c r="AH21" s="72">
        <f t="shared" si="6"/>
        <v>9615.1759999999995</v>
      </c>
      <c r="AI21" s="75">
        <f t="shared" si="7"/>
        <v>1770</v>
      </c>
      <c r="AJ21" s="78">
        <f t="shared" si="8"/>
        <v>5159.55</v>
      </c>
      <c r="AK21" s="72">
        <f t="shared" si="9"/>
        <v>6929.55</v>
      </c>
    </row>
    <row r="22" spans="1:37" ht="15.95" customHeight="1">
      <c r="A22" s="25" t="s">
        <v>702</v>
      </c>
      <c r="B22" s="25" t="s">
        <v>463</v>
      </c>
      <c r="C22" s="26" t="s">
        <v>267</v>
      </c>
      <c r="D22" s="26" t="s">
        <v>373</v>
      </c>
      <c r="E22" s="26" t="s">
        <v>16</v>
      </c>
      <c r="F22" s="26" t="s">
        <v>712</v>
      </c>
      <c r="G22" s="26"/>
      <c r="H22" s="27" t="s">
        <v>713</v>
      </c>
      <c r="I22" s="26" t="s">
        <v>19</v>
      </c>
      <c r="J22" s="28" t="s">
        <v>31</v>
      </c>
      <c r="K22" s="123">
        <v>75</v>
      </c>
      <c r="L22" s="29">
        <v>12.79945</v>
      </c>
      <c r="M22" s="110">
        <v>8.85</v>
      </c>
      <c r="N22" s="30">
        <v>0.28199999999999997</v>
      </c>
      <c r="O22" s="116">
        <v>2.4956999999999998</v>
      </c>
      <c r="P22" s="30">
        <v>7.4999999999999997E-2</v>
      </c>
      <c r="Q22" s="116">
        <v>0.66374999999999995</v>
      </c>
      <c r="R22" s="30">
        <v>7.0000000000000007E-2</v>
      </c>
      <c r="S22" s="116">
        <v>0.3</v>
      </c>
      <c r="T22" s="117">
        <v>0.49</v>
      </c>
      <c r="U22" s="39">
        <v>200</v>
      </c>
      <c r="V22" s="32">
        <v>350</v>
      </c>
      <c r="W22" s="33"/>
      <c r="X22" s="32"/>
      <c r="Y22" s="32"/>
      <c r="Z22" s="32">
        <v>7</v>
      </c>
      <c r="AA22" s="34"/>
      <c r="AB22" s="35">
        <f t="shared" si="0"/>
        <v>557</v>
      </c>
      <c r="AC22" s="75">
        <f t="shared" si="1"/>
        <v>15000</v>
      </c>
      <c r="AD22" s="78">
        <f t="shared" si="2"/>
        <v>26775</v>
      </c>
      <c r="AE22" s="72">
        <f t="shared" si="3"/>
        <v>41775</v>
      </c>
      <c r="AF22" s="75">
        <f t="shared" si="4"/>
        <v>2559.89</v>
      </c>
      <c r="AG22" s="78">
        <f t="shared" si="5"/>
        <v>4541.7574999999997</v>
      </c>
      <c r="AH22" s="72">
        <f t="shared" si="6"/>
        <v>7101.6474999999991</v>
      </c>
      <c r="AI22" s="75">
        <f t="shared" si="7"/>
        <v>1770</v>
      </c>
      <c r="AJ22" s="78">
        <f t="shared" si="8"/>
        <v>3159.45</v>
      </c>
      <c r="AK22" s="72">
        <f t="shared" si="9"/>
        <v>4929.45</v>
      </c>
    </row>
    <row r="23" spans="1:37" ht="15.95" customHeight="1">
      <c r="A23" s="25" t="s">
        <v>702</v>
      </c>
      <c r="B23" s="25" t="s">
        <v>463</v>
      </c>
      <c r="C23" s="26" t="s">
        <v>267</v>
      </c>
      <c r="D23" s="26" t="s">
        <v>373</v>
      </c>
      <c r="E23" s="26" t="s">
        <v>16</v>
      </c>
      <c r="F23" s="26" t="s">
        <v>712</v>
      </c>
      <c r="G23" s="26"/>
      <c r="H23" s="27" t="s">
        <v>713</v>
      </c>
      <c r="I23" s="26" t="s">
        <v>19</v>
      </c>
      <c r="J23" s="28" t="s">
        <v>31</v>
      </c>
      <c r="K23" s="123">
        <v>75</v>
      </c>
      <c r="L23" s="29">
        <v>12.79945</v>
      </c>
      <c r="M23" s="110">
        <v>8.85</v>
      </c>
      <c r="N23" s="30">
        <v>0.28199999999999997</v>
      </c>
      <c r="O23" s="116">
        <v>2.4956999999999998</v>
      </c>
      <c r="P23" s="30">
        <v>7.4999999999999997E-2</v>
      </c>
      <c r="Q23" s="116">
        <v>0.66374999999999995</v>
      </c>
      <c r="R23" s="30">
        <v>7.0000000000000007E-2</v>
      </c>
      <c r="S23" s="116">
        <v>0.3</v>
      </c>
      <c r="T23" s="117">
        <v>0.49</v>
      </c>
      <c r="U23" s="39">
        <v>200</v>
      </c>
      <c r="V23" s="32">
        <v>500</v>
      </c>
      <c r="W23" s="33"/>
      <c r="X23" s="32"/>
      <c r="Y23" s="32"/>
      <c r="Z23" s="32"/>
      <c r="AA23" s="34"/>
      <c r="AB23" s="35">
        <f t="shared" si="0"/>
        <v>700</v>
      </c>
      <c r="AC23" s="75">
        <f t="shared" si="1"/>
        <v>15000</v>
      </c>
      <c r="AD23" s="78">
        <f t="shared" si="2"/>
        <v>37500</v>
      </c>
      <c r="AE23" s="72">
        <f t="shared" si="3"/>
        <v>52500</v>
      </c>
      <c r="AF23" s="75">
        <f t="shared" si="4"/>
        <v>2559.89</v>
      </c>
      <c r="AG23" s="78">
        <f t="shared" si="5"/>
        <v>6399.7250000000004</v>
      </c>
      <c r="AH23" s="72">
        <f t="shared" si="6"/>
        <v>8959.6149999999998</v>
      </c>
      <c r="AI23" s="75">
        <f t="shared" si="7"/>
        <v>1770</v>
      </c>
      <c r="AJ23" s="78">
        <f t="shared" si="8"/>
        <v>4425</v>
      </c>
      <c r="AK23" s="72">
        <f t="shared" si="9"/>
        <v>6195</v>
      </c>
    </row>
    <row r="24" spans="1:37" ht="15.95" customHeight="1">
      <c r="A24" s="25" t="s">
        <v>702</v>
      </c>
      <c r="B24" s="25" t="s">
        <v>463</v>
      </c>
      <c r="C24" s="26" t="s">
        <v>267</v>
      </c>
      <c r="D24" s="26" t="s">
        <v>373</v>
      </c>
      <c r="E24" s="26" t="s">
        <v>16</v>
      </c>
      <c r="F24" s="26" t="s">
        <v>712</v>
      </c>
      <c r="G24" s="26"/>
      <c r="H24" s="27" t="s">
        <v>714</v>
      </c>
      <c r="I24" s="26" t="s">
        <v>19</v>
      </c>
      <c r="J24" s="28" t="s">
        <v>31</v>
      </c>
      <c r="K24" s="123">
        <v>75</v>
      </c>
      <c r="L24" s="29">
        <v>12.79945</v>
      </c>
      <c r="M24" s="110">
        <v>8.85</v>
      </c>
      <c r="N24" s="30">
        <v>0.28199999999999997</v>
      </c>
      <c r="O24" s="116">
        <v>2.4956999999999998</v>
      </c>
      <c r="P24" s="30">
        <v>7.4999999999999997E-2</v>
      </c>
      <c r="Q24" s="116">
        <v>0.66374999999999995</v>
      </c>
      <c r="R24" s="30">
        <v>7.0000000000000007E-2</v>
      </c>
      <c r="S24" s="116">
        <v>0.3</v>
      </c>
      <c r="T24" s="117">
        <v>0.49</v>
      </c>
      <c r="U24" s="39">
        <v>200</v>
      </c>
      <c r="V24" s="32">
        <v>480</v>
      </c>
      <c r="W24" s="33"/>
      <c r="X24" s="32"/>
      <c r="Y24" s="32"/>
      <c r="Z24" s="32">
        <v>13</v>
      </c>
      <c r="AA24" s="34"/>
      <c r="AB24" s="35">
        <f t="shared" si="0"/>
        <v>693</v>
      </c>
      <c r="AC24" s="75">
        <f t="shared" si="1"/>
        <v>15000</v>
      </c>
      <c r="AD24" s="78">
        <f t="shared" si="2"/>
        <v>36975</v>
      </c>
      <c r="AE24" s="72">
        <f t="shared" si="3"/>
        <v>51975</v>
      </c>
      <c r="AF24" s="75">
        <f t="shared" si="4"/>
        <v>2559.89</v>
      </c>
      <c r="AG24" s="78">
        <f t="shared" si="5"/>
        <v>6258.7860000000001</v>
      </c>
      <c r="AH24" s="72">
        <f t="shared" si="6"/>
        <v>8818.6759999999995</v>
      </c>
      <c r="AI24" s="75">
        <f t="shared" si="7"/>
        <v>1770</v>
      </c>
      <c r="AJ24" s="78">
        <f t="shared" si="8"/>
        <v>4363.05</v>
      </c>
      <c r="AK24" s="72">
        <f t="shared" si="9"/>
        <v>6133.05</v>
      </c>
    </row>
    <row r="25" spans="1:37" ht="15.95" customHeight="1">
      <c r="A25" s="25" t="s">
        <v>939</v>
      </c>
      <c r="B25" s="25" t="s">
        <v>463</v>
      </c>
      <c r="C25" s="26" t="s">
        <v>267</v>
      </c>
      <c r="D25" s="26" t="s">
        <v>373</v>
      </c>
      <c r="E25" s="26" t="s">
        <v>16</v>
      </c>
      <c r="F25" s="26" t="s">
        <v>712</v>
      </c>
      <c r="G25" s="26"/>
      <c r="H25" s="27" t="s">
        <v>713</v>
      </c>
      <c r="I25" s="26" t="s">
        <v>19</v>
      </c>
      <c r="J25" s="28" t="s">
        <v>31</v>
      </c>
      <c r="K25" s="123">
        <v>75</v>
      </c>
      <c r="L25" s="29">
        <v>12.79945</v>
      </c>
      <c r="M25" s="110">
        <v>8.85</v>
      </c>
      <c r="N25" s="30">
        <v>0.28199999999999997</v>
      </c>
      <c r="O25" s="116">
        <v>2.4956999999999998</v>
      </c>
      <c r="P25" s="30">
        <v>7.4999999999999997E-2</v>
      </c>
      <c r="Q25" s="116">
        <v>0.66374999999999995</v>
      </c>
      <c r="R25" s="30">
        <v>7.0000000000000007E-2</v>
      </c>
      <c r="S25" s="116">
        <v>0.3</v>
      </c>
      <c r="T25" s="117">
        <v>0.49</v>
      </c>
      <c r="U25" s="39"/>
      <c r="V25" s="32">
        <v>482</v>
      </c>
      <c r="W25" s="33"/>
      <c r="X25" s="32"/>
      <c r="Y25" s="32"/>
      <c r="Z25" s="32"/>
      <c r="AA25" s="34"/>
      <c r="AB25" s="35">
        <f t="shared" si="0"/>
        <v>482</v>
      </c>
      <c r="AC25" s="75">
        <f t="shared" si="1"/>
        <v>0</v>
      </c>
      <c r="AD25" s="78">
        <f t="shared" si="2"/>
        <v>36150</v>
      </c>
      <c r="AE25" s="72">
        <f t="shared" si="3"/>
        <v>36150</v>
      </c>
      <c r="AF25" s="75">
        <f t="shared" si="4"/>
        <v>0</v>
      </c>
      <c r="AG25" s="78">
        <f t="shared" si="5"/>
        <v>6169.3348999999998</v>
      </c>
      <c r="AH25" s="72">
        <f t="shared" si="6"/>
        <v>6169.3348999999998</v>
      </c>
      <c r="AI25" s="75">
        <f t="shared" si="7"/>
        <v>0</v>
      </c>
      <c r="AJ25" s="78">
        <f t="shared" si="8"/>
        <v>4265.7</v>
      </c>
      <c r="AK25" s="72">
        <f t="shared" si="9"/>
        <v>4265.7</v>
      </c>
    </row>
    <row r="26" spans="1:37" ht="15.95" customHeight="1">
      <c r="A26" s="25" t="s">
        <v>702</v>
      </c>
      <c r="B26" s="25" t="s">
        <v>463</v>
      </c>
      <c r="C26" s="26" t="s">
        <v>267</v>
      </c>
      <c r="D26" s="26" t="s">
        <v>373</v>
      </c>
      <c r="E26" s="26" t="s">
        <v>16</v>
      </c>
      <c r="F26" s="26" t="s">
        <v>712</v>
      </c>
      <c r="G26" s="26"/>
      <c r="H26" s="27" t="s">
        <v>713</v>
      </c>
      <c r="I26" s="26" t="s">
        <v>19</v>
      </c>
      <c r="J26" s="28" t="s">
        <v>31</v>
      </c>
      <c r="K26" s="123">
        <v>75</v>
      </c>
      <c r="L26" s="29">
        <v>12.79945</v>
      </c>
      <c r="M26" s="110">
        <v>8.85</v>
      </c>
      <c r="N26" s="30">
        <v>0.28199999999999997</v>
      </c>
      <c r="O26" s="116">
        <v>2.4956999999999998</v>
      </c>
      <c r="P26" s="30">
        <v>7.4999999999999997E-2</v>
      </c>
      <c r="Q26" s="116">
        <v>0.66374999999999995</v>
      </c>
      <c r="R26" s="30">
        <v>7.0000000000000007E-2</v>
      </c>
      <c r="S26" s="116">
        <v>0.3</v>
      </c>
      <c r="T26" s="117">
        <v>0.49</v>
      </c>
      <c r="U26" s="39">
        <v>200</v>
      </c>
      <c r="V26" s="32">
        <v>500</v>
      </c>
      <c r="W26" s="33"/>
      <c r="X26" s="32"/>
      <c r="Y26" s="32"/>
      <c r="Z26" s="32">
        <v>13</v>
      </c>
      <c r="AA26" s="34"/>
      <c r="AB26" s="35">
        <f t="shared" si="0"/>
        <v>713</v>
      </c>
      <c r="AC26" s="75">
        <f t="shared" si="1"/>
        <v>15000</v>
      </c>
      <c r="AD26" s="78">
        <f t="shared" si="2"/>
        <v>38475</v>
      </c>
      <c r="AE26" s="72">
        <f t="shared" si="3"/>
        <v>53475</v>
      </c>
      <c r="AF26" s="75">
        <f t="shared" si="4"/>
        <v>2559.89</v>
      </c>
      <c r="AG26" s="78">
        <f t="shared" si="5"/>
        <v>6514.7750000000005</v>
      </c>
      <c r="AH26" s="72">
        <f t="shared" si="6"/>
        <v>9074.6650000000009</v>
      </c>
      <c r="AI26" s="75">
        <f t="shared" si="7"/>
        <v>1770</v>
      </c>
      <c r="AJ26" s="78">
        <f t="shared" si="8"/>
        <v>4540.05</v>
      </c>
      <c r="AK26" s="72">
        <f t="shared" si="9"/>
        <v>6310.05</v>
      </c>
    </row>
    <row r="27" spans="1:37" ht="15.95" customHeight="1">
      <c r="A27" s="25" t="s">
        <v>702</v>
      </c>
      <c r="B27" s="25" t="s">
        <v>463</v>
      </c>
      <c r="C27" s="26" t="s">
        <v>267</v>
      </c>
      <c r="D27" s="26" t="s">
        <v>373</v>
      </c>
      <c r="E27" s="26" t="s">
        <v>16</v>
      </c>
      <c r="F27" s="26" t="s">
        <v>712</v>
      </c>
      <c r="G27" s="26"/>
      <c r="H27" s="27" t="s">
        <v>713</v>
      </c>
      <c r="I27" s="26" t="s">
        <v>19</v>
      </c>
      <c r="J27" s="28" t="s">
        <v>31</v>
      </c>
      <c r="K27" s="123">
        <v>75</v>
      </c>
      <c r="L27" s="29">
        <v>12.79945</v>
      </c>
      <c r="M27" s="110">
        <v>8.85</v>
      </c>
      <c r="N27" s="30">
        <v>0.28199999999999997</v>
      </c>
      <c r="O27" s="116">
        <v>2.4956999999999998</v>
      </c>
      <c r="P27" s="30">
        <v>7.4999999999999997E-2</v>
      </c>
      <c r="Q27" s="116">
        <v>0.66374999999999995</v>
      </c>
      <c r="R27" s="30">
        <v>7.0000000000000007E-2</v>
      </c>
      <c r="S27" s="116">
        <v>0.3</v>
      </c>
      <c r="T27" s="117">
        <v>0.49</v>
      </c>
      <c r="U27" s="39">
        <v>200</v>
      </c>
      <c r="V27" s="32">
        <v>500</v>
      </c>
      <c r="W27" s="33"/>
      <c r="X27" s="32"/>
      <c r="Y27" s="32"/>
      <c r="Z27" s="32">
        <v>104</v>
      </c>
      <c r="AA27" s="34"/>
      <c r="AB27" s="35">
        <f t="shared" si="0"/>
        <v>804</v>
      </c>
      <c r="AC27" s="75">
        <f t="shared" si="1"/>
        <v>15000</v>
      </c>
      <c r="AD27" s="78">
        <f t="shared" si="2"/>
        <v>45300</v>
      </c>
      <c r="AE27" s="72">
        <f t="shared" si="3"/>
        <v>60300</v>
      </c>
      <c r="AF27" s="75">
        <f t="shared" si="4"/>
        <v>2559.89</v>
      </c>
      <c r="AG27" s="78">
        <f t="shared" si="5"/>
        <v>7320.125</v>
      </c>
      <c r="AH27" s="72">
        <f t="shared" si="6"/>
        <v>9880.0149999999994</v>
      </c>
      <c r="AI27" s="75">
        <f t="shared" si="7"/>
        <v>1770</v>
      </c>
      <c r="AJ27" s="78">
        <f t="shared" si="8"/>
        <v>5345.4</v>
      </c>
      <c r="AK27" s="72">
        <f t="shared" si="9"/>
        <v>7115.4</v>
      </c>
    </row>
    <row r="28" spans="1:37" ht="15.95" customHeight="1">
      <c r="A28" s="25" t="s">
        <v>939</v>
      </c>
      <c r="B28" s="25" t="s">
        <v>463</v>
      </c>
      <c r="C28" s="26" t="s">
        <v>267</v>
      </c>
      <c r="D28" s="26" t="s">
        <v>373</v>
      </c>
      <c r="E28" s="26" t="s">
        <v>16</v>
      </c>
      <c r="F28" s="26" t="s">
        <v>712</v>
      </c>
      <c r="G28" s="36"/>
      <c r="H28" s="27" t="s">
        <v>714</v>
      </c>
      <c r="I28" s="26" t="s">
        <v>19</v>
      </c>
      <c r="J28" s="28" t="s">
        <v>31</v>
      </c>
      <c r="K28" s="123">
        <v>75</v>
      </c>
      <c r="L28" s="29">
        <v>12.79945</v>
      </c>
      <c r="M28" s="110">
        <v>8.85</v>
      </c>
      <c r="N28" s="30">
        <v>0.28199999999999997</v>
      </c>
      <c r="O28" s="116">
        <v>2.4956999999999998</v>
      </c>
      <c r="P28" s="30">
        <v>7.4999999999999997E-2</v>
      </c>
      <c r="Q28" s="116">
        <v>0.66374999999999995</v>
      </c>
      <c r="R28" s="30">
        <v>7.0000000000000007E-2</v>
      </c>
      <c r="S28" s="116">
        <v>0.3</v>
      </c>
      <c r="T28" s="117">
        <v>0.49</v>
      </c>
      <c r="U28" s="39"/>
      <c r="V28" s="32">
        <v>687</v>
      </c>
      <c r="W28" s="33"/>
      <c r="X28" s="32"/>
      <c r="Y28" s="32"/>
      <c r="Z28" s="32"/>
      <c r="AA28" s="34"/>
      <c r="AB28" s="35">
        <f t="shared" si="0"/>
        <v>687</v>
      </c>
      <c r="AC28" s="75">
        <f t="shared" si="1"/>
        <v>0</v>
      </c>
      <c r="AD28" s="78">
        <f t="shared" si="2"/>
        <v>51525</v>
      </c>
      <c r="AE28" s="72">
        <f t="shared" si="3"/>
        <v>51525</v>
      </c>
      <c r="AF28" s="75">
        <f t="shared" si="4"/>
        <v>0</v>
      </c>
      <c r="AG28" s="78">
        <f t="shared" si="5"/>
        <v>8793.2221499999996</v>
      </c>
      <c r="AH28" s="72">
        <f t="shared" si="6"/>
        <v>8793.2221499999996</v>
      </c>
      <c r="AI28" s="75">
        <f t="shared" si="7"/>
        <v>0</v>
      </c>
      <c r="AJ28" s="78">
        <f t="shared" si="8"/>
        <v>6079.95</v>
      </c>
      <c r="AK28" s="72">
        <f t="shared" si="9"/>
        <v>6079.95</v>
      </c>
    </row>
    <row r="29" spans="1:37" ht="15.95" customHeight="1">
      <c r="A29" s="25" t="s">
        <v>702</v>
      </c>
      <c r="B29" s="25" t="s">
        <v>463</v>
      </c>
      <c r="C29" s="26" t="s">
        <v>44</v>
      </c>
      <c r="D29" s="26" t="s">
        <v>375</v>
      </c>
      <c r="E29" s="26" t="s">
        <v>16</v>
      </c>
      <c r="F29" s="26" t="s">
        <v>715</v>
      </c>
      <c r="G29" s="36"/>
      <c r="H29" s="27" t="s">
        <v>716</v>
      </c>
      <c r="I29" s="26" t="s">
        <v>27</v>
      </c>
      <c r="J29" s="28" t="s">
        <v>708</v>
      </c>
      <c r="K29" s="123">
        <v>135</v>
      </c>
      <c r="L29" s="29">
        <v>25.457999999999998</v>
      </c>
      <c r="M29" s="110">
        <v>19.95</v>
      </c>
      <c r="N29" s="30">
        <v>0.16500000000000001</v>
      </c>
      <c r="O29" s="116">
        <v>3.29175</v>
      </c>
      <c r="P29" s="30">
        <v>7.4999999999999997E-2</v>
      </c>
      <c r="Q29" s="116">
        <v>1.4962499999999999</v>
      </c>
      <c r="R29" s="30">
        <v>7.0000000000000007E-2</v>
      </c>
      <c r="S29" s="116">
        <v>0.23</v>
      </c>
      <c r="T29" s="117">
        <v>0.49</v>
      </c>
      <c r="U29" s="39">
        <v>200</v>
      </c>
      <c r="V29" s="32">
        <v>105</v>
      </c>
      <c r="W29" s="33"/>
      <c r="X29" s="32"/>
      <c r="Y29" s="32">
        <v>30</v>
      </c>
      <c r="Z29" s="32">
        <v>48</v>
      </c>
      <c r="AA29" s="34"/>
      <c r="AB29" s="35">
        <f t="shared" si="0"/>
        <v>383</v>
      </c>
      <c r="AC29" s="75">
        <f t="shared" si="1"/>
        <v>27000</v>
      </c>
      <c r="AD29" s="78">
        <f t="shared" si="2"/>
        <v>24705</v>
      </c>
      <c r="AE29" s="72">
        <f t="shared" si="3"/>
        <v>51705</v>
      </c>
      <c r="AF29" s="75">
        <f t="shared" si="4"/>
        <v>5091.5999999999995</v>
      </c>
      <c r="AG29" s="78">
        <f t="shared" si="5"/>
        <v>4229.1899999999996</v>
      </c>
      <c r="AH29" s="72">
        <f t="shared" si="6"/>
        <v>9320.7899999999991</v>
      </c>
      <c r="AI29" s="75">
        <f t="shared" si="7"/>
        <v>3990</v>
      </c>
      <c r="AJ29" s="78">
        <f t="shared" si="8"/>
        <v>3650.85</v>
      </c>
      <c r="AK29" s="72">
        <f t="shared" si="9"/>
        <v>7640.85</v>
      </c>
    </row>
    <row r="30" spans="1:37" ht="15.95" customHeight="1">
      <c r="A30" s="25" t="s">
        <v>702</v>
      </c>
      <c r="B30" s="25" t="s">
        <v>463</v>
      </c>
      <c r="C30" s="26" t="s">
        <v>44</v>
      </c>
      <c r="D30" s="26" t="s">
        <v>375</v>
      </c>
      <c r="E30" s="26" t="s">
        <v>16</v>
      </c>
      <c r="F30" s="26" t="s">
        <v>715</v>
      </c>
      <c r="G30" s="26"/>
      <c r="H30" s="27" t="s">
        <v>717</v>
      </c>
      <c r="I30" s="26" t="s">
        <v>27</v>
      </c>
      <c r="J30" s="28" t="s">
        <v>708</v>
      </c>
      <c r="K30" s="123">
        <v>135</v>
      </c>
      <c r="L30" s="29">
        <v>25.457999999999998</v>
      </c>
      <c r="M30" s="110">
        <v>19.95</v>
      </c>
      <c r="N30" s="30">
        <v>0.16500000000000001</v>
      </c>
      <c r="O30" s="116">
        <v>3.29175</v>
      </c>
      <c r="P30" s="30">
        <v>7.4999999999999997E-2</v>
      </c>
      <c r="Q30" s="116">
        <v>1.4962499999999999</v>
      </c>
      <c r="R30" s="30">
        <v>7.0000000000000007E-2</v>
      </c>
      <c r="S30" s="116">
        <v>0.23</v>
      </c>
      <c r="T30" s="117">
        <v>0.49</v>
      </c>
      <c r="U30" s="39">
        <v>190</v>
      </c>
      <c r="V30" s="32">
        <v>235</v>
      </c>
      <c r="W30" s="33"/>
      <c r="X30" s="32"/>
      <c r="Y30" s="32">
        <v>105</v>
      </c>
      <c r="Z30" s="32">
        <v>44</v>
      </c>
      <c r="AA30" s="34"/>
      <c r="AB30" s="35">
        <f t="shared" si="0"/>
        <v>574</v>
      </c>
      <c r="AC30" s="75">
        <f t="shared" si="1"/>
        <v>25650</v>
      </c>
      <c r="AD30" s="78">
        <f t="shared" si="2"/>
        <v>51840</v>
      </c>
      <c r="AE30" s="72">
        <f t="shared" si="3"/>
        <v>77490</v>
      </c>
      <c r="AF30" s="75">
        <f t="shared" si="4"/>
        <v>4837.0199999999995</v>
      </c>
      <c r="AG30" s="78">
        <f t="shared" si="5"/>
        <v>8955.1799999999985</v>
      </c>
      <c r="AH30" s="72">
        <f t="shared" si="6"/>
        <v>13792.199999999997</v>
      </c>
      <c r="AI30" s="75">
        <f t="shared" si="7"/>
        <v>3790.5</v>
      </c>
      <c r="AJ30" s="78">
        <f t="shared" si="8"/>
        <v>7660.7999999999993</v>
      </c>
      <c r="AK30" s="72">
        <f t="shared" si="9"/>
        <v>11451.3</v>
      </c>
    </row>
    <row r="31" spans="1:37" ht="15.95" customHeight="1">
      <c r="A31" s="25" t="s">
        <v>702</v>
      </c>
      <c r="B31" s="25" t="s">
        <v>463</v>
      </c>
      <c r="C31" s="26" t="s">
        <v>14</v>
      </c>
      <c r="D31" s="26" t="s">
        <v>375</v>
      </c>
      <c r="E31" s="26" t="s">
        <v>16</v>
      </c>
      <c r="F31" s="26" t="s">
        <v>718</v>
      </c>
      <c r="G31" s="26"/>
      <c r="H31" s="27" t="s">
        <v>719</v>
      </c>
      <c r="I31" s="26" t="s">
        <v>27</v>
      </c>
      <c r="J31" s="28" t="s">
        <v>53</v>
      </c>
      <c r="K31" s="123">
        <v>145</v>
      </c>
      <c r="L31" s="29">
        <v>23.975999999999999</v>
      </c>
      <c r="M31" s="110">
        <v>19</v>
      </c>
      <c r="N31" s="30">
        <v>0.14899999999999999</v>
      </c>
      <c r="O31" s="116">
        <v>2.831</v>
      </c>
      <c r="P31" s="30">
        <v>7.4999999999999997E-2</v>
      </c>
      <c r="Q31" s="116">
        <v>1.425</v>
      </c>
      <c r="R31" s="30">
        <v>7.0000000000000007E-2</v>
      </c>
      <c r="S31" s="116">
        <v>0.23</v>
      </c>
      <c r="T31" s="117">
        <v>0.49</v>
      </c>
      <c r="U31" s="39">
        <v>350</v>
      </c>
      <c r="V31" s="32"/>
      <c r="W31" s="33"/>
      <c r="X31" s="32"/>
      <c r="Y31" s="32"/>
      <c r="Z31" s="32">
        <v>45</v>
      </c>
      <c r="AA31" s="34"/>
      <c r="AB31" s="35">
        <f t="shared" si="0"/>
        <v>395</v>
      </c>
      <c r="AC31" s="75">
        <f t="shared" si="1"/>
        <v>50750</v>
      </c>
      <c r="AD31" s="78">
        <f t="shared" si="2"/>
        <v>6525</v>
      </c>
      <c r="AE31" s="72">
        <f t="shared" si="3"/>
        <v>57275</v>
      </c>
      <c r="AF31" s="75">
        <f t="shared" si="4"/>
        <v>8391.6</v>
      </c>
      <c r="AG31" s="78">
        <f t="shared" si="5"/>
        <v>855</v>
      </c>
      <c r="AH31" s="72">
        <f t="shared" si="6"/>
        <v>9246.6</v>
      </c>
      <c r="AI31" s="75">
        <f t="shared" si="7"/>
        <v>6650</v>
      </c>
      <c r="AJ31" s="78">
        <f t="shared" si="8"/>
        <v>855</v>
      </c>
      <c r="AK31" s="72">
        <f t="shared" si="9"/>
        <v>7505</v>
      </c>
    </row>
    <row r="32" spans="1:37" ht="15.95" customHeight="1">
      <c r="A32" s="25" t="s">
        <v>702</v>
      </c>
      <c r="B32" s="25" t="s">
        <v>463</v>
      </c>
      <c r="C32" s="26" t="s">
        <v>21</v>
      </c>
      <c r="D32" s="26" t="s">
        <v>375</v>
      </c>
      <c r="E32" s="26" t="s">
        <v>16</v>
      </c>
      <c r="F32" s="26" t="s">
        <v>720</v>
      </c>
      <c r="G32" s="26"/>
      <c r="H32" s="27" t="s">
        <v>721</v>
      </c>
      <c r="I32" s="26" t="s">
        <v>27</v>
      </c>
      <c r="J32" s="28" t="s">
        <v>83</v>
      </c>
      <c r="K32" s="123">
        <v>120</v>
      </c>
      <c r="L32" s="29">
        <v>21.466799999999996</v>
      </c>
      <c r="M32" s="110">
        <v>16.95</v>
      </c>
      <c r="N32" s="30">
        <v>0.14899999999999999</v>
      </c>
      <c r="O32" s="116">
        <v>2.52555</v>
      </c>
      <c r="P32" s="30">
        <v>7.4999999999999997E-2</v>
      </c>
      <c r="Q32" s="116">
        <v>1.27125</v>
      </c>
      <c r="R32" s="30">
        <v>7.0000000000000007E-2</v>
      </c>
      <c r="S32" s="116">
        <v>0.23</v>
      </c>
      <c r="T32" s="117">
        <v>0.49</v>
      </c>
      <c r="U32" s="39">
        <v>350</v>
      </c>
      <c r="V32" s="32"/>
      <c r="W32" s="33"/>
      <c r="X32" s="32"/>
      <c r="Y32" s="32"/>
      <c r="Z32" s="32">
        <v>65</v>
      </c>
      <c r="AA32" s="34"/>
      <c r="AB32" s="35">
        <f t="shared" si="0"/>
        <v>415</v>
      </c>
      <c r="AC32" s="75">
        <f t="shared" si="1"/>
        <v>42000</v>
      </c>
      <c r="AD32" s="78">
        <f t="shared" si="2"/>
        <v>7800</v>
      </c>
      <c r="AE32" s="72">
        <f t="shared" si="3"/>
        <v>49800</v>
      </c>
      <c r="AF32" s="75">
        <f t="shared" si="4"/>
        <v>7513.3799999999983</v>
      </c>
      <c r="AG32" s="78">
        <f t="shared" si="5"/>
        <v>1101.75</v>
      </c>
      <c r="AH32" s="72">
        <f t="shared" si="6"/>
        <v>8615.1299999999974</v>
      </c>
      <c r="AI32" s="75">
        <f t="shared" si="7"/>
        <v>5932.5</v>
      </c>
      <c r="AJ32" s="78">
        <f t="shared" si="8"/>
        <v>1101.75</v>
      </c>
      <c r="AK32" s="72">
        <f t="shared" si="9"/>
        <v>7034.25</v>
      </c>
    </row>
    <row r="33" spans="1:37" ht="15.95" customHeight="1">
      <c r="A33" s="25" t="s">
        <v>702</v>
      </c>
      <c r="B33" s="25" t="s">
        <v>463</v>
      </c>
      <c r="C33" s="26" t="s">
        <v>44</v>
      </c>
      <c r="D33" s="26" t="s">
        <v>375</v>
      </c>
      <c r="E33" s="26" t="s">
        <v>16</v>
      </c>
      <c r="F33" s="26" t="s">
        <v>722</v>
      </c>
      <c r="G33" s="26"/>
      <c r="H33" s="27" t="s">
        <v>721</v>
      </c>
      <c r="I33" s="26" t="s">
        <v>27</v>
      </c>
      <c r="J33" s="37" t="s">
        <v>41</v>
      </c>
      <c r="K33" s="123">
        <v>118</v>
      </c>
      <c r="L33" s="29">
        <v>19.799999999999997</v>
      </c>
      <c r="M33" s="110">
        <v>15</v>
      </c>
      <c r="N33" s="30">
        <v>0.19700000000000001</v>
      </c>
      <c r="O33" s="116">
        <v>2.9550000000000001</v>
      </c>
      <c r="P33" s="30">
        <v>7.4999999999999997E-2</v>
      </c>
      <c r="Q33" s="116">
        <v>1.125</v>
      </c>
      <c r="R33" s="30">
        <v>7.0000000000000007E-2</v>
      </c>
      <c r="S33" s="116">
        <v>0.23</v>
      </c>
      <c r="T33" s="117">
        <v>0.49</v>
      </c>
      <c r="U33" s="39">
        <v>200</v>
      </c>
      <c r="V33" s="32">
        <v>360</v>
      </c>
      <c r="W33" s="33"/>
      <c r="X33" s="32"/>
      <c r="Y33" s="32"/>
      <c r="Z33" s="32">
        <v>40</v>
      </c>
      <c r="AA33" s="34"/>
      <c r="AB33" s="35">
        <f t="shared" si="0"/>
        <v>600</v>
      </c>
      <c r="AC33" s="75">
        <f t="shared" si="1"/>
        <v>23600</v>
      </c>
      <c r="AD33" s="78">
        <f t="shared" si="2"/>
        <v>47200</v>
      </c>
      <c r="AE33" s="72">
        <f t="shared" si="3"/>
        <v>70800</v>
      </c>
      <c r="AF33" s="75">
        <f t="shared" si="4"/>
        <v>3959.9999999999995</v>
      </c>
      <c r="AG33" s="78">
        <f t="shared" si="5"/>
        <v>7727.9999999999991</v>
      </c>
      <c r="AH33" s="72">
        <f t="shared" si="6"/>
        <v>11687.999999999998</v>
      </c>
      <c r="AI33" s="75">
        <f t="shared" si="7"/>
        <v>3000</v>
      </c>
      <c r="AJ33" s="78">
        <f t="shared" si="8"/>
        <v>6000</v>
      </c>
      <c r="AK33" s="72">
        <f t="shared" si="9"/>
        <v>9000</v>
      </c>
    </row>
    <row r="34" spans="1:37" ht="15.95" customHeight="1">
      <c r="A34" s="25" t="s">
        <v>702</v>
      </c>
      <c r="B34" s="25" t="s">
        <v>463</v>
      </c>
      <c r="C34" s="26" t="s">
        <v>267</v>
      </c>
      <c r="D34" s="26" t="s">
        <v>375</v>
      </c>
      <c r="E34" s="26" t="s">
        <v>16</v>
      </c>
      <c r="F34" s="26" t="s">
        <v>723</v>
      </c>
      <c r="G34" s="26"/>
      <c r="H34" s="27" t="s">
        <v>721</v>
      </c>
      <c r="I34" s="26" t="s">
        <v>27</v>
      </c>
      <c r="J34" s="28" t="s">
        <v>174</v>
      </c>
      <c r="K34" s="123">
        <v>100</v>
      </c>
      <c r="L34" s="29">
        <v>16.84</v>
      </c>
      <c r="M34" s="110">
        <v>13</v>
      </c>
      <c r="N34" s="30">
        <v>0.16500000000000001</v>
      </c>
      <c r="O34" s="116">
        <v>2.145</v>
      </c>
      <c r="P34" s="30">
        <v>7.4999999999999997E-2</v>
      </c>
      <c r="Q34" s="116">
        <v>0.97499999999999998</v>
      </c>
      <c r="R34" s="30">
        <v>7.0000000000000007E-2</v>
      </c>
      <c r="S34" s="116">
        <v>0.23</v>
      </c>
      <c r="T34" s="117">
        <v>0.49</v>
      </c>
      <c r="U34" s="39">
        <v>200</v>
      </c>
      <c r="V34" s="32">
        <v>360</v>
      </c>
      <c r="W34" s="33"/>
      <c r="X34" s="32"/>
      <c r="Y34" s="32"/>
      <c r="Z34" s="32">
        <v>55</v>
      </c>
      <c r="AA34" s="34"/>
      <c r="AB34" s="35">
        <f t="shared" si="0"/>
        <v>615</v>
      </c>
      <c r="AC34" s="75">
        <f t="shared" si="1"/>
        <v>20000</v>
      </c>
      <c r="AD34" s="78">
        <f t="shared" si="2"/>
        <v>41500</v>
      </c>
      <c r="AE34" s="72">
        <f t="shared" si="3"/>
        <v>61500</v>
      </c>
      <c r="AF34" s="75">
        <f t="shared" si="4"/>
        <v>3368</v>
      </c>
      <c r="AG34" s="78">
        <f t="shared" si="5"/>
        <v>6777.4</v>
      </c>
      <c r="AH34" s="72">
        <f t="shared" si="6"/>
        <v>10145.4</v>
      </c>
      <c r="AI34" s="75">
        <f t="shared" si="7"/>
        <v>2600</v>
      </c>
      <c r="AJ34" s="78">
        <f t="shared" si="8"/>
        <v>5395</v>
      </c>
      <c r="AK34" s="72">
        <f t="shared" si="9"/>
        <v>7995</v>
      </c>
    </row>
    <row r="35" spans="1:37" ht="15.95" customHeight="1">
      <c r="A35" s="25" t="s">
        <v>702</v>
      </c>
      <c r="B35" s="25" t="s">
        <v>463</v>
      </c>
      <c r="C35" s="26" t="s">
        <v>14</v>
      </c>
      <c r="D35" s="26" t="s">
        <v>375</v>
      </c>
      <c r="E35" s="26" t="s">
        <v>16</v>
      </c>
      <c r="F35" s="26" t="s">
        <v>718</v>
      </c>
      <c r="G35" s="26"/>
      <c r="H35" s="27" t="s">
        <v>721</v>
      </c>
      <c r="I35" s="26" t="s">
        <v>27</v>
      </c>
      <c r="J35" s="37" t="s">
        <v>53</v>
      </c>
      <c r="K35" s="123">
        <v>145</v>
      </c>
      <c r="L35" s="29">
        <v>23.975999999999999</v>
      </c>
      <c r="M35" s="110">
        <v>19</v>
      </c>
      <c r="N35" s="30">
        <v>0.14899999999999999</v>
      </c>
      <c r="O35" s="116">
        <v>2.831</v>
      </c>
      <c r="P35" s="30">
        <v>7.4999999999999997E-2</v>
      </c>
      <c r="Q35" s="116">
        <v>1.425</v>
      </c>
      <c r="R35" s="30">
        <v>7.0000000000000007E-2</v>
      </c>
      <c r="S35" s="116">
        <v>0.23</v>
      </c>
      <c r="T35" s="117">
        <v>0.49</v>
      </c>
      <c r="U35" s="39">
        <v>400</v>
      </c>
      <c r="V35" s="32"/>
      <c r="W35" s="33"/>
      <c r="X35" s="32"/>
      <c r="Y35" s="32"/>
      <c r="Z35" s="32">
        <v>16</v>
      </c>
      <c r="AA35" s="34"/>
      <c r="AB35" s="35">
        <f t="shared" si="0"/>
        <v>416</v>
      </c>
      <c r="AC35" s="75">
        <f t="shared" si="1"/>
        <v>58000</v>
      </c>
      <c r="AD35" s="78">
        <f t="shared" si="2"/>
        <v>2320</v>
      </c>
      <c r="AE35" s="72">
        <f t="shared" si="3"/>
        <v>60320</v>
      </c>
      <c r="AF35" s="75">
        <f t="shared" si="4"/>
        <v>9590.4</v>
      </c>
      <c r="AG35" s="78">
        <f t="shared" si="5"/>
        <v>304</v>
      </c>
      <c r="AH35" s="72">
        <f t="shared" si="6"/>
        <v>9894.4</v>
      </c>
      <c r="AI35" s="75">
        <f t="shared" si="7"/>
        <v>7600</v>
      </c>
      <c r="AJ35" s="78">
        <f t="shared" si="8"/>
        <v>304</v>
      </c>
      <c r="AK35" s="72">
        <f t="shared" si="9"/>
        <v>7904</v>
      </c>
    </row>
    <row r="36" spans="1:37" ht="15.95" customHeight="1">
      <c r="A36" s="25" t="s">
        <v>702</v>
      </c>
      <c r="B36" s="25" t="s">
        <v>463</v>
      </c>
      <c r="C36" s="26" t="s">
        <v>21</v>
      </c>
      <c r="D36" s="26" t="s">
        <v>375</v>
      </c>
      <c r="E36" s="26" t="s">
        <v>16</v>
      </c>
      <c r="F36" s="26" t="s">
        <v>720</v>
      </c>
      <c r="G36" s="26"/>
      <c r="H36" s="27" t="s">
        <v>721</v>
      </c>
      <c r="I36" s="26" t="s">
        <v>27</v>
      </c>
      <c r="J36" s="28" t="s">
        <v>83</v>
      </c>
      <c r="K36" s="123">
        <v>120</v>
      </c>
      <c r="L36" s="29">
        <v>21.466799999999996</v>
      </c>
      <c r="M36" s="110">
        <v>16.95</v>
      </c>
      <c r="N36" s="30">
        <v>0.14899999999999999</v>
      </c>
      <c r="O36" s="116">
        <v>2.52555</v>
      </c>
      <c r="P36" s="30">
        <v>7.4999999999999997E-2</v>
      </c>
      <c r="Q36" s="116">
        <v>1.27125</v>
      </c>
      <c r="R36" s="30">
        <v>7.0000000000000007E-2</v>
      </c>
      <c r="S36" s="116">
        <v>0.23</v>
      </c>
      <c r="T36" s="117">
        <v>0.49</v>
      </c>
      <c r="U36" s="39">
        <v>400</v>
      </c>
      <c r="V36" s="32"/>
      <c r="W36" s="33"/>
      <c r="X36" s="32"/>
      <c r="Y36" s="32"/>
      <c r="Z36" s="32">
        <v>12</v>
      </c>
      <c r="AA36" s="34"/>
      <c r="AB36" s="35">
        <f t="shared" si="0"/>
        <v>412</v>
      </c>
      <c r="AC36" s="75">
        <f t="shared" si="1"/>
        <v>48000</v>
      </c>
      <c r="AD36" s="78">
        <f t="shared" si="2"/>
        <v>1440</v>
      </c>
      <c r="AE36" s="72">
        <f t="shared" si="3"/>
        <v>49440</v>
      </c>
      <c r="AF36" s="75">
        <f t="shared" si="4"/>
        <v>8586.7199999999975</v>
      </c>
      <c r="AG36" s="78">
        <f t="shared" si="5"/>
        <v>203.39999999999998</v>
      </c>
      <c r="AH36" s="72">
        <f t="shared" si="6"/>
        <v>8790.1199999999972</v>
      </c>
      <c r="AI36" s="75">
        <f t="shared" si="7"/>
        <v>6780</v>
      </c>
      <c r="AJ36" s="78">
        <f t="shared" si="8"/>
        <v>203.39999999999998</v>
      </c>
      <c r="AK36" s="72">
        <f t="shared" si="9"/>
        <v>6983.4</v>
      </c>
    </row>
    <row r="37" spans="1:37" ht="15.95" customHeight="1">
      <c r="A37" s="25" t="s">
        <v>702</v>
      </c>
      <c r="B37" s="25" t="s">
        <v>463</v>
      </c>
      <c r="C37" s="26" t="s">
        <v>44</v>
      </c>
      <c r="D37" s="26" t="s">
        <v>375</v>
      </c>
      <c r="E37" s="26" t="s">
        <v>16</v>
      </c>
      <c r="F37" s="26" t="s">
        <v>722</v>
      </c>
      <c r="G37" s="26"/>
      <c r="H37" s="27" t="s">
        <v>721</v>
      </c>
      <c r="I37" s="26" t="s">
        <v>27</v>
      </c>
      <c r="J37" s="28" t="s">
        <v>41</v>
      </c>
      <c r="K37" s="123">
        <v>118</v>
      </c>
      <c r="L37" s="29">
        <v>19.799999999999997</v>
      </c>
      <c r="M37" s="110">
        <v>15</v>
      </c>
      <c r="N37" s="30">
        <v>0.19700000000000001</v>
      </c>
      <c r="O37" s="116">
        <v>2.9550000000000001</v>
      </c>
      <c r="P37" s="30">
        <v>7.4999999999999997E-2</v>
      </c>
      <c r="Q37" s="116">
        <v>1.125</v>
      </c>
      <c r="R37" s="30">
        <v>7.0000000000000007E-2</v>
      </c>
      <c r="S37" s="116">
        <v>0.23</v>
      </c>
      <c r="T37" s="117">
        <v>0.49</v>
      </c>
      <c r="U37" s="39">
        <v>250</v>
      </c>
      <c r="V37" s="32">
        <v>450</v>
      </c>
      <c r="W37" s="33"/>
      <c r="X37" s="32"/>
      <c r="Y37" s="32"/>
      <c r="Z37" s="32">
        <v>30</v>
      </c>
      <c r="AA37" s="34"/>
      <c r="AB37" s="35">
        <f t="shared" si="0"/>
        <v>730</v>
      </c>
      <c r="AC37" s="75">
        <f t="shared" si="1"/>
        <v>29500</v>
      </c>
      <c r="AD37" s="78">
        <f t="shared" si="2"/>
        <v>56640</v>
      </c>
      <c r="AE37" s="72">
        <f t="shared" si="3"/>
        <v>86140</v>
      </c>
      <c r="AF37" s="75">
        <f t="shared" si="4"/>
        <v>4949.9999999999991</v>
      </c>
      <c r="AG37" s="78">
        <f t="shared" si="5"/>
        <v>9359.9999999999982</v>
      </c>
      <c r="AH37" s="72">
        <f t="shared" si="6"/>
        <v>14309.999999999996</v>
      </c>
      <c r="AI37" s="75">
        <f t="shared" si="7"/>
        <v>3750</v>
      </c>
      <c r="AJ37" s="78">
        <f t="shared" si="8"/>
        <v>7200</v>
      </c>
      <c r="AK37" s="72">
        <f t="shared" si="9"/>
        <v>10950</v>
      </c>
    </row>
    <row r="38" spans="1:37" ht="15.95" customHeight="1">
      <c r="A38" s="25" t="s">
        <v>702</v>
      </c>
      <c r="B38" s="25" t="s">
        <v>463</v>
      </c>
      <c r="C38" s="26" t="s">
        <v>267</v>
      </c>
      <c r="D38" s="26" t="s">
        <v>375</v>
      </c>
      <c r="E38" s="26" t="s">
        <v>16</v>
      </c>
      <c r="F38" s="26" t="s">
        <v>723</v>
      </c>
      <c r="G38" s="26"/>
      <c r="H38" s="27" t="s">
        <v>721</v>
      </c>
      <c r="I38" s="26" t="s">
        <v>27</v>
      </c>
      <c r="J38" s="28" t="s">
        <v>174</v>
      </c>
      <c r="K38" s="123">
        <v>100</v>
      </c>
      <c r="L38" s="29">
        <v>16.84</v>
      </c>
      <c r="M38" s="110">
        <v>13</v>
      </c>
      <c r="N38" s="30">
        <v>0.16500000000000001</v>
      </c>
      <c r="O38" s="116">
        <v>2.145</v>
      </c>
      <c r="P38" s="30">
        <v>7.4999999999999997E-2</v>
      </c>
      <c r="Q38" s="116">
        <v>0.97499999999999998</v>
      </c>
      <c r="R38" s="30">
        <v>7.0000000000000007E-2</v>
      </c>
      <c r="S38" s="116">
        <v>0.23</v>
      </c>
      <c r="T38" s="117">
        <v>0.49</v>
      </c>
      <c r="U38" s="39">
        <v>250</v>
      </c>
      <c r="V38" s="32">
        <v>450</v>
      </c>
      <c r="W38" s="33"/>
      <c r="X38" s="32"/>
      <c r="Y38" s="32"/>
      <c r="Z38" s="32">
        <v>30</v>
      </c>
      <c r="AA38" s="34"/>
      <c r="AB38" s="35">
        <f t="shared" si="0"/>
        <v>730</v>
      </c>
      <c r="AC38" s="75">
        <f t="shared" si="1"/>
        <v>25000</v>
      </c>
      <c r="AD38" s="78">
        <f t="shared" si="2"/>
        <v>48000</v>
      </c>
      <c r="AE38" s="72">
        <f t="shared" si="3"/>
        <v>73000</v>
      </c>
      <c r="AF38" s="75">
        <f t="shared" si="4"/>
        <v>4210</v>
      </c>
      <c r="AG38" s="78">
        <f t="shared" si="5"/>
        <v>7968</v>
      </c>
      <c r="AH38" s="72">
        <f t="shared" si="6"/>
        <v>12178</v>
      </c>
      <c r="AI38" s="75">
        <f t="shared" si="7"/>
        <v>3250</v>
      </c>
      <c r="AJ38" s="78">
        <f t="shared" si="8"/>
        <v>6240</v>
      </c>
      <c r="AK38" s="72">
        <f t="shared" si="9"/>
        <v>9490</v>
      </c>
    </row>
    <row r="39" spans="1:37" ht="15.95" customHeight="1">
      <c r="A39" s="25" t="s">
        <v>702</v>
      </c>
      <c r="B39" s="25" t="s">
        <v>463</v>
      </c>
      <c r="C39" s="26" t="s">
        <v>14</v>
      </c>
      <c r="D39" s="26" t="s">
        <v>375</v>
      </c>
      <c r="E39" s="26" t="s">
        <v>16</v>
      </c>
      <c r="F39" s="26" t="s">
        <v>718</v>
      </c>
      <c r="G39" s="26"/>
      <c r="H39" s="27" t="s">
        <v>721</v>
      </c>
      <c r="I39" s="26" t="s">
        <v>27</v>
      </c>
      <c r="J39" s="37" t="s">
        <v>53</v>
      </c>
      <c r="K39" s="123">
        <v>145</v>
      </c>
      <c r="L39" s="29">
        <v>23.975999999999999</v>
      </c>
      <c r="M39" s="110">
        <v>19</v>
      </c>
      <c r="N39" s="30">
        <v>0.14899999999999999</v>
      </c>
      <c r="O39" s="116">
        <v>2.831</v>
      </c>
      <c r="P39" s="30">
        <v>7.4999999999999997E-2</v>
      </c>
      <c r="Q39" s="116">
        <v>1.425</v>
      </c>
      <c r="R39" s="30">
        <v>7.0000000000000007E-2</v>
      </c>
      <c r="S39" s="116">
        <v>0.23</v>
      </c>
      <c r="T39" s="117">
        <v>0.49</v>
      </c>
      <c r="U39" s="39">
        <v>400</v>
      </c>
      <c r="V39" s="32">
        <v>250</v>
      </c>
      <c r="W39" s="33"/>
      <c r="X39" s="32"/>
      <c r="Y39" s="32"/>
      <c r="Z39" s="32">
        <v>63</v>
      </c>
      <c r="AA39" s="34"/>
      <c r="AB39" s="35">
        <f t="shared" si="0"/>
        <v>713</v>
      </c>
      <c r="AC39" s="75">
        <f t="shared" si="1"/>
        <v>58000</v>
      </c>
      <c r="AD39" s="78">
        <f t="shared" si="2"/>
        <v>45385</v>
      </c>
      <c r="AE39" s="72">
        <f t="shared" si="3"/>
        <v>103385</v>
      </c>
      <c r="AF39" s="75">
        <f t="shared" si="4"/>
        <v>9590.4</v>
      </c>
      <c r="AG39" s="78">
        <f t="shared" si="5"/>
        <v>7191</v>
      </c>
      <c r="AH39" s="72">
        <f t="shared" si="6"/>
        <v>16781.400000000001</v>
      </c>
      <c r="AI39" s="75">
        <f t="shared" si="7"/>
        <v>7600</v>
      </c>
      <c r="AJ39" s="78">
        <f t="shared" si="8"/>
        <v>5947</v>
      </c>
      <c r="AK39" s="72">
        <f t="shared" si="9"/>
        <v>13547</v>
      </c>
    </row>
    <row r="40" spans="1:37" ht="15.95" customHeight="1">
      <c r="A40" s="25" t="s">
        <v>702</v>
      </c>
      <c r="B40" s="25" t="s">
        <v>463</v>
      </c>
      <c r="C40" s="26" t="s">
        <v>21</v>
      </c>
      <c r="D40" s="26" t="s">
        <v>375</v>
      </c>
      <c r="E40" s="26" t="s">
        <v>16</v>
      </c>
      <c r="F40" s="26" t="s">
        <v>720</v>
      </c>
      <c r="G40" s="26"/>
      <c r="H40" s="27" t="s">
        <v>721</v>
      </c>
      <c r="I40" s="26" t="s">
        <v>27</v>
      </c>
      <c r="J40" s="37" t="s">
        <v>83</v>
      </c>
      <c r="K40" s="123">
        <v>120</v>
      </c>
      <c r="L40" s="29">
        <v>21.466799999999996</v>
      </c>
      <c r="M40" s="110">
        <v>16.95</v>
      </c>
      <c r="N40" s="30">
        <v>0.14899999999999999</v>
      </c>
      <c r="O40" s="116">
        <v>2.52555</v>
      </c>
      <c r="P40" s="30">
        <v>7.4999999999999997E-2</v>
      </c>
      <c r="Q40" s="116">
        <v>1.27125</v>
      </c>
      <c r="R40" s="30">
        <v>7.0000000000000007E-2</v>
      </c>
      <c r="S40" s="116">
        <v>0.23</v>
      </c>
      <c r="T40" s="117">
        <v>0.49</v>
      </c>
      <c r="U40" s="39">
        <v>400</v>
      </c>
      <c r="V40" s="32"/>
      <c r="W40" s="33"/>
      <c r="X40" s="32"/>
      <c r="Y40" s="32"/>
      <c r="Z40" s="32">
        <v>70</v>
      </c>
      <c r="AA40" s="34"/>
      <c r="AB40" s="35">
        <f t="shared" si="0"/>
        <v>470</v>
      </c>
      <c r="AC40" s="75">
        <f t="shared" si="1"/>
        <v>48000</v>
      </c>
      <c r="AD40" s="78">
        <f t="shared" si="2"/>
        <v>8400</v>
      </c>
      <c r="AE40" s="72">
        <f t="shared" si="3"/>
        <v>56400</v>
      </c>
      <c r="AF40" s="75">
        <f t="shared" si="4"/>
        <v>8586.7199999999975</v>
      </c>
      <c r="AG40" s="78">
        <f t="shared" si="5"/>
        <v>1186.5</v>
      </c>
      <c r="AH40" s="72">
        <f t="shared" si="6"/>
        <v>9773.2199999999975</v>
      </c>
      <c r="AI40" s="75">
        <f t="shared" si="7"/>
        <v>6780</v>
      </c>
      <c r="AJ40" s="78">
        <f t="shared" si="8"/>
        <v>1186.5</v>
      </c>
      <c r="AK40" s="72">
        <f t="shared" si="9"/>
        <v>7966.5</v>
      </c>
    </row>
    <row r="41" spans="1:37" ht="15.95" customHeight="1">
      <c r="A41" s="25" t="s">
        <v>702</v>
      </c>
      <c r="B41" s="25" t="s">
        <v>463</v>
      </c>
      <c r="C41" s="26" t="s">
        <v>44</v>
      </c>
      <c r="D41" s="26" t="s">
        <v>375</v>
      </c>
      <c r="E41" s="26" t="s">
        <v>16</v>
      </c>
      <c r="F41" s="26" t="s">
        <v>722</v>
      </c>
      <c r="G41" s="26"/>
      <c r="H41" s="27" t="s">
        <v>721</v>
      </c>
      <c r="I41" s="26" t="s">
        <v>27</v>
      </c>
      <c r="J41" s="28" t="s">
        <v>41</v>
      </c>
      <c r="K41" s="123">
        <v>118</v>
      </c>
      <c r="L41" s="29">
        <v>19.799999999999997</v>
      </c>
      <c r="M41" s="110">
        <v>15</v>
      </c>
      <c r="N41" s="30">
        <v>0.19700000000000001</v>
      </c>
      <c r="O41" s="116">
        <v>2.9550000000000001</v>
      </c>
      <c r="P41" s="30">
        <v>7.4999999999999997E-2</v>
      </c>
      <c r="Q41" s="116">
        <v>1.125</v>
      </c>
      <c r="R41" s="30">
        <v>7.0000000000000007E-2</v>
      </c>
      <c r="S41" s="116">
        <v>0.23</v>
      </c>
      <c r="T41" s="117">
        <v>0.49</v>
      </c>
      <c r="U41" s="39">
        <v>250</v>
      </c>
      <c r="V41" s="32">
        <v>600</v>
      </c>
      <c r="W41" s="33"/>
      <c r="X41" s="32"/>
      <c r="Y41" s="32"/>
      <c r="Z41" s="32">
        <v>37</v>
      </c>
      <c r="AA41" s="34"/>
      <c r="AB41" s="35">
        <f t="shared" si="0"/>
        <v>887</v>
      </c>
      <c r="AC41" s="75">
        <f t="shared" si="1"/>
        <v>29500</v>
      </c>
      <c r="AD41" s="78">
        <f t="shared" si="2"/>
        <v>75166</v>
      </c>
      <c r="AE41" s="72">
        <f t="shared" si="3"/>
        <v>104666</v>
      </c>
      <c r="AF41" s="75">
        <f t="shared" si="4"/>
        <v>4949.9999999999991</v>
      </c>
      <c r="AG41" s="78">
        <f t="shared" si="5"/>
        <v>12434.999999999998</v>
      </c>
      <c r="AH41" s="72">
        <f t="shared" si="6"/>
        <v>17384.999999999996</v>
      </c>
      <c r="AI41" s="75">
        <f t="shared" si="7"/>
        <v>3750</v>
      </c>
      <c r="AJ41" s="78">
        <f t="shared" si="8"/>
        <v>9555</v>
      </c>
      <c r="AK41" s="72">
        <f t="shared" si="9"/>
        <v>13305</v>
      </c>
    </row>
    <row r="42" spans="1:37" ht="15.95" customHeight="1">
      <c r="A42" s="25" t="s">
        <v>702</v>
      </c>
      <c r="B42" s="25" t="s">
        <v>463</v>
      </c>
      <c r="C42" s="26" t="s">
        <v>267</v>
      </c>
      <c r="D42" s="26" t="s">
        <v>375</v>
      </c>
      <c r="E42" s="26" t="s">
        <v>16</v>
      </c>
      <c r="F42" s="26" t="s">
        <v>723</v>
      </c>
      <c r="G42" s="26"/>
      <c r="H42" s="27" t="s">
        <v>721</v>
      </c>
      <c r="I42" s="26" t="s">
        <v>27</v>
      </c>
      <c r="J42" s="28" t="s">
        <v>174</v>
      </c>
      <c r="K42" s="123">
        <v>100</v>
      </c>
      <c r="L42" s="29">
        <v>17.459999999999997</v>
      </c>
      <c r="M42" s="110">
        <v>13.5</v>
      </c>
      <c r="N42" s="30">
        <v>0.16500000000000001</v>
      </c>
      <c r="O42" s="116">
        <v>2.2275</v>
      </c>
      <c r="P42" s="30">
        <v>7.4999999999999997E-2</v>
      </c>
      <c r="Q42" s="116">
        <v>1.0125</v>
      </c>
      <c r="R42" s="30">
        <v>7.0000000000000007E-2</v>
      </c>
      <c r="S42" s="116">
        <v>0.23</v>
      </c>
      <c r="T42" s="117">
        <v>0.49</v>
      </c>
      <c r="U42" s="39">
        <v>250</v>
      </c>
      <c r="V42" s="32">
        <v>600</v>
      </c>
      <c r="W42" s="33"/>
      <c r="X42" s="32"/>
      <c r="Y42" s="32"/>
      <c r="Z42" s="32">
        <v>37</v>
      </c>
      <c r="AA42" s="34"/>
      <c r="AB42" s="35">
        <f t="shared" si="0"/>
        <v>887</v>
      </c>
      <c r="AC42" s="75">
        <f t="shared" si="1"/>
        <v>25000</v>
      </c>
      <c r="AD42" s="78">
        <f t="shared" si="2"/>
        <v>63700</v>
      </c>
      <c r="AE42" s="72">
        <f t="shared" si="3"/>
        <v>88700</v>
      </c>
      <c r="AF42" s="75">
        <f t="shared" si="4"/>
        <v>4364.9999999999991</v>
      </c>
      <c r="AG42" s="78">
        <f t="shared" si="5"/>
        <v>10975.499999999998</v>
      </c>
      <c r="AH42" s="72">
        <f t="shared" si="6"/>
        <v>15340.499999999996</v>
      </c>
      <c r="AI42" s="75">
        <f t="shared" si="7"/>
        <v>3375</v>
      </c>
      <c r="AJ42" s="78">
        <f t="shared" si="8"/>
        <v>8599.5</v>
      </c>
      <c r="AK42" s="72">
        <f t="shared" si="9"/>
        <v>11974.5</v>
      </c>
    </row>
    <row r="43" spans="1:37" ht="15.95" customHeight="1">
      <c r="A43" s="25" t="s">
        <v>702</v>
      </c>
      <c r="B43" s="25" t="s">
        <v>463</v>
      </c>
      <c r="C43" s="26" t="s">
        <v>14</v>
      </c>
      <c r="D43" s="26" t="s">
        <v>373</v>
      </c>
      <c r="E43" s="26" t="s">
        <v>16</v>
      </c>
      <c r="F43" s="26" t="s">
        <v>122</v>
      </c>
      <c r="G43" s="26"/>
      <c r="H43" s="27" t="s">
        <v>120</v>
      </c>
      <c r="I43" s="26" t="s">
        <v>27</v>
      </c>
      <c r="J43" s="28" t="s">
        <v>41</v>
      </c>
      <c r="K43" s="123">
        <v>140</v>
      </c>
      <c r="L43" s="29">
        <v>19.109499999999997</v>
      </c>
      <c r="M43" s="110">
        <v>13.5</v>
      </c>
      <c r="N43" s="30">
        <v>0.28199999999999997</v>
      </c>
      <c r="O43" s="116">
        <v>3.8069999999999995</v>
      </c>
      <c r="P43" s="30">
        <v>7.4999999999999997E-2</v>
      </c>
      <c r="Q43" s="116">
        <v>1.0125</v>
      </c>
      <c r="R43" s="30">
        <v>7.0000000000000007E-2</v>
      </c>
      <c r="S43" s="116">
        <v>0.3</v>
      </c>
      <c r="T43" s="117">
        <v>0.49</v>
      </c>
      <c r="U43" s="39">
        <v>400</v>
      </c>
      <c r="V43" s="32">
        <v>360</v>
      </c>
      <c r="W43" s="33"/>
      <c r="X43" s="32"/>
      <c r="Y43" s="32"/>
      <c r="Z43" s="32">
        <v>7</v>
      </c>
      <c r="AA43" s="34"/>
      <c r="AB43" s="35">
        <f t="shared" si="0"/>
        <v>767</v>
      </c>
      <c r="AC43" s="75">
        <f t="shared" si="1"/>
        <v>56000</v>
      </c>
      <c r="AD43" s="78">
        <f t="shared" si="2"/>
        <v>51380</v>
      </c>
      <c r="AE43" s="72">
        <f t="shared" si="3"/>
        <v>107380</v>
      </c>
      <c r="AF43" s="75">
        <f t="shared" si="4"/>
        <v>7643.7999999999993</v>
      </c>
      <c r="AG43" s="78">
        <f t="shared" si="5"/>
        <v>6973.9199999999992</v>
      </c>
      <c r="AH43" s="72">
        <f t="shared" si="6"/>
        <v>14617.719999999998</v>
      </c>
      <c r="AI43" s="75">
        <f t="shared" si="7"/>
        <v>5400</v>
      </c>
      <c r="AJ43" s="78">
        <f t="shared" si="8"/>
        <v>4954.5</v>
      </c>
      <c r="AK43" s="72">
        <f t="shared" si="9"/>
        <v>10354.5</v>
      </c>
    </row>
    <row r="44" spans="1:37" ht="15.95" customHeight="1">
      <c r="A44" s="25" t="s">
        <v>702</v>
      </c>
      <c r="B44" s="25" t="s">
        <v>463</v>
      </c>
      <c r="C44" s="26" t="s">
        <v>21</v>
      </c>
      <c r="D44" s="26" t="s">
        <v>373</v>
      </c>
      <c r="E44" s="26" t="s">
        <v>16</v>
      </c>
      <c r="F44" s="26" t="s">
        <v>123</v>
      </c>
      <c r="G44" s="26"/>
      <c r="H44" s="27" t="s">
        <v>120</v>
      </c>
      <c r="I44" s="26" t="s">
        <v>27</v>
      </c>
      <c r="J44" s="28" t="s">
        <v>43</v>
      </c>
      <c r="K44" s="123">
        <v>110</v>
      </c>
      <c r="L44" s="29">
        <v>16.395500000000002</v>
      </c>
      <c r="M44" s="110">
        <v>11.5</v>
      </c>
      <c r="N44" s="30">
        <v>0.28199999999999997</v>
      </c>
      <c r="O44" s="116">
        <v>3.2429999999999999</v>
      </c>
      <c r="P44" s="30">
        <v>7.4999999999999997E-2</v>
      </c>
      <c r="Q44" s="116">
        <v>0.86249999999999993</v>
      </c>
      <c r="R44" s="30">
        <v>7.0000000000000007E-2</v>
      </c>
      <c r="S44" s="116">
        <v>0.3</v>
      </c>
      <c r="T44" s="117">
        <v>0.49</v>
      </c>
      <c r="U44" s="39">
        <v>400</v>
      </c>
      <c r="V44" s="32">
        <v>360</v>
      </c>
      <c r="W44" s="33"/>
      <c r="X44" s="32"/>
      <c r="Y44" s="32"/>
      <c r="Z44" s="32">
        <v>5</v>
      </c>
      <c r="AA44" s="34"/>
      <c r="AB44" s="35">
        <f t="shared" si="0"/>
        <v>765</v>
      </c>
      <c r="AC44" s="75">
        <f t="shared" si="1"/>
        <v>44000</v>
      </c>
      <c r="AD44" s="78">
        <f t="shared" si="2"/>
        <v>40150</v>
      </c>
      <c r="AE44" s="72">
        <f t="shared" si="3"/>
        <v>84150</v>
      </c>
      <c r="AF44" s="75">
        <f t="shared" si="4"/>
        <v>6558.2000000000007</v>
      </c>
      <c r="AG44" s="78">
        <f t="shared" si="5"/>
        <v>5959.880000000001</v>
      </c>
      <c r="AH44" s="72">
        <f t="shared" si="6"/>
        <v>12518.080000000002</v>
      </c>
      <c r="AI44" s="75">
        <f t="shared" si="7"/>
        <v>4600</v>
      </c>
      <c r="AJ44" s="78">
        <f t="shared" si="8"/>
        <v>4197.5</v>
      </c>
      <c r="AK44" s="72">
        <f t="shared" si="9"/>
        <v>8797.5</v>
      </c>
    </row>
    <row r="45" spans="1:37" ht="15.95" customHeight="1">
      <c r="A45" s="25" t="s">
        <v>702</v>
      </c>
      <c r="B45" s="25" t="s">
        <v>463</v>
      </c>
      <c r="C45" s="26" t="s">
        <v>44</v>
      </c>
      <c r="D45" s="26" t="s">
        <v>213</v>
      </c>
      <c r="E45" s="26" t="s">
        <v>214</v>
      </c>
      <c r="F45" s="26" t="s">
        <v>724</v>
      </c>
      <c r="G45" s="26"/>
      <c r="H45" s="27" t="s">
        <v>521</v>
      </c>
      <c r="I45" s="26" t="s">
        <v>27</v>
      </c>
      <c r="J45" s="28" t="s">
        <v>41</v>
      </c>
      <c r="K45" s="123">
        <v>68</v>
      </c>
      <c r="L45" s="29">
        <v>11.413</v>
      </c>
      <c r="M45" s="110">
        <v>9</v>
      </c>
      <c r="N45" s="30">
        <v>0.19700000000000001</v>
      </c>
      <c r="O45" s="116">
        <v>1.7730000000000001</v>
      </c>
      <c r="P45" s="30"/>
      <c r="Q45" s="116"/>
      <c r="R45" s="30">
        <v>7.0000000000000007E-2</v>
      </c>
      <c r="S45" s="116">
        <v>0.15</v>
      </c>
      <c r="T45" s="117">
        <v>0.49</v>
      </c>
      <c r="U45" s="39">
        <v>250</v>
      </c>
      <c r="V45" s="32">
        <v>300</v>
      </c>
      <c r="W45" s="33"/>
      <c r="X45" s="32"/>
      <c r="Y45" s="32"/>
      <c r="Z45" s="32">
        <v>41</v>
      </c>
      <c r="AA45" s="34"/>
      <c r="AB45" s="35">
        <f t="shared" si="0"/>
        <v>591</v>
      </c>
      <c r="AC45" s="75">
        <f t="shared" si="1"/>
        <v>17000</v>
      </c>
      <c r="AD45" s="78">
        <f t="shared" si="2"/>
        <v>23188</v>
      </c>
      <c r="AE45" s="72">
        <f t="shared" si="3"/>
        <v>40188</v>
      </c>
      <c r="AF45" s="75">
        <f t="shared" si="4"/>
        <v>2853.25</v>
      </c>
      <c r="AG45" s="78">
        <f t="shared" si="5"/>
        <v>3792.9</v>
      </c>
      <c r="AH45" s="72">
        <f t="shared" si="6"/>
        <v>6646.15</v>
      </c>
      <c r="AI45" s="75">
        <f t="shared" si="7"/>
        <v>2250</v>
      </c>
      <c r="AJ45" s="78">
        <f t="shared" si="8"/>
        <v>3069</v>
      </c>
      <c r="AK45" s="72">
        <f t="shared" si="9"/>
        <v>5319</v>
      </c>
    </row>
    <row r="46" spans="1:37" ht="15.95" customHeight="1">
      <c r="A46" s="25" t="s">
        <v>702</v>
      </c>
      <c r="B46" s="25" t="s">
        <v>463</v>
      </c>
      <c r="C46" s="26" t="s">
        <v>24</v>
      </c>
      <c r="D46" s="26" t="s">
        <v>213</v>
      </c>
      <c r="E46" s="26" t="s">
        <v>214</v>
      </c>
      <c r="F46" s="26" t="s">
        <v>725</v>
      </c>
      <c r="G46" s="26"/>
      <c r="H46" s="27" t="s">
        <v>234</v>
      </c>
      <c r="I46" s="26" t="s">
        <v>27</v>
      </c>
      <c r="J46" s="28" t="s">
        <v>227</v>
      </c>
      <c r="K46" s="123">
        <v>58</v>
      </c>
      <c r="L46" s="29">
        <v>9.3775000000000013</v>
      </c>
      <c r="M46" s="110">
        <v>7.5</v>
      </c>
      <c r="N46" s="30">
        <v>0.16500000000000001</v>
      </c>
      <c r="O46" s="116">
        <v>1.2375</v>
      </c>
      <c r="P46" s="30"/>
      <c r="Q46" s="116"/>
      <c r="R46" s="30">
        <v>7.0000000000000007E-2</v>
      </c>
      <c r="S46" s="116">
        <v>0.15</v>
      </c>
      <c r="T46" s="117">
        <v>0.49</v>
      </c>
      <c r="U46" s="39">
        <v>300</v>
      </c>
      <c r="V46" s="32">
        <v>300</v>
      </c>
      <c r="W46" s="33"/>
      <c r="X46" s="32"/>
      <c r="Y46" s="32"/>
      <c r="Z46" s="32">
        <v>23</v>
      </c>
      <c r="AA46" s="34"/>
      <c r="AB46" s="35">
        <f t="shared" si="0"/>
        <v>623</v>
      </c>
      <c r="AC46" s="75">
        <f t="shared" si="1"/>
        <v>17400</v>
      </c>
      <c r="AD46" s="78">
        <f t="shared" si="2"/>
        <v>18734</v>
      </c>
      <c r="AE46" s="72">
        <f t="shared" si="3"/>
        <v>36134</v>
      </c>
      <c r="AF46" s="75">
        <f t="shared" si="4"/>
        <v>2813.2500000000005</v>
      </c>
      <c r="AG46" s="78">
        <f t="shared" si="5"/>
        <v>2985.7500000000005</v>
      </c>
      <c r="AH46" s="72">
        <f t="shared" si="6"/>
        <v>5799.0000000000009</v>
      </c>
      <c r="AI46" s="75">
        <f t="shared" si="7"/>
        <v>2250</v>
      </c>
      <c r="AJ46" s="78">
        <f t="shared" si="8"/>
        <v>2422.5</v>
      </c>
      <c r="AK46" s="72">
        <f t="shared" si="9"/>
        <v>4672.5</v>
      </c>
    </row>
    <row r="47" spans="1:37" ht="15.95" customHeight="1">
      <c r="A47" s="25" t="s">
        <v>702</v>
      </c>
      <c r="B47" s="25" t="s">
        <v>463</v>
      </c>
      <c r="C47" s="26" t="s">
        <v>267</v>
      </c>
      <c r="D47" s="26" t="s">
        <v>373</v>
      </c>
      <c r="E47" s="26" t="s">
        <v>16</v>
      </c>
      <c r="F47" s="26" t="s">
        <v>726</v>
      </c>
      <c r="G47" s="26"/>
      <c r="H47" s="27" t="s">
        <v>120</v>
      </c>
      <c r="I47" s="26" t="s">
        <v>27</v>
      </c>
      <c r="J47" s="28" t="s">
        <v>35</v>
      </c>
      <c r="K47" s="123">
        <v>75</v>
      </c>
      <c r="L47" s="29">
        <v>12.4602</v>
      </c>
      <c r="M47" s="110">
        <v>8.6</v>
      </c>
      <c r="N47" s="30">
        <v>0.28199999999999997</v>
      </c>
      <c r="O47" s="116">
        <v>2.4251999999999998</v>
      </c>
      <c r="P47" s="30">
        <v>7.4999999999999997E-2</v>
      </c>
      <c r="Q47" s="116">
        <v>0.64499999999999991</v>
      </c>
      <c r="R47" s="30">
        <v>7.0000000000000007E-2</v>
      </c>
      <c r="S47" s="116">
        <v>0.3</v>
      </c>
      <c r="T47" s="117">
        <v>0.49</v>
      </c>
      <c r="U47" s="39">
        <v>300</v>
      </c>
      <c r="V47" s="32">
        <v>600</v>
      </c>
      <c r="W47" s="33"/>
      <c r="X47" s="32"/>
      <c r="Y47" s="32"/>
      <c r="Z47" s="32">
        <v>6</v>
      </c>
      <c r="AA47" s="34"/>
      <c r="AB47" s="35">
        <f t="shared" si="0"/>
        <v>906</v>
      </c>
      <c r="AC47" s="75">
        <f t="shared" si="1"/>
        <v>22500</v>
      </c>
      <c r="AD47" s="78">
        <f t="shared" si="2"/>
        <v>45450</v>
      </c>
      <c r="AE47" s="72">
        <f t="shared" si="3"/>
        <v>67950</v>
      </c>
      <c r="AF47" s="75">
        <f t="shared" si="4"/>
        <v>3738.06</v>
      </c>
      <c r="AG47" s="78">
        <f t="shared" si="5"/>
        <v>7527.72</v>
      </c>
      <c r="AH47" s="72">
        <f t="shared" si="6"/>
        <v>11265.78</v>
      </c>
      <c r="AI47" s="75">
        <f t="shared" si="7"/>
        <v>2580</v>
      </c>
      <c r="AJ47" s="78">
        <f t="shared" si="8"/>
        <v>5211.5999999999995</v>
      </c>
      <c r="AK47" s="72">
        <f t="shared" si="9"/>
        <v>7791.5999999999995</v>
      </c>
    </row>
    <row r="48" spans="1:37" ht="15.95" customHeight="1">
      <c r="A48" s="25" t="s">
        <v>702</v>
      </c>
      <c r="B48" s="25" t="s">
        <v>463</v>
      </c>
      <c r="C48" s="26" t="s">
        <v>14</v>
      </c>
      <c r="D48" s="26" t="s">
        <v>373</v>
      </c>
      <c r="E48" s="26" t="s">
        <v>16</v>
      </c>
      <c r="F48" s="26" t="s">
        <v>122</v>
      </c>
      <c r="G48" s="26"/>
      <c r="H48" s="27" t="s">
        <v>120</v>
      </c>
      <c r="I48" s="26" t="s">
        <v>27</v>
      </c>
      <c r="J48" s="28" t="s">
        <v>41</v>
      </c>
      <c r="K48" s="124">
        <v>140</v>
      </c>
      <c r="L48" s="29">
        <v>19.109499999999997</v>
      </c>
      <c r="M48" s="110">
        <v>13.5</v>
      </c>
      <c r="N48" s="30">
        <v>0.28199999999999997</v>
      </c>
      <c r="O48" s="116">
        <v>3.8069999999999995</v>
      </c>
      <c r="P48" s="30">
        <v>7.4999999999999997E-2</v>
      </c>
      <c r="Q48" s="116">
        <v>1.0125</v>
      </c>
      <c r="R48" s="30">
        <v>7.0000000000000007E-2</v>
      </c>
      <c r="S48" s="116">
        <v>0.3</v>
      </c>
      <c r="T48" s="117">
        <v>0.49</v>
      </c>
      <c r="U48" s="39">
        <v>350</v>
      </c>
      <c r="V48" s="32">
        <v>360</v>
      </c>
      <c r="W48" s="33"/>
      <c r="X48" s="32"/>
      <c r="Y48" s="32"/>
      <c r="Z48" s="32">
        <v>47</v>
      </c>
      <c r="AA48" s="34"/>
      <c r="AB48" s="35">
        <f t="shared" si="0"/>
        <v>757</v>
      </c>
      <c r="AC48" s="75">
        <f t="shared" si="1"/>
        <v>49000</v>
      </c>
      <c r="AD48" s="78">
        <f t="shared" si="2"/>
        <v>56980</v>
      </c>
      <c r="AE48" s="72">
        <f t="shared" si="3"/>
        <v>105980</v>
      </c>
      <c r="AF48" s="75">
        <f t="shared" si="4"/>
        <v>6688.3249999999989</v>
      </c>
      <c r="AG48" s="78">
        <f t="shared" si="5"/>
        <v>7513.9199999999992</v>
      </c>
      <c r="AH48" s="72">
        <f t="shared" si="6"/>
        <v>14202.244999999999</v>
      </c>
      <c r="AI48" s="75">
        <f t="shared" si="7"/>
        <v>4725</v>
      </c>
      <c r="AJ48" s="78">
        <f t="shared" si="8"/>
        <v>5494.5</v>
      </c>
      <c r="AK48" s="72">
        <f t="shared" si="9"/>
        <v>10219.5</v>
      </c>
    </row>
    <row r="49" spans="1:37" ht="15.95" customHeight="1">
      <c r="A49" s="25" t="s">
        <v>702</v>
      </c>
      <c r="B49" s="25" t="s">
        <v>463</v>
      </c>
      <c r="C49" s="26" t="s">
        <v>21</v>
      </c>
      <c r="D49" s="26" t="s">
        <v>373</v>
      </c>
      <c r="E49" s="26" t="s">
        <v>16</v>
      </c>
      <c r="F49" s="26" t="s">
        <v>123</v>
      </c>
      <c r="G49" s="26"/>
      <c r="H49" s="27" t="s">
        <v>120</v>
      </c>
      <c r="I49" s="26" t="s">
        <v>27</v>
      </c>
      <c r="J49" s="28" t="s">
        <v>43</v>
      </c>
      <c r="K49" s="123">
        <v>110</v>
      </c>
      <c r="L49" s="29">
        <v>16.395500000000002</v>
      </c>
      <c r="M49" s="110">
        <v>11.5</v>
      </c>
      <c r="N49" s="30">
        <v>0.28199999999999997</v>
      </c>
      <c r="O49" s="116">
        <v>3.2429999999999999</v>
      </c>
      <c r="P49" s="30">
        <v>7.4999999999999997E-2</v>
      </c>
      <c r="Q49" s="116">
        <v>0.86249999999999993</v>
      </c>
      <c r="R49" s="30">
        <v>7.0000000000000007E-2</v>
      </c>
      <c r="S49" s="116">
        <v>0.3</v>
      </c>
      <c r="T49" s="117">
        <v>0.49</v>
      </c>
      <c r="U49" s="39">
        <v>350</v>
      </c>
      <c r="V49" s="32">
        <v>360</v>
      </c>
      <c r="W49" s="33"/>
      <c r="X49" s="32"/>
      <c r="Y49" s="32"/>
      <c r="Z49" s="32">
        <v>21</v>
      </c>
      <c r="AA49" s="34"/>
      <c r="AB49" s="35">
        <f t="shared" si="0"/>
        <v>731</v>
      </c>
      <c r="AC49" s="75">
        <f t="shared" si="1"/>
        <v>38500</v>
      </c>
      <c r="AD49" s="78">
        <f t="shared" si="2"/>
        <v>41910</v>
      </c>
      <c r="AE49" s="72">
        <f t="shared" si="3"/>
        <v>80410</v>
      </c>
      <c r="AF49" s="75">
        <f t="shared" si="4"/>
        <v>5738.4250000000011</v>
      </c>
      <c r="AG49" s="78">
        <f t="shared" si="5"/>
        <v>6143.880000000001</v>
      </c>
      <c r="AH49" s="72">
        <f t="shared" si="6"/>
        <v>11882.305000000002</v>
      </c>
      <c r="AI49" s="75">
        <f t="shared" si="7"/>
        <v>4025</v>
      </c>
      <c r="AJ49" s="78">
        <f t="shared" si="8"/>
        <v>4381.5</v>
      </c>
      <c r="AK49" s="72">
        <f t="shared" si="9"/>
        <v>8406.5</v>
      </c>
    </row>
    <row r="50" spans="1:37" ht="15.95" customHeight="1">
      <c r="A50" s="25" t="s">
        <v>702</v>
      </c>
      <c r="B50" s="25" t="s">
        <v>463</v>
      </c>
      <c r="C50" s="26" t="s">
        <v>44</v>
      </c>
      <c r="D50" s="26" t="s">
        <v>213</v>
      </c>
      <c r="E50" s="26" t="s">
        <v>214</v>
      </c>
      <c r="F50" s="26" t="s">
        <v>724</v>
      </c>
      <c r="G50" s="26"/>
      <c r="H50" s="27" t="s">
        <v>727</v>
      </c>
      <c r="I50" s="26" t="s">
        <v>27</v>
      </c>
      <c r="J50" s="28" t="s">
        <v>41</v>
      </c>
      <c r="K50" s="123">
        <v>68</v>
      </c>
      <c r="L50" s="29">
        <v>11.413</v>
      </c>
      <c r="M50" s="110">
        <v>9</v>
      </c>
      <c r="N50" s="30">
        <v>0.19700000000000001</v>
      </c>
      <c r="O50" s="116">
        <v>1.7730000000000001</v>
      </c>
      <c r="P50" s="30"/>
      <c r="Q50" s="116"/>
      <c r="R50" s="30">
        <v>7.0000000000000007E-2</v>
      </c>
      <c r="S50" s="116">
        <v>0.15</v>
      </c>
      <c r="T50" s="117">
        <v>0.49</v>
      </c>
      <c r="U50" s="39">
        <v>250</v>
      </c>
      <c r="V50" s="32">
        <v>360</v>
      </c>
      <c r="W50" s="33">
        <v>120</v>
      </c>
      <c r="X50" s="32"/>
      <c r="Y50" s="32"/>
      <c r="Z50" s="32">
        <v>67</v>
      </c>
      <c r="AA50" s="34"/>
      <c r="AB50" s="35">
        <f t="shared" si="0"/>
        <v>797</v>
      </c>
      <c r="AC50" s="75">
        <f t="shared" si="1"/>
        <v>17000</v>
      </c>
      <c r="AD50" s="78">
        <f t="shared" si="2"/>
        <v>37196</v>
      </c>
      <c r="AE50" s="72">
        <f t="shared" si="3"/>
        <v>54196</v>
      </c>
      <c r="AF50" s="75">
        <f t="shared" si="4"/>
        <v>2853.25</v>
      </c>
      <c r="AG50" s="78">
        <f t="shared" si="5"/>
        <v>6081.24</v>
      </c>
      <c r="AH50" s="72">
        <f t="shared" si="6"/>
        <v>8934.49</v>
      </c>
      <c r="AI50" s="75">
        <f t="shared" si="7"/>
        <v>2250</v>
      </c>
      <c r="AJ50" s="78">
        <f t="shared" si="8"/>
        <v>4923</v>
      </c>
      <c r="AK50" s="72">
        <f t="shared" si="9"/>
        <v>7173</v>
      </c>
    </row>
    <row r="51" spans="1:37" ht="15.95" customHeight="1">
      <c r="A51" s="25" t="s">
        <v>702</v>
      </c>
      <c r="B51" s="25" t="s">
        <v>463</v>
      </c>
      <c r="C51" s="26" t="s">
        <v>24</v>
      </c>
      <c r="D51" s="26" t="s">
        <v>213</v>
      </c>
      <c r="E51" s="26" t="s">
        <v>214</v>
      </c>
      <c r="F51" s="26" t="s">
        <v>725</v>
      </c>
      <c r="G51" s="26"/>
      <c r="H51" s="27" t="s">
        <v>234</v>
      </c>
      <c r="I51" s="26" t="s">
        <v>27</v>
      </c>
      <c r="J51" s="28" t="s">
        <v>227</v>
      </c>
      <c r="K51" s="123">
        <v>58</v>
      </c>
      <c r="L51" s="29">
        <v>9.3775000000000013</v>
      </c>
      <c r="M51" s="110">
        <v>7.5</v>
      </c>
      <c r="N51" s="30">
        <v>0.16500000000000001</v>
      </c>
      <c r="O51" s="116">
        <v>1.2375</v>
      </c>
      <c r="P51" s="30"/>
      <c r="Q51" s="116"/>
      <c r="R51" s="30">
        <v>7.0000000000000007E-2</v>
      </c>
      <c r="S51" s="116">
        <v>0.15</v>
      </c>
      <c r="T51" s="117">
        <v>0.49</v>
      </c>
      <c r="U51" s="39">
        <v>300</v>
      </c>
      <c r="V51" s="32">
        <v>360</v>
      </c>
      <c r="W51" s="33">
        <v>300</v>
      </c>
      <c r="X51" s="32"/>
      <c r="Y51" s="32"/>
      <c r="Z51" s="32">
        <v>91</v>
      </c>
      <c r="AA51" s="34"/>
      <c r="AB51" s="35">
        <f t="shared" si="0"/>
        <v>1051</v>
      </c>
      <c r="AC51" s="75">
        <f t="shared" si="1"/>
        <v>17400</v>
      </c>
      <c r="AD51" s="78">
        <f t="shared" si="2"/>
        <v>43558</v>
      </c>
      <c r="AE51" s="72">
        <f t="shared" si="3"/>
        <v>60958</v>
      </c>
      <c r="AF51" s="75">
        <f t="shared" si="4"/>
        <v>2813.2500000000005</v>
      </c>
      <c r="AG51" s="78">
        <f t="shared" si="5"/>
        <v>6871.6500000000005</v>
      </c>
      <c r="AH51" s="72">
        <f t="shared" si="6"/>
        <v>9684.9000000000015</v>
      </c>
      <c r="AI51" s="75">
        <f t="shared" si="7"/>
        <v>2250</v>
      </c>
      <c r="AJ51" s="78">
        <f t="shared" si="8"/>
        <v>5632.5</v>
      </c>
      <c r="AK51" s="72">
        <f t="shared" si="9"/>
        <v>7882.5</v>
      </c>
    </row>
    <row r="52" spans="1:37" ht="15.95" customHeight="1">
      <c r="A52" s="25" t="s">
        <v>939</v>
      </c>
      <c r="B52" s="25" t="s">
        <v>463</v>
      </c>
      <c r="C52" s="26" t="s">
        <v>24</v>
      </c>
      <c r="D52" s="26" t="s">
        <v>213</v>
      </c>
      <c r="E52" s="26" t="s">
        <v>214</v>
      </c>
      <c r="F52" s="26" t="s">
        <v>725</v>
      </c>
      <c r="G52" s="26"/>
      <c r="H52" s="27" t="s">
        <v>234</v>
      </c>
      <c r="I52" s="26" t="s">
        <v>27</v>
      </c>
      <c r="J52" s="28" t="s">
        <v>227</v>
      </c>
      <c r="K52" s="123">
        <v>58</v>
      </c>
      <c r="L52" s="29">
        <v>9.3775000000000013</v>
      </c>
      <c r="M52" s="110">
        <v>7.5</v>
      </c>
      <c r="N52" s="30">
        <v>0.16500000000000001</v>
      </c>
      <c r="O52" s="116">
        <v>1.2375</v>
      </c>
      <c r="P52" s="30"/>
      <c r="Q52" s="116"/>
      <c r="R52" s="30">
        <v>7.0000000000000007E-2</v>
      </c>
      <c r="S52" s="116">
        <v>0.15</v>
      </c>
      <c r="T52" s="117">
        <v>0.49</v>
      </c>
      <c r="U52" s="39"/>
      <c r="V52" s="32">
        <v>736</v>
      </c>
      <c r="W52" s="33"/>
      <c r="X52" s="32"/>
      <c r="Y52" s="32"/>
      <c r="Z52" s="32"/>
      <c r="AA52" s="34"/>
      <c r="AB52" s="35">
        <f t="shared" si="0"/>
        <v>736</v>
      </c>
      <c r="AC52" s="75">
        <f t="shared" si="1"/>
        <v>0</v>
      </c>
      <c r="AD52" s="78">
        <f t="shared" si="2"/>
        <v>42688</v>
      </c>
      <c r="AE52" s="72">
        <f t="shared" si="3"/>
        <v>42688</v>
      </c>
      <c r="AF52" s="75">
        <f t="shared" si="4"/>
        <v>0</v>
      </c>
      <c r="AG52" s="78">
        <f t="shared" si="5"/>
        <v>6901.8400000000011</v>
      </c>
      <c r="AH52" s="72">
        <f t="shared" si="6"/>
        <v>6901.8400000000011</v>
      </c>
      <c r="AI52" s="75">
        <f t="shared" si="7"/>
        <v>0</v>
      </c>
      <c r="AJ52" s="78">
        <f t="shared" si="8"/>
        <v>5520</v>
      </c>
      <c r="AK52" s="72">
        <f t="shared" si="9"/>
        <v>5520</v>
      </c>
    </row>
    <row r="53" spans="1:37" ht="15.95" customHeight="1">
      <c r="A53" s="25" t="s">
        <v>702</v>
      </c>
      <c r="B53" s="25" t="s">
        <v>463</v>
      </c>
      <c r="C53" s="26" t="s">
        <v>267</v>
      </c>
      <c r="D53" s="26" t="s">
        <v>373</v>
      </c>
      <c r="E53" s="26" t="s">
        <v>16</v>
      </c>
      <c r="F53" s="26" t="s">
        <v>726</v>
      </c>
      <c r="G53" s="26"/>
      <c r="H53" s="27" t="s">
        <v>415</v>
      </c>
      <c r="I53" s="26" t="s">
        <v>27</v>
      </c>
      <c r="J53" s="37" t="s">
        <v>35</v>
      </c>
      <c r="K53" s="123">
        <v>75</v>
      </c>
      <c r="L53" s="29">
        <v>12.4602</v>
      </c>
      <c r="M53" s="110">
        <v>8.6</v>
      </c>
      <c r="N53" s="30">
        <v>0.28199999999999997</v>
      </c>
      <c r="O53" s="116">
        <v>2.4251999999999998</v>
      </c>
      <c r="P53" s="30">
        <v>7.4999999999999997E-2</v>
      </c>
      <c r="Q53" s="116">
        <v>0.64499999999999991</v>
      </c>
      <c r="R53" s="30">
        <v>7.0000000000000007E-2</v>
      </c>
      <c r="S53" s="116">
        <v>0.3</v>
      </c>
      <c r="T53" s="117">
        <v>0.49</v>
      </c>
      <c r="U53" s="39">
        <v>300</v>
      </c>
      <c r="V53" s="32">
        <v>720</v>
      </c>
      <c r="W53" s="33"/>
      <c r="X53" s="32"/>
      <c r="Y53" s="32"/>
      <c r="Z53" s="32">
        <v>5</v>
      </c>
      <c r="AA53" s="34"/>
      <c r="AB53" s="35">
        <f t="shared" si="0"/>
        <v>1025</v>
      </c>
      <c r="AC53" s="75">
        <f t="shared" si="1"/>
        <v>22500</v>
      </c>
      <c r="AD53" s="78">
        <f t="shared" si="2"/>
        <v>54375</v>
      </c>
      <c r="AE53" s="72">
        <f t="shared" si="3"/>
        <v>76875</v>
      </c>
      <c r="AF53" s="75">
        <f t="shared" si="4"/>
        <v>3738.06</v>
      </c>
      <c r="AG53" s="78">
        <f t="shared" si="5"/>
        <v>9014.344000000001</v>
      </c>
      <c r="AH53" s="72">
        <f t="shared" si="6"/>
        <v>12752.404</v>
      </c>
      <c r="AI53" s="75">
        <f t="shared" si="7"/>
        <v>2580</v>
      </c>
      <c r="AJ53" s="78">
        <f t="shared" si="8"/>
        <v>6235</v>
      </c>
      <c r="AK53" s="72">
        <f t="shared" si="9"/>
        <v>8815</v>
      </c>
    </row>
    <row r="54" spans="1:37" ht="15.95" customHeight="1">
      <c r="A54" s="25" t="s">
        <v>939</v>
      </c>
      <c r="B54" s="25" t="s">
        <v>463</v>
      </c>
      <c r="C54" s="26" t="s">
        <v>267</v>
      </c>
      <c r="D54" s="26" t="s">
        <v>373</v>
      </c>
      <c r="E54" s="26" t="s">
        <v>16</v>
      </c>
      <c r="F54" s="26" t="s">
        <v>726</v>
      </c>
      <c r="G54" s="26"/>
      <c r="H54" s="27" t="s">
        <v>415</v>
      </c>
      <c r="I54" s="26" t="s">
        <v>27</v>
      </c>
      <c r="J54" s="28" t="s">
        <v>35</v>
      </c>
      <c r="K54" s="123">
        <v>75</v>
      </c>
      <c r="L54" s="29">
        <v>12.4602</v>
      </c>
      <c r="M54" s="110">
        <v>8.6</v>
      </c>
      <c r="N54" s="30">
        <v>0.28199999999999997</v>
      </c>
      <c r="O54" s="116">
        <v>2.4251999999999998</v>
      </c>
      <c r="P54" s="30">
        <v>7.4999999999999997E-2</v>
      </c>
      <c r="Q54" s="116">
        <v>0.64499999999999991</v>
      </c>
      <c r="R54" s="30">
        <v>7.0000000000000007E-2</v>
      </c>
      <c r="S54" s="116">
        <v>0.3</v>
      </c>
      <c r="T54" s="117">
        <v>0.49</v>
      </c>
      <c r="U54" s="39"/>
      <c r="V54" s="32">
        <v>480</v>
      </c>
      <c r="W54" s="33"/>
      <c r="X54" s="32"/>
      <c r="Y54" s="32"/>
      <c r="Z54" s="32"/>
      <c r="AA54" s="34"/>
      <c r="AB54" s="35">
        <f t="shared" si="0"/>
        <v>480</v>
      </c>
      <c r="AC54" s="75">
        <f t="shared" si="1"/>
        <v>0</v>
      </c>
      <c r="AD54" s="78">
        <f t="shared" si="2"/>
        <v>36000</v>
      </c>
      <c r="AE54" s="72">
        <f t="shared" si="3"/>
        <v>36000</v>
      </c>
      <c r="AF54" s="75">
        <f t="shared" si="4"/>
        <v>0</v>
      </c>
      <c r="AG54" s="78">
        <f t="shared" si="5"/>
        <v>5980.8960000000006</v>
      </c>
      <c r="AH54" s="72">
        <f t="shared" si="6"/>
        <v>5980.8960000000006</v>
      </c>
      <c r="AI54" s="75">
        <f t="shared" si="7"/>
        <v>0</v>
      </c>
      <c r="AJ54" s="78">
        <f t="shared" si="8"/>
        <v>4128</v>
      </c>
      <c r="AK54" s="72">
        <f t="shared" si="9"/>
        <v>4128</v>
      </c>
    </row>
    <row r="55" spans="1:37" ht="15.95" customHeight="1">
      <c r="A55" s="25" t="s">
        <v>702</v>
      </c>
      <c r="B55" s="25" t="s">
        <v>463</v>
      </c>
      <c r="C55" s="26" t="s">
        <v>14</v>
      </c>
      <c r="D55" s="26" t="s">
        <v>373</v>
      </c>
      <c r="E55" s="26" t="s">
        <v>16</v>
      </c>
      <c r="F55" s="26" t="s">
        <v>122</v>
      </c>
      <c r="G55" s="26"/>
      <c r="H55" s="27" t="s">
        <v>415</v>
      </c>
      <c r="I55" s="26" t="s">
        <v>27</v>
      </c>
      <c r="J55" s="37" t="s">
        <v>41</v>
      </c>
      <c r="K55" s="123">
        <v>140</v>
      </c>
      <c r="L55" s="29">
        <v>19.109499999999997</v>
      </c>
      <c r="M55" s="110">
        <v>13.5</v>
      </c>
      <c r="N55" s="30">
        <v>0.28199999999999997</v>
      </c>
      <c r="O55" s="116">
        <v>3.8069999999999995</v>
      </c>
      <c r="P55" s="30">
        <v>7.4999999999999997E-2</v>
      </c>
      <c r="Q55" s="116">
        <v>1.0125</v>
      </c>
      <c r="R55" s="30">
        <v>7.0000000000000007E-2</v>
      </c>
      <c r="S55" s="116">
        <v>0.3</v>
      </c>
      <c r="T55" s="117">
        <v>0.49</v>
      </c>
      <c r="U55" s="39">
        <v>400</v>
      </c>
      <c r="V55" s="32">
        <v>300</v>
      </c>
      <c r="W55" s="33"/>
      <c r="X55" s="32"/>
      <c r="Y55" s="32"/>
      <c r="Z55" s="32">
        <v>6</v>
      </c>
      <c r="AA55" s="34"/>
      <c r="AB55" s="35">
        <f t="shared" si="0"/>
        <v>706</v>
      </c>
      <c r="AC55" s="75">
        <f t="shared" si="1"/>
        <v>56000</v>
      </c>
      <c r="AD55" s="78">
        <f t="shared" si="2"/>
        <v>42840</v>
      </c>
      <c r="AE55" s="72">
        <f t="shared" si="3"/>
        <v>98840</v>
      </c>
      <c r="AF55" s="75">
        <f t="shared" si="4"/>
        <v>7643.7999999999993</v>
      </c>
      <c r="AG55" s="78">
        <f t="shared" si="5"/>
        <v>5813.8499999999995</v>
      </c>
      <c r="AH55" s="72">
        <f t="shared" si="6"/>
        <v>13457.649999999998</v>
      </c>
      <c r="AI55" s="75">
        <f t="shared" si="7"/>
        <v>5400</v>
      </c>
      <c r="AJ55" s="78">
        <f t="shared" si="8"/>
        <v>4131</v>
      </c>
      <c r="AK55" s="72">
        <f t="shared" si="9"/>
        <v>9531</v>
      </c>
    </row>
    <row r="56" spans="1:37" ht="15.95" customHeight="1">
      <c r="A56" s="25" t="s">
        <v>702</v>
      </c>
      <c r="B56" s="25" t="s">
        <v>463</v>
      </c>
      <c r="C56" s="26" t="s">
        <v>21</v>
      </c>
      <c r="D56" s="26" t="s">
        <v>373</v>
      </c>
      <c r="E56" s="26" t="s">
        <v>16</v>
      </c>
      <c r="F56" s="26" t="s">
        <v>123</v>
      </c>
      <c r="G56" s="26"/>
      <c r="H56" s="27" t="s">
        <v>415</v>
      </c>
      <c r="I56" s="26" t="s">
        <v>27</v>
      </c>
      <c r="J56" s="28" t="s">
        <v>43</v>
      </c>
      <c r="K56" s="123">
        <v>110</v>
      </c>
      <c r="L56" s="29">
        <v>16.395500000000002</v>
      </c>
      <c r="M56" s="110">
        <v>11.5</v>
      </c>
      <c r="N56" s="30">
        <v>0.28199999999999997</v>
      </c>
      <c r="O56" s="116">
        <v>3.2429999999999999</v>
      </c>
      <c r="P56" s="30">
        <v>7.4999999999999997E-2</v>
      </c>
      <c r="Q56" s="116">
        <v>0.86249999999999993</v>
      </c>
      <c r="R56" s="30">
        <v>7.0000000000000007E-2</v>
      </c>
      <c r="S56" s="116">
        <v>0.3</v>
      </c>
      <c r="T56" s="117">
        <v>0.49</v>
      </c>
      <c r="U56" s="39">
        <v>400</v>
      </c>
      <c r="V56" s="32">
        <v>300</v>
      </c>
      <c r="W56" s="33"/>
      <c r="X56" s="32"/>
      <c r="Y56" s="32"/>
      <c r="Z56" s="32"/>
      <c r="AA56" s="34"/>
      <c r="AB56" s="35">
        <f t="shared" si="0"/>
        <v>700</v>
      </c>
      <c r="AC56" s="75">
        <f t="shared" si="1"/>
        <v>44000</v>
      </c>
      <c r="AD56" s="78">
        <f t="shared" si="2"/>
        <v>33000</v>
      </c>
      <c r="AE56" s="72">
        <f t="shared" si="3"/>
        <v>77000</v>
      </c>
      <c r="AF56" s="75">
        <f t="shared" si="4"/>
        <v>6558.2000000000007</v>
      </c>
      <c r="AG56" s="78">
        <f t="shared" si="5"/>
        <v>4918.6500000000005</v>
      </c>
      <c r="AH56" s="72">
        <f t="shared" si="6"/>
        <v>11476.850000000002</v>
      </c>
      <c r="AI56" s="75">
        <f t="shared" si="7"/>
        <v>4600</v>
      </c>
      <c r="AJ56" s="78">
        <f t="shared" si="8"/>
        <v>3450</v>
      </c>
      <c r="AK56" s="72">
        <f t="shared" si="9"/>
        <v>8050</v>
      </c>
    </row>
    <row r="57" spans="1:37" ht="15.95" customHeight="1">
      <c r="A57" s="25" t="s">
        <v>702</v>
      </c>
      <c r="B57" s="25" t="s">
        <v>463</v>
      </c>
      <c r="C57" s="26" t="s">
        <v>44</v>
      </c>
      <c r="D57" s="26" t="s">
        <v>213</v>
      </c>
      <c r="E57" s="26" t="s">
        <v>214</v>
      </c>
      <c r="F57" s="26" t="s">
        <v>724</v>
      </c>
      <c r="G57" s="26"/>
      <c r="H57" s="27" t="s">
        <v>727</v>
      </c>
      <c r="I57" s="26" t="s">
        <v>27</v>
      </c>
      <c r="J57" s="28" t="s">
        <v>41</v>
      </c>
      <c r="K57" s="123">
        <v>68</v>
      </c>
      <c r="L57" s="29">
        <v>11.413</v>
      </c>
      <c r="M57" s="110">
        <v>9</v>
      </c>
      <c r="N57" s="30">
        <v>0.19700000000000001</v>
      </c>
      <c r="O57" s="116">
        <v>1.7730000000000001</v>
      </c>
      <c r="P57" s="30"/>
      <c r="Q57" s="116"/>
      <c r="R57" s="30">
        <v>7.0000000000000007E-2</v>
      </c>
      <c r="S57" s="116">
        <v>0.15</v>
      </c>
      <c r="T57" s="117">
        <v>0.49</v>
      </c>
      <c r="U57" s="39">
        <v>300</v>
      </c>
      <c r="V57" s="32">
        <v>300</v>
      </c>
      <c r="W57" s="33">
        <v>120</v>
      </c>
      <c r="X57" s="32"/>
      <c r="Y57" s="32"/>
      <c r="Z57" s="32"/>
      <c r="AA57" s="34"/>
      <c r="AB57" s="35">
        <f t="shared" si="0"/>
        <v>720</v>
      </c>
      <c r="AC57" s="75">
        <f t="shared" si="1"/>
        <v>20400</v>
      </c>
      <c r="AD57" s="78">
        <f t="shared" si="2"/>
        <v>28560</v>
      </c>
      <c r="AE57" s="72">
        <f t="shared" si="3"/>
        <v>48960</v>
      </c>
      <c r="AF57" s="75">
        <f t="shared" si="4"/>
        <v>3423.9</v>
      </c>
      <c r="AG57" s="78">
        <f t="shared" si="5"/>
        <v>4793.46</v>
      </c>
      <c r="AH57" s="72">
        <f t="shared" si="6"/>
        <v>8217.36</v>
      </c>
      <c r="AI57" s="75">
        <f t="shared" si="7"/>
        <v>2700</v>
      </c>
      <c r="AJ57" s="78">
        <f t="shared" si="8"/>
        <v>3780</v>
      </c>
      <c r="AK57" s="72">
        <f t="shared" si="9"/>
        <v>6480</v>
      </c>
    </row>
    <row r="58" spans="1:37" ht="15.95" customHeight="1">
      <c r="A58" s="25" t="s">
        <v>702</v>
      </c>
      <c r="B58" s="25" t="s">
        <v>463</v>
      </c>
      <c r="C58" s="26" t="s">
        <v>24</v>
      </c>
      <c r="D58" s="26" t="s">
        <v>213</v>
      </c>
      <c r="E58" s="26" t="s">
        <v>214</v>
      </c>
      <c r="F58" s="26" t="s">
        <v>725</v>
      </c>
      <c r="G58" s="26"/>
      <c r="H58" s="27" t="s">
        <v>234</v>
      </c>
      <c r="I58" s="26" t="s">
        <v>27</v>
      </c>
      <c r="J58" s="28" t="s">
        <v>227</v>
      </c>
      <c r="K58" s="123">
        <v>58</v>
      </c>
      <c r="L58" s="29">
        <v>9.3775000000000013</v>
      </c>
      <c r="M58" s="110">
        <v>7.5</v>
      </c>
      <c r="N58" s="30">
        <v>0.16500000000000001</v>
      </c>
      <c r="O58" s="116">
        <v>1.2375</v>
      </c>
      <c r="P58" s="30"/>
      <c r="Q58" s="116"/>
      <c r="R58" s="30">
        <v>7.0000000000000007E-2</v>
      </c>
      <c r="S58" s="116">
        <v>0.15</v>
      </c>
      <c r="T58" s="117">
        <v>0.49</v>
      </c>
      <c r="U58" s="39">
        <v>300</v>
      </c>
      <c r="V58" s="32">
        <v>300</v>
      </c>
      <c r="W58" s="33">
        <v>250</v>
      </c>
      <c r="X58" s="32"/>
      <c r="Y58" s="32"/>
      <c r="Z58" s="32"/>
      <c r="AA58" s="34"/>
      <c r="AB58" s="35">
        <f t="shared" si="0"/>
        <v>850</v>
      </c>
      <c r="AC58" s="75">
        <f t="shared" si="1"/>
        <v>17400</v>
      </c>
      <c r="AD58" s="78">
        <f t="shared" si="2"/>
        <v>31900</v>
      </c>
      <c r="AE58" s="72">
        <f t="shared" si="3"/>
        <v>49300</v>
      </c>
      <c r="AF58" s="75">
        <f t="shared" si="4"/>
        <v>2813.2500000000005</v>
      </c>
      <c r="AG58" s="78">
        <f t="shared" si="5"/>
        <v>5157.6250000000009</v>
      </c>
      <c r="AH58" s="72">
        <f t="shared" si="6"/>
        <v>7970.8750000000018</v>
      </c>
      <c r="AI58" s="75">
        <f t="shared" si="7"/>
        <v>2250</v>
      </c>
      <c r="AJ58" s="78">
        <f t="shared" si="8"/>
        <v>4125</v>
      </c>
      <c r="AK58" s="72">
        <f t="shared" si="9"/>
        <v>6375</v>
      </c>
    </row>
    <row r="59" spans="1:37" ht="15.95" customHeight="1">
      <c r="A59" s="25" t="s">
        <v>702</v>
      </c>
      <c r="B59" s="25" t="s">
        <v>463</v>
      </c>
      <c r="C59" s="40" t="s">
        <v>267</v>
      </c>
      <c r="D59" s="26" t="s">
        <v>373</v>
      </c>
      <c r="E59" s="26" t="s">
        <v>16</v>
      </c>
      <c r="F59" s="26" t="s">
        <v>726</v>
      </c>
      <c r="G59" s="41"/>
      <c r="H59" s="27" t="s">
        <v>120</v>
      </c>
      <c r="I59" s="26" t="s">
        <v>27</v>
      </c>
      <c r="J59" s="28" t="s">
        <v>35</v>
      </c>
      <c r="K59" s="123">
        <v>75</v>
      </c>
      <c r="L59" s="29">
        <v>12.4602</v>
      </c>
      <c r="M59" s="110">
        <v>8.6</v>
      </c>
      <c r="N59" s="30">
        <v>0.28199999999999997</v>
      </c>
      <c r="O59" s="116">
        <v>2.4251999999999998</v>
      </c>
      <c r="P59" s="30">
        <v>7.4999999999999997E-2</v>
      </c>
      <c r="Q59" s="116">
        <v>0.64499999999999991</v>
      </c>
      <c r="R59" s="30">
        <v>7.0000000000000007E-2</v>
      </c>
      <c r="S59" s="116">
        <v>0.3</v>
      </c>
      <c r="T59" s="117">
        <v>0.49</v>
      </c>
      <c r="U59" s="39">
        <v>300</v>
      </c>
      <c r="V59" s="32">
        <v>600</v>
      </c>
      <c r="W59" s="33"/>
      <c r="X59" s="32"/>
      <c r="Y59" s="32"/>
      <c r="Z59" s="32"/>
      <c r="AA59" s="34"/>
      <c r="AB59" s="35">
        <f t="shared" si="0"/>
        <v>900</v>
      </c>
      <c r="AC59" s="75">
        <f t="shared" si="1"/>
        <v>22500</v>
      </c>
      <c r="AD59" s="78">
        <f t="shared" si="2"/>
        <v>45000</v>
      </c>
      <c r="AE59" s="72">
        <f t="shared" si="3"/>
        <v>67500</v>
      </c>
      <c r="AF59" s="75">
        <f t="shared" si="4"/>
        <v>3738.06</v>
      </c>
      <c r="AG59" s="78">
        <f t="shared" si="5"/>
        <v>7476.12</v>
      </c>
      <c r="AH59" s="72">
        <f t="shared" si="6"/>
        <v>11214.18</v>
      </c>
      <c r="AI59" s="75">
        <f t="shared" si="7"/>
        <v>2580</v>
      </c>
      <c r="AJ59" s="78">
        <f t="shared" si="8"/>
        <v>5160</v>
      </c>
      <c r="AK59" s="72">
        <f t="shared" si="9"/>
        <v>7740</v>
      </c>
    </row>
    <row r="60" spans="1:37" ht="15.95" customHeight="1">
      <c r="A60" s="25" t="s">
        <v>702</v>
      </c>
      <c r="B60" s="25" t="s">
        <v>463</v>
      </c>
      <c r="C60" s="26" t="s">
        <v>14</v>
      </c>
      <c r="D60" s="26" t="s">
        <v>373</v>
      </c>
      <c r="E60" s="26" t="s">
        <v>16</v>
      </c>
      <c r="F60" s="26" t="s">
        <v>122</v>
      </c>
      <c r="G60" s="41"/>
      <c r="H60" s="27" t="s">
        <v>120</v>
      </c>
      <c r="I60" s="26" t="s">
        <v>27</v>
      </c>
      <c r="J60" s="37" t="s">
        <v>41</v>
      </c>
      <c r="K60" s="123">
        <v>140</v>
      </c>
      <c r="L60" s="29">
        <v>19.109499999999997</v>
      </c>
      <c r="M60" s="110">
        <v>13.5</v>
      </c>
      <c r="N60" s="30">
        <v>0.28199999999999997</v>
      </c>
      <c r="O60" s="116">
        <v>3.8069999999999995</v>
      </c>
      <c r="P60" s="30">
        <v>7.4999999999999997E-2</v>
      </c>
      <c r="Q60" s="116">
        <v>1.0125</v>
      </c>
      <c r="R60" s="30">
        <v>7.0000000000000007E-2</v>
      </c>
      <c r="S60" s="116">
        <v>0.3</v>
      </c>
      <c r="T60" s="117">
        <v>0.49</v>
      </c>
      <c r="U60" s="39">
        <v>250</v>
      </c>
      <c r="V60" s="32">
        <v>250</v>
      </c>
      <c r="W60" s="33"/>
      <c r="X60" s="32"/>
      <c r="Y60" s="32"/>
      <c r="Z60" s="32"/>
      <c r="AA60" s="34"/>
      <c r="AB60" s="35">
        <f t="shared" si="0"/>
        <v>500</v>
      </c>
      <c r="AC60" s="75">
        <f t="shared" si="1"/>
        <v>35000</v>
      </c>
      <c r="AD60" s="78">
        <f t="shared" si="2"/>
        <v>35000</v>
      </c>
      <c r="AE60" s="72">
        <f t="shared" si="3"/>
        <v>70000</v>
      </c>
      <c r="AF60" s="75">
        <f t="shared" si="4"/>
        <v>4777.3749999999991</v>
      </c>
      <c r="AG60" s="78">
        <f t="shared" si="5"/>
        <v>4777.3749999999991</v>
      </c>
      <c r="AH60" s="72">
        <f t="shared" si="6"/>
        <v>9554.7499999999982</v>
      </c>
      <c r="AI60" s="75">
        <f t="shared" si="7"/>
        <v>3375</v>
      </c>
      <c r="AJ60" s="78">
        <f t="shared" si="8"/>
        <v>3375</v>
      </c>
      <c r="AK60" s="72">
        <f t="shared" si="9"/>
        <v>6750</v>
      </c>
    </row>
    <row r="61" spans="1:37" ht="15.95" customHeight="1">
      <c r="A61" s="25" t="s">
        <v>702</v>
      </c>
      <c r="B61" s="25" t="s">
        <v>463</v>
      </c>
      <c r="C61" s="40" t="s">
        <v>21</v>
      </c>
      <c r="D61" s="26" t="s">
        <v>373</v>
      </c>
      <c r="E61" s="26" t="s">
        <v>16</v>
      </c>
      <c r="F61" s="26" t="s">
        <v>123</v>
      </c>
      <c r="G61" s="41"/>
      <c r="H61" s="27" t="s">
        <v>120</v>
      </c>
      <c r="I61" s="26" t="s">
        <v>27</v>
      </c>
      <c r="J61" s="28" t="s">
        <v>43</v>
      </c>
      <c r="K61" s="123">
        <v>110</v>
      </c>
      <c r="L61" s="29">
        <v>16.395500000000002</v>
      </c>
      <c r="M61" s="110">
        <v>11.5</v>
      </c>
      <c r="N61" s="30">
        <v>0.28199999999999997</v>
      </c>
      <c r="O61" s="116">
        <v>3.2429999999999999</v>
      </c>
      <c r="P61" s="30">
        <v>7.4999999999999997E-2</v>
      </c>
      <c r="Q61" s="116">
        <v>0.86249999999999993</v>
      </c>
      <c r="R61" s="30">
        <v>7.0000000000000007E-2</v>
      </c>
      <c r="S61" s="116">
        <v>0.3</v>
      </c>
      <c r="T61" s="117">
        <v>0.49</v>
      </c>
      <c r="U61" s="39">
        <v>250</v>
      </c>
      <c r="V61" s="32">
        <v>250</v>
      </c>
      <c r="W61" s="33"/>
      <c r="X61" s="32"/>
      <c r="Y61" s="32"/>
      <c r="Z61" s="32"/>
      <c r="AA61" s="34"/>
      <c r="AB61" s="35">
        <f t="shared" si="0"/>
        <v>500</v>
      </c>
      <c r="AC61" s="75">
        <f t="shared" si="1"/>
        <v>27500</v>
      </c>
      <c r="AD61" s="78">
        <f t="shared" si="2"/>
        <v>27500</v>
      </c>
      <c r="AE61" s="72">
        <f t="shared" si="3"/>
        <v>55000</v>
      </c>
      <c r="AF61" s="75">
        <f t="shared" si="4"/>
        <v>4098.8750000000009</v>
      </c>
      <c r="AG61" s="78">
        <f t="shared" si="5"/>
        <v>4098.8750000000009</v>
      </c>
      <c r="AH61" s="72">
        <f t="shared" si="6"/>
        <v>8197.7500000000018</v>
      </c>
      <c r="AI61" s="75">
        <f t="shared" si="7"/>
        <v>2875</v>
      </c>
      <c r="AJ61" s="78">
        <f t="shared" si="8"/>
        <v>2875</v>
      </c>
      <c r="AK61" s="72">
        <f t="shared" si="9"/>
        <v>5750</v>
      </c>
    </row>
    <row r="62" spans="1:37" ht="15.95" customHeight="1">
      <c r="A62" s="25" t="s">
        <v>702</v>
      </c>
      <c r="B62" s="25" t="s">
        <v>463</v>
      </c>
      <c r="C62" s="26" t="s">
        <v>14</v>
      </c>
      <c r="D62" s="26" t="s">
        <v>373</v>
      </c>
      <c r="E62" s="26" t="s">
        <v>16</v>
      </c>
      <c r="F62" s="26" t="s">
        <v>122</v>
      </c>
      <c r="G62" s="41"/>
      <c r="H62" s="27" t="s">
        <v>120</v>
      </c>
      <c r="I62" s="26" t="s">
        <v>27</v>
      </c>
      <c r="J62" s="37" t="s">
        <v>41</v>
      </c>
      <c r="K62" s="123">
        <v>140</v>
      </c>
      <c r="L62" s="29">
        <v>19.109499999999997</v>
      </c>
      <c r="M62" s="110">
        <v>13.5</v>
      </c>
      <c r="N62" s="30">
        <v>0.28199999999999997</v>
      </c>
      <c r="O62" s="116">
        <v>3.8069999999999995</v>
      </c>
      <c r="P62" s="30">
        <v>7.4999999999999997E-2</v>
      </c>
      <c r="Q62" s="116">
        <v>1.0125</v>
      </c>
      <c r="R62" s="30">
        <v>7.0000000000000007E-2</v>
      </c>
      <c r="S62" s="116">
        <v>0.3</v>
      </c>
      <c r="T62" s="117">
        <v>0.49</v>
      </c>
      <c r="U62" s="39">
        <v>500</v>
      </c>
      <c r="V62" s="32"/>
      <c r="W62" s="33"/>
      <c r="X62" s="32"/>
      <c r="Y62" s="32"/>
      <c r="Z62" s="32"/>
      <c r="AA62" s="34"/>
      <c r="AB62" s="35">
        <f t="shared" si="0"/>
        <v>500</v>
      </c>
      <c r="AC62" s="75">
        <f t="shared" si="1"/>
        <v>70000</v>
      </c>
      <c r="AD62" s="78">
        <f t="shared" si="2"/>
        <v>0</v>
      </c>
      <c r="AE62" s="72">
        <f t="shared" si="3"/>
        <v>70000</v>
      </c>
      <c r="AF62" s="75">
        <f t="shared" si="4"/>
        <v>9554.7499999999982</v>
      </c>
      <c r="AG62" s="78">
        <f t="shared" si="5"/>
        <v>0</v>
      </c>
      <c r="AH62" s="72">
        <f t="shared" si="6"/>
        <v>9554.7499999999982</v>
      </c>
      <c r="AI62" s="75">
        <f t="shared" si="7"/>
        <v>6750</v>
      </c>
      <c r="AJ62" s="78">
        <f t="shared" si="8"/>
        <v>0</v>
      </c>
      <c r="AK62" s="72">
        <f t="shared" si="9"/>
        <v>6750</v>
      </c>
    </row>
    <row r="63" spans="1:37" ht="15.95" customHeight="1">
      <c r="A63" s="25" t="s">
        <v>702</v>
      </c>
      <c r="B63" s="25" t="s">
        <v>463</v>
      </c>
      <c r="C63" s="40" t="s">
        <v>21</v>
      </c>
      <c r="D63" s="26" t="s">
        <v>373</v>
      </c>
      <c r="E63" s="26" t="s">
        <v>16</v>
      </c>
      <c r="F63" s="26" t="s">
        <v>123</v>
      </c>
      <c r="G63" s="41"/>
      <c r="H63" s="27" t="s">
        <v>120</v>
      </c>
      <c r="I63" s="26" t="s">
        <v>27</v>
      </c>
      <c r="J63" s="28" t="s">
        <v>43</v>
      </c>
      <c r="K63" s="123">
        <v>110</v>
      </c>
      <c r="L63" s="29">
        <v>16.395500000000002</v>
      </c>
      <c r="M63" s="110">
        <v>11.5</v>
      </c>
      <c r="N63" s="30">
        <v>0.28199999999999997</v>
      </c>
      <c r="O63" s="116">
        <v>3.2429999999999999</v>
      </c>
      <c r="P63" s="30">
        <v>7.4999999999999997E-2</v>
      </c>
      <c r="Q63" s="116">
        <v>0.86249999999999993</v>
      </c>
      <c r="R63" s="30">
        <v>7.0000000000000007E-2</v>
      </c>
      <c r="S63" s="116">
        <v>0.3</v>
      </c>
      <c r="T63" s="117">
        <v>0.49</v>
      </c>
      <c r="U63" s="39">
        <v>500</v>
      </c>
      <c r="V63" s="32"/>
      <c r="W63" s="33"/>
      <c r="X63" s="32"/>
      <c r="Y63" s="32"/>
      <c r="Z63" s="32"/>
      <c r="AA63" s="34"/>
      <c r="AB63" s="35">
        <f t="shared" si="0"/>
        <v>500</v>
      </c>
      <c r="AC63" s="75">
        <f t="shared" si="1"/>
        <v>55000</v>
      </c>
      <c r="AD63" s="78">
        <f t="shared" si="2"/>
        <v>0</v>
      </c>
      <c r="AE63" s="72">
        <f t="shared" si="3"/>
        <v>55000</v>
      </c>
      <c r="AF63" s="75">
        <f t="shared" si="4"/>
        <v>8197.7500000000018</v>
      </c>
      <c r="AG63" s="78">
        <f t="shared" si="5"/>
        <v>0</v>
      </c>
      <c r="AH63" s="72">
        <f t="shared" si="6"/>
        <v>8197.7500000000018</v>
      </c>
      <c r="AI63" s="75">
        <f t="shared" si="7"/>
        <v>5750</v>
      </c>
      <c r="AJ63" s="78">
        <f t="shared" si="8"/>
        <v>0</v>
      </c>
      <c r="AK63" s="72">
        <f t="shared" si="9"/>
        <v>5750</v>
      </c>
    </row>
    <row r="64" spans="1:37" ht="15.95" customHeight="1">
      <c r="A64" s="25" t="s">
        <v>702</v>
      </c>
      <c r="B64" s="25" t="s">
        <v>463</v>
      </c>
      <c r="C64" s="26" t="s">
        <v>728</v>
      </c>
      <c r="D64" s="26" t="s">
        <v>373</v>
      </c>
      <c r="E64" s="26" t="s">
        <v>16</v>
      </c>
      <c r="F64" s="26" t="s">
        <v>729</v>
      </c>
      <c r="G64" s="41"/>
      <c r="H64" s="27" t="s">
        <v>120</v>
      </c>
      <c r="I64" s="26" t="s">
        <v>27</v>
      </c>
      <c r="J64" s="37"/>
      <c r="K64" s="123"/>
      <c r="L64" s="29">
        <v>43.82047</v>
      </c>
      <c r="M64" s="110">
        <v>31.71</v>
      </c>
      <c r="N64" s="30">
        <v>0.28199999999999997</v>
      </c>
      <c r="O64" s="116">
        <v>8.9422199999999989</v>
      </c>
      <c r="P64" s="30">
        <v>7.4999999999999997E-2</v>
      </c>
      <c r="Q64" s="116">
        <v>2.37825</v>
      </c>
      <c r="R64" s="30">
        <v>7.0000000000000007E-2</v>
      </c>
      <c r="S64" s="116">
        <v>0.3</v>
      </c>
      <c r="T64" s="117">
        <v>0.49</v>
      </c>
      <c r="U64" s="39"/>
      <c r="V64" s="32"/>
      <c r="W64" s="33"/>
      <c r="X64" s="32"/>
      <c r="Y64" s="32"/>
      <c r="Z64" s="32">
        <v>139</v>
      </c>
      <c r="AA64" s="34"/>
      <c r="AB64" s="35">
        <f t="shared" si="0"/>
        <v>139</v>
      </c>
      <c r="AC64" s="75">
        <f t="shared" si="1"/>
        <v>0</v>
      </c>
      <c r="AD64" s="78">
        <f t="shared" si="2"/>
        <v>0</v>
      </c>
      <c r="AE64" s="72">
        <f t="shared" si="3"/>
        <v>0</v>
      </c>
      <c r="AF64" s="75">
        <f t="shared" si="4"/>
        <v>0</v>
      </c>
      <c r="AG64" s="78">
        <f t="shared" si="5"/>
        <v>4407.6900000000005</v>
      </c>
      <c r="AH64" s="72">
        <f t="shared" si="6"/>
        <v>4407.6900000000005</v>
      </c>
      <c r="AI64" s="75">
        <f t="shared" si="7"/>
        <v>0</v>
      </c>
      <c r="AJ64" s="78">
        <f t="shared" si="8"/>
        <v>4407.6900000000005</v>
      </c>
      <c r="AK64" s="72">
        <f t="shared" si="9"/>
        <v>4407.6900000000005</v>
      </c>
    </row>
    <row r="65" spans="1:37" ht="15.95" customHeight="1">
      <c r="A65" s="25" t="s">
        <v>702</v>
      </c>
      <c r="B65" s="25" t="s">
        <v>463</v>
      </c>
      <c r="C65" s="26" t="s">
        <v>728</v>
      </c>
      <c r="D65" s="26" t="s">
        <v>373</v>
      </c>
      <c r="E65" s="26" t="s">
        <v>16</v>
      </c>
      <c r="F65" s="26" t="s">
        <v>729</v>
      </c>
      <c r="G65" s="26"/>
      <c r="H65" s="27" t="s">
        <v>120</v>
      </c>
      <c r="I65" s="26" t="s">
        <v>27</v>
      </c>
      <c r="J65" s="28"/>
      <c r="K65" s="123"/>
      <c r="L65" s="29">
        <v>43.82047</v>
      </c>
      <c r="M65" s="110">
        <v>31.71</v>
      </c>
      <c r="N65" s="30">
        <v>0.28199999999999997</v>
      </c>
      <c r="O65" s="116">
        <v>8.9422199999999989</v>
      </c>
      <c r="P65" s="30">
        <v>7.4999999999999997E-2</v>
      </c>
      <c r="Q65" s="116">
        <v>2.37825</v>
      </c>
      <c r="R65" s="30">
        <v>7.0000000000000007E-2</v>
      </c>
      <c r="S65" s="116">
        <v>0.3</v>
      </c>
      <c r="T65" s="117">
        <v>0.49</v>
      </c>
      <c r="U65" s="39"/>
      <c r="V65" s="32"/>
      <c r="W65" s="33"/>
      <c r="X65" s="32"/>
      <c r="Y65" s="32"/>
      <c r="Z65" s="32">
        <v>144</v>
      </c>
      <c r="AA65" s="34"/>
      <c r="AB65" s="35">
        <f t="shared" si="0"/>
        <v>144</v>
      </c>
      <c r="AC65" s="75">
        <f t="shared" si="1"/>
        <v>0</v>
      </c>
      <c r="AD65" s="78">
        <f t="shared" si="2"/>
        <v>0</v>
      </c>
      <c r="AE65" s="72">
        <f t="shared" si="3"/>
        <v>0</v>
      </c>
      <c r="AF65" s="75">
        <f t="shared" si="4"/>
        <v>0</v>
      </c>
      <c r="AG65" s="78">
        <f t="shared" si="5"/>
        <v>4566.24</v>
      </c>
      <c r="AH65" s="72">
        <f t="shared" si="6"/>
        <v>4566.24</v>
      </c>
      <c r="AI65" s="75">
        <f t="shared" si="7"/>
        <v>0</v>
      </c>
      <c r="AJ65" s="78">
        <f t="shared" si="8"/>
        <v>4566.24</v>
      </c>
      <c r="AK65" s="72">
        <f t="shared" si="9"/>
        <v>4566.24</v>
      </c>
    </row>
    <row r="66" spans="1:37" ht="15.95" customHeight="1">
      <c r="A66" s="25" t="s">
        <v>702</v>
      </c>
      <c r="B66" s="25" t="s">
        <v>463</v>
      </c>
      <c r="C66" s="26" t="s">
        <v>728</v>
      </c>
      <c r="D66" s="26" t="s">
        <v>373</v>
      </c>
      <c r="E66" s="26" t="s">
        <v>16</v>
      </c>
      <c r="F66" s="26" t="s">
        <v>729</v>
      </c>
      <c r="G66" s="26"/>
      <c r="H66" s="27" t="s">
        <v>120</v>
      </c>
      <c r="I66" s="26" t="s">
        <v>27</v>
      </c>
      <c r="J66" s="28"/>
      <c r="K66" s="123"/>
      <c r="L66" s="29">
        <v>43.82047</v>
      </c>
      <c r="M66" s="110">
        <v>31.71</v>
      </c>
      <c r="N66" s="30">
        <v>0.28199999999999997</v>
      </c>
      <c r="O66" s="116">
        <v>8.9422199999999989</v>
      </c>
      <c r="P66" s="30">
        <v>7.4999999999999997E-2</v>
      </c>
      <c r="Q66" s="116">
        <v>2.37825</v>
      </c>
      <c r="R66" s="30">
        <v>7.0000000000000007E-2</v>
      </c>
      <c r="S66" s="116">
        <v>0.3</v>
      </c>
      <c r="T66" s="117">
        <v>0.49</v>
      </c>
      <c r="U66" s="39"/>
      <c r="V66" s="32"/>
      <c r="W66" s="33"/>
      <c r="X66" s="32"/>
      <c r="Y66" s="32"/>
      <c r="Z66" s="32">
        <v>12</v>
      </c>
      <c r="AA66" s="34"/>
      <c r="AB66" s="35">
        <f t="shared" si="0"/>
        <v>12</v>
      </c>
      <c r="AC66" s="75">
        <f t="shared" si="1"/>
        <v>0</v>
      </c>
      <c r="AD66" s="78">
        <f t="shared" si="2"/>
        <v>0</v>
      </c>
      <c r="AE66" s="72">
        <f t="shared" si="3"/>
        <v>0</v>
      </c>
      <c r="AF66" s="75">
        <f t="shared" si="4"/>
        <v>0</v>
      </c>
      <c r="AG66" s="78">
        <f t="shared" si="5"/>
        <v>380.52</v>
      </c>
      <c r="AH66" s="72">
        <f t="shared" si="6"/>
        <v>380.52</v>
      </c>
      <c r="AI66" s="75">
        <f t="shared" si="7"/>
        <v>0</v>
      </c>
      <c r="AJ66" s="78">
        <f t="shared" si="8"/>
        <v>380.52</v>
      </c>
      <c r="AK66" s="72">
        <f t="shared" si="9"/>
        <v>380.52</v>
      </c>
    </row>
    <row r="67" spans="1:37" ht="15.95" customHeight="1">
      <c r="A67" s="25" t="s">
        <v>702</v>
      </c>
      <c r="B67" s="25" t="s">
        <v>463</v>
      </c>
      <c r="C67" s="26" t="s">
        <v>14</v>
      </c>
      <c r="D67" s="26" t="s">
        <v>373</v>
      </c>
      <c r="E67" s="26" t="s">
        <v>16</v>
      </c>
      <c r="F67" s="26" t="s">
        <v>730</v>
      </c>
      <c r="G67" s="26"/>
      <c r="H67" s="27" t="s">
        <v>731</v>
      </c>
      <c r="I67" s="26" t="s">
        <v>19</v>
      </c>
      <c r="J67" s="28" t="s">
        <v>20</v>
      </c>
      <c r="K67" s="123">
        <v>120</v>
      </c>
      <c r="L67" s="29">
        <v>20.466499999999996</v>
      </c>
      <c r="M67" s="110">
        <v>14.5</v>
      </c>
      <c r="N67" s="30">
        <v>0.28199999999999997</v>
      </c>
      <c r="O67" s="116">
        <v>4.0889999999999995</v>
      </c>
      <c r="P67" s="30">
        <v>7.4999999999999997E-2</v>
      </c>
      <c r="Q67" s="116">
        <v>1.0874999999999999</v>
      </c>
      <c r="R67" s="30">
        <v>7.0000000000000007E-2</v>
      </c>
      <c r="S67" s="116">
        <v>0.3</v>
      </c>
      <c r="T67" s="117">
        <v>0.49</v>
      </c>
      <c r="U67" s="39">
        <v>500</v>
      </c>
      <c r="V67" s="32"/>
      <c r="W67" s="33"/>
      <c r="X67" s="32"/>
      <c r="Y67" s="32"/>
      <c r="Z67" s="32"/>
      <c r="AA67" s="34"/>
      <c r="AB67" s="35">
        <f t="shared" si="0"/>
        <v>500</v>
      </c>
      <c r="AC67" s="75">
        <f t="shared" si="1"/>
        <v>60000</v>
      </c>
      <c r="AD67" s="78">
        <f t="shared" si="2"/>
        <v>0</v>
      </c>
      <c r="AE67" s="72">
        <f t="shared" si="3"/>
        <v>60000</v>
      </c>
      <c r="AF67" s="75">
        <f t="shared" si="4"/>
        <v>10233.249999999998</v>
      </c>
      <c r="AG67" s="78">
        <f t="shared" si="5"/>
        <v>0</v>
      </c>
      <c r="AH67" s="72">
        <f t="shared" si="6"/>
        <v>10233.249999999998</v>
      </c>
      <c r="AI67" s="75">
        <f t="shared" si="7"/>
        <v>7250</v>
      </c>
      <c r="AJ67" s="78">
        <f t="shared" si="8"/>
        <v>0</v>
      </c>
      <c r="AK67" s="72">
        <f t="shared" si="9"/>
        <v>7250</v>
      </c>
    </row>
    <row r="68" spans="1:37" ht="15.95" customHeight="1">
      <c r="A68" s="25" t="s">
        <v>702</v>
      </c>
      <c r="B68" s="25" t="s">
        <v>463</v>
      </c>
      <c r="C68" s="26" t="s">
        <v>21</v>
      </c>
      <c r="D68" s="26" t="s">
        <v>373</v>
      </c>
      <c r="E68" s="26" t="s">
        <v>16</v>
      </c>
      <c r="F68" s="26" t="s">
        <v>732</v>
      </c>
      <c r="G68" s="26"/>
      <c r="H68" s="27" t="s">
        <v>731</v>
      </c>
      <c r="I68" s="26" t="s">
        <v>19</v>
      </c>
      <c r="J68" s="28" t="s">
        <v>23</v>
      </c>
      <c r="K68" s="123">
        <v>110</v>
      </c>
      <c r="L68" s="29">
        <v>16.259800000000002</v>
      </c>
      <c r="M68" s="110">
        <v>11.4</v>
      </c>
      <c r="N68" s="30">
        <v>0.28199999999999997</v>
      </c>
      <c r="O68" s="116">
        <v>3.2147999999999999</v>
      </c>
      <c r="P68" s="30">
        <v>7.4999999999999997E-2</v>
      </c>
      <c r="Q68" s="116">
        <v>0.85499999999999998</v>
      </c>
      <c r="R68" s="30">
        <v>7.0000000000000007E-2</v>
      </c>
      <c r="S68" s="116">
        <v>0.3</v>
      </c>
      <c r="T68" s="117">
        <v>0.49</v>
      </c>
      <c r="U68" s="39">
        <v>500</v>
      </c>
      <c r="V68" s="32"/>
      <c r="W68" s="33"/>
      <c r="X68" s="32"/>
      <c r="Y68" s="32"/>
      <c r="Z68" s="32"/>
      <c r="AA68" s="34"/>
      <c r="AB68" s="35">
        <f t="shared" si="0"/>
        <v>500</v>
      </c>
      <c r="AC68" s="75">
        <f t="shared" si="1"/>
        <v>55000</v>
      </c>
      <c r="AD68" s="78">
        <f t="shared" si="2"/>
        <v>0</v>
      </c>
      <c r="AE68" s="72">
        <f t="shared" si="3"/>
        <v>55000</v>
      </c>
      <c r="AF68" s="75">
        <f t="shared" si="4"/>
        <v>8129.9000000000015</v>
      </c>
      <c r="AG68" s="78">
        <f t="shared" si="5"/>
        <v>0</v>
      </c>
      <c r="AH68" s="72">
        <f t="shared" si="6"/>
        <v>8129.9000000000015</v>
      </c>
      <c r="AI68" s="75">
        <f t="shared" si="7"/>
        <v>5700</v>
      </c>
      <c r="AJ68" s="78">
        <f t="shared" si="8"/>
        <v>0</v>
      </c>
      <c r="AK68" s="72">
        <f t="shared" si="9"/>
        <v>5700</v>
      </c>
    </row>
    <row r="69" spans="1:37" ht="15.95" customHeight="1">
      <c r="A69" s="25" t="s">
        <v>702</v>
      </c>
      <c r="B69" s="25" t="s">
        <v>463</v>
      </c>
      <c r="C69" s="26" t="s">
        <v>14</v>
      </c>
      <c r="D69" s="26" t="s">
        <v>373</v>
      </c>
      <c r="E69" s="26" t="s">
        <v>16</v>
      </c>
      <c r="F69" s="26" t="s">
        <v>730</v>
      </c>
      <c r="G69" s="26"/>
      <c r="H69" s="27" t="s">
        <v>731</v>
      </c>
      <c r="I69" s="26" t="s">
        <v>19</v>
      </c>
      <c r="J69" s="28" t="s">
        <v>20</v>
      </c>
      <c r="K69" s="123">
        <v>120</v>
      </c>
      <c r="L69" s="29">
        <v>20.466499999999996</v>
      </c>
      <c r="M69" s="110">
        <v>14.5</v>
      </c>
      <c r="N69" s="30">
        <v>0.28199999999999997</v>
      </c>
      <c r="O69" s="116">
        <v>4.0889999999999995</v>
      </c>
      <c r="P69" s="30">
        <v>7.4999999999999997E-2</v>
      </c>
      <c r="Q69" s="116">
        <v>1.0874999999999999</v>
      </c>
      <c r="R69" s="30">
        <v>7.0000000000000007E-2</v>
      </c>
      <c r="S69" s="116">
        <v>0.3</v>
      </c>
      <c r="T69" s="117">
        <v>0.49</v>
      </c>
      <c r="U69" s="39">
        <v>500</v>
      </c>
      <c r="V69" s="32"/>
      <c r="W69" s="33"/>
      <c r="X69" s="32"/>
      <c r="Y69" s="32"/>
      <c r="Z69" s="32"/>
      <c r="AA69" s="34"/>
      <c r="AB69" s="35">
        <f t="shared" ref="AB69:AB132" si="10">SUM(U69:AA69)</f>
        <v>500</v>
      </c>
      <c r="AC69" s="75">
        <f t="shared" ref="AC69:AC132" si="11">$K69*U69</f>
        <v>60000</v>
      </c>
      <c r="AD69" s="78">
        <f t="shared" ref="AD69:AD132" si="12">$K69*SUM(V69:AA69)</f>
        <v>0</v>
      </c>
      <c r="AE69" s="72">
        <f t="shared" ref="AE69:AE132" si="13">SUM(AC69:AD69)</f>
        <v>60000</v>
      </c>
      <c r="AF69" s="75">
        <f t="shared" ref="AF69:AF132" si="14">$L69*U69</f>
        <v>10233.249999999998</v>
      </c>
      <c r="AG69" s="78">
        <f t="shared" ref="AG69:AG132" si="15">$L69*SUM(V69:W69)+M69*SUM(X69:AA69)</f>
        <v>0</v>
      </c>
      <c r="AH69" s="72">
        <f t="shared" ref="AH69:AH132" si="16">SUM(AF69:AG69)</f>
        <v>10233.249999999998</v>
      </c>
      <c r="AI69" s="75">
        <f t="shared" ref="AI69:AI132" si="17">$M69*U69</f>
        <v>7250</v>
      </c>
      <c r="AJ69" s="78">
        <f t="shared" ref="AJ69:AJ132" si="18">$M69*SUM(V69:AA69)</f>
        <v>0</v>
      </c>
      <c r="AK69" s="72">
        <f t="shared" ref="AK69:AK132" si="19">SUM(AI69:AJ69)</f>
        <v>7250</v>
      </c>
    </row>
    <row r="70" spans="1:37" ht="15.95" customHeight="1">
      <c r="A70" s="25" t="s">
        <v>702</v>
      </c>
      <c r="B70" s="25" t="s">
        <v>463</v>
      </c>
      <c r="C70" s="26" t="s">
        <v>21</v>
      </c>
      <c r="D70" s="26" t="s">
        <v>373</v>
      </c>
      <c r="E70" s="26" t="s">
        <v>16</v>
      </c>
      <c r="F70" s="26" t="s">
        <v>732</v>
      </c>
      <c r="G70" s="26"/>
      <c r="H70" s="27" t="s">
        <v>731</v>
      </c>
      <c r="I70" s="26" t="s">
        <v>19</v>
      </c>
      <c r="J70" s="28" t="s">
        <v>23</v>
      </c>
      <c r="K70" s="123">
        <v>110</v>
      </c>
      <c r="L70" s="29">
        <v>16.259800000000002</v>
      </c>
      <c r="M70" s="110">
        <v>11.4</v>
      </c>
      <c r="N70" s="30">
        <v>0.28199999999999997</v>
      </c>
      <c r="O70" s="116">
        <v>3.2147999999999999</v>
      </c>
      <c r="P70" s="30">
        <v>7.4999999999999997E-2</v>
      </c>
      <c r="Q70" s="116">
        <v>0.85499999999999998</v>
      </c>
      <c r="R70" s="30">
        <v>7.0000000000000007E-2</v>
      </c>
      <c r="S70" s="116">
        <v>0.3</v>
      </c>
      <c r="T70" s="117">
        <v>0.49</v>
      </c>
      <c r="U70" s="39">
        <v>500</v>
      </c>
      <c r="V70" s="32"/>
      <c r="W70" s="33"/>
      <c r="X70" s="32"/>
      <c r="Y70" s="32"/>
      <c r="Z70" s="32"/>
      <c r="AA70" s="34"/>
      <c r="AB70" s="35">
        <f t="shared" si="10"/>
        <v>500</v>
      </c>
      <c r="AC70" s="75">
        <f t="shared" si="11"/>
        <v>55000</v>
      </c>
      <c r="AD70" s="78">
        <f t="shared" si="12"/>
        <v>0</v>
      </c>
      <c r="AE70" s="72">
        <f t="shared" si="13"/>
        <v>55000</v>
      </c>
      <c r="AF70" s="75">
        <f t="shared" si="14"/>
        <v>8129.9000000000015</v>
      </c>
      <c r="AG70" s="78">
        <f t="shared" si="15"/>
        <v>0</v>
      </c>
      <c r="AH70" s="72">
        <f t="shared" si="16"/>
        <v>8129.9000000000015</v>
      </c>
      <c r="AI70" s="75">
        <f t="shared" si="17"/>
        <v>5700</v>
      </c>
      <c r="AJ70" s="78">
        <f t="shared" si="18"/>
        <v>0</v>
      </c>
      <c r="AK70" s="72">
        <f t="shared" si="19"/>
        <v>5700</v>
      </c>
    </row>
    <row r="71" spans="1:37" ht="15.95" customHeight="1">
      <c r="A71" s="25" t="s">
        <v>702</v>
      </c>
      <c r="B71" s="25" t="s">
        <v>463</v>
      </c>
      <c r="C71" s="26" t="s">
        <v>14</v>
      </c>
      <c r="D71" s="26" t="s">
        <v>375</v>
      </c>
      <c r="E71" s="26" t="s">
        <v>16</v>
      </c>
      <c r="F71" s="26" t="s">
        <v>733</v>
      </c>
      <c r="G71" s="26"/>
      <c r="H71" s="27" t="s">
        <v>595</v>
      </c>
      <c r="I71" s="26" t="s">
        <v>27</v>
      </c>
      <c r="J71" s="28" t="s">
        <v>41</v>
      </c>
      <c r="K71" s="123">
        <v>145</v>
      </c>
      <c r="L71" s="29">
        <v>30.913249999999998</v>
      </c>
      <c r="M71" s="110">
        <v>22.25</v>
      </c>
      <c r="N71" s="30">
        <v>0.28199999999999997</v>
      </c>
      <c r="O71" s="116">
        <v>6.2744999999999997</v>
      </c>
      <c r="P71" s="30">
        <v>7.4999999999999997E-2</v>
      </c>
      <c r="Q71" s="116">
        <v>1.66875</v>
      </c>
      <c r="R71" s="30">
        <v>7.0000000000000007E-2</v>
      </c>
      <c r="S71" s="116">
        <v>0.23</v>
      </c>
      <c r="T71" s="117">
        <v>0.49</v>
      </c>
      <c r="U71" s="39">
        <v>200</v>
      </c>
      <c r="V71" s="32"/>
      <c r="W71" s="33"/>
      <c r="X71" s="32"/>
      <c r="Y71" s="32"/>
      <c r="Z71" s="32"/>
      <c r="AA71" s="34"/>
      <c r="AB71" s="35">
        <f t="shared" si="10"/>
        <v>200</v>
      </c>
      <c r="AC71" s="75">
        <f t="shared" si="11"/>
        <v>29000</v>
      </c>
      <c r="AD71" s="78">
        <f t="shared" si="12"/>
        <v>0</v>
      </c>
      <c r="AE71" s="72">
        <f t="shared" si="13"/>
        <v>29000</v>
      </c>
      <c r="AF71" s="75">
        <f t="shared" si="14"/>
        <v>6182.65</v>
      </c>
      <c r="AG71" s="78">
        <f t="shared" si="15"/>
        <v>0</v>
      </c>
      <c r="AH71" s="72">
        <f t="shared" si="16"/>
        <v>6182.65</v>
      </c>
      <c r="AI71" s="75">
        <f t="shared" si="17"/>
        <v>4450</v>
      </c>
      <c r="AJ71" s="78">
        <f t="shared" si="18"/>
        <v>0</v>
      </c>
      <c r="AK71" s="72">
        <f t="shared" si="19"/>
        <v>4450</v>
      </c>
    </row>
    <row r="72" spans="1:37" ht="15.95" customHeight="1">
      <c r="A72" s="25" t="s">
        <v>702</v>
      </c>
      <c r="B72" s="25" t="s">
        <v>463</v>
      </c>
      <c r="C72" s="26" t="s">
        <v>21</v>
      </c>
      <c r="D72" s="26" t="s">
        <v>375</v>
      </c>
      <c r="E72" s="26" t="s">
        <v>16</v>
      </c>
      <c r="F72" s="26" t="s">
        <v>734</v>
      </c>
      <c r="G72" s="26"/>
      <c r="H72" s="27" t="s">
        <v>595</v>
      </c>
      <c r="I72" s="26" t="s">
        <v>27</v>
      </c>
      <c r="J72" s="28" t="s">
        <v>43</v>
      </c>
      <c r="K72" s="123">
        <v>125</v>
      </c>
      <c r="L72" s="29">
        <v>24.467499999999998</v>
      </c>
      <c r="M72" s="110">
        <v>17.5</v>
      </c>
      <c r="N72" s="30">
        <v>0.28199999999999997</v>
      </c>
      <c r="O72" s="116">
        <v>4.9349999999999996</v>
      </c>
      <c r="P72" s="30">
        <v>7.4999999999999997E-2</v>
      </c>
      <c r="Q72" s="116">
        <v>1.3125</v>
      </c>
      <c r="R72" s="30">
        <v>7.0000000000000007E-2</v>
      </c>
      <c r="S72" s="116">
        <v>0.23</v>
      </c>
      <c r="T72" s="117">
        <v>0.49</v>
      </c>
      <c r="U72" s="39">
        <v>200</v>
      </c>
      <c r="V72" s="32"/>
      <c r="W72" s="33"/>
      <c r="X72" s="32"/>
      <c r="Y72" s="32"/>
      <c r="Z72" s="32"/>
      <c r="AA72" s="34"/>
      <c r="AB72" s="35">
        <f t="shared" si="10"/>
        <v>200</v>
      </c>
      <c r="AC72" s="75">
        <f t="shared" si="11"/>
        <v>25000</v>
      </c>
      <c r="AD72" s="78">
        <f t="shared" si="12"/>
        <v>0</v>
      </c>
      <c r="AE72" s="72">
        <f t="shared" si="13"/>
        <v>25000</v>
      </c>
      <c r="AF72" s="75">
        <f t="shared" si="14"/>
        <v>4893.4999999999991</v>
      </c>
      <c r="AG72" s="78">
        <f t="shared" si="15"/>
        <v>0</v>
      </c>
      <c r="AH72" s="72">
        <f t="shared" si="16"/>
        <v>4893.4999999999991</v>
      </c>
      <c r="AI72" s="75">
        <f t="shared" si="17"/>
        <v>3500</v>
      </c>
      <c r="AJ72" s="78">
        <f t="shared" si="18"/>
        <v>0</v>
      </c>
      <c r="AK72" s="72">
        <f t="shared" si="19"/>
        <v>3500</v>
      </c>
    </row>
    <row r="73" spans="1:37" ht="15.95" customHeight="1">
      <c r="A73" s="25" t="s">
        <v>702</v>
      </c>
      <c r="B73" s="25" t="s">
        <v>463</v>
      </c>
      <c r="C73" s="26" t="s">
        <v>14</v>
      </c>
      <c r="D73" s="26" t="s">
        <v>375</v>
      </c>
      <c r="E73" s="26" t="s">
        <v>16</v>
      </c>
      <c r="F73" s="26" t="s">
        <v>733</v>
      </c>
      <c r="G73" s="26"/>
      <c r="H73" s="27" t="s">
        <v>595</v>
      </c>
      <c r="I73" s="26" t="s">
        <v>27</v>
      </c>
      <c r="J73" s="28" t="s">
        <v>41</v>
      </c>
      <c r="K73" s="123">
        <v>145</v>
      </c>
      <c r="L73" s="29">
        <v>30.913249999999998</v>
      </c>
      <c r="M73" s="110">
        <v>22.25</v>
      </c>
      <c r="N73" s="30">
        <v>0.28199999999999997</v>
      </c>
      <c r="O73" s="116">
        <v>6.2744999999999997</v>
      </c>
      <c r="P73" s="30">
        <v>7.4999999999999997E-2</v>
      </c>
      <c r="Q73" s="116">
        <v>1.66875</v>
      </c>
      <c r="R73" s="30">
        <v>7.0000000000000007E-2</v>
      </c>
      <c r="S73" s="116">
        <v>0.23</v>
      </c>
      <c r="T73" s="117">
        <v>0.49</v>
      </c>
      <c r="U73" s="39">
        <v>300</v>
      </c>
      <c r="V73" s="32"/>
      <c r="W73" s="33"/>
      <c r="X73" s="32"/>
      <c r="Y73" s="32"/>
      <c r="Z73" s="32"/>
      <c r="AA73" s="34"/>
      <c r="AB73" s="35">
        <f t="shared" si="10"/>
        <v>300</v>
      </c>
      <c r="AC73" s="75">
        <f t="shared" si="11"/>
        <v>43500</v>
      </c>
      <c r="AD73" s="78">
        <f t="shared" si="12"/>
        <v>0</v>
      </c>
      <c r="AE73" s="72">
        <f t="shared" si="13"/>
        <v>43500</v>
      </c>
      <c r="AF73" s="75">
        <f t="shared" si="14"/>
        <v>9273.9749999999985</v>
      </c>
      <c r="AG73" s="78">
        <f t="shared" si="15"/>
        <v>0</v>
      </c>
      <c r="AH73" s="72">
        <f t="shared" si="16"/>
        <v>9273.9749999999985</v>
      </c>
      <c r="AI73" s="75">
        <f t="shared" si="17"/>
        <v>6675</v>
      </c>
      <c r="AJ73" s="78">
        <f t="shared" si="18"/>
        <v>0</v>
      </c>
      <c r="AK73" s="72">
        <f t="shared" si="19"/>
        <v>6675</v>
      </c>
    </row>
    <row r="74" spans="1:37" ht="15.95" customHeight="1">
      <c r="A74" s="25" t="s">
        <v>702</v>
      </c>
      <c r="B74" s="25" t="s">
        <v>463</v>
      </c>
      <c r="C74" s="26" t="s">
        <v>21</v>
      </c>
      <c r="D74" s="26" t="s">
        <v>375</v>
      </c>
      <c r="E74" s="26" t="s">
        <v>16</v>
      </c>
      <c r="F74" s="26" t="s">
        <v>734</v>
      </c>
      <c r="G74" s="26"/>
      <c r="H74" s="27" t="s">
        <v>595</v>
      </c>
      <c r="I74" s="26" t="s">
        <v>27</v>
      </c>
      <c r="J74" s="28" t="s">
        <v>43</v>
      </c>
      <c r="K74" s="123">
        <v>125</v>
      </c>
      <c r="L74" s="29">
        <v>24.467499999999998</v>
      </c>
      <c r="M74" s="110">
        <v>17.5</v>
      </c>
      <c r="N74" s="30">
        <v>0.28199999999999997</v>
      </c>
      <c r="O74" s="116">
        <v>4.9349999999999996</v>
      </c>
      <c r="P74" s="30">
        <v>7.4999999999999997E-2</v>
      </c>
      <c r="Q74" s="116">
        <v>1.3125</v>
      </c>
      <c r="R74" s="30">
        <v>7.0000000000000007E-2</v>
      </c>
      <c r="S74" s="116">
        <v>0.23</v>
      </c>
      <c r="T74" s="117">
        <v>0.49</v>
      </c>
      <c r="U74" s="39">
        <v>300</v>
      </c>
      <c r="V74" s="32"/>
      <c r="W74" s="33"/>
      <c r="X74" s="32"/>
      <c r="Y74" s="32"/>
      <c r="Z74" s="32"/>
      <c r="AA74" s="34"/>
      <c r="AB74" s="35">
        <f t="shared" si="10"/>
        <v>300</v>
      </c>
      <c r="AC74" s="75">
        <f t="shared" si="11"/>
        <v>37500</v>
      </c>
      <c r="AD74" s="78">
        <f t="shared" si="12"/>
        <v>0</v>
      </c>
      <c r="AE74" s="72">
        <f t="shared" si="13"/>
        <v>37500</v>
      </c>
      <c r="AF74" s="75">
        <f t="shared" si="14"/>
        <v>7340.2499999999991</v>
      </c>
      <c r="AG74" s="78">
        <f t="shared" si="15"/>
        <v>0</v>
      </c>
      <c r="AH74" s="72">
        <f t="shared" si="16"/>
        <v>7340.2499999999991</v>
      </c>
      <c r="AI74" s="75">
        <f t="shared" si="17"/>
        <v>5250</v>
      </c>
      <c r="AJ74" s="78">
        <f t="shared" si="18"/>
        <v>0</v>
      </c>
      <c r="AK74" s="72">
        <f t="shared" si="19"/>
        <v>5250</v>
      </c>
    </row>
    <row r="75" spans="1:37" ht="15.95" customHeight="1">
      <c r="A75" s="25" t="s">
        <v>702</v>
      </c>
      <c r="B75" s="25" t="s">
        <v>463</v>
      </c>
      <c r="C75" s="26" t="s">
        <v>728</v>
      </c>
      <c r="D75" s="26" t="s">
        <v>375</v>
      </c>
      <c r="E75" s="26" t="s">
        <v>16</v>
      </c>
      <c r="F75" s="26" t="s">
        <v>735</v>
      </c>
      <c r="G75" s="26"/>
      <c r="H75" s="27" t="s">
        <v>595</v>
      </c>
      <c r="I75" s="26" t="s">
        <v>27</v>
      </c>
      <c r="J75" s="28"/>
      <c r="K75" s="123"/>
      <c r="L75" s="29">
        <v>54.389349999999993</v>
      </c>
      <c r="M75" s="110">
        <v>39.549999999999997</v>
      </c>
      <c r="N75" s="30">
        <v>0.28199999999999997</v>
      </c>
      <c r="O75" s="116">
        <v>11.153099999999998</v>
      </c>
      <c r="P75" s="30">
        <v>7.4999999999999997E-2</v>
      </c>
      <c r="Q75" s="116">
        <v>2.9662499999999996</v>
      </c>
      <c r="R75" s="30">
        <v>7.0000000000000007E-2</v>
      </c>
      <c r="S75" s="116">
        <v>0.23</v>
      </c>
      <c r="T75" s="117">
        <v>0.49</v>
      </c>
      <c r="U75" s="39"/>
      <c r="V75" s="32"/>
      <c r="W75" s="33"/>
      <c r="X75" s="32"/>
      <c r="Y75" s="32"/>
      <c r="Z75" s="32">
        <v>27</v>
      </c>
      <c r="AA75" s="34"/>
      <c r="AB75" s="35">
        <f t="shared" si="10"/>
        <v>27</v>
      </c>
      <c r="AC75" s="75">
        <f t="shared" si="11"/>
        <v>0</v>
      </c>
      <c r="AD75" s="78">
        <f t="shared" si="12"/>
        <v>0</v>
      </c>
      <c r="AE75" s="72">
        <f t="shared" si="13"/>
        <v>0</v>
      </c>
      <c r="AF75" s="75">
        <f t="shared" si="14"/>
        <v>0</v>
      </c>
      <c r="AG75" s="78">
        <f t="shared" si="15"/>
        <v>1067.8499999999999</v>
      </c>
      <c r="AH75" s="72">
        <f t="shared" si="16"/>
        <v>1067.8499999999999</v>
      </c>
      <c r="AI75" s="75">
        <f t="shared" si="17"/>
        <v>0</v>
      </c>
      <c r="AJ75" s="78">
        <f t="shared" si="18"/>
        <v>1067.8499999999999</v>
      </c>
      <c r="AK75" s="72">
        <f t="shared" si="19"/>
        <v>1067.8499999999999</v>
      </c>
    </row>
    <row r="76" spans="1:37" ht="15.95" customHeight="1">
      <c r="A76" s="25" t="s">
        <v>702</v>
      </c>
      <c r="B76" s="25" t="s">
        <v>463</v>
      </c>
      <c r="C76" s="26" t="s">
        <v>728</v>
      </c>
      <c r="D76" s="26" t="s">
        <v>375</v>
      </c>
      <c r="E76" s="26" t="s">
        <v>16</v>
      </c>
      <c r="F76" s="26" t="s">
        <v>735</v>
      </c>
      <c r="G76" s="26"/>
      <c r="H76" s="27" t="s">
        <v>595</v>
      </c>
      <c r="I76" s="26" t="s">
        <v>27</v>
      </c>
      <c r="J76" s="28"/>
      <c r="K76" s="123"/>
      <c r="L76" s="29">
        <v>54.389349999999993</v>
      </c>
      <c r="M76" s="110">
        <v>39.549999999999997</v>
      </c>
      <c r="N76" s="30">
        <v>0.28199999999999997</v>
      </c>
      <c r="O76" s="116">
        <v>11.153099999999998</v>
      </c>
      <c r="P76" s="30">
        <v>7.4999999999999997E-2</v>
      </c>
      <c r="Q76" s="116">
        <v>2.9662499999999996</v>
      </c>
      <c r="R76" s="30">
        <v>7.0000000000000007E-2</v>
      </c>
      <c r="S76" s="116">
        <v>0.23</v>
      </c>
      <c r="T76" s="117">
        <v>0.49</v>
      </c>
      <c r="U76" s="39"/>
      <c r="V76" s="32"/>
      <c r="W76" s="33"/>
      <c r="X76" s="32"/>
      <c r="Y76" s="32"/>
      <c r="Z76" s="32">
        <v>95</v>
      </c>
      <c r="AA76" s="34"/>
      <c r="AB76" s="35">
        <f t="shared" si="10"/>
        <v>95</v>
      </c>
      <c r="AC76" s="75">
        <f t="shared" si="11"/>
        <v>0</v>
      </c>
      <c r="AD76" s="78">
        <f t="shared" si="12"/>
        <v>0</v>
      </c>
      <c r="AE76" s="72">
        <f t="shared" si="13"/>
        <v>0</v>
      </c>
      <c r="AF76" s="75">
        <f t="shared" si="14"/>
        <v>0</v>
      </c>
      <c r="AG76" s="78">
        <f t="shared" si="15"/>
        <v>3757.2499999999995</v>
      </c>
      <c r="AH76" s="72">
        <f t="shared" si="16"/>
        <v>3757.2499999999995</v>
      </c>
      <c r="AI76" s="75">
        <f t="shared" si="17"/>
        <v>0</v>
      </c>
      <c r="AJ76" s="78">
        <f t="shared" si="18"/>
        <v>3757.2499999999995</v>
      </c>
      <c r="AK76" s="72">
        <f t="shared" si="19"/>
        <v>3757.2499999999995</v>
      </c>
    </row>
    <row r="77" spans="1:37" ht="15.95" customHeight="1">
      <c r="A77" s="25" t="s">
        <v>702</v>
      </c>
      <c r="B77" s="25" t="s">
        <v>463</v>
      </c>
      <c r="C77" s="26" t="s">
        <v>14</v>
      </c>
      <c r="D77" s="26" t="s">
        <v>375</v>
      </c>
      <c r="E77" s="26" t="s">
        <v>16</v>
      </c>
      <c r="F77" s="26" t="s">
        <v>940</v>
      </c>
      <c r="G77" s="25"/>
      <c r="H77" s="42" t="s">
        <v>562</v>
      </c>
      <c r="I77" s="43" t="s">
        <v>27</v>
      </c>
      <c r="J77" s="28" t="s">
        <v>41</v>
      </c>
      <c r="K77" s="123">
        <v>175</v>
      </c>
      <c r="L77" s="29">
        <v>32.609499999999997</v>
      </c>
      <c r="M77" s="110">
        <v>23.5</v>
      </c>
      <c r="N77" s="30">
        <v>0.28199999999999997</v>
      </c>
      <c r="O77" s="116">
        <v>6.6269999999999998</v>
      </c>
      <c r="P77" s="30">
        <v>7.4999999999999997E-2</v>
      </c>
      <c r="Q77" s="116">
        <v>1.7625</v>
      </c>
      <c r="R77" s="30">
        <v>7.0000000000000007E-2</v>
      </c>
      <c r="S77" s="116">
        <v>0.23</v>
      </c>
      <c r="T77" s="117">
        <v>0.49</v>
      </c>
      <c r="U77" s="39">
        <v>300</v>
      </c>
      <c r="V77" s="32">
        <v>150</v>
      </c>
      <c r="W77" s="33"/>
      <c r="X77" s="32"/>
      <c r="Y77" s="32"/>
      <c r="Z77" s="32"/>
      <c r="AA77" s="34"/>
      <c r="AB77" s="35">
        <f t="shared" si="10"/>
        <v>450</v>
      </c>
      <c r="AC77" s="75">
        <f t="shared" si="11"/>
        <v>52500</v>
      </c>
      <c r="AD77" s="78">
        <f t="shared" si="12"/>
        <v>26250</v>
      </c>
      <c r="AE77" s="72">
        <f t="shared" si="13"/>
        <v>78750</v>
      </c>
      <c r="AF77" s="75">
        <f t="shared" si="14"/>
        <v>9782.8499999999985</v>
      </c>
      <c r="AG77" s="78">
        <f t="shared" si="15"/>
        <v>4891.4249999999993</v>
      </c>
      <c r="AH77" s="72">
        <f t="shared" si="16"/>
        <v>14674.274999999998</v>
      </c>
      <c r="AI77" s="75">
        <f t="shared" si="17"/>
        <v>7050</v>
      </c>
      <c r="AJ77" s="78">
        <f t="shared" si="18"/>
        <v>3525</v>
      </c>
      <c r="AK77" s="72">
        <f t="shared" si="19"/>
        <v>10575</v>
      </c>
    </row>
    <row r="78" spans="1:37" ht="15.95" customHeight="1">
      <c r="A78" s="25" t="s">
        <v>702</v>
      </c>
      <c r="B78" s="25" t="s">
        <v>463</v>
      </c>
      <c r="C78" s="26" t="s">
        <v>21</v>
      </c>
      <c r="D78" s="26" t="s">
        <v>375</v>
      </c>
      <c r="E78" s="26" t="s">
        <v>16</v>
      </c>
      <c r="F78" s="26" t="s">
        <v>941</v>
      </c>
      <c r="G78" s="25"/>
      <c r="H78" s="42" t="s">
        <v>562</v>
      </c>
      <c r="I78" s="43" t="s">
        <v>27</v>
      </c>
      <c r="J78" s="28" t="s">
        <v>43</v>
      </c>
      <c r="K78" s="123">
        <v>135</v>
      </c>
      <c r="L78" s="29">
        <v>25.824499999999997</v>
      </c>
      <c r="M78" s="110">
        <v>18.5</v>
      </c>
      <c r="N78" s="30">
        <v>0.28199999999999997</v>
      </c>
      <c r="O78" s="116">
        <v>5.2169999999999996</v>
      </c>
      <c r="P78" s="30">
        <v>7.4999999999999997E-2</v>
      </c>
      <c r="Q78" s="116">
        <v>1.3875</v>
      </c>
      <c r="R78" s="30">
        <v>7.0000000000000007E-2</v>
      </c>
      <c r="S78" s="116">
        <v>0.23</v>
      </c>
      <c r="T78" s="117">
        <v>0.49</v>
      </c>
      <c r="U78" s="39">
        <v>300</v>
      </c>
      <c r="V78" s="32">
        <v>150</v>
      </c>
      <c r="W78" s="33"/>
      <c r="X78" s="32"/>
      <c r="Y78" s="32"/>
      <c r="Z78" s="32"/>
      <c r="AA78" s="34"/>
      <c r="AB78" s="35">
        <f t="shared" si="10"/>
        <v>450</v>
      </c>
      <c r="AC78" s="75">
        <f t="shared" si="11"/>
        <v>40500</v>
      </c>
      <c r="AD78" s="78">
        <f t="shared" si="12"/>
        <v>20250</v>
      </c>
      <c r="AE78" s="72">
        <f t="shared" si="13"/>
        <v>60750</v>
      </c>
      <c r="AF78" s="75">
        <f t="shared" si="14"/>
        <v>7747.3499999999995</v>
      </c>
      <c r="AG78" s="78">
        <f t="shared" si="15"/>
        <v>3873.6749999999997</v>
      </c>
      <c r="AH78" s="72">
        <f t="shared" si="16"/>
        <v>11621.025</v>
      </c>
      <c r="AI78" s="75">
        <f t="shared" si="17"/>
        <v>5550</v>
      </c>
      <c r="AJ78" s="78">
        <f t="shared" si="18"/>
        <v>2775</v>
      </c>
      <c r="AK78" s="72">
        <f t="shared" si="19"/>
        <v>8325</v>
      </c>
    </row>
    <row r="79" spans="1:37" ht="15.95" customHeight="1">
      <c r="A79" s="25" t="s">
        <v>702</v>
      </c>
      <c r="B79" s="25" t="s">
        <v>463</v>
      </c>
      <c r="C79" s="26" t="s">
        <v>14</v>
      </c>
      <c r="D79" s="26" t="s">
        <v>375</v>
      </c>
      <c r="E79" s="26" t="s">
        <v>16</v>
      </c>
      <c r="F79" s="26" t="s">
        <v>940</v>
      </c>
      <c r="G79" s="26"/>
      <c r="H79" s="27" t="s">
        <v>736</v>
      </c>
      <c r="I79" s="26" t="s">
        <v>27</v>
      </c>
      <c r="J79" s="28" t="s">
        <v>41</v>
      </c>
      <c r="K79" s="123">
        <v>175</v>
      </c>
      <c r="L79" s="29">
        <v>32.609499999999997</v>
      </c>
      <c r="M79" s="110">
        <v>23.5</v>
      </c>
      <c r="N79" s="30">
        <v>0.28199999999999997</v>
      </c>
      <c r="O79" s="116">
        <v>6.6269999999999998</v>
      </c>
      <c r="P79" s="30">
        <v>7.4999999999999997E-2</v>
      </c>
      <c r="Q79" s="116">
        <v>1.7625</v>
      </c>
      <c r="R79" s="30">
        <v>7.0000000000000007E-2</v>
      </c>
      <c r="S79" s="116">
        <v>0.23</v>
      </c>
      <c r="T79" s="117">
        <v>0.49</v>
      </c>
      <c r="U79" s="39">
        <v>300</v>
      </c>
      <c r="V79" s="32">
        <v>150</v>
      </c>
      <c r="W79" s="33"/>
      <c r="X79" s="32"/>
      <c r="Y79" s="32"/>
      <c r="Z79" s="32"/>
      <c r="AA79" s="34"/>
      <c r="AB79" s="35">
        <f t="shared" si="10"/>
        <v>450</v>
      </c>
      <c r="AC79" s="75">
        <f t="shared" si="11"/>
        <v>52500</v>
      </c>
      <c r="AD79" s="78">
        <f t="shared" si="12"/>
        <v>26250</v>
      </c>
      <c r="AE79" s="72">
        <f t="shared" si="13"/>
        <v>78750</v>
      </c>
      <c r="AF79" s="75">
        <f t="shared" si="14"/>
        <v>9782.8499999999985</v>
      </c>
      <c r="AG79" s="78">
        <f t="shared" si="15"/>
        <v>4891.4249999999993</v>
      </c>
      <c r="AH79" s="72">
        <f t="shared" si="16"/>
        <v>14674.274999999998</v>
      </c>
      <c r="AI79" s="75">
        <f t="shared" si="17"/>
        <v>7050</v>
      </c>
      <c r="AJ79" s="78">
        <f t="shared" si="18"/>
        <v>3525</v>
      </c>
      <c r="AK79" s="72">
        <f t="shared" si="19"/>
        <v>10575</v>
      </c>
    </row>
    <row r="80" spans="1:37" ht="15.95" customHeight="1">
      <c r="A80" s="25" t="s">
        <v>702</v>
      </c>
      <c r="B80" s="25" t="s">
        <v>463</v>
      </c>
      <c r="C80" s="26" t="s">
        <v>21</v>
      </c>
      <c r="D80" s="26" t="s">
        <v>375</v>
      </c>
      <c r="E80" s="26" t="s">
        <v>16</v>
      </c>
      <c r="F80" s="26" t="s">
        <v>941</v>
      </c>
      <c r="G80" s="26"/>
      <c r="H80" s="27" t="s">
        <v>736</v>
      </c>
      <c r="I80" s="26" t="s">
        <v>27</v>
      </c>
      <c r="J80" s="37" t="s">
        <v>43</v>
      </c>
      <c r="K80" s="123">
        <v>135</v>
      </c>
      <c r="L80" s="29">
        <v>25.824499999999997</v>
      </c>
      <c r="M80" s="110">
        <v>18.5</v>
      </c>
      <c r="N80" s="30">
        <v>0.28199999999999997</v>
      </c>
      <c r="O80" s="116">
        <v>5.2169999999999996</v>
      </c>
      <c r="P80" s="30">
        <v>7.4999999999999997E-2</v>
      </c>
      <c r="Q80" s="116">
        <v>1.3875</v>
      </c>
      <c r="R80" s="30">
        <v>7.0000000000000007E-2</v>
      </c>
      <c r="S80" s="116">
        <v>0.23</v>
      </c>
      <c r="T80" s="117">
        <v>0.49</v>
      </c>
      <c r="U80" s="39">
        <v>300</v>
      </c>
      <c r="V80" s="32">
        <v>150</v>
      </c>
      <c r="W80" s="33"/>
      <c r="X80" s="32"/>
      <c r="Y80" s="32"/>
      <c r="Z80" s="32"/>
      <c r="AA80" s="34"/>
      <c r="AB80" s="35">
        <f t="shared" si="10"/>
        <v>450</v>
      </c>
      <c r="AC80" s="75">
        <f t="shared" si="11"/>
        <v>40500</v>
      </c>
      <c r="AD80" s="78">
        <f t="shared" si="12"/>
        <v>20250</v>
      </c>
      <c r="AE80" s="72">
        <f t="shared" si="13"/>
        <v>60750</v>
      </c>
      <c r="AF80" s="75">
        <f t="shared" si="14"/>
        <v>7747.3499999999995</v>
      </c>
      <c r="AG80" s="78">
        <f t="shared" si="15"/>
        <v>3873.6749999999997</v>
      </c>
      <c r="AH80" s="72">
        <f t="shared" si="16"/>
        <v>11621.025</v>
      </c>
      <c r="AI80" s="75">
        <f t="shared" si="17"/>
        <v>5550</v>
      </c>
      <c r="AJ80" s="78">
        <f t="shared" si="18"/>
        <v>2775</v>
      </c>
      <c r="AK80" s="72">
        <f t="shared" si="19"/>
        <v>8325</v>
      </c>
    </row>
    <row r="81" spans="1:37" ht="15.95" customHeight="1">
      <c r="A81" s="25" t="s">
        <v>702</v>
      </c>
      <c r="B81" s="25" t="s">
        <v>463</v>
      </c>
      <c r="C81" s="26" t="s">
        <v>728</v>
      </c>
      <c r="D81" s="26" t="s">
        <v>375</v>
      </c>
      <c r="E81" s="26" t="s">
        <v>16</v>
      </c>
      <c r="F81" s="26" t="s">
        <v>737</v>
      </c>
      <c r="G81" s="26"/>
      <c r="H81" s="27" t="s">
        <v>736</v>
      </c>
      <c r="I81" s="26" t="s">
        <v>27</v>
      </c>
      <c r="J81" s="28"/>
      <c r="K81" s="123"/>
      <c r="L81" s="29">
        <v>57.442599999999992</v>
      </c>
      <c r="M81" s="110">
        <v>41.8</v>
      </c>
      <c r="N81" s="30">
        <v>0.28199999999999997</v>
      </c>
      <c r="O81" s="116">
        <v>11.787599999999998</v>
      </c>
      <c r="P81" s="30">
        <v>7.4999999999999997E-2</v>
      </c>
      <c r="Q81" s="116">
        <v>3.1349999999999998</v>
      </c>
      <c r="R81" s="30">
        <v>7.0000000000000007E-2</v>
      </c>
      <c r="S81" s="116">
        <v>0.23</v>
      </c>
      <c r="T81" s="117">
        <v>0.49</v>
      </c>
      <c r="U81" s="39"/>
      <c r="V81" s="32"/>
      <c r="W81" s="33"/>
      <c r="X81" s="32"/>
      <c r="Y81" s="32"/>
      <c r="Z81" s="32">
        <v>66</v>
      </c>
      <c r="AA81" s="34"/>
      <c r="AB81" s="35">
        <f t="shared" si="10"/>
        <v>66</v>
      </c>
      <c r="AC81" s="75">
        <f t="shared" si="11"/>
        <v>0</v>
      </c>
      <c r="AD81" s="78">
        <f t="shared" si="12"/>
        <v>0</v>
      </c>
      <c r="AE81" s="72">
        <f t="shared" si="13"/>
        <v>0</v>
      </c>
      <c r="AF81" s="75">
        <f t="shared" si="14"/>
        <v>0</v>
      </c>
      <c r="AG81" s="78">
        <f t="shared" si="15"/>
        <v>2758.7999999999997</v>
      </c>
      <c r="AH81" s="72">
        <f t="shared" si="16"/>
        <v>2758.7999999999997</v>
      </c>
      <c r="AI81" s="75">
        <f t="shared" si="17"/>
        <v>0</v>
      </c>
      <c r="AJ81" s="78">
        <f t="shared" si="18"/>
        <v>2758.7999999999997</v>
      </c>
      <c r="AK81" s="72">
        <f t="shared" si="19"/>
        <v>2758.7999999999997</v>
      </c>
    </row>
    <row r="82" spans="1:37" ht="15.95" customHeight="1">
      <c r="A82" s="25" t="s">
        <v>702</v>
      </c>
      <c r="B82" s="25" t="s">
        <v>463</v>
      </c>
      <c r="C82" s="26" t="s">
        <v>728</v>
      </c>
      <c r="D82" s="26" t="s">
        <v>375</v>
      </c>
      <c r="E82" s="26" t="s">
        <v>16</v>
      </c>
      <c r="F82" s="26" t="s">
        <v>737</v>
      </c>
      <c r="G82" s="26"/>
      <c r="H82" s="27" t="s">
        <v>736</v>
      </c>
      <c r="I82" s="26" t="s">
        <v>27</v>
      </c>
      <c r="J82" s="28"/>
      <c r="K82" s="123"/>
      <c r="L82" s="29">
        <v>57.442599999999992</v>
      </c>
      <c r="M82" s="110">
        <v>41.8</v>
      </c>
      <c r="N82" s="30">
        <v>0.28199999999999997</v>
      </c>
      <c r="O82" s="116">
        <v>11.787599999999998</v>
      </c>
      <c r="P82" s="30">
        <v>7.4999999999999997E-2</v>
      </c>
      <c r="Q82" s="116">
        <v>3.1349999999999998</v>
      </c>
      <c r="R82" s="30">
        <v>7.0000000000000007E-2</v>
      </c>
      <c r="S82" s="116">
        <v>0.23</v>
      </c>
      <c r="T82" s="117">
        <v>0.49</v>
      </c>
      <c r="U82" s="39"/>
      <c r="V82" s="32"/>
      <c r="W82" s="33"/>
      <c r="X82" s="32"/>
      <c r="Y82" s="32"/>
      <c r="Z82" s="32">
        <v>18</v>
      </c>
      <c r="AA82" s="34"/>
      <c r="AB82" s="35">
        <f t="shared" si="10"/>
        <v>18</v>
      </c>
      <c r="AC82" s="75">
        <f t="shared" si="11"/>
        <v>0</v>
      </c>
      <c r="AD82" s="78">
        <f t="shared" si="12"/>
        <v>0</v>
      </c>
      <c r="AE82" s="72">
        <f t="shared" si="13"/>
        <v>0</v>
      </c>
      <c r="AF82" s="75">
        <f t="shared" si="14"/>
        <v>0</v>
      </c>
      <c r="AG82" s="78">
        <f t="shared" si="15"/>
        <v>752.4</v>
      </c>
      <c r="AH82" s="72">
        <f t="shared" si="16"/>
        <v>752.4</v>
      </c>
      <c r="AI82" s="75">
        <f t="shared" si="17"/>
        <v>0</v>
      </c>
      <c r="AJ82" s="78">
        <f t="shared" si="18"/>
        <v>752.4</v>
      </c>
      <c r="AK82" s="72">
        <f t="shared" si="19"/>
        <v>752.4</v>
      </c>
    </row>
    <row r="83" spans="1:37" ht="15.95" customHeight="1">
      <c r="A83" s="25" t="s">
        <v>702</v>
      </c>
      <c r="B83" s="25" t="s">
        <v>463</v>
      </c>
      <c r="C83" s="26" t="s">
        <v>14</v>
      </c>
      <c r="D83" s="26" t="s">
        <v>375</v>
      </c>
      <c r="E83" s="26" t="s">
        <v>16</v>
      </c>
      <c r="F83" s="26" t="s">
        <v>738</v>
      </c>
      <c r="G83" s="26"/>
      <c r="H83" s="27" t="s">
        <v>739</v>
      </c>
      <c r="I83" s="26" t="s">
        <v>27</v>
      </c>
      <c r="J83" s="28" t="s">
        <v>41</v>
      </c>
      <c r="K83" s="123">
        <v>175</v>
      </c>
      <c r="L83" s="29">
        <v>31.591750000000001</v>
      </c>
      <c r="M83" s="110">
        <v>22.75</v>
      </c>
      <c r="N83" s="30">
        <v>0.28199999999999997</v>
      </c>
      <c r="O83" s="116">
        <v>6.4154999999999998</v>
      </c>
      <c r="P83" s="30">
        <v>7.4999999999999997E-2</v>
      </c>
      <c r="Q83" s="116">
        <v>1.70625</v>
      </c>
      <c r="R83" s="30">
        <v>7.0000000000000007E-2</v>
      </c>
      <c r="S83" s="116">
        <v>0.23</v>
      </c>
      <c r="T83" s="117">
        <v>0.49</v>
      </c>
      <c r="U83" s="39">
        <v>350</v>
      </c>
      <c r="V83" s="32">
        <v>150</v>
      </c>
      <c r="W83" s="33"/>
      <c r="X83" s="32"/>
      <c r="Y83" s="32"/>
      <c r="Z83" s="32"/>
      <c r="AA83" s="34"/>
      <c r="AB83" s="35">
        <f t="shared" si="10"/>
        <v>500</v>
      </c>
      <c r="AC83" s="75">
        <f t="shared" si="11"/>
        <v>61250</v>
      </c>
      <c r="AD83" s="78">
        <f t="shared" si="12"/>
        <v>26250</v>
      </c>
      <c r="AE83" s="72">
        <f t="shared" si="13"/>
        <v>87500</v>
      </c>
      <c r="AF83" s="75">
        <f t="shared" si="14"/>
        <v>11057.112500000001</v>
      </c>
      <c r="AG83" s="78">
        <f t="shared" si="15"/>
        <v>4738.7624999999998</v>
      </c>
      <c r="AH83" s="72">
        <f t="shared" si="16"/>
        <v>15795.875</v>
      </c>
      <c r="AI83" s="75">
        <f t="shared" si="17"/>
        <v>7962.5</v>
      </c>
      <c r="AJ83" s="78">
        <f t="shared" si="18"/>
        <v>3412.5</v>
      </c>
      <c r="AK83" s="72">
        <f t="shared" si="19"/>
        <v>11375</v>
      </c>
    </row>
    <row r="84" spans="1:37" ht="15.95" customHeight="1">
      <c r="A84" s="25" t="s">
        <v>702</v>
      </c>
      <c r="B84" s="25" t="s">
        <v>463</v>
      </c>
      <c r="C84" s="26" t="s">
        <v>21</v>
      </c>
      <c r="D84" s="26" t="s">
        <v>375</v>
      </c>
      <c r="E84" s="26" t="s">
        <v>16</v>
      </c>
      <c r="F84" s="26" t="s">
        <v>740</v>
      </c>
      <c r="G84" s="26"/>
      <c r="H84" s="27" t="s">
        <v>739</v>
      </c>
      <c r="I84" s="26" t="s">
        <v>27</v>
      </c>
      <c r="J84" s="28" t="s">
        <v>43</v>
      </c>
      <c r="K84" s="123">
        <v>150</v>
      </c>
      <c r="L84" s="29">
        <v>25.146000000000001</v>
      </c>
      <c r="M84" s="110">
        <v>18</v>
      </c>
      <c r="N84" s="30">
        <v>0.28199999999999997</v>
      </c>
      <c r="O84" s="116">
        <v>5.0759999999999996</v>
      </c>
      <c r="P84" s="30">
        <v>7.4999999999999997E-2</v>
      </c>
      <c r="Q84" s="116">
        <v>1.3499999999999999</v>
      </c>
      <c r="R84" s="30">
        <v>7.0000000000000007E-2</v>
      </c>
      <c r="S84" s="116">
        <v>0.23</v>
      </c>
      <c r="T84" s="117">
        <v>0.49</v>
      </c>
      <c r="U84" s="39">
        <v>350</v>
      </c>
      <c r="V84" s="32">
        <v>150</v>
      </c>
      <c r="W84" s="33"/>
      <c r="X84" s="32"/>
      <c r="Y84" s="32"/>
      <c r="Z84" s="32"/>
      <c r="AA84" s="34"/>
      <c r="AB84" s="35">
        <f t="shared" si="10"/>
        <v>500</v>
      </c>
      <c r="AC84" s="75">
        <f t="shared" si="11"/>
        <v>52500</v>
      </c>
      <c r="AD84" s="78">
        <f t="shared" si="12"/>
        <v>22500</v>
      </c>
      <c r="AE84" s="72">
        <f t="shared" si="13"/>
        <v>75000</v>
      </c>
      <c r="AF84" s="75">
        <f t="shared" si="14"/>
        <v>8801.1</v>
      </c>
      <c r="AG84" s="78">
        <f t="shared" si="15"/>
        <v>3771.9</v>
      </c>
      <c r="AH84" s="72">
        <f t="shared" si="16"/>
        <v>12573</v>
      </c>
      <c r="AI84" s="75">
        <f t="shared" si="17"/>
        <v>6300</v>
      </c>
      <c r="AJ84" s="78">
        <f t="shared" si="18"/>
        <v>2700</v>
      </c>
      <c r="AK84" s="72">
        <f t="shared" si="19"/>
        <v>9000</v>
      </c>
    </row>
    <row r="85" spans="1:37" ht="15.95" customHeight="1">
      <c r="A85" s="25" t="s">
        <v>702</v>
      </c>
      <c r="B85" s="25" t="s">
        <v>463</v>
      </c>
      <c r="C85" s="26" t="s">
        <v>14</v>
      </c>
      <c r="D85" s="26" t="s">
        <v>375</v>
      </c>
      <c r="E85" s="26" t="s">
        <v>16</v>
      </c>
      <c r="F85" s="26" t="s">
        <v>738</v>
      </c>
      <c r="G85" s="26"/>
      <c r="H85" s="27" t="s">
        <v>739</v>
      </c>
      <c r="I85" s="26" t="s">
        <v>27</v>
      </c>
      <c r="J85" s="28" t="s">
        <v>41</v>
      </c>
      <c r="K85" s="123">
        <v>175</v>
      </c>
      <c r="L85" s="29">
        <v>31.591750000000001</v>
      </c>
      <c r="M85" s="110">
        <v>22.75</v>
      </c>
      <c r="N85" s="30">
        <v>0.28199999999999997</v>
      </c>
      <c r="O85" s="116">
        <v>6.4154999999999998</v>
      </c>
      <c r="P85" s="30">
        <v>7.4999999999999997E-2</v>
      </c>
      <c r="Q85" s="116">
        <v>1.70625</v>
      </c>
      <c r="R85" s="30">
        <v>7.0000000000000007E-2</v>
      </c>
      <c r="S85" s="116">
        <v>0.23</v>
      </c>
      <c r="T85" s="117">
        <v>0.49</v>
      </c>
      <c r="U85" s="39">
        <v>400</v>
      </c>
      <c r="V85" s="32">
        <v>100</v>
      </c>
      <c r="W85" s="33"/>
      <c r="X85" s="32"/>
      <c r="Y85" s="32"/>
      <c r="Z85" s="32"/>
      <c r="AA85" s="34"/>
      <c r="AB85" s="35">
        <f t="shared" si="10"/>
        <v>500</v>
      </c>
      <c r="AC85" s="75">
        <f t="shared" si="11"/>
        <v>70000</v>
      </c>
      <c r="AD85" s="78">
        <f t="shared" si="12"/>
        <v>17500</v>
      </c>
      <c r="AE85" s="72">
        <f t="shared" si="13"/>
        <v>87500</v>
      </c>
      <c r="AF85" s="75">
        <f t="shared" si="14"/>
        <v>12636.7</v>
      </c>
      <c r="AG85" s="78">
        <f t="shared" si="15"/>
        <v>3159.1750000000002</v>
      </c>
      <c r="AH85" s="72">
        <f t="shared" si="16"/>
        <v>15795.875</v>
      </c>
      <c r="AI85" s="75">
        <f t="shared" si="17"/>
        <v>9100</v>
      </c>
      <c r="AJ85" s="78">
        <f t="shared" si="18"/>
        <v>2275</v>
      </c>
      <c r="AK85" s="72">
        <f t="shared" si="19"/>
        <v>11375</v>
      </c>
    </row>
    <row r="86" spans="1:37" ht="15.95" customHeight="1">
      <c r="A86" s="25" t="s">
        <v>702</v>
      </c>
      <c r="B86" s="25" t="s">
        <v>463</v>
      </c>
      <c r="C86" s="26" t="s">
        <v>21</v>
      </c>
      <c r="D86" s="26" t="s">
        <v>375</v>
      </c>
      <c r="E86" s="26" t="s">
        <v>16</v>
      </c>
      <c r="F86" s="26" t="s">
        <v>740</v>
      </c>
      <c r="G86" s="26"/>
      <c r="H86" s="27" t="s">
        <v>739</v>
      </c>
      <c r="I86" s="26" t="s">
        <v>27</v>
      </c>
      <c r="J86" s="28" t="s">
        <v>43</v>
      </c>
      <c r="K86" s="123">
        <v>150</v>
      </c>
      <c r="L86" s="29">
        <v>25.146000000000001</v>
      </c>
      <c r="M86" s="110">
        <v>18</v>
      </c>
      <c r="N86" s="30">
        <v>0.28199999999999997</v>
      </c>
      <c r="O86" s="116">
        <v>5.0759999999999996</v>
      </c>
      <c r="P86" s="30">
        <v>7.4999999999999997E-2</v>
      </c>
      <c r="Q86" s="116">
        <v>1.3499999999999999</v>
      </c>
      <c r="R86" s="30">
        <v>7.0000000000000007E-2</v>
      </c>
      <c r="S86" s="116">
        <v>0.23</v>
      </c>
      <c r="T86" s="117">
        <v>0.49</v>
      </c>
      <c r="U86" s="39">
        <v>400</v>
      </c>
      <c r="V86" s="32">
        <v>100</v>
      </c>
      <c r="W86" s="33"/>
      <c r="X86" s="32"/>
      <c r="Y86" s="32"/>
      <c r="Z86" s="32"/>
      <c r="AA86" s="34"/>
      <c r="AB86" s="35">
        <f t="shared" si="10"/>
        <v>500</v>
      </c>
      <c r="AC86" s="75">
        <f t="shared" si="11"/>
        <v>60000</v>
      </c>
      <c r="AD86" s="78">
        <f t="shared" si="12"/>
        <v>15000</v>
      </c>
      <c r="AE86" s="72">
        <f t="shared" si="13"/>
        <v>75000</v>
      </c>
      <c r="AF86" s="75">
        <f t="shared" si="14"/>
        <v>10058.4</v>
      </c>
      <c r="AG86" s="78">
        <f t="shared" si="15"/>
        <v>2514.6</v>
      </c>
      <c r="AH86" s="72">
        <f t="shared" si="16"/>
        <v>12573</v>
      </c>
      <c r="AI86" s="75">
        <f t="shared" si="17"/>
        <v>7200</v>
      </c>
      <c r="AJ86" s="78">
        <f t="shared" si="18"/>
        <v>1800</v>
      </c>
      <c r="AK86" s="72">
        <f t="shared" si="19"/>
        <v>9000</v>
      </c>
    </row>
    <row r="87" spans="1:37" ht="15.95" customHeight="1">
      <c r="A87" s="25" t="s">
        <v>702</v>
      </c>
      <c r="B87" s="25" t="s">
        <v>463</v>
      </c>
      <c r="C87" s="26" t="s">
        <v>76</v>
      </c>
      <c r="D87" s="26" t="s">
        <v>375</v>
      </c>
      <c r="E87" s="26" t="s">
        <v>16</v>
      </c>
      <c r="F87" s="26" t="s">
        <v>741</v>
      </c>
      <c r="G87" s="26"/>
      <c r="H87" s="27" t="s">
        <v>705</v>
      </c>
      <c r="I87" s="26" t="s">
        <v>27</v>
      </c>
      <c r="J87" s="28" t="s">
        <v>222</v>
      </c>
      <c r="K87" s="123">
        <v>125</v>
      </c>
      <c r="L87" s="29">
        <v>25.52</v>
      </c>
      <c r="M87" s="110">
        <v>20</v>
      </c>
      <c r="N87" s="30">
        <v>0.16500000000000001</v>
      </c>
      <c r="O87" s="116">
        <v>3.3000000000000003</v>
      </c>
      <c r="P87" s="30">
        <v>7.4999999999999997E-2</v>
      </c>
      <c r="Q87" s="116">
        <v>1.5</v>
      </c>
      <c r="R87" s="30">
        <v>7.0000000000000007E-2</v>
      </c>
      <c r="S87" s="116">
        <v>0.23</v>
      </c>
      <c r="T87" s="117">
        <v>0.49</v>
      </c>
      <c r="U87" s="39">
        <v>300</v>
      </c>
      <c r="V87" s="32"/>
      <c r="W87" s="33"/>
      <c r="X87" s="32"/>
      <c r="Y87" s="32"/>
      <c r="Z87" s="32"/>
      <c r="AA87" s="34"/>
      <c r="AB87" s="35">
        <f t="shared" si="10"/>
        <v>300</v>
      </c>
      <c r="AC87" s="75">
        <f t="shared" si="11"/>
        <v>37500</v>
      </c>
      <c r="AD87" s="78">
        <f t="shared" si="12"/>
        <v>0</v>
      </c>
      <c r="AE87" s="72">
        <f t="shared" si="13"/>
        <v>37500</v>
      </c>
      <c r="AF87" s="75">
        <f t="shared" si="14"/>
        <v>7656</v>
      </c>
      <c r="AG87" s="78">
        <f t="shared" si="15"/>
        <v>0</v>
      </c>
      <c r="AH87" s="72">
        <f t="shared" si="16"/>
        <v>7656</v>
      </c>
      <c r="AI87" s="75">
        <f t="shared" si="17"/>
        <v>6000</v>
      </c>
      <c r="AJ87" s="78">
        <f t="shared" si="18"/>
        <v>0</v>
      </c>
      <c r="AK87" s="72">
        <f t="shared" si="19"/>
        <v>6000</v>
      </c>
    </row>
    <row r="88" spans="1:37" ht="15.95" customHeight="1">
      <c r="A88" s="25" t="s">
        <v>702</v>
      </c>
      <c r="B88" s="25" t="s">
        <v>463</v>
      </c>
      <c r="C88" s="26" t="s">
        <v>76</v>
      </c>
      <c r="D88" s="26" t="s">
        <v>375</v>
      </c>
      <c r="E88" s="26" t="s">
        <v>16</v>
      </c>
      <c r="F88" s="26" t="s">
        <v>741</v>
      </c>
      <c r="G88" s="26"/>
      <c r="H88" s="27" t="s">
        <v>705</v>
      </c>
      <c r="I88" s="26" t="s">
        <v>27</v>
      </c>
      <c r="J88" s="28" t="s">
        <v>222</v>
      </c>
      <c r="K88" s="123">
        <v>125</v>
      </c>
      <c r="L88" s="29">
        <v>25.52</v>
      </c>
      <c r="M88" s="110">
        <v>20</v>
      </c>
      <c r="N88" s="30">
        <v>0.16500000000000001</v>
      </c>
      <c r="O88" s="116">
        <v>3.3000000000000003</v>
      </c>
      <c r="P88" s="30">
        <v>7.4999999999999997E-2</v>
      </c>
      <c r="Q88" s="116">
        <v>1.5</v>
      </c>
      <c r="R88" s="30">
        <v>7.0000000000000007E-2</v>
      </c>
      <c r="S88" s="116">
        <v>0.23</v>
      </c>
      <c r="T88" s="117">
        <v>0.49</v>
      </c>
      <c r="U88" s="39">
        <v>300</v>
      </c>
      <c r="V88" s="32"/>
      <c r="W88" s="33"/>
      <c r="X88" s="32"/>
      <c r="Y88" s="32"/>
      <c r="Z88" s="32"/>
      <c r="AA88" s="34"/>
      <c r="AB88" s="35">
        <f t="shared" si="10"/>
        <v>300</v>
      </c>
      <c r="AC88" s="75">
        <f t="shared" si="11"/>
        <v>37500</v>
      </c>
      <c r="AD88" s="78">
        <f t="shared" si="12"/>
        <v>0</v>
      </c>
      <c r="AE88" s="72">
        <f t="shared" si="13"/>
        <v>37500</v>
      </c>
      <c r="AF88" s="75">
        <f t="shared" si="14"/>
        <v>7656</v>
      </c>
      <c r="AG88" s="78">
        <f t="shared" si="15"/>
        <v>0</v>
      </c>
      <c r="AH88" s="72">
        <f t="shared" si="16"/>
        <v>7656</v>
      </c>
      <c r="AI88" s="75">
        <f t="shared" si="17"/>
        <v>6000</v>
      </c>
      <c r="AJ88" s="78">
        <f t="shared" si="18"/>
        <v>0</v>
      </c>
      <c r="AK88" s="72">
        <f t="shared" si="19"/>
        <v>6000</v>
      </c>
    </row>
    <row r="89" spans="1:37" ht="15.95" customHeight="1">
      <c r="A89" s="25" t="s">
        <v>702</v>
      </c>
      <c r="B89" s="25" t="s">
        <v>463</v>
      </c>
      <c r="C89" s="26" t="s">
        <v>76</v>
      </c>
      <c r="D89" s="26" t="s">
        <v>375</v>
      </c>
      <c r="E89" s="26" t="s">
        <v>16</v>
      </c>
      <c r="F89" s="26" t="s">
        <v>741</v>
      </c>
      <c r="G89" s="26"/>
      <c r="H89" s="44" t="s">
        <v>705</v>
      </c>
      <c r="I89" s="26" t="s">
        <v>27</v>
      </c>
      <c r="J89" s="28" t="s">
        <v>222</v>
      </c>
      <c r="K89" s="125">
        <v>125</v>
      </c>
      <c r="L89" s="29">
        <v>25.52</v>
      </c>
      <c r="M89" s="110">
        <v>20</v>
      </c>
      <c r="N89" s="30">
        <v>0.16500000000000001</v>
      </c>
      <c r="O89" s="116">
        <v>3.3000000000000003</v>
      </c>
      <c r="P89" s="30">
        <v>7.4999999999999997E-2</v>
      </c>
      <c r="Q89" s="116">
        <v>1.5</v>
      </c>
      <c r="R89" s="30">
        <v>7.0000000000000007E-2</v>
      </c>
      <c r="S89" s="116">
        <v>0.23</v>
      </c>
      <c r="T89" s="117">
        <v>0.49</v>
      </c>
      <c r="U89" s="39">
        <v>300</v>
      </c>
      <c r="V89" s="32"/>
      <c r="W89" s="33"/>
      <c r="X89" s="32"/>
      <c r="Y89" s="32"/>
      <c r="Z89" s="32"/>
      <c r="AA89" s="34"/>
      <c r="AB89" s="35">
        <f t="shared" si="10"/>
        <v>300</v>
      </c>
      <c r="AC89" s="75">
        <f t="shared" si="11"/>
        <v>37500</v>
      </c>
      <c r="AD89" s="78">
        <f t="shared" si="12"/>
        <v>0</v>
      </c>
      <c r="AE89" s="72">
        <f t="shared" si="13"/>
        <v>37500</v>
      </c>
      <c r="AF89" s="75">
        <f t="shared" si="14"/>
        <v>7656</v>
      </c>
      <c r="AG89" s="78">
        <f t="shared" si="15"/>
        <v>0</v>
      </c>
      <c r="AH89" s="72">
        <f t="shared" si="16"/>
        <v>7656</v>
      </c>
      <c r="AI89" s="75">
        <f t="shared" si="17"/>
        <v>6000</v>
      </c>
      <c r="AJ89" s="78">
        <f t="shared" si="18"/>
        <v>0</v>
      </c>
      <c r="AK89" s="72">
        <f t="shared" si="19"/>
        <v>6000</v>
      </c>
    </row>
    <row r="90" spans="1:37" ht="15.95" customHeight="1">
      <c r="A90" s="25" t="s">
        <v>702</v>
      </c>
      <c r="B90" s="25" t="s">
        <v>463</v>
      </c>
      <c r="C90" s="26" t="s">
        <v>267</v>
      </c>
      <c r="D90" s="26" t="s">
        <v>375</v>
      </c>
      <c r="E90" s="26" t="s">
        <v>16</v>
      </c>
      <c r="F90" s="26" t="s">
        <v>742</v>
      </c>
      <c r="G90" s="26"/>
      <c r="H90" s="44" t="s">
        <v>705</v>
      </c>
      <c r="I90" s="26" t="s">
        <v>27</v>
      </c>
      <c r="J90" s="28" t="s">
        <v>174</v>
      </c>
      <c r="K90" s="125">
        <v>85</v>
      </c>
      <c r="L90" s="29">
        <v>17.158799999999999</v>
      </c>
      <c r="M90" s="110">
        <v>13.3</v>
      </c>
      <c r="N90" s="30">
        <v>0.161</v>
      </c>
      <c r="O90" s="116">
        <v>2.1413000000000002</v>
      </c>
      <c r="P90" s="30">
        <v>7.4999999999999997E-2</v>
      </c>
      <c r="Q90" s="116">
        <v>0.99750000000000005</v>
      </c>
      <c r="R90" s="30">
        <v>7.0000000000000007E-2</v>
      </c>
      <c r="S90" s="116">
        <v>0.23</v>
      </c>
      <c r="T90" s="117">
        <v>0.49</v>
      </c>
      <c r="U90" s="39">
        <v>300</v>
      </c>
      <c r="V90" s="32"/>
      <c r="W90" s="33"/>
      <c r="X90" s="32"/>
      <c r="Y90" s="32"/>
      <c r="Z90" s="32"/>
      <c r="AA90" s="34"/>
      <c r="AB90" s="35">
        <f t="shared" si="10"/>
        <v>300</v>
      </c>
      <c r="AC90" s="75">
        <f t="shared" si="11"/>
        <v>25500</v>
      </c>
      <c r="AD90" s="78">
        <f t="shared" si="12"/>
        <v>0</v>
      </c>
      <c r="AE90" s="72">
        <f t="shared" si="13"/>
        <v>25500</v>
      </c>
      <c r="AF90" s="75">
        <f t="shared" si="14"/>
        <v>5147.6399999999994</v>
      </c>
      <c r="AG90" s="78">
        <f t="shared" si="15"/>
        <v>0</v>
      </c>
      <c r="AH90" s="72">
        <f t="shared" si="16"/>
        <v>5147.6399999999994</v>
      </c>
      <c r="AI90" s="75">
        <f t="shared" si="17"/>
        <v>3990</v>
      </c>
      <c r="AJ90" s="78">
        <f t="shared" si="18"/>
        <v>0</v>
      </c>
      <c r="AK90" s="72">
        <f t="shared" si="19"/>
        <v>3990</v>
      </c>
    </row>
    <row r="91" spans="1:37" ht="15.95" customHeight="1">
      <c r="A91" s="25" t="s">
        <v>702</v>
      </c>
      <c r="B91" s="25" t="s">
        <v>463</v>
      </c>
      <c r="C91" s="26" t="s">
        <v>267</v>
      </c>
      <c r="D91" s="26" t="s">
        <v>375</v>
      </c>
      <c r="E91" s="26" t="s">
        <v>16</v>
      </c>
      <c r="F91" s="26" t="s">
        <v>742</v>
      </c>
      <c r="G91" s="26"/>
      <c r="H91" s="44" t="s">
        <v>705</v>
      </c>
      <c r="I91" s="26" t="s">
        <v>27</v>
      </c>
      <c r="J91" s="28" t="s">
        <v>174</v>
      </c>
      <c r="K91" s="125">
        <v>85</v>
      </c>
      <c r="L91" s="29">
        <v>17.158799999999999</v>
      </c>
      <c r="M91" s="110">
        <v>13.3</v>
      </c>
      <c r="N91" s="30">
        <v>0.161</v>
      </c>
      <c r="O91" s="116">
        <v>2.1413000000000002</v>
      </c>
      <c r="P91" s="30">
        <v>7.4999999999999997E-2</v>
      </c>
      <c r="Q91" s="116">
        <v>0.99750000000000005</v>
      </c>
      <c r="R91" s="30">
        <v>7.0000000000000007E-2</v>
      </c>
      <c r="S91" s="116">
        <v>0.23</v>
      </c>
      <c r="T91" s="117">
        <v>0.49</v>
      </c>
      <c r="U91" s="39">
        <v>300</v>
      </c>
      <c r="V91" s="32"/>
      <c r="W91" s="33"/>
      <c r="X91" s="32"/>
      <c r="Y91" s="32"/>
      <c r="Z91" s="32"/>
      <c r="AA91" s="34"/>
      <c r="AB91" s="35">
        <f t="shared" si="10"/>
        <v>300</v>
      </c>
      <c r="AC91" s="75">
        <f t="shared" si="11"/>
        <v>25500</v>
      </c>
      <c r="AD91" s="78">
        <f t="shared" si="12"/>
        <v>0</v>
      </c>
      <c r="AE91" s="72">
        <f t="shared" si="13"/>
        <v>25500</v>
      </c>
      <c r="AF91" s="75">
        <f t="shared" si="14"/>
        <v>5147.6399999999994</v>
      </c>
      <c r="AG91" s="78">
        <f t="shared" si="15"/>
        <v>0</v>
      </c>
      <c r="AH91" s="72">
        <f t="shared" si="16"/>
        <v>5147.6399999999994</v>
      </c>
      <c r="AI91" s="75">
        <f t="shared" si="17"/>
        <v>3990</v>
      </c>
      <c r="AJ91" s="78">
        <f t="shared" si="18"/>
        <v>0</v>
      </c>
      <c r="AK91" s="72">
        <f t="shared" si="19"/>
        <v>3990</v>
      </c>
    </row>
    <row r="92" spans="1:37" ht="15.95" customHeight="1">
      <c r="A92" s="25" t="s">
        <v>702</v>
      </c>
      <c r="B92" s="25" t="s">
        <v>463</v>
      </c>
      <c r="C92" s="26" t="s">
        <v>267</v>
      </c>
      <c r="D92" s="26" t="s">
        <v>375</v>
      </c>
      <c r="E92" s="26" t="s">
        <v>16</v>
      </c>
      <c r="F92" s="26" t="s">
        <v>742</v>
      </c>
      <c r="G92" s="26"/>
      <c r="H92" s="44" t="s">
        <v>705</v>
      </c>
      <c r="I92" s="26" t="s">
        <v>27</v>
      </c>
      <c r="J92" s="28" t="s">
        <v>174</v>
      </c>
      <c r="K92" s="125">
        <v>85</v>
      </c>
      <c r="L92" s="29">
        <v>17.158799999999999</v>
      </c>
      <c r="M92" s="110">
        <v>13.3</v>
      </c>
      <c r="N92" s="30">
        <v>0.161</v>
      </c>
      <c r="O92" s="116">
        <v>2.1413000000000002</v>
      </c>
      <c r="P92" s="30">
        <v>7.4999999999999997E-2</v>
      </c>
      <c r="Q92" s="116">
        <v>0.99750000000000005</v>
      </c>
      <c r="R92" s="30">
        <v>7.0000000000000007E-2</v>
      </c>
      <c r="S92" s="116">
        <v>0.23</v>
      </c>
      <c r="T92" s="117">
        <v>0.49</v>
      </c>
      <c r="U92" s="39">
        <v>300</v>
      </c>
      <c r="V92" s="32"/>
      <c r="W92" s="33"/>
      <c r="X92" s="32"/>
      <c r="Y92" s="32"/>
      <c r="Z92" s="32"/>
      <c r="AA92" s="34"/>
      <c r="AB92" s="35">
        <f t="shared" si="10"/>
        <v>300</v>
      </c>
      <c r="AC92" s="75">
        <f t="shared" si="11"/>
        <v>25500</v>
      </c>
      <c r="AD92" s="78">
        <f t="shared" si="12"/>
        <v>0</v>
      </c>
      <c r="AE92" s="72">
        <f t="shared" si="13"/>
        <v>25500</v>
      </c>
      <c r="AF92" s="75">
        <f t="shared" si="14"/>
        <v>5147.6399999999994</v>
      </c>
      <c r="AG92" s="78">
        <f t="shared" si="15"/>
        <v>0</v>
      </c>
      <c r="AH92" s="72">
        <f t="shared" si="16"/>
        <v>5147.6399999999994</v>
      </c>
      <c r="AI92" s="75">
        <f t="shared" si="17"/>
        <v>3990</v>
      </c>
      <c r="AJ92" s="78">
        <f t="shared" si="18"/>
        <v>0</v>
      </c>
      <c r="AK92" s="72">
        <f t="shared" si="19"/>
        <v>3990</v>
      </c>
    </row>
    <row r="93" spans="1:37" ht="15.95" customHeight="1">
      <c r="A93" s="25" t="s">
        <v>743</v>
      </c>
      <c r="B93" s="25" t="s">
        <v>463</v>
      </c>
      <c r="C93" s="26" t="s">
        <v>14</v>
      </c>
      <c r="D93" s="26" t="s">
        <v>375</v>
      </c>
      <c r="E93" s="26" t="s">
        <v>16</v>
      </c>
      <c r="F93" s="26" t="s">
        <v>942</v>
      </c>
      <c r="G93" s="26"/>
      <c r="H93" s="27" t="s">
        <v>744</v>
      </c>
      <c r="I93" s="26" t="s">
        <v>27</v>
      </c>
      <c r="J93" s="28" t="s">
        <v>41</v>
      </c>
      <c r="K93" s="125">
        <v>160</v>
      </c>
      <c r="L93" s="29">
        <v>39.698650000000001</v>
      </c>
      <c r="M93" s="110">
        <v>24.45</v>
      </c>
      <c r="N93" s="30">
        <v>0.28199999999999997</v>
      </c>
      <c r="O93" s="116">
        <v>6.8948999999999989</v>
      </c>
      <c r="P93" s="30">
        <v>7.4999999999999997E-2</v>
      </c>
      <c r="Q93" s="116">
        <v>1.8337499999999998</v>
      </c>
      <c r="R93" s="30">
        <v>7.0000000000000007E-2</v>
      </c>
      <c r="S93" s="116">
        <v>6.03</v>
      </c>
      <c r="T93" s="117">
        <v>0.49</v>
      </c>
      <c r="U93" s="39">
        <v>150</v>
      </c>
      <c r="V93" s="32"/>
      <c r="W93" s="33"/>
      <c r="X93" s="32"/>
      <c r="Y93" s="32"/>
      <c r="Z93" s="32"/>
      <c r="AA93" s="34"/>
      <c r="AB93" s="35">
        <f t="shared" si="10"/>
        <v>150</v>
      </c>
      <c r="AC93" s="75">
        <f t="shared" si="11"/>
        <v>24000</v>
      </c>
      <c r="AD93" s="78">
        <f t="shared" si="12"/>
        <v>0</v>
      </c>
      <c r="AE93" s="72">
        <f t="shared" si="13"/>
        <v>24000</v>
      </c>
      <c r="AF93" s="75">
        <f t="shared" si="14"/>
        <v>5954.7974999999997</v>
      </c>
      <c r="AG93" s="78">
        <f t="shared" si="15"/>
        <v>0</v>
      </c>
      <c r="AH93" s="72">
        <f t="shared" si="16"/>
        <v>5954.7974999999997</v>
      </c>
      <c r="AI93" s="75">
        <f t="shared" si="17"/>
        <v>3667.5</v>
      </c>
      <c r="AJ93" s="78">
        <f t="shared" si="18"/>
        <v>0</v>
      </c>
      <c r="AK93" s="72">
        <f t="shared" si="19"/>
        <v>3667.5</v>
      </c>
    </row>
    <row r="94" spans="1:37" ht="15.95" customHeight="1">
      <c r="A94" s="25" t="s">
        <v>743</v>
      </c>
      <c r="B94" s="25" t="s">
        <v>463</v>
      </c>
      <c r="C94" s="26" t="s">
        <v>21</v>
      </c>
      <c r="D94" s="26" t="s">
        <v>375</v>
      </c>
      <c r="E94" s="26" t="s">
        <v>16</v>
      </c>
      <c r="F94" s="26" t="s">
        <v>943</v>
      </c>
      <c r="G94" s="26"/>
      <c r="H94" s="27" t="s">
        <v>744</v>
      </c>
      <c r="I94" s="26" t="s">
        <v>27</v>
      </c>
      <c r="J94" s="28" t="s">
        <v>43</v>
      </c>
      <c r="K94" s="123">
        <v>130</v>
      </c>
      <c r="L94" s="29">
        <v>31.285249999999998</v>
      </c>
      <c r="M94" s="110">
        <v>18.25</v>
      </c>
      <c r="N94" s="30">
        <v>0.28199999999999997</v>
      </c>
      <c r="O94" s="116">
        <v>5.1464999999999996</v>
      </c>
      <c r="P94" s="30">
        <v>7.4999999999999997E-2</v>
      </c>
      <c r="Q94" s="116">
        <v>1.3687499999999999</v>
      </c>
      <c r="R94" s="30">
        <v>7.0000000000000007E-2</v>
      </c>
      <c r="S94" s="116">
        <v>6.03</v>
      </c>
      <c r="T94" s="117">
        <v>0.49</v>
      </c>
      <c r="U94" s="39">
        <v>150</v>
      </c>
      <c r="V94" s="32"/>
      <c r="W94" s="33"/>
      <c r="X94" s="32"/>
      <c r="Y94" s="32"/>
      <c r="Z94" s="32"/>
      <c r="AA94" s="34"/>
      <c r="AB94" s="35">
        <f t="shared" si="10"/>
        <v>150</v>
      </c>
      <c r="AC94" s="75">
        <f t="shared" si="11"/>
        <v>19500</v>
      </c>
      <c r="AD94" s="78">
        <f t="shared" si="12"/>
        <v>0</v>
      </c>
      <c r="AE94" s="72">
        <f t="shared" si="13"/>
        <v>19500</v>
      </c>
      <c r="AF94" s="75">
        <f t="shared" si="14"/>
        <v>4692.7874999999995</v>
      </c>
      <c r="AG94" s="78">
        <f t="shared" si="15"/>
        <v>0</v>
      </c>
      <c r="AH94" s="72">
        <f t="shared" si="16"/>
        <v>4692.7874999999995</v>
      </c>
      <c r="AI94" s="75">
        <f t="shared" si="17"/>
        <v>2737.5</v>
      </c>
      <c r="AJ94" s="78">
        <f t="shared" si="18"/>
        <v>0</v>
      </c>
      <c r="AK94" s="72">
        <f t="shared" si="19"/>
        <v>2737.5</v>
      </c>
    </row>
    <row r="95" spans="1:37" ht="15.95" customHeight="1">
      <c r="A95" s="25" t="s">
        <v>702</v>
      </c>
      <c r="B95" s="25" t="s">
        <v>463</v>
      </c>
      <c r="C95" s="26" t="s">
        <v>14</v>
      </c>
      <c r="D95" s="26" t="s">
        <v>375</v>
      </c>
      <c r="E95" s="26" t="s">
        <v>16</v>
      </c>
      <c r="F95" s="26" t="s">
        <v>199</v>
      </c>
      <c r="G95" s="26"/>
      <c r="H95" s="27" t="s">
        <v>744</v>
      </c>
      <c r="I95" s="26" t="s">
        <v>27</v>
      </c>
      <c r="J95" s="28" t="s">
        <v>41</v>
      </c>
      <c r="K95" s="123">
        <v>160</v>
      </c>
      <c r="L95" s="29">
        <v>39.698650000000001</v>
      </c>
      <c r="M95" s="110">
        <v>24.45</v>
      </c>
      <c r="N95" s="30">
        <v>0.28199999999999997</v>
      </c>
      <c r="O95" s="116">
        <v>6.8948999999999989</v>
      </c>
      <c r="P95" s="30">
        <v>7.4999999999999997E-2</v>
      </c>
      <c r="Q95" s="116">
        <v>1.8337499999999998</v>
      </c>
      <c r="R95" s="30">
        <v>7.0000000000000007E-2</v>
      </c>
      <c r="S95" s="116">
        <v>6.03</v>
      </c>
      <c r="T95" s="117">
        <v>0.49</v>
      </c>
      <c r="U95" s="39">
        <v>150</v>
      </c>
      <c r="V95" s="32"/>
      <c r="W95" s="33"/>
      <c r="X95" s="32"/>
      <c r="Y95" s="32"/>
      <c r="Z95" s="32"/>
      <c r="AA95" s="34"/>
      <c r="AB95" s="35">
        <f t="shared" si="10"/>
        <v>150</v>
      </c>
      <c r="AC95" s="75">
        <f t="shared" si="11"/>
        <v>24000</v>
      </c>
      <c r="AD95" s="78">
        <f t="shared" si="12"/>
        <v>0</v>
      </c>
      <c r="AE95" s="72">
        <f t="shared" si="13"/>
        <v>24000</v>
      </c>
      <c r="AF95" s="75">
        <f t="shared" si="14"/>
        <v>5954.7974999999997</v>
      </c>
      <c r="AG95" s="78">
        <f t="shared" si="15"/>
        <v>0</v>
      </c>
      <c r="AH95" s="72">
        <f t="shared" si="16"/>
        <v>5954.7974999999997</v>
      </c>
      <c r="AI95" s="75">
        <f t="shared" si="17"/>
        <v>3667.5</v>
      </c>
      <c r="AJ95" s="78">
        <f t="shared" si="18"/>
        <v>0</v>
      </c>
      <c r="AK95" s="72">
        <f t="shared" si="19"/>
        <v>3667.5</v>
      </c>
    </row>
    <row r="96" spans="1:37" ht="15.95" customHeight="1">
      <c r="A96" s="25" t="s">
        <v>702</v>
      </c>
      <c r="B96" s="25" t="s">
        <v>463</v>
      </c>
      <c r="C96" s="26" t="s">
        <v>21</v>
      </c>
      <c r="D96" s="26" t="s">
        <v>375</v>
      </c>
      <c r="E96" s="26" t="s">
        <v>16</v>
      </c>
      <c r="F96" s="26" t="s">
        <v>200</v>
      </c>
      <c r="G96" s="26"/>
      <c r="H96" s="27" t="s">
        <v>744</v>
      </c>
      <c r="I96" s="26" t="s">
        <v>27</v>
      </c>
      <c r="J96" s="28" t="s">
        <v>43</v>
      </c>
      <c r="K96" s="123">
        <v>130</v>
      </c>
      <c r="L96" s="29">
        <v>31.285249999999998</v>
      </c>
      <c r="M96" s="110">
        <v>18.25</v>
      </c>
      <c r="N96" s="30">
        <v>0.28199999999999997</v>
      </c>
      <c r="O96" s="116">
        <v>5.1464999999999996</v>
      </c>
      <c r="P96" s="30">
        <v>7.4999999999999997E-2</v>
      </c>
      <c r="Q96" s="116">
        <v>1.3687499999999999</v>
      </c>
      <c r="R96" s="30">
        <v>7.0000000000000007E-2</v>
      </c>
      <c r="S96" s="116">
        <v>6.03</v>
      </c>
      <c r="T96" s="117">
        <v>0.49</v>
      </c>
      <c r="U96" s="39">
        <v>150</v>
      </c>
      <c r="V96" s="32"/>
      <c r="W96" s="33"/>
      <c r="X96" s="32"/>
      <c r="Y96" s="32"/>
      <c r="Z96" s="32"/>
      <c r="AA96" s="34"/>
      <c r="AB96" s="35">
        <f t="shared" si="10"/>
        <v>150</v>
      </c>
      <c r="AC96" s="75">
        <f t="shared" si="11"/>
        <v>19500</v>
      </c>
      <c r="AD96" s="78">
        <f t="shared" si="12"/>
        <v>0</v>
      </c>
      <c r="AE96" s="72">
        <f t="shared" si="13"/>
        <v>19500</v>
      </c>
      <c r="AF96" s="75">
        <f t="shared" si="14"/>
        <v>4692.7874999999995</v>
      </c>
      <c r="AG96" s="78">
        <f t="shared" si="15"/>
        <v>0</v>
      </c>
      <c r="AH96" s="72">
        <f t="shared" si="16"/>
        <v>4692.7874999999995</v>
      </c>
      <c r="AI96" s="75">
        <f t="shared" si="17"/>
        <v>2737.5</v>
      </c>
      <c r="AJ96" s="78">
        <f t="shared" si="18"/>
        <v>0</v>
      </c>
      <c r="AK96" s="72">
        <f t="shared" si="19"/>
        <v>2737.5</v>
      </c>
    </row>
    <row r="97" spans="1:37" ht="15.95" customHeight="1">
      <c r="A97" s="25" t="s">
        <v>702</v>
      </c>
      <c r="B97" s="25" t="s">
        <v>463</v>
      </c>
      <c r="C97" s="26" t="s">
        <v>14</v>
      </c>
      <c r="D97" s="26" t="s">
        <v>375</v>
      </c>
      <c r="E97" s="26" t="s">
        <v>16</v>
      </c>
      <c r="F97" s="41" t="s">
        <v>745</v>
      </c>
      <c r="G97" s="26"/>
      <c r="H97" s="44" t="s">
        <v>746</v>
      </c>
      <c r="I97" s="26" t="s">
        <v>27</v>
      </c>
      <c r="J97" s="28" t="s">
        <v>41</v>
      </c>
      <c r="K97" s="123">
        <v>180</v>
      </c>
      <c r="L97" s="29">
        <v>30.573999999999998</v>
      </c>
      <c r="M97" s="110">
        <v>22</v>
      </c>
      <c r="N97" s="30">
        <v>0.28199999999999997</v>
      </c>
      <c r="O97" s="116">
        <v>6.2039999999999997</v>
      </c>
      <c r="P97" s="30">
        <v>7.4999999999999997E-2</v>
      </c>
      <c r="Q97" s="116">
        <v>1.65</v>
      </c>
      <c r="R97" s="30">
        <v>7.0000000000000007E-2</v>
      </c>
      <c r="S97" s="116">
        <v>0.23</v>
      </c>
      <c r="T97" s="117">
        <v>0.49</v>
      </c>
      <c r="U97" s="39">
        <v>400</v>
      </c>
      <c r="V97" s="32">
        <v>250</v>
      </c>
      <c r="W97" s="33"/>
      <c r="X97" s="32"/>
      <c r="Y97" s="32"/>
      <c r="Z97" s="32"/>
      <c r="AA97" s="34"/>
      <c r="AB97" s="35">
        <f t="shared" si="10"/>
        <v>650</v>
      </c>
      <c r="AC97" s="75">
        <f t="shared" si="11"/>
        <v>72000</v>
      </c>
      <c r="AD97" s="78">
        <f t="shared" si="12"/>
        <v>45000</v>
      </c>
      <c r="AE97" s="72">
        <f t="shared" si="13"/>
        <v>117000</v>
      </c>
      <c r="AF97" s="75">
        <f t="shared" si="14"/>
        <v>12229.599999999999</v>
      </c>
      <c r="AG97" s="78">
        <f t="shared" si="15"/>
        <v>7643.4999999999991</v>
      </c>
      <c r="AH97" s="72">
        <f t="shared" si="16"/>
        <v>19873.099999999999</v>
      </c>
      <c r="AI97" s="75">
        <f t="shared" si="17"/>
        <v>8800</v>
      </c>
      <c r="AJ97" s="78">
        <f t="shared" si="18"/>
        <v>5500</v>
      </c>
      <c r="AK97" s="72">
        <f t="shared" si="19"/>
        <v>14300</v>
      </c>
    </row>
    <row r="98" spans="1:37" ht="15.95" customHeight="1">
      <c r="A98" s="25" t="s">
        <v>702</v>
      </c>
      <c r="B98" s="25" t="s">
        <v>463</v>
      </c>
      <c r="C98" s="26" t="s">
        <v>21</v>
      </c>
      <c r="D98" s="26" t="s">
        <v>375</v>
      </c>
      <c r="E98" s="26" t="s">
        <v>16</v>
      </c>
      <c r="F98" s="41" t="s">
        <v>747</v>
      </c>
      <c r="G98" s="26"/>
      <c r="H98" s="44" t="s">
        <v>748</v>
      </c>
      <c r="I98" s="26" t="s">
        <v>27</v>
      </c>
      <c r="J98" s="28" t="s">
        <v>43</v>
      </c>
      <c r="K98" s="123">
        <v>150</v>
      </c>
      <c r="L98" s="29">
        <v>25.485249999999997</v>
      </c>
      <c r="M98" s="110">
        <v>18.25</v>
      </c>
      <c r="N98" s="30">
        <v>0.28199999999999997</v>
      </c>
      <c r="O98" s="116">
        <v>5.1464999999999996</v>
      </c>
      <c r="P98" s="30">
        <v>7.4999999999999997E-2</v>
      </c>
      <c r="Q98" s="116">
        <v>1.3687499999999999</v>
      </c>
      <c r="R98" s="30">
        <v>7.0000000000000007E-2</v>
      </c>
      <c r="S98" s="116">
        <v>0.23</v>
      </c>
      <c r="T98" s="117">
        <v>0.49</v>
      </c>
      <c r="U98" s="39">
        <v>400</v>
      </c>
      <c r="V98" s="32">
        <v>250</v>
      </c>
      <c r="W98" s="33"/>
      <c r="X98" s="32"/>
      <c r="Y98" s="32"/>
      <c r="Z98" s="32"/>
      <c r="AA98" s="34"/>
      <c r="AB98" s="35">
        <f t="shared" si="10"/>
        <v>650</v>
      </c>
      <c r="AC98" s="75">
        <f t="shared" si="11"/>
        <v>60000</v>
      </c>
      <c r="AD98" s="78">
        <f t="shared" si="12"/>
        <v>37500</v>
      </c>
      <c r="AE98" s="72">
        <f t="shared" si="13"/>
        <v>97500</v>
      </c>
      <c r="AF98" s="75">
        <f t="shared" si="14"/>
        <v>10194.099999999999</v>
      </c>
      <c r="AG98" s="78">
        <f t="shared" si="15"/>
        <v>6371.3124999999991</v>
      </c>
      <c r="AH98" s="72">
        <f t="shared" si="16"/>
        <v>16565.412499999999</v>
      </c>
      <c r="AI98" s="75">
        <f t="shared" si="17"/>
        <v>7300</v>
      </c>
      <c r="AJ98" s="78">
        <f t="shared" si="18"/>
        <v>4562.5</v>
      </c>
      <c r="AK98" s="72">
        <f t="shared" si="19"/>
        <v>11862.5</v>
      </c>
    </row>
    <row r="99" spans="1:37" ht="15.95" customHeight="1">
      <c r="A99" s="25" t="s">
        <v>702</v>
      </c>
      <c r="B99" s="25" t="s">
        <v>463</v>
      </c>
      <c r="C99" s="26" t="s">
        <v>24</v>
      </c>
      <c r="D99" s="26" t="s">
        <v>375</v>
      </c>
      <c r="E99" s="26" t="s">
        <v>16</v>
      </c>
      <c r="F99" s="41" t="s">
        <v>749</v>
      </c>
      <c r="G99" s="26"/>
      <c r="H99" s="44" t="s">
        <v>748</v>
      </c>
      <c r="I99" s="26" t="s">
        <v>27</v>
      </c>
      <c r="J99" s="28" t="s">
        <v>578</v>
      </c>
      <c r="K99" s="123">
        <v>88</v>
      </c>
      <c r="L99" s="29">
        <v>14.321250000000001</v>
      </c>
      <c r="M99" s="110">
        <v>9.75</v>
      </c>
      <c r="N99" s="30">
        <v>0.32</v>
      </c>
      <c r="O99" s="116">
        <v>3.12</v>
      </c>
      <c r="P99" s="30">
        <v>7.4999999999999997E-2</v>
      </c>
      <c r="Q99" s="116">
        <v>0.73124999999999996</v>
      </c>
      <c r="R99" s="30">
        <v>7.0000000000000007E-2</v>
      </c>
      <c r="S99" s="116">
        <v>0.23</v>
      </c>
      <c r="T99" s="117">
        <v>0.49</v>
      </c>
      <c r="U99" s="39">
        <v>300</v>
      </c>
      <c r="V99" s="32">
        <v>300</v>
      </c>
      <c r="W99" s="33"/>
      <c r="X99" s="32"/>
      <c r="Y99" s="32"/>
      <c r="Z99" s="32"/>
      <c r="AA99" s="34"/>
      <c r="AB99" s="35">
        <f t="shared" si="10"/>
        <v>600</v>
      </c>
      <c r="AC99" s="75">
        <f t="shared" si="11"/>
        <v>26400</v>
      </c>
      <c r="AD99" s="78">
        <f t="shared" si="12"/>
        <v>26400</v>
      </c>
      <c r="AE99" s="72">
        <f t="shared" si="13"/>
        <v>52800</v>
      </c>
      <c r="AF99" s="75">
        <f t="shared" si="14"/>
        <v>4296.375</v>
      </c>
      <c r="AG99" s="78">
        <f t="shared" si="15"/>
        <v>4296.375</v>
      </c>
      <c r="AH99" s="72">
        <f t="shared" si="16"/>
        <v>8592.75</v>
      </c>
      <c r="AI99" s="75">
        <f t="shared" si="17"/>
        <v>2925</v>
      </c>
      <c r="AJ99" s="78">
        <f t="shared" si="18"/>
        <v>2925</v>
      </c>
      <c r="AK99" s="72">
        <f t="shared" si="19"/>
        <v>5850</v>
      </c>
    </row>
    <row r="100" spans="1:37" ht="15.95" customHeight="1">
      <c r="A100" s="25" t="s">
        <v>702</v>
      </c>
      <c r="B100" s="25" t="s">
        <v>463</v>
      </c>
      <c r="C100" s="26" t="s">
        <v>267</v>
      </c>
      <c r="D100" s="26" t="s">
        <v>375</v>
      </c>
      <c r="E100" s="26" t="s">
        <v>16</v>
      </c>
      <c r="F100" s="41" t="s">
        <v>750</v>
      </c>
      <c r="G100" s="26"/>
      <c r="H100" s="44" t="s">
        <v>748</v>
      </c>
      <c r="I100" s="26" t="s">
        <v>27</v>
      </c>
      <c r="J100" s="28" t="s">
        <v>174</v>
      </c>
      <c r="K100" s="123">
        <v>95</v>
      </c>
      <c r="L100" s="29">
        <v>18.361000000000001</v>
      </c>
      <c r="M100" s="110">
        <v>13</v>
      </c>
      <c r="N100" s="30">
        <v>0.28199999999999997</v>
      </c>
      <c r="O100" s="116">
        <v>3.6659999999999995</v>
      </c>
      <c r="P100" s="30">
        <v>7.4999999999999997E-2</v>
      </c>
      <c r="Q100" s="116">
        <v>0.97499999999999998</v>
      </c>
      <c r="R100" s="30">
        <v>7.0000000000000007E-2</v>
      </c>
      <c r="S100" s="116">
        <v>0.23</v>
      </c>
      <c r="T100" s="117">
        <v>0.49</v>
      </c>
      <c r="U100" s="39">
        <v>300</v>
      </c>
      <c r="V100" s="32">
        <v>300</v>
      </c>
      <c r="W100" s="33"/>
      <c r="X100" s="32"/>
      <c r="Y100" s="32"/>
      <c r="Z100" s="32"/>
      <c r="AA100" s="34"/>
      <c r="AB100" s="35">
        <f t="shared" si="10"/>
        <v>600</v>
      </c>
      <c r="AC100" s="75">
        <f t="shared" si="11"/>
        <v>28500</v>
      </c>
      <c r="AD100" s="78">
        <f t="shared" si="12"/>
        <v>28500</v>
      </c>
      <c r="AE100" s="72">
        <f t="shared" si="13"/>
        <v>57000</v>
      </c>
      <c r="AF100" s="75">
        <f t="shared" si="14"/>
        <v>5508.3</v>
      </c>
      <c r="AG100" s="78">
        <f t="shared" si="15"/>
        <v>5508.3</v>
      </c>
      <c r="AH100" s="72">
        <f t="shared" si="16"/>
        <v>11016.6</v>
      </c>
      <c r="AI100" s="75">
        <f t="shared" si="17"/>
        <v>3900</v>
      </c>
      <c r="AJ100" s="78">
        <f t="shared" si="18"/>
        <v>3900</v>
      </c>
      <c r="AK100" s="72">
        <f t="shared" si="19"/>
        <v>7800</v>
      </c>
    </row>
    <row r="101" spans="1:37" ht="15.95" customHeight="1">
      <c r="A101" s="25" t="s">
        <v>702</v>
      </c>
      <c r="B101" s="25" t="s">
        <v>463</v>
      </c>
      <c r="C101" s="26" t="s">
        <v>14</v>
      </c>
      <c r="D101" s="26" t="s">
        <v>375</v>
      </c>
      <c r="E101" s="26" t="s">
        <v>16</v>
      </c>
      <c r="F101" s="26" t="s">
        <v>745</v>
      </c>
      <c r="G101" s="26"/>
      <c r="H101" s="44" t="s">
        <v>746</v>
      </c>
      <c r="I101" s="26" t="s">
        <v>751</v>
      </c>
      <c r="J101" s="45" t="s">
        <v>752</v>
      </c>
      <c r="K101" s="123">
        <v>180</v>
      </c>
      <c r="L101" s="29">
        <v>30.573999999999998</v>
      </c>
      <c r="M101" s="110">
        <v>22</v>
      </c>
      <c r="N101" s="30">
        <v>0.28199999999999997</v>
      </c>
      <c r="O101" s="116">
        <v>6.2039999999999997</v>
      </c>
      <c r="P101" s="30">
        <v>7.4999999999999997E-2</v>
      </c>
      <c r="Q101" s="116">
        <v>1.65</v>
      </c>
      <c r="R101" s="30">
        <v>7.0000000000000007E-2</v>
      </c>
      <c r="S101" s="116">
        <v>0.23</v>
      </c>
      <c r="T101" s="117">
        <v>0.49</v>
      </c>
      <c r="U101" s="39">
        <v>300</v>
      </c>
      <c r="V101" s="32">
        <v>350</v>
      </c>
      <c r="W101" s="33"/>
      <c r="X101" s="32"/>
      <c r="Y101" s="32"/>
      <c r="Z101" s="32"/>
      <c r="AA101" s="34"/>
      <c r="AB101" s="35">
        <f t="shared" si="10"/>
        <v>650</v>
      </c>
      <c r="AC101" s="75">
        <f t="shared" si="11"/>
        <v>54000</v>
      </c>
      <c r="AD101" s="78">
        <f t="shared" si="12"/>
        <v>63000</v>
      </c>
      <c r="AE101" s="72">
        <f t="shared" si="13"/>
        <v>117000</v>
      </c>
      <c r="AF101" s="75">
        <f t="shared" si="14"/>
        <v>9172.1999999999989</v>
      </c>
      <c r="AG101" s="78">
        <f t="shared" si="15"/>
        <v>10700.9</v>
      </c>
      <c r="AH101" s="72">
        <f t="shared" si="16"/>
        <v>19873.099999999999</v>
      </c>
      <c r="AI101" s="75">
        <f t="shared" si="17"/>
        <v>6600</v>
      </c>
      <c r="AJ101" s="78">
        <f t="shared" si="18"/>
        <v>7700</v>
      </c>
      <c r="AK101" s="72">
        <f t="shared" si="19"/>
        <v>14300</v>
      </c>
    </row>
    <row r="102" spans="1:37" ht="15.95" customHeight="1">
      <c r="A102" s="25" t="s">
        <v>702</v>
      </c>
      <c r="B102" s="25" t="s">
        <v>463</v>
      </c>
      <c r="C102" s="26" t="s">
        <v>21</v>
      </c>
      <c r="D102" s="26" t="s">
        <v>375</v>
      </c>
      <c r="E102" s="26" t="s">
        <v>16</v>
      </c>
      <c r="F102" s="26" t="s">
        <v>747</v>
      </c>
      <c r="G102" s="26"/>
      <c r="H102" s="27" t="s">
        <v>746</v>
      </c>
      <c r="I102" s="26" t="s">
        <v>27</v>
      </c>
      <c r="J102" s="28" t="s">
        <v>43</v>
      </c>
      <c r="K102" s="123">
        <v>150</v>
      </c>
      <c r="L102" s="29">
        <v>25.485249999999997</v>
      </c>
      <c r="M102" s="110">
        <v>18.25</v>
      </c>
      <c r="N102" s="30">
        <v>0.28199999999999997</v>
      </c>
      <c r="O102" s="116">
        <v>5.1464999999999996</v>
      </c>
      <c r="P102" s="30">
        <v>7.4999999999999997E-2</v>
      </c>
      <c r="Q102" s="116">
        <v>1.3687499999999999</v>
      </c>
      <c r="R102" s="30">
        <v>7.0000000000000007E-2</v>
      </c>
      <c r="S102" s="116">
        <v>0.23</v>
      </c>
      <c r="T102" s="117">
        <v>0.49</v>
      </c>
      <c r="U102" s="39">
        <v>300</v>
      </c>
      <c r="V102" s="32">
        <v>350</v>
      </c>
      <c r="W102" s="33"/>
      <c r="X102" s="32"/>
      <c r="Y102" s="32"/>
      <c r="Z102" s="32"/>
      <c r="AA102" s="34"/>
      <c r="AB102" s="35">
        <f t="shared" si="10"/>
        <v>650</v>
      </c>
      <c r="AC102" s="75">
        <f t="shared" si="11"/>
        <v>45000</v>
      </c>
      <c r="AD102" s="78">
        <f t="shared" si="12"/>
        <v>52500</v>
      </c>
      <c r="AE102" s="72">
        <f t="shared" si="13"/>
        <v>97500</v>
      </c>
      <c r="AF102" s="75">
        <f t="shared" si="14"/>
        <v>7645.5749999999989</v>
      </c>
      <c r="AG102" s="78">
        <f t="shared" si="15"/>
        <v>8919.8374999999996</v>
      </c>
      <c r="AH102" s="72">
        <f t="shared" si="16"/>
        <v>16565.412499999999</v>
      </c>
      <c r="AI102" s="75">
        <f t="shared" si="17"/>
        <v>5475</v>
      </c>
      <c r="AJ102" s="78">
        <f t="shared" si="18"/>
        <v>6387.5</v>
      </c>
      <c r="AK102" s="72">
        <f t="shared" si="19"/>
        <v>11862.5</v>
      </c>
    </row>
    <row r="103" spans="1:37" ht="15.95" customHeight="1">
      <c r="A103" s="25" t="s">
        <v>702</v>
      </c>
      <c r="B103" s="25" t="s">
        <v>463</v>
      </c>
      <c r="C103" s="26" t="s">
        <v>24</v>
      </c>
      <c r="D103" s="26" t="s">
        <v>375</v>
      </c>
      <c r="E103" s="26" t="s">
        <v>16</v>
      </c>
      <c r="F103" s="26" t="s">
        <v>749</v>
      </c>
      <c r="G103" s="26"/>
      <c r="H103" s="27" t="s">
        <v>748</v>
      </c>
      <c r="I103" s="26" t="s">
        <v>27</v>
      </c>
      <c r="J103" s="28" t="s">
        <v>578</v>
      </c>
      <c r="K103" s="123">
        <v>88</v>
      </c>
      <c r="L103" s="29">
        <v>14.321250000000001</v>
      </c>
      <c r="M103" s="110">
        <v>9.75</v>
      </c>
      <c r="N103" s="30">
        <v>0.32</v>
      </c>
      <c r="O103" s="116">
        <v>3.12</v>
      </c>
      <c r="P103" s="30">
        <v>7.4999999999999997E-2</v>
      </c>
      <c r="Q103" s="116">
        <v>0.73124999999999996</v>
      </c>
      <c r="R103" s="30">
        <v>7.0000000000000007E-2</v>
      </c>
      <c r="S103" s="116">
        <v>0.23</v>
      </c>
      <c r="T103" s="117">
        <v>0.49</v>
      </c>
      <c r="U103" s="39">
        <v>300</v>
      </c>
      <c r="V103" s="32">
        <v>300</v>
      </c>
      <c r="W103" s="33"/>
      <c r="X103" s="32"/>
      <c r="Y103" s="32"/>
      <c r="Z103" s="32"/>
      <c r="AA103" s="34"/>
      <c r="AB103" s="35">
        <f t="shared" si="10"/>
        <v>600</v>
      </c>
      <c r="AC103" s="75">
        <f t="shared" si="11"/>
        <v>26400</v>
      </c>
      <c r="AD103" s="78">
        <f t="shared" si="12"/>
        <v>26400</v>
      </c>
      <c r="AE103" s="72">
        <f t="shared" si="13"/>
        <v>52800</v>
      </c>
      <c r="AF103" s="75">
        <f t="shared" si="14"/>
        <v>4296.375</v>
      </c>
      <c r="AG103" s="78">
        <f t="shared" si="15"/>
        <v>4296.375</v>
      </c>
      <c r="AH103" s="72">
        <f t="shared" si="16"/>
        <v>8592.75</v>
      </c>
      <c r="AI103" s="75">
        <f t="shared" si="17"/>
        <v>2925</v>
      </c>
      <c r="AJ103" s="78">
        <f t="shared" si="18"/>
        <v>2925</v>
      </c>
      <c r="AK103" s="72">
        <f t="shared" si="19"/>
        <v>5850</v>
      </c>
    </row>
    <row r="104" spans="1:37" ht="15.95" customHeight="1">
      <c r="A104" s="25" t="s">
        <v>702</v>
      </c>
      <c r="B104" s="25" t="s">
        <v>463</v>
      </c>
      <c r="C104" s="26" t="s">
        <v>267</v>
      </c>
      <c r="D104" s="26" t="s">
        <v>375</v>
      </c>
      <c r="E104" s="26" t="s">
        <v>16</v>
      </c>
      <c r="F104" s="26" t="s">
        <v>750</v>
      </c>
      <c r="G104" s="26"/>
      <c r="H104" s="27" t="s">
        <v>748</v>
      </c>
      <c r="I104" s="26" t="s">
        <v>27</v>
      </c>
      <c r="J104" s="37" t="s">
        <v>174</v>
      </c>
      <c r="K104" s="123">
        <v>95</v>
      </c>
      <c r="L104" s="29">
        <v>18.361000000000001</v>
      </c>
      <c r="M104" s="110">
        <v>13</v>
      </c>
      <c r="N104" s="30">
        <v>0.28199999999999997</v>
      </c>
      <c r="O104" s="116">
        <v>3.6659999999999995</v>
      </c>
      <c r="P104" s="30">
        <v>7.4999999999999997E-2</v>
      </c>
      <c r="Q104" s="116">
        <v>0.97499999999999998</v>
      </c>
      <c r="R104" s="30">
        <v>7.0000000000000007E-2</v>
      </c>
      <c r="S104" s="116">
        <v>0.23</v>
      </c>
      <c r="T104" s="117">
        <v>0.49</v>
      </c>
      <c r="U104" s="39">
        <v>300</v>
      </c>
      <c r="V104" s="32">
        <v>300</v>
      </c>
      <c r="W104" s="33"/>
      <c r="X104" s="32"/>
      <c r="Y104" s="32"/>
      <c r="Z104" s="32"/>
      <c r="AA104" s="34"/>
      <c r="AB104" s="35">
        <f t="shared" si="10"/>
        <v>600</v>
      </c>
      <c r="AC104" s="75">
        <f t="shared" si="11"/>
        <v>28500</v>
      </c>
      <c r="AD104" s="78">
        <f t="shared" si="12"/>
        <v>28500</v>
      </c>
      <c r="AE104" s="72">
        <f t="shared" si="13"/>
        <v>57000</v>
      </c>
      <c r="AF104" s="75">
        <f t="shared" si="14"/>
        <v>5508.3</v>
      </c>
      <c r="AG104" s="78">
        <f t="shared" si="15"/>
        <v>5508.3</v>
      </c>
      <c r="AH104" s="72">
        <f t="shared" si="16"/>
        <v>11016.6</v>
      </c>
      <c r="AI104" s="75">
        <f t="shared" si="17"/>
        <v>3900</v>
      </c>
      <c r="AJ104" s="78">
        <f t="shared" si="18"/>
        <v>3900</v>
      </c>
      <c r="AK104" s="72">
        <f t="shared" si="19"/>
        <v>7800</v>
      </c>
    </row>
    <row r="105" spans="1:37" ht="15.95" customHeight="1">
      <c r="A105" s="25" t="s">
        <v>702</v>
      </c>
      <c r="B105" s="25" t="s">
        <v>463</v>
      </c>
      <c r="C105" s="26" t="s">
        <v>14</v>
      </c>
      <c r="D105" s="26" t="s">
        <v>375</v>
      </c>
      <c r="E105" s="26" t="s">
        <v>16</v>
      </c>
      <c r="F105" s="26" t="s">
        <v>745</v>
      </c>
      <c r="G105" s="26"/>
      <c r="H105" s="27" t="s">
        <v>748</v>
      </c>
      <c r="I105" s="26" t="s">
        <v>27</v>
      </c>
      <c r="J105" s="37" t="s">
        <v>41</v>
      </c>
      <c r="K105" s="123">
        <v>180</v>
      </c>
      <c r="L105" s="29">
        <v>30.573999999999998</v>
      </c>
      <c r="M105" s="110">
        <v>22</v>
      </c>
      <c r="N105" s="30">
        <v>0.28199999999999997</v>
      </c>
      <c r="O105" s="116">
        <v>6.2039999999999997</v>
      </c>
      <c r="P105" s="30">
        <v>7.4999999999999997E-2</v>
      </c>
      <c r="Q105" s="116">
        <v>1.65</v>
      </c>
      <c r="R105" s="30">
        <v>7.0000000000000007E-2</v>
      </c>
      <c r="S105" s="116">
        <v>0.23</v>
      </c>
      <c r="T105" s="117">
        <v>0.49</v>
      </c>
      <c r="U105" s="39">
        <v>450</v>
      </c>
      <c r="V105" s="32">
        <v>350</v>
      </c>
      <c r="W105" s="33"/>
      <c r="X105" s="32"/>
      <c r="Y105" s="32"/>
      <c r="Z105" s="32"/>
      <c r="AA105" s="34"/>
      <c r="AB105" s="35">
        <f t="shared" si="10"/>
        <v>800</v>
      </c>
      <c r="AC105" s="75">
        <f t="shared" si="11"/>
        <v>81000</v>
      </c>
      <c r="AD105" s="78">
        <f t="shared" si="12"/>
        <v>63000</v>
      </c>
      <c r="AE105" s="72">
        <f t="shared" si="13"/>
        <v>144000</v>
      </c>
      <c r="AF105" s="75">
        <f t="shared" si="14"/>
        <v>13758.3</v>
      </c>
      <c r="AG105" s="78">
        <f t="shared" si="15"/>
        <v>10700.9</v>
      </c>
      <c r="AH105" s="72">
        <f t="shared" si="16"/>
        <v>24459.199999999997</v>
      </c>
      <c r="AI105" s="75">
        <f t="shared" si="17"/>
        <v>9900</v>
      </c>
      <c r="AJ105" s="78">
        <f t="shared" si="18"/>
        <v>7700</v>
      </c>
      <c r="AK105" s="72">
        <f t="shared" si="19"/>
        <v>17600</v>
      </c>
    </row>
    <row r="106" spans="1:37" ht="15.95" customHeight="1">
      <c r="A106" s="25" t="s">
        <v>702</v>
      </c>
      <c r="B106" s="25" t="s">
        <v>463</v>
      </c>
      <c r="C106" s="26" t="s">
        <v>21</v>
      </c>
      <c r="D106" s="26" t="s">
        <v>375</v>
      </c>
      <c r="E106" s="26" t="s">
        <v>16</v>
      </c>
      <c r="F106" s="26" t="s">
        <v>747</v>
      </c>
      <c r="G106" s="26"/>
      <c r="H106" s="27" t="s">
        <v>753</v>
      </c>
      <c r="I106" s="26" t="s">
        <v>751</v>
      </c>
      <c r="J106" s="37" t="s">
        <v>43</v>
      </c>
      <c r="K106" s="123">
        <v>150</v>
      </c>
      <c r="L106" s="29">
        <v>25.485249999999997</v>
      </c>
      <c r="M106" s="110">
        <v>18.25</v>
      </c>
      <c r="N106" s="30">
        <v>0.28199999999999997</v>
      </c>
      <c r="O106" s="116">
        <v>5.1464999999999996</v>
      </c>
      <c r="P106" s="30">
        <v>7.4999999999999997E-2</v>
      </c>
      <c r="Q106" s="116">
        <v>1.3687499999999999</v>
      </c>
      <c r="R106" s="30">
        <v>7.0000000000000007E-2</v>
      </c>
      <c r="S106" s="116">
        <v>0.23</v>
      </c>
      <c r="T106" s="117">
        <v>0.49</v>
      </c>
      <c r="U106" s="39">
        <v>450</v>
      </c>
      <c r="V106" s="32">
        <v>350</v>
      </c>
      <c r="W106" s="33"/>
      <c r="X106" s="32"/>
      <c r="Y106" s="32"/>
      <c r="Z106" s="32"/>
      <c r="AA106" s="34"/>
      <c r="AB106" s="35">
        <f t="shared" si="10"/>
        <v>800</v>
      </c>
      <c r="AC106" s="75">
        <f t="shared" si="11"/>
        <v>67500</v>
      </c>
      <c r="AD106" s="78">
        <f t="shared" si="12"/>
        <v>52500</v>
      </c>
      <c r="AE106" s="72">
        <f t="shared" si="13"/>
        <v>120000</v>
      </c>
      <c r="AF106" s="75">
        <f t="shared" si="14"/>
        <v>11468.362499999999</v>
      </c>
      <c r="AG106" s="78">
        <f t="shared" si="15"/>
        <v>8919.8374999999996</v>
      </c>
      <c r="AH106" s="72">
        <f t="shared" si="16"/>
        <v>20388.199999999997</v>
      </c>
      <c r="AI106" s="75">
        <f t="shared" si="17"/>
        <v>8212.5</v>
      </c>
      <c r="AJ106" s="78">
        <f t="shared" si="18"/>
        <v>6387.5</v>
      </c>
      <c r="AK106" s="72">
        <f t="shared" si="19"/>
        <v>14600</v>
      </c>
    </row>
    <row r="107" spans="1:37" ht="15.95" customHeight="1">
      <c r="A107" s="25" t="s">
        <v>702</v>
      </c>
      <c r="B107" s="25" t="s">
        <v>463</v>
      </c>
      <c r="C107" s="26" t="s">
        <v>24</v>
      </c>
      <c r="D107" s="26" t="s">
        <v>375</v>
      </c>
      <c r="E107" s="26" t="s">
        <v>16</v>
      </c>
      <c r="F107" s="26" t="s">
        <v>749</v>
      </c>
      <c r="G107" s="26"/>
      <c r="H107" s="27" t="s">
        <v>753</v>
      </c>
      <c r="I107" s="26" t="s">
        <v>27</v>
      </c>
      <c r="J107" s="37" t="s">
        <v>578</v>
      </c>
      <c r="K107" s="123">
        <v>88</v>
      </c>
      <c r="L107" s="29">
        <v>14.321250000000001</v>
      </c>
      <c r="M107" s="110">
        <v>9.75</v>
      </c>
      <c r="N107" s="30">
        <v>0.32</v>
      </c>
      <c r="O107" s="116">
        <v>3.12</v>
      </c>
      <c r="P107" s="30">
        <v>7.4999999999999997E-2</v>
      </c>
      <c r="Q107" s="116">
        <v>0.73124999999999996</v>
      </c>
      <c r="R107" s="30">
        <v>7.0000000000000007E-2</v>
      </c>
      <c r="S107" s="116">
        <v>0.23</v>
      </c>
      <c r="T107" s="117">
        <v>0.49</v>
      </c>
      <c r="U107" s="39">
        <v>450</v>
      </c>
      <c r="V107" s="32">
        <v>300</v>
      </c>
      <c r="W107" s="33"/>
      <c r="X107" s="32"/>
      <c r="Y107" s="32"/>
      <c r="Z107" s="32"/>
      <c r="AA107" s="34"/>
      <c r="AB107" s="35">
        <f t="shared" si="10"/>
        <v>750</v>
      </c>
      <c r="AC107" s="75">
        <f t="shared" si="11"/>
        <v>39600</v>
      </c>
      <c r="AD107" s="78">
        <f t="shared" si="12"/>
        <v>26400</v>
      </c>
      <c r="AE107" s="72">
        <f t="shared" si="13"/>
        <v>66000</v>
      </c>
      <c r="AF107" s="75">
        <f t="shared" si="14"/>
        <v>6444.5625</v>
      </c>
      <c r="AG107" s="78">
        <f t="shared" si="15"/>
        <v>4296.375</v>
      </c>
      <c r="AH107" s="72">
        <f t="shared" si="16"/>
        <v>10740.9375</v>
      </c>
      <c r="AI107" s="75">
        <f t="shared" si="17"/>
        <v>4387.5</v>
      </c>
      <c r="AJ107" s="78">
        <f t="shared" si="18"/>
        <v>2925</v>
      </c>
      <c r="AK107" s="72">
        <f t="shared" si="19"/>
        <v>7312.5</v>
      </c>
    </row>
    <row r="108" spans="1:37" ht="15.95" customHeight="1">
      <c r="A108" s="25" t="s">
        <v>944</v>
      </c>
      <c r="B108" s="25" t="s">
        <v>463</v>
      </c>
      <c r="C108" s="26" t="s">
        <v>24</v>
      </c>
      <c r="D108" s="26" t="s">
        <v>375</v>
      </c>
      <c r="E108" s="26" t="s">
        <v>16</v>
      </c>
      <c r="F108" s="26" t="s">
        <v>749</v>
      </c>
      <c r="G108" s="26"/>
      <c r="H108" s="27" t="s">
        <v>753</v>
      </c>
      <c r="I108" s="26" t="s">
        <v>27</v>
      </c>
      <c r="J108" s="28" t="s">
        <v>578</v>
      </c>
      <c r="K108" s="123">
        <v>88</v>
      </c>
      <c r="L108" s="29">
        <v>14.321250000000001</v>
      </c>
      <c r="M108" s="110">
        <v>9.75</v>
      </c>
      <c r="N108" s="30">
        <v>0.32</v>
      </c>
      <c r="O108" s="116">
        <v>3.12</v>
      </c>
      <c r="P108" s="30">
        <v>7.4999999999999997E-2</v>
      </c>
      <c r="Q108" s="116">
        <v>0.73124999999999996</v>
      </c>
      <c r="R108" s="30">
        <v>7.0000000000000007E-2</v>
      </c>
      <c r="S108" s="116">
        <v>0.23</v>
      </c>
      <c r="T108" s="117">
        <v>0.49</v>
      </c>
      <c r="U108" s="39"/>
      <c r="V108" s="32">
        <v>710</v>
      </c>
      <c r="W108" s="33"/>
      <c r="X108" s="32"/>
      <c r="Y108" s="32"/>
      <c r="Z108" s="32"/>
      <c r="AA108" s="34"/>
      <c r="AB108" s="35">
        <f t="shared" si="10"/>
        <v>710</v>
      </c>
      <c r="AC108" s="75">
        <f t="shared" si="11"/>
        <v>0</v>
      </c>
      <c r="AD108" s="78">
        <f t="shared" si="12"/>
        <v>62480</v>
      </c>
      <c r="AE108" s="72">
        <f t="shared" si="13"/>
        <v>62480</v>
      </c>
      <c r="AF108" s="75">
        <f t="shared" si="14"/>
        <v>0</v>
      </c>
      <c r="AG108" s="78">
        <f t="shared" si="15"/>
        <v>10168.087500000001</v>
      </c>
      <c r="AH108" s="72">
        <f t="shared" si="16"/>
        <v>10168.087500000001</v>
      </c>
      <c r="AI108" s="75">
        <f t="shared" si="17"/>
        <v>0</v>
      </c>
      <c r="AJ108" s="78">
        <f t="shared" si="18"/>
        <v>6922.5</v>
      </c>
      <c r="AK108" s="72">
        <f t="shared" si="19"/>
        <v>6922.5</v>
      </c>
    </row>
    <row r="109" spans="1:37" ht="15.95" customHeight="1">
      <c r="A109" s="25" t="s">
        <v>702</v>
      </c>
      <c r="B109" s="25" t="s">
        <v>463</v>
      </c>
      <c r="C109" s="26" t="s">
        <v>267</v>
      </c>
      <c r="D109" s="26" t="s">
        <v>375</v>
      </c>
      <c r="E109" s="26" t="s">
        <v>16</v>
      </c>
      <c r="F109" s="26" t="s">
        <v>750</v>
      </c>
      <c r="G109" s="26"/>
      <c r="H109" s="27" t="s">
        <v>753</v>
      </c>
      <c r="I109" s="26" t="s">
        <v>27</v>
      </c>
      <c r="J109" s="28" t="s">
        <v>174</v>
      </c>
      <c r="K109" s="123">
        <v>95</v>
      </c>
      <c r="L109" s="29">
        <v>18.361000000000001</v>
      </c>
      <c r="M109" s="110">
        <v>13</v>
      </c>
      <c r="N109" s="30">
        <v>0.28199999999999997</v>
      </c>
      <c r="O109" s="116">
        <v>3.6659999999999995</v>
      </c>
      <c r="P109" s="30">
        <v>7.4999999999999997E-2</v>
      </c>
      <c r="Q109" s="116">
        <v>0.97499999999999998</v>
      </c>
      <c r="R109" s="30">
        <v>7.0000000000000007E-2</v>
      </c>
      <c r="S109" s="116">
        <v>0.23</v>
      </c>
      <c r="T109" s="117">
        <v>0.49</v>
      </c>
      <c r="U109" s="39">
        <v>450</v>
      </c>
      <c r="V109" s="32">
        <v>300</v>
      </c>
      <c r="W109" s="33"/>
      <c r="X109" s="32"/>
      <c r="Y109" s="32"/>
      <c r="Z109" s="32"/>
      <c r="AA109" s="34"/>
      <c r="AB109" s="35">
        <f t="shared" si="10"/>
        <v>750</v>
      </c>
      <c r="AC109" s="75">
        <f t="shared" si="11"/>
        <v>42750</v>
      </c>
      <c r="AD109" s="78">
        <f t="shared" si="12"/>
        <v>28500</v>
      </c>
      <c r="AE109" s="72">
        <f t="shared" si="13"/>
        <v>71250</v>
      </c>
      <c r="AF109" s="75">
        <f t="shared" si="14"/>
        <v>8262.4500000000007</v>
      </c>
      <c r="AG109" s="78">
        <f t="shared" si="15"/>
        <v>5508.3</v>
      </c>
      <c r="AH109" s="72">
        <f t="shared" si="16"/>
        <v>13770.75</v>
      </c>
      <c r="AI109" s="75">
        <f t="shared" si="17"/>
        <v>5850</v>
      </c>
      <c r="AJ109" s="78">
        <f t="shared" si="18"/>
        <v>3900</v>
      </c>
      <c r="AK109" s="72">
        <f t="shared" si="19"/>
        <v>9750</v>
      </c>
    </row>
    <row r="110" spans="1:37" ht="15.95" customHeight="1">
      <c r="A110" s="25" t="s">
        <v>944</v>
      </c>
      <c r="B110" s="25" t="s">
        <v>463</v>
      </c>
      <c r="C110" s="26" t="s">
        <v>267</v>
      </c>
      <c r="D110" s="26" t="s">
        <v>375</v>
      </c>
      <c r="E110" s="26" t="s">
        <v>16</v>
      </c>
      <c r="F110" s="26" t="s">
        <v>750</v>
      </c>
      <c r="G110" s="26"/>
      <c r="H110" s="27" t="s">
        <v>753</v>
      </c>
      <c r="I110" s="26" t="s">
        <v>27</v>
      </c>
      <c r="J110" s="28" t="s">
        <v>174</v>
      </c>
      <c r="K110" s="123">
        <v>95</v>
      </c>
      <c r="L110" s="29">
        <v>18.361000000000001</v>
      </c>
      <c r="M110" s="110">
        <v>13</v>
      </c>
      <c r="N110" s="30">
        <v>0.28199999999999997</v>
      </c>
      <c r="O110" s="116">
        <v>3.6659999999999995</v>
      </c>
      <c r="P110" s="30">
        <v>7.4999999999999997E-2</v>
      </c>
      <c r="Q110" s="116">
        <v>0.97499999999999998</v>
      </c>
      <c r="R110" s="30">
        <v>7.0000000000000007E-2</v>
      </c>
      <c r="S110" s="116">
        <v>0.23</v>
      </c>
      <c r="T110" s="117">
        <v>0.49</v>
      </c>
      <c r="U110" s="39"/>
      <c r="V110" s="32">
        <v>698</v>
      </c>
      <c r="W110" s="33"/>
      <c r="X110" s="32"/>
      <c r="Y110" s="32"/>
      <c r="Z110" s="32"/>
      <c r="AA110" s="34"/>
      <c r="AB110" s="35">
        <f t="shared" si="10"/>
        <v>698</v>
      </c>
      <c r="AC110" s="75">
        <f t="shared" si="11"/>
        <v>0</v>
      </c>
      <c r="AD110" s="78">
        <f t="shared" si="12"/>
        <v>66310</v>
      </c>
      <c r="AE110" s="72">
        <f t="shared" si="13"/>
        <v>66310</v>
      </c>
      <c r="AF110" s="75">
        <f t="shared" si="14"/>
        <v>0</v>
      </c>
      <c r="AG110" s="78">
        <f t="shared" si="15"/>
        <v>12815.978000000001</v>
      </c>
      <c r="AH110" s="72">
        <f t="shared" si="16"/>
        <v>12815.978000000001</v>
      </c>
      <c r="AI110" s="75">
        <f t="shared" si="17"/>
        <v>0</v>
      </c>
      <c r="AJ110" s="78">
        <f t="shared" si="18"/>
        <v>9074</v>
      </c>
      <c r="AK110" s="72">
        <f t="shared" si="19"/>
        <v>9074</v>
      </c>
    </row>
    <row r="111" spans="1:37" ht="15.95" customHeight="1">
      <c r="A111" s="25" t="s">
        <v>702</v>
      </c>
      <c r="B111" s="25" t="s">
        <v>463</v>
      </c>
      <c r="C111" s="26" t="s">
        <v>728</v>
      </c>
      <c r="D111" s="26" t="s">
        <v>375</v>
      </c>
      <c r="E111" s="26" t="s">
        <v>16</v>
      </c>
      <c r="F111" s="26" t="s">
        <v>754</v>
      </c>
      <c r="G111" s="26"/>
      <c r="H111" s="27" t="s">
        <v>753</v>
      </c>
      <c r="I111" s="26" t="s">
        <v>27</v>
      </c>
      <c r="J111" s="28"/>
      <c r="K111" s="123"/>
      <c r="L111" s="29">
        <v>56.424849999999992</v>
      </c>
      <c r="M111" s="110">
        <v>41.05</v>
      </c>
      <c r="N111" s="30">
        <v>0.28199999999999997</v>
      </c>
      <c r="O111" s="116">
        <v>11.576099999999999</v>
      </c>
      <c r="P111" s="30">
        <v>7.4999999999999997E-2</v>
      </c>
      <c r="Q111" s="116">
        <v>3.0787499999999999</v>
      </c>
      <c r="R111" s="30">
        <v>7.0000000000000007E-2</v>
      </c>
      <c r="S111" s="116">
        <v>0.23</v>
      </c>
      <c r="T111" s="117">
        <v>0.49</v>
      </c>
      <c r="U111" s="39"/>
      <c r="V111" s="32"/>
      <c r="W111" s="33"/>
      <c r="X111" s="32"/>
      <c r="Y111" s="32"/>
      <c r="Z111" s="32">
        <v>122</v>
      </c>
      <c r="AA111" s="34"/>
      <c r="AB111" s="35">
        <f t="shared" si="10"/>
        <v>122</v>
      </c>
      <c r="AC111" s="75">
        <f t="shared" si="11"/>
        <v>0</v>
      </c>
      <c r="AD111" s="78">
        <f t="shared" si="12"/>
        <v>0</v>
      </c>
      <c r="AE111" s="72">
        <f t="shared" si="13"/>
        <v>0</v>
      </c>
      <c r="AF111" s="75">
        <f t="shared" si="14"/>
        <v>0</v>
      </c>
      <c r="AG111" s="78">
        <f t="shared" si="15"/>
        <v>5008.0999999999995</v>
      </c>
      <c r="AH111" s="72">
        <f t="shared" si="16"/>
        <v>5008.0999999999995</v>
      </c>
      <c r="AI111" s="75">
        <f t="shared" si="17"/>
        <v>0</v>
      </c>
      <c r="AJ111" s="78">
        <f t="shared" si="18"/>
        <v>5008.0999999999995</v>
      </c>
      <c r="AK111" s="72">
        <f t="shared" si="19"/>
        <v>5008.0999999999995</v>
      </c>
    </row>
    <row r="112" spans="1:37" ht="15.95" customHeight="1">
      <c r="A112" s="25" t="s">
        <v>702</v>
      </c>
      <c r="B112" s="25" t="s">
        <v>463</v>
      </c>
      <c r="C112" s="26" t="s">
        <v>728</v>
      </c>
      <c r="D112" s="26" t="s">
        <v>375</v>
      </c>
      <c r="E112" s="26" t="s">
        <v>16</v>
      </c>
      <c r="F112" s="26" t="s">
        <v>754</v>
      </c>
      <c r="G112" s="26"/>
      <c r="H112" s="44" t="s">
        <v>748</v>
      </c>
      <c r="I112" s="26" t="s">
        <v>27</v>
      </c>
      <c r="J112" s="28"/>
      <c r="K112" s="123"/>
      <c r="L112" s="29">
        <v>56.424849999999992</v>
      </c>
      <c r="M112" s="110">
        <v>41.05</v>
      </c>
      <c r="N112" s="30">
        <v>0.28199999999999997</v>
      </c>
      <c r="O112" s="116">
        <v>11.576099999999999</v>
      </c>
      <c r="P112" s="30">
        <v>7.4999999999999997E-2</v>
      </c>
      <c r="Q112" s="116">
        <v>3.0787499999999999</v>
      </c>
      <c r="R112" s="30">
        <v>7.0000000000000007E-2</v>
      </c>
      <c r="S112" s="116">
        <v>0.23</v>
      </c>
      <c r="T112" s="117">
        <v>0.49</v>
      </c>
      <c r="U112" s="39"/>
      <c r="V112" s="32"/>
      <c r="W112" s="33"/>
      <c r="X112" s="32"/>
      <c r="Y112" s="32"/>
      <c r="Z112" s="32">
        <v>155</v>
      </c>
      <c r="AA112" s="34"/>
      <c r="AB112" s="35">
        <f t="shared" si="10"/>
        <v>155</v>
      </c>
      <c r="AC112" s="75">
        <f t="shared" si="11"/>
        <v>0</v>
      </c>
      <c r="AD112" s="78">
        <f t="shared" si="12"/>
        <v>0</v>
      </c>
      <c r="AE112" s="72">
        <f t="shared" si="13"/>
        <v>0</v>
      </c>
      <c r="AF112" s="75">
        <f t="shared" si="14"/>
        <v>0</v>
      </c>
      <c r="AG112" s="78">
        <f t="shared" si="15"/>
        <v>6362.75</v>
      </c>
      <c r="AH112" s="72">
        <f t="shared" si="16"/>
        <v>6362.75</v>
      </c>
      <c r="AI112" s="75">
        <f t="shared" si="17"/>
        <v>0</v>
      </c>
      <c r="AJ112" s="78">
        <f t="shared" si="18"/>
        <v>6362.75</v>
      </c>
      <c r="AK112" s="72">
        <f t="shared" si="19"/>
        <v>6362.75</v>
      </c>
    </row>
    <row r="113" spans="1:37" ht="15.95" customHeight="1">
      <c r="A113" s="25" t="s">
        <v>702</v>
      </c>
      <c r="B113" s="25" t="s">
        <v>463</v>
      </c>
      <c r="C113" s="26" t="s">
        <v>728</v>
      </c>
      <c r="D113" s="26" t="s">
        <v>375</v>
      </c>
      <c r="E113" s="26" t="s">
        <v>16</v>
      </c>
      <c r="F113" s="26" t="s">
        <v>754</v>
      </c>
      <c r="G113" s="26"/>
      <c r="H113" s="44" t="s">
        <v>748</v>
      </c>
      <c r="I113" s="26" t="s">
        <v>27</v>
      </c>
      <c r="J113" s="28"/>
      <c r="K113" s="123"/>
      <c r="L113" s="29">
        <v>56.424849999999992</v>
      </c>
      <c r="M113" s="110">
        <v>41.05</v>
      </c>
      <c r="N113" s="30">
        <v>0.28199999999999997</v>
      </c>
      <c r="O113" s="116">
        <v>11.576099999999999</v>
      </c>
      <c r="P113" s="30">
        <v>7.4999999999999997E-2</v>
      </c>
      <c r="Q113" s="116">
        <v>3.0787499999999999</v>
      </c>
      <c r="R113" s="30">
        <v>7.0000000000000007E-2</v>
      </c>
      <c r="S113" s="116">
        <v>0.23</v>
      </c>
      <c r="T113" s="117">
        <v>0.49</v>
      </c>
      <c r="U113" s="39"/>
      <c r="V113" s="32"/>
      <c r="W113" s="33"/>
      <c r="X113" s="32"/>
      <c r="Y113" s="32"/>
      <c r="Z113" s="32">
        <v>184</v>
      </c>
      <c r="AA113" s="34"/>
      <c r="AB113" s="35">
        <f t="shared" si="10"/>
        <v>184</v>
      </c>
      <c r="AC113" s="75">
        <f t="shared" si="11"/>
        <v>0</v>
      </c>
      <c r="AD113" s="78">
        <f t="shared" si="12"/>
        <v>0</v>
      </c>
      <c r="AE113" s="72">
        <f t="shared" si="13"/>
        <v>0</v>
      </c>
      <c r="AF113" s="75">
        <f t="shared" si="14"/>
        <v>0</v>
      </c>
      <c r="AG113" s="78">
        <f t="shared" si="15"/>
        <v>7553.2</v>
      </c>
      <c r="AH113" s="72">
        <f t="shared" si="16"/>
        <v>7553.2</v>
      </c>
      <c r="AI113" s="75">
        <f t="shared" si="17"/>
        <v>0</v>
      </c>
      <c r="AJ113" s="78">
        <f t="shared" si="18"/>
        <v>7553.2</v>
      </c>
      <c r="AK113" s="72">
        <f t="shared" si="19"/>
        <v>7553.2</v>
      </c>
    </row>
    <row r="114" spans="1:37" ht="15.95" customHeight="1">
      <c r="A114" s="25" t="s">
        <v>702</v>
      </c>
      <c r="B114" s="25" t="s">
        <v>463</v>
      </c>
      <c r="C114" s="26" t="s">
        <v>14</v>
      </c>
      <c r="D114" s="26" t="s">
        <v>375</v>
      </c>
      <c r="E114" s="26" t="s">
        <v>16</v>
      </c>
      <c r="F114" s="26" t="s">
        <v>755</v>
      </c>
      <c r="G114" s="26"/>
      <c r="H114" s="44" t="s">
        <v>739</v>
      </c>
      <c r="I114" s="26" t="s">
        <v>27</v>
      </c>
      <c r="J114" s="28" t="s">
        <v>41</v>
      </c>
      <c r="K114" s="123">
        <v>160</v>
      </c>
      <c r="L114" s="29">
        <v>29.895499999999998</v>
      </c>
      <c r="M114" s="110">
        <v>21.5</v>
      </c>
      <c r="N114" s="30">
        <v>0.28199999999999997</v>
      </c>
      <c r="O114" s="116">
        <v>6.0629999999999997</v>
      </c>
      <c r="P114" s="30">
        <v>7.4999999999999997E-2</v>
      </c>
      <c r="Q114" s="116">
        <v>1.6125</v>
      </c>
      <c r="R114" s="30">
        <v>7.0000000000000007E-2</v>
      </c>
      <c r="S114" s="116">
        <v>0.23</v>
      </c>
      <c r="T114" s="117">
        <v>0.49</v>
      </c>
      <c r="U114" s="39">
        <v>350</v>
      </c>
      <c r="V114" s="32">
        <v>300</v>
      </c>
      <c r="W114" s="33"/>
      <c r="X114" s="32"/>
      <c r="Y114" s="32"/>
      <c r="Z114" s="32">
        <v>6</v>
      </c>
      <c r="AA114" s="34"/>
      <c r="AB114" s="35">
        <f t="shared" si="10"/>
        <v>656</v>
      </c>
      <c r="AC114" s="75">
        <f t="shared" si="11"/>
        <v>56000</v>
      </c>
      <c r="AD114" s="78">
        <f t="shared" si="12"/>
        <v>48960</v>
      </c>
      <c r="AE114" s="72">
        <f t="shared" si="13"/>
        <v>104960</v>
      </c>
      <c r="AF114" s="75">
        <f t="shared" si="14"/>
        <v>10463.424999999999</v>
      </c>
      <c r="AG114" s="78">
        <f t="shared" si="15"/>
        <v>9097.65</v>
      </c>
      <c r="AH114" s="72">
        <f t="shared" si="16"/>
        <v>19561.074999999997</v>
      </c>
      <c r="AI114" s="75">
        <f t="shared" si="17"/>
        <v>7525</v>
      </c>
      <c r="AJ114" s="78">
        <f t="shared" si="18"/>
        <v>6579</v>
      </c>
      <c r="AK114" s="72">
        <f t="shared" si="19"/>
        <v>14104</v>
      </c>
    </row>
    <row r="115" spans="1:37" ht="15.95" customHeight="1">
      <c r="A115" s="25" t="s">
        <v>702</v>
      </c>
      <c r="B115" s="25" t="s">
        <v>463</v>
      </c>
      <c r="C115" s="26" t="s">
        <v>21</v>
      </c>
      <c r="D115" s="26" t="s">
        <v>375</v>
      </c>
      <c r="E115" s="26" t="s">
        <v>16</v>
      </c>
      <c r="F115" s="26" t="s">
        <v>756</v>
      </c>
      <c r="G115" s="26"/>
      <c r="H115" s="44" t="s">
        <v>739</v>
      </c>
      <c r="I115" s="26" t="s">
        <v>27</v>
      </c>
      <c r="J115" s="28" t="s">
        <v>43</v>
      </c>
      <c r="K115" s="123">
        <v>125</v>
      </c>
      <c r="L115" s="29">
        <v>23.110499999999998</v>
      </c>
      <c r="M115" s="110">
        <v>16.5</v>
      </c>
      <c r="N115" s="30">
        <v>0.28199999999999997</v>
      </c>
      <c r="O115" s="116">
        <v>4.6529999999999996</v>
      </c>
      <c r="P115" s="30">
        <v>7.4999999999999997E-2</v>
      </c>
      <c r="Q115" s="116">
        <v>1.2375</v>
      </c>
      <c r="R115" s="30">
        <v>7.0000000000000007E-2</v>
      </c>
      <c r="S115" s="116">
        <v>0.23</v>
      </c>
      <c r="T115" s="117">
        <v>0.49</v>
      </c>
      <c r="U115" s="39">
        <v>350</v>
      </c>
      <c r="V115" s="32">
        <v>300</v>
      </c>
      <c r="W115" s="33"/>
      <c r="X115" s="32"/>
      <c r="Y115" s="32"/>
      <c r="Z115" s="32"/>
      <c r="AA115" s="34"/>
      <c r="AB115" s="35">
        <f t="shared" si="10"/>
        <v>650</v>
      </c>
      <c r="AC115" s="75">
        <f t="shared" si="11"/>
        <v>43750</v>
      </c>
      <c r="AD115" s="78">
        <f t="shared" si="12"/>
        <v>37500</v>
      </c>
      <c r="AE115" s="72">
        <f t="shared" si="13"/>
        <v>81250</v>
      </c>
      <c r="AF115" s="75">
        <f t="shared" si="14"/>
        <v>8088.6749999999993</v>
      </c>
      <c r="AG115" s="78">
        <f t="shared" si="15"/>
        <v>6933.15</v>
      </c>
      <c r="AH115" s="72">
        <f t="shared" si="16"/>
        <v>15021.824999999999</v>
      </c>
      <c r="AI115" s="75">
        <f t="shared" si="17"/>
        <v>5775</v>
      </c>
      <c r="AJ115" s="78">
        <f t="shared" si="18"/>
        <v>4950</v>
      </c>
      <c r="AK115" s="72">
        <f t="shared" si="19"/>
        <v>10725</v>
      </c>
    </row>
    <row r="116" spans="1:37" ht="15.95" customHeight="1">
      <c r="A116" s="25" t="s">
        <v>702</v>
      </c>
      <c r="B116" s="25" t="s">
        <v>463</v>
      </c>
      <c r="C116" s="26" t="s">
        <v>44</v>
      </c>
      <c r="D116" s="26" t="s">
        <v>375</v>
      </c>
      <c r="E116" s="26" t="s">
        <v>16</v>
      </c>
      <c r="F116" s="26" t="s">
        <v>757</v>
      </c>
      <c r="G116" s="26"/>
      <c r="H116" s="27" t="s">
        <v>739</v>
      </c>
      <c r="I116" s="26" t="s">
        <v>27</v>
      </c>
      <c r="J116" s="28" t="s">
        <v>578</v>
      </c>
      <c r="K116" s="125">
        <v>98</v>
      </c>
      <c r="L116" s="29">
        <v>18.855</v>
      </c>
      <c r="M116" s="110">
        <v>13</v>
      </c>
      <c r="N116" s="30">
        <v>0.32</v>
      </c>
      <c r="O116" s="116">
        <v>4.16</v>
      </c>
      <c r="P116" s="30">
        <v>7.4999999999999997E-2</v>
      </c>
      <c r="Q116" s="116">
        <v>0.97499999999999998</v>
      </c>
      <c r="R116" s="30">
        <v>7.0000000000000007E-2</v>
      </c>
      <c r="S116" s="116">
        <v>0.23</v>
      </c>
      <c r="T116" s="117">
        <v>0.49</v>
      </c>
      <c r="U116" s="39">
        <v>250</v>
      </c>
      <c r="V116" s="32">
        <v>360</v>
      </c>
      <c r="W116" s="33">
        <v>60</v>
      </c>
      <c r="X116" s="32"/>
      <c r="Y116" s="32"/>
      <c r="Z116" s="32">
        <v>37</v>
      </c>
      <c r="AA116" s="34"/>
      <c r="AB116" s="35">
        <f t="shared" si="10"/>
        <v>707</v>
      </c>
      <c r="AC116" s="75">
        <f t="shared" si="11"/>
        <v>24500</v>
      </c>
      <c r="AD116" s="78">
        <f t="shared" si="12"/>
        <v>44786</v>
      </c>
      <c r="AE116" s="72">
        <f t="shared" si="13"/>
        <v>69286</v>
      </c>
      <c r="AF116" s="75">
        <f t="shared" si="14"/>
        <v>4713.75</v>
      </c>
      <c r="AG116" s="78">
        <f t="shared" si="15"/>
        <v>8400.1</v>
      </c>
      <c r="AH116" s="72">
        <f t="shared" si="16"/>
        <v>13113.85</v>
      </c>
      <c r="AI116" s="75">
        <f t="shared" si="17"/>
        <v>3250</v>
      </c>
      <c r="AJ116" s="78">
        <f t="shared" si="18"/>
        <v>5941</v>
      </c>
      <c r="AK116" s="72">
        <f t="shared" si="19"/>
        <v>9191</v>
      </c>
    </row>
    <row r="117" spans="1:37" ht="15.95" customHeight="1">
      <c r="A117" s="25" t="s">
        <v>702</v>
      </c>
      <c r="B117" s="25" t="s">
        <v>463</v>
      </c>
      <c r="C117" s="26" t="s">
        <v>267</v>
      </c>
      <c r="D117" s="26" t="s">
        <v>375</v>
      </c>
      <c r="E117" s="26" t="s">
        <v>16</v>
      </c>
      <c r="F117" s="26" t="s">
        <v>758</v>
      </c>
      <c r="G117" s="26"/>
      <c r="H117" s="27" t="s">
        <v>739</v>
      </c>
      <c r="I117" s="26" t="s">
        <v>27</v>
      </c>
      <c r="J117" s="28" t="s">
        <v>35</v>
      </c>
      <c r="K117" s="125">
        <v>100</v>
      </c>
      <c r="L117" s="29">
        <v>19.039499999999997</v>
      </c>
      <c r="M117" s="110">
        <v>13.5</v>
      </c>
      <c r="N117" s="30">
        <v>0.28199999999999997</v>
      </c>
      <c r="O117" s="116">
        <v>3.8069999999999995</v>
      </c>
      <c r="P117" s="30">
        <v>7.4999999999999997E-2</v>
      </c>
      <c r="Q117" s="116">
        <v>1.0125</v>
      </c>
      <c r="R117" s="30">
        <v>7.0000000000000007E-2</v>
      </c>
      <c r="S117" s="116">
        <v>0.23</v>
      </c>
      <c r="T117" s="117">
        <v>0.49</v>
      </c>
      <c r="U117" s="39">
        <v>250</v>
      </c>
      <c r="V117" s="32">
        <v>360</v>
      </c>
      <c r="W117" s="33">
        <v>50</v>
      </c>
      <c r="X117" s="32"/>
      <c r="Y117" s="32"/>
      <c r="Z117" s="32">
        <v>30</v>
      </c>
      <c r="AA117" s="34"/>
      <c r="AB117" s="35">
        <f t="shared" si="10"/>
        <v>690</v>
      </c>
      <c r="AC117" s="75">
        <f t="shared" si="11"/>
        <v>25000</v>
      </c>
      <c r="AD117" s="78">
        <f t="shared" si="12"/>
        <v>44000</v>
      </c>
      <c r="AE117" s="72">
        <f t="shared" si="13"/>
        <v>69000</v>
      </c>
      <c r="AF117" s="75">
        <f t="shared" si="14"/>
        <v>4759.8749999999991</v>
      </c>
      <c r="AG117" s="78">
        <f t="shared" si="15"/>
        <v>8211.1949999999997</v>
      </c>
      <c r="AH117" s="72">
        <f t="shared" si="16"/>
        <v>12971.07</v>
      </c>
      <c r="AI117" s="75">
        <f t="shared" si="17"/>
        <v>3375</v>
      </c>
      <c r="AJ117" s="78">
        <f t="shared" si="18"/>
        <v>5940</v>
      </c>
      <c r="AK117" s="72">
        <f t="shared" si="19"/>
        <v>9315</v>
      </c>
    </row>
    <row r="118" spans="1:37" ht="15.95" customHeight="1">
      <c r="A118" s="25" t="s">
        <v>702</v>
      </c>
      <c r="B118" s="25" t="s">
        <v>463</v>
      </c>
      <c r="C118" s="26" t="s">
        <v>14</v>
      </c>
      <c r="D118" s="26" t="s">
        <v>375</v>
      </c>
      <c r="E118" s="26" t="s">
        <v>16</v>
      </c>
      <c r="F118" s="26" t="s">
        <v>755</v>
      </c>
      <c r="G118" s="26"/>
      <c r="H118" s="27" t="s">
        <v>739</v>
      </c>
      <c r="I118" s="26" t="s">
        <v>27</v>
      </c>
      <c r="J118" s="28" t="s">
        <v>41</v>
      </c>
      <c r="K118" s="125">
        <v>160</v>
      </c>
      <c r="L118" s="29">
        <v>29.895499999999998</v>
      </c>
      <c r="M118" s="110">
        <v>21.5</v>
      </c>
      <c r="N118" s="30">
        <v>0.28199999999999997</v>
      </c>
      <c r="O118" s="116">
        <v>6.0629999999999997</v>
      </c>
      <c r="P118" s="30">
        <v>7.4999999999999997E-2</v>
      </c>
      <c r="Q118" s="116">
        <v>1.6125</v>
      </c>
      <c r="R118" s="30">
        <v>7.0000000000000007E-2</v>
      </c>
      <c r="S118" s="116">
        <v>0.23</v>
      </c>
      <c r="T118" s="117">
        <v>0.49</v>
      </c>
      <c r="U118" s="39">
        <v>400</v>
      </c>
      <c r="V118" s="32">
        <v>150</v>
      </c>
      <c r="W118" s="33"/>
      <c r="X118" s="32"/>
      <c r="Y118" s="32"/>
      <c r="Z118" s="32"/>
      <c r="AA118" s="34"/>
      <c r="AB118" s="35">
        <f t="shared" si="10"/>
        <v>550</v>
      </c>
      <c r="AC118" s="75">
        <f t="shared" si="11"/>
        <v>64000</v>
      </c>
      <c r="AD118" s="78">
        <f t="shared" si="12"/>
        <v>24000</v>
      </c>
      <c r="AE118" s="72">
        <f t="shared" si="13"/>
        <v>88000</v>
      </c>
      <c r="AF118" s="75">
        <f t="shared" si="14"/>
        <v>11958.199999999999</v>
      </c>
      <c r="AG118" s="78">
        <f t="shared" si="15"/>
        <v>4484.3249999999998</v>
      </c>
      <c r="AH118" s="72">
        <f t="shared" si="16"/>
        <v>16442.524999999998</v>
      </c>
      <c r="AI118" s="75">
        <f t="shared" si="17"/>
        <v>8600</v>
      </c>
      <c r="AJ118" s="78">
        <f t="shared" si="18"/>
        <v>3225</v>
      </c>
      <c r="AK118" s="72">
        <f t="shared" si="19"/>
        <v>11825</v>
      </c>
    </row>
    <row r="119" spans="1:37" ht="15.95" customHeight="1">
      <c r="A119" s="25" t="s">
        <v>702</v>
      </c>
      <c r="B119" s="25" t="s">
        <v>463</v>
      </c>
      <c r="C119" s="26" t="s">
        <v>21</v>
      </c>
      <c r="D119" s="26" t="s">
        <v>375</v>
      </c>
      <c r="E119" s="26" t="s">
        <v>16</v>
      </c>
      <c r="F119" s="26" t="s">
        <v>756</v>
      </c>
      <c r="G119" s="26"/>
      <c r="H119" s="27" t="s">
        <v>739</v>
      </c>
      <c r="I119" s="26" t="s">
        <v>27</v>
      </c>
      <c r="J119" s="28" t="s">
        <v>43</v>
      </c>
      <c r="K119" s="125">
        <v>125</v>
      </c>
      <c r="L119" s="29">
        <v>23.110499999999998</v>
      </c>
      <c r="M119" s="110">
        <v>16.5</v>
      </c>
      <c r="N119" s="30">
        <v>0.28199999999999997</v>
      </c>
      <c r="O119" s="116">
        <v>4.6529999999999996</v>
      </c>
      <c r="P119" s="30">
        <v>7.4999999999999997E-2</v>
      </c>
      <c r="Q119" s="116">
        <v>1.2375</v>
      </c>
      <c r="R119" s="30">
        <v>7.0000000000000007E-2</v>
      </c>
      <c r="S119" s="116">
        <v>0.23</v>
      </c>
      <c r="T119" s="117">
        <v>0.49</v>
      </c>
      <c r="U119" s="39">
        <v>400</v>
      </c>
      <c r="V119" s="32">
        <v>150</v>
      </c>
      <c r="W119" s="33"/>
      <c r="X119" s="32"/>
      <c r="Y119" s="32"/>
      <c r="Z119" s="32"/>
      <c r="AA119" s="34"/>
      <c r="AB119" s="35">
        <f t="shared" si="10"/>
        <v>550</v>
      </c>
      <c r="AC119" s="75">
        <f t="shared" si="11"/>
        <v>50000</v>
      </c>
      <c r="AD119" s="78">
        <f t="shared" si="12"/>
        <v>18750</v>
      </c>
      <c r="AE119" s="72">
        <f t="shared" si="13"/>
        <v>68750</v>
      </c>
      <c r="AF119" s="75">
        <f t="shared" si="14"/>
        <v>9244.1999999999989</v>
      </c>
      <c r="AG119" s="78">
        <f t="shared" si="15"/>
        <v>3466.5749999999998</v>
      </c>
      <c r="AH119" s="72">
        <f t="shared" si="16"/>
        <v>12710.774999999998</v>
      </c>
      <c r="AI119" s="75">
        <f t="shared" si="17"/>
        <v>6600</v>
      </c>
      <c r="AJ119" s="78">
        <f t="shared" si="18"/>
        <v>2475</v>
      </c>
      <c r="AK119" s="72">
        <f t="shared" si="19"/>
        <v>9075</v>
      </c>
    </row>
    <row r="120" spans="1:37" ht="15.95" customHeight="1">
      <c r="A120" s="25" t="s">
        <v>702</v>
      </c>
      <c r="B120" s="25" t="s">
        <v>463</v>
      </c>
      <c r="C120" s="26" t="s">
        <v>44</v>
      </c>
      <c r="D120" s="26" t="s">
        <v>375</v>
      </c>
      <c r="E120" s="26" t="s">
        <v>16</v>
      </c>
      <c r="F120" s="26" t="s">
        <v>757</v>
      </c>
      <c r="G120" s="26"/>
      <c r="H120" s="27" t="s">
        <v>739</v>
      </c>
      <c r="I120" s="26" t="s">
        <v>27</v>
      </c>
      <c r="J120" s="28" t="s">
        <v>578</v>
      </c>
      <c r="K120" s="125">
        <v>98</v>
      </c>
      <c r="L120" s="29">
        <v>18.855</v>
      </c>
      <c r="M120" s="110">
        <v>13</v>
      </c>
      <c r="N120" s="30">
        <v>0.32</v>
      </c>
      <c r="O120" s="116">
        <v>4.16</v>
      </c>
      <c r="P120" s="30">
        <v>7.4999999999999997E-2</v>
      </c>
      <c r="Q120" s="116">
        <v>0.97499999999999998</v>
      </c>
      <c r="R120" s="30">
        <v>7.0000000000000007E-2</v>
      </c>
      <c r="S120" s="116">
        <v>0.23</v>
      </c>
      <c r="T120" s="117">
        <v>0.49</v>
      </c>
      <c r="U120" s="39">
        <v>250</v>
      </c>
      <c r="V120" s="32">
        <v>300</v>
      </c>
      <c r="W120" s="33">
        <v>60</v>
      </c>
      <c r="X120" s="32"/>
      <c r="Y120" s="32"/>
      <c r="Z120" s="32"/>
      <c r="AA120" s="34"/>
      <c r="AB120" s="35">
        <f t="shared" si="10"/>
        <v>610</v>
      </c>
      <c r="AC120" s="75">
        <f t="shared" si="11"/>
        <v>24500</v>
      </c>
      <c r="AD120" s="78">
        <f t="shared" si="12"/>
        <v>35280</v>
      </c>
      <c r="AE120" s="72">
        <f t="shared" si="13"/>
        <v>59780</v>
      </c>
      <c r="AF120" s="75">
        <f t="shared" si="14"/>
        <v>4713.75</v>
      </c>
      <c r="AG120" s="78">
        <f t="shared" si="15"/>
        <v>6787.8</v>
      </c>
      <c r="AH120" s="72">
        <f t="shared" si="16"/>
        <v>11501.55</v>
      </c>
      <c r="AI120" s="75">
        <f t="shared" si="17"/>
        <v>3250</v>
      </c>
      <c r="AJ120" s="78">
        <f t="shared" si="18"/>
        <v>4680</v>
      </c>
      <c r="AK120" s="72">
        <f t="shared" si="19"/>
        <v>7930</v>
      </c>
    </row>
    <row r="121" spans="1:37" ht="15.95" customHeight="1">
      <c r="A121" s="25" t="s">
        <v>702</v>
      </c>
      <c r="B121" s="25" t="s">
        <v>463</v>
      </c>
      <c r="C121" s="26" t="s">
        <v>267</v>
      </c>
      <c r="D121" s="26" t="s">
        <v>375</v>
      </c>
      <c r="E121" s="26" t="s">
        <v>16</v>
      </c>
      <c r="F121" s="26" t="s">
        <v>758</v>
      </c>
      <c r="G121" s="26"/>
      <c r="H121" s="27" t="s">
        <v>739</v>
      </c>
      <c r="I121" s="26" t="s">
        <v>27</v>
      </c>
      <c r="J121" s="28" t="s">
        <v>35</v>
      </c>
      <c r="K121" s="125">
        <v>100</v>
      </c>
      <c r="L121" s="29">
        <v>19.039499999999997</v>
      </c>
      <c r="M121" s="110">
        <v>13.5</v>
      </c>
      <c r="N121" s="30">
        <v>0.28199999999999997</v>
      </c>
      <c r="O121" s="116">
        <v>3.8069999999999995</v>
      </c>
      <c r="P121" s="30">
        <v>7.4999999999999997E-2</v>
      </c>
      <c r="Q121" s="116">
        <v>1.0125</v>
      </c>
      <c r="R121" s="30">
        <v>7.0000000000000007E-2</v>
      </c>
      <c r="S121" s="116">
        <v>0.23</v>
      </c>
      <c r="T121" s="117">
        <v>0.49</v>
      </c>
      <c r="U121" s="39">
        <v>250</v>
      </c>
      <c r="V121" s="32">
        <v>300</v>
      </c>
      <c r="W121" s="33">
        <v>50</v>
      </c>
      <c r="X121" s="32"/>
      <c r="Y121" s="32"/>
      <c r="Z121" s="32"/>
      <c r="AA121" s="34"/>
      <c r="AB121" s="35">
        <f t="shared" si="10"/>
        <v>600</v>
      </c>
      <c r="AC121" s="75">
        <f t="shared" si="11"/>
        <v>25000</v>
      </c>
      <c r="AD121" s="78">
        <f t="shared" si="12"/>
        <v>35000</v>
      </c>
      <c r="AE121" s="72">
        <f t="shared" si="13"/>
        <v>60000</v>
      </c>
      <c r="AF121" s="75">
        <f t="shared" si="14"/>
        <v>4759.8749999999991</v>
      </c>
      <c r="AG121" s="78">
        <f t="shared" si="15"/>
        <v>6663.8249999999989</v>
      </c>
      <c r="AH121" s="72">
        <f t="shared" si="16"/>
        <v>11423.699999999997</v>
      </c>
      <c r="AI121" s="75">
        <f t="shared" si="17"/>
        <v>3375</v>
      </c>
      <c r="AJ121" s="78">
        <f t="shared" si="18"/>
        <v>4725</v>
      </c>
      <c r="AK121" s="72">
        <f t="shared" si="19"/>
        <v>8100</v>
      </c>
    </row>
    <row r="122" spans="1:37" ht="15.95" customHeight="1">
      <c r="A122" s="25" t="s">
        <v>702</v>
      </c>
      <c r="B122" s="25" t="s">
        <v>463</v>
      </c>
      <c r="C122" s="26" t="s">
        <v>14</v>
      </c>
      <c r="D122" s="26" t="s">
        <v>375</v>
      </c>
      <c r="E122" s="26" t="s">
        <v>16</v>
      </c>
      <c r="F122" s="26" t="s">
        <v>945</v>
      </c>
      <c r="G122" s="26"/>
      <c r="H122" s="27" t="s">
        <v>739</v>
      </c>
      <c r="I122" s="26" t="s">
        <v>27</v>
      </c>
      <c r="J122" s="28" t="s">
        <v>41</v>
      </c>
      <c r="K122" s="123">
        <v>160</v>
      </c>
      <c r="L122" s="29">
        <v>29.895499999999998</v>
      </c>
      <c r="M122" s="110">
        <v>21.5</v>
      </c>
      <c r="N122" s="30">
        <v>0.28199999999999997</v>
      </c>
      <c r="O122" s="116">
        <v>6.0629999999999997</v>
      </c>
      <c r="P122" s="30">
        <v>7.4999999999999997E-2</v>
      </c>
      <c r="Q122" s="116">
        <v>1.6125</v>
      </c>
      <c r="R122" s="30">
        <v>7.0000000000000007E-2</v>
      </c>
      <c r="S122" s="116">
        <v>0.23</v>
      </c>
      <c r="T122" s="117">
        <v>0.49</v>
      </c>
      <c r="U122" s="39">
        <v>200</v>
      </c>
      <c r="V122" s="32">
        <v>200</v>
      </c>
      <c r="W122" s="33">
        <v>70</v>
      </c>
      <c r="X122" s="32"/>
      <c r="Y122" s="32"/>
      <c r="Z122" s="32">
        <v>39</v>
      </c>
      <c r="AA122" s="34"/>
      <c r="AB122" s="35">
        <f t="shared" si="10"/>
        <v>509</v>
      </c>
      <c r="AC122" s="75">
        <f t="shared" si="11"/>
        <v>32000</v>
      </c>
      <c r="AD122" s="78">
        <f t="shared" si="12"/>
        <v>49440</v>
      </c>
      <c r="AE122" s="72">
        <f t="shared" si="13"/>
        <v>81440</v>
      </c>
      <c r="AF122" s="75">
        <f t="shared" si="14"/>
        <v>5979.0999999999995</v>
      </c>
      <c r="AG122" s="78">
        <f t="shared" si="15"/>
        <v>8910.2849999999999</v>
      </c>
      <c r="AH122" s="72">
        <f t="shared" si="16"/>
        <v>14889.384999999998</v>
      </c>
      <c r="AI122" s="75">
        <f t="shared" si="17"/>
        <v>4300</v>
      </c>
      <c r="AJ122" s="78">
        <f t="shared" si="18"/>
        <v>6643.5</v>
      </c>
      <c r="AK122" s="72">
        <f t="shared" si="19"/>
        <v>10943.5</v>
      </c>
    </row>
    <row r="123" spans="1:37" ht="15.95" customHeight="1">
      <c r="A123" s="25" t="s">
        <v>702</v>
      </c>
      <c r="B123" s="25" t="s">
        <v>463</v>
      </c>
      <c r="C123" s="26" t="s">
        <v>21</v>
      </c>
      <c r="D123" s="26" t="s">
        <v>375</v>
      </c>
      <c r="E123" s="26" t="s">
        <v>16</v>
      </c>
      <c r="F123" s="26" t="s">
        <v>946</v>
      </c>
      <c r="G123" s="26"/>
      <c r="H123" s="27" t="s">
        <v>739</v>
      </c>
      <c r="I123" s="26" t="s">
        <v>27</v>
      </c>
      <c r="J123" s="28" t="s">
        <v>43</v>
      </c>
      <c r="K123" s="123">
        <v>125</v>
      </c>
      <c r="L123" s="29">
        <v>23.110499999999998</v>
      </c>
      <c r="M123" s="110">
        <v>16.5</v>
      </c>
      <c r="N123" s="30">
        <v>0.28199999999999997</v>
      </c>
      <c r="O123" s="116">
        <v>4.6529999999999996</v>
      </c>
      <c r="P123" s="30">
        <v>7.4999999999999997E-2</v>
      </c>
      <c r="Q123" s="116">
        <v>1.2375</v>
      </c>
      <c r="R123" s="30">
        <v>7.0000000000000007E-2</v>
      </c>
      <c r="S123" s="116">
        <v>0.23</v>
      </c>
      <c r="T123" s="117">
        <v>0.49</v>
      </c>
      <c r="U123" s="39">
        <v>200</v>
      </c>
      <c r="V123" s="32">
        <v>200</v>
      </c>
      <c r="W123" s="33">
        <v>50</v>
      </c>
      <c r="X123" s="32"/>
      <c r="Y123" s="32"/>
      <c r="Z123" s="32">
        <v>31</v>
      </c>
      <c r="AA123" s="34"/>
      <c r="AB123" s="35">
        <f t="shared" si="10"/>
        <v>481</v>
      </c>
      <c r="AC123" s="75">
        <f t="shared" si="11"/>
        <v>25000</v>
      </c>
      <c r="AD123" s="78">
        <f t="shared" si="12"/>
        <v>35125</v>
      </c>
      <c r="AE123" s="72">
        <f t="shared" si="13"/>
        <v>60125</v>
      </c>
      <c r="AF123" s="75">
        <f t="shared" si="14"/>
        <v>4622.0999999999995</v>
      </c>
      <c r="AG123" s="78">
        <f t="shared" si="15"/>
        <v>6289.125</v>
      </c>
      <c r="AH123" s="72">
        <f t="shared" si="16"/>
        <v>10911.224999999999</v>
      </c>
      <c r="AI123" s="75">
        <f t="shared" si="17"/>
        <v>3300</v>
      </c>
      <c r="AJ123" s="78">
        <f t="shared" si="18"/>
        <v>4636.5</v>
      </c>
      <c r="AK123" s="72">
        <f t="shared" si="19"/>
        <v>7936.5</v>
      </c>
    </row>
    <row r="124" spans="1:37" ht="15.95" customHeight="1">
      <c r="A124" s="25" t="s">
        <v>702</v>
      </c>
      <c r="B124" s="25" t="s">
        <v>463</v>
      </c>
      <c r="C124" s="26" t="s">
        <v>44</v>
      </c>
      <c r="D124" s="26" t="s">
        <v>375</v>
      </c>
      <c r="E124" s="26" t="s">
        <v>16</v>
      </c>
      <c r="F124" s="26" t="s">
        <v>757</v>
      </c>
      <c r="G124" s="26"/>
      <c r="H124" s="27" t="s">
        <v>739</v>
      </c>
      <c r="I124" s="26" t="s">
        <v>27</v>
      </c>
      <c r="J124" s="28" t="s">
        <v>578</v>
      </c>
      <c r="K124" s="123">
        <v>98</v>
      </c>
      <c r="L124" s="29">
        <v>18.855</v>
      </c>
      <c r="M124" s="110">
        <v>13</v>
      </c>
      <c r="N124" s="30">
        <v>0.32</v>
      </c>
      <c r="O124" s="116">
        <v>4.16</v>
      </c>
      <c r="P124" s="30">
        <v>7.4999999999999997E-2</v>
      </c>
      <c r="Q124" s="116">
        <v>0.97499999999999998</v>
      </c>
      <c r="R124" s="30">
        <v>7.0000000000000007E-2</v>
      </c>
      <c r="S124" s="116">
        <v>0.23</v>
      </c>
      <c r="T124" s="117">
        <v>0.49</v>
      </c>
      <c r="U124" s="39">
        <v>250</v>
      </c>
      <c r="V124" s="32">
        <v>240</v>
      </c>
      <c r="W124" s="33"/>
      <c r="X124" s="32"/>
      <c r="Y124" s="32"/>
      <c r="Z124" s="32">
        <v>25</v>
      </c>
      <c r="AA124" s="34"/>
      <c r="AB124" s="35">
        <f t="shared" si="10"/>
        <v>515</v>
      </c>
      <c r="AC124" s="75">
        <f t="shared" si="11"/>
        <v>24500</v>
      </c>
      <c r="AD124" s="78">
        <f t="shared" si="12"/>
        <v>25970</v>
      </c>
      <c r="AE124" s="72">
        <f t="shared" si="13"/>
        <v>50470</v>
      </c>
      <c r="AF124" s="75">
        <f t="shared" si="14"/>
        <v>4713.75</v>
      </c>
      <c r="AG124" s="78">
        <f t="shared" si="15"/>
        <v>4850.2</v>
      </c>
      <c r="AH124" s="72">
        <f t="shared" si="16"/>
        <v>9563.9500000000007</v>
      </c>
      <c r="AI124" s="75">
        <f t="shared" si="17"/>
        <v>3250</v>
      </c>
      <c r="AJ124" s="78">
        <f t="shared" si="18"/>
        <v>3445</v>
      </c>
      <c r="AK124" s="72">
        <f t="shared" si="19"/>
        <v>6695</v>
      </c>
    </row>
    <row r="125" spans="1:37" ht="15.95" customHeight="1">
      <c r="A125" s="25" t="s">
        <v>702</v>
      </c>
      <c r="B125" s="25" t="s">
        <v>463</v>
      </c>
      <c r="C125" s="26" t="s">
        <v>267</v>
      </c>
      <c r="D125" s="26" t="s">
        <v>375</v>
      </c>
      <c r="E125" s="26" t="s">
        <v>16</v>
      </c>
      <c r="F125" s="26" t="s">
        <v>758</v>
      </c>
      <c r="G125" s="26"/>
      <c r="H125" s="27" t="s">
        <v>739</v>
      </c>
      <c r="I125" s="26" t="s">
        <v>27</v>
      </c>
      <c r="J125" s="28" t="s">
        <v>35</v>
      </c>
      <c r="K125" s="123">
        <v>100</v>
      </c>
      <c r="L125" s="29">
        <v>19.039499999999997</v>
      </c>
      <c r="M125" s="110">
        <v>13.5</v>
      </c>
      <c r="N125" s="30">
        <v>0.28199999999999997</v>
      </c>
      <c r="O125" s="116">
        <v>3.8069999999999995</v>
      </c>
      <c r="P125" s="30">
        <v>7.4999999999999997E-2</v>
      </c>
      <c r="Q125" s="116">
        <v>1.0125</v>
      </c>
      <c r="R125" s="30">
        <v>7.0000000000000007E-2</v>
      </c>
      <c r="S125" s="116">
        <v>0.23</v>
      </c>
      <c r="T125" s="117">
        <v>0.49</v>
      </c>
      <c r="U125" s="39">
        <v>250</v>
      </c>
      <c r="V125" s="32">
        <v>240</v>
      </c>
      <c r="W125" s="33"/>
      <c r="X125" s="32"/>
      <c r="Y125" s="32"/>
      <c r="Z125" s="32">
        <v>25</v>
      </c>
      <c r="AA125" s="34"/>
      <c r="AB125" s="35">
        <f t="shared" si="10"/>
        <v>515</v>
      </c>
      <c r="AC125" s="75">
        <f t="shared" si="11"/>
        <v>25000</v>
      </c>
      <c r="AD125" s="78">
        <f t="shared" si="12"/>
        <v>26500</v>
      </c>
      <c r="AE125" s="72">
        <f t="shared" si="13"/>
        <v>51500</v>
      </c>
      <c r="AF125" s="75">
        <f t="shared" si="14"/>
        <v>4759.8749999999991</v>
      </c>
      <c r="AG125" s="78">
        <f t="shared" si="15"/>
        <v>4906.9799999999996</v>
      </c>
      <c r="AH125" s="72">
        <f t="shared" si="16"/>
        <v>9666.8549999999996</v>
      </c>
      <c r="AI125" s="75">
        <f t="shared" si="17"/>
        <v>3375</v>
      </c>
      <c r="AJ125" s="78">
        <f t="shared" si="18"/>
        <v>3577.5</v>
      </c>
      <c r="AK125" s="72">
        <f t="shared" si="19"/>
        <v>6952.5</v>
      </c>
    </row>
    <row r="126" spans="1:37" ht="15.95" customHeight="1">
      <c r="A126" s="25" t="s">
        <v>702</v>
      </c>
      <c r="B126" s="25" t="s">
        <v>463</v>
      </c>
      <c r="C126" s="26" t="s">
        <v>728</v>
      </c>
      <c r="D126" s="26" t="s">
        <v>375</v>
      </c>
      <c r="E126" s="26" t="s">
        <v>16</v>
      </c>
      <c r="F126" s="26" t="s">
        <v>947</v>
      </c>
      <c r="G126" s="26"/>
      <c r="H126" s="27" t="s">
        <v>739</v>
      </c>
      <c r="I126" s="26" t="s">
        <v>27</v>
      </c>
      <c r="J126" s="28"/>
      <c r="K126" s="123"/>
      <c r="L126" s="29">
        <v>52.014599999999994</v>
      </c>
      <c r="M126" s="110">
        <v>37.799999999999997</v>
      </c>
      <c r="N126" s="30">
        <v>0.28199999999999997</v>
      </c>
      <c r="O126" s="116">
        <v>10.659599999999998</v>
      </c>
      <c r="P126" s="30">
        <v>7.4999999999999997E-2</v>
      </c>
      <c r="Q126" s="116">
        <v>2.8349999999999995</v>
      </c>
      <c r="R126" s="30">
        <v>7.0000000000000007E-2</v>
      </c>
      <c r="S126" s="116">
        <v>0.23</v>
      </c>
      <c r="T126" s="117">
        <v>0.49</v>
      </c>
      <c r="U126" s="39"/>
      <c r="V126" s="32"/>
      <c r="W126" s="33"/>
      <c r="X126" s="32"/>
      <c r="Y126" s="32"/>
      <c r="Z126" s="32">
        <v>12</v>
      </c>
      <c r="AA126" s="34"/>
      <c r="AB126" s="35">
        <f t="shared" si="10"/>
        <v>12</v>
      </c>
      <c r="AC126" s="75">
        <f t="shared" si="11"/>
        <v>0</v>
      </c>
      <c r="AD126" s="78">
        <f t="shared" si="12"/>
        <v>0</v>
      </c>
      <c r="AE126" s="72">
        <f t="shared" si="13"/>
        <v>0</v>
      </c>
      <c r="AF126" s="75">
        <f t="shared" si="14"/>
        <v>0</v>
      </c>
      <c r="AG126" s="78">
        <f t="shared" si="15"/>
        <v>453.59999999999997</v>
      </c>
      <c r="AH126" s="72">
        <f t="shared" si="16"/>
        <v>453.59999999999997</v>
      </c>
      <c r="AI126" s="75">
        <f t="shared" si="17"/>
        <v>0</v>
      </c>
      <c r="AJ126" s="78">
        <f t="shared" si="18"/>
        <v>453.59999999999997</v>
      </c>
      <c r="AK126" s="72">
        <f t="shared" si="19"/>
        <v>453.59999999999997</v>
      </c>
    </row>
    <row r="127" spans="1:37" ht="15.95" customHeight="1">
      <c r="A127" s="25" t="s">
        <v>702</v>
      </c>
      <c r="B127" s="25" t="s">
        <v>463</v>
      </c>
      <c r="C127" s="26" t="s">
        <v>728</v>
      </c>
      <c r="D127" s="26" t="s">
        <v>375</v>
      </c>
      <c r="E127" s="26" t="s">
        <v>16</v>
      </c>
      <c r="F127" s="26" t="s">
        <v>947</v>
      </c>
      <c r="G127" s="26"/>
      <c r="H127" s="27" t="s">
        <v>739</v>
      </c>
      <c r="I127" s="26" t="s">
        <v>27</v>
      </c>
      <c r="J127" s="28"/>
      <c r="K127" s="123"/>
      <c r="L127" s="29">
        <v>52.014599999999994</v>
      </c>
      <c r="M127" s="110">
        <v>37.799999999999997</v>
      </c>
      <c r="N127" s="30">
        <v>0.28199999999999997</v>
      </c>
      <c r="O127" s="116">
        <v>10.659599999999998</v>
      </c>
      <c r="P127" s="30">
        <v>7.4999999999999997E-2</v>
      </c>
      <c r="Q127" s="116">
        <v>2.8349999999999995</v>
      </c>
      <c r="R127" s="30">
        <v>7.0000000000000007E-2</v>
      </c>
      <c r="S127" s="116">
        <v>0.23</v>
      </c>
      <c r="T127" s="117">
        <v>0.49</v>
      </c>
      <c r="U127" s="39"/>
      <c r="V127" s="32"/>
      <c r="W127" s="33"/>
      <c r="X127" s="32"/>
      <c r="Y127" s="32"/>
      <c r="Z127" s="32">
        <v>56</v>
      </c>
      <c r="AA127" s="34"/>
      <c r="AB127" s="35">
        <f t="shared" si="10"/>
        <v>56</v>
      </c>
      <c r="AC127" s="75">
        <f t="shared" si="11"/>
        <v>0</v>
      </c>
      <c r="AD127" s="78">
        <f t="shared" si="12"/>
        <v>0</v>
      </c>
      <c r="AE127" s="72">
        <f t="shared" si="13"/>
        <v>0</v>
      </c>
      <c r="AF127" s="75">
        <f t="shared" si="14"/>
        <v>0</v>
      </c>
      <c r="AG127" s="78">
        <f t="shared" si="15"/>
        <v>2116.7999999999997</v>
      </c>
      <c r="AH127" s="72">
        <f t="shared" si="16"/>
        <v>2116.7999999999997</v>
      </c>
      <c r="AI127" s="75">
        <f t="shared" si="17"/>
        <v>0</v>
      </c>
      <c r="AJ127" s="78">
        <f t="shared" si="18"/>
        <v>2116.7999999999997</v>
      </c>
      <c r="AK127" s="72">
        <f t="shared" si="19"/>
        <v>2116.7999999999997</v>
      </c>
    </row>
    <row r="128" spans="1:37" ht="15.95" customHeight="1">
      <c r="A128" s="25" t="s">
        <v>702</v>
      </c>
      <c r="B128" s="25" t="s">
        <v>463</v>
      </c>
      <c r="C128" s="26" t="s">
        <v>124</v>
      </c>
      <c r="D128" s="26" t="s">
        <v>375</v>
      </c>
      <c r="E128" s="26" t="s">
        <v>16</v>
      </c>
      <c r="F128" s="26" t="s">
        <v>759</v>
      </c>
      <c r="G128" s="26"/>
      <c r="H128" s="27" t="s">
        <v>760</v>
      </c>
      <c r="I128" s="26" t="s">
        <v>27</v>
      </c>
      <c r="J128" s="28" t="s">
        <v>41</v>
      </c>
      <c r="K128" s="123">
        <v>160</v>
      </c>
      <c r="L128" s="29">
        <v>31.931000000000001</v>
      </c>
      <c r="M128" s="110">
        <v>23</v>
      </c>
      <c r="N128" s="30">
        <v>0.28199999999999997</v>
      </c>
      <c r="O128" s="116">
        <v>6.4859999999999998</v>
      </c>
      <c r="P128" s="30">
        <v>7.4999999999999997E-2</v>
      </c>
      <c r="Q128" s="116">
        <v>1.7249999999999999</v>
      </c>
      <c r="R128" s="30">
        <v>7.0000000000000007E-2</v>
      </c>
      <c r="S128" s="116">
        <v>0.23</v>
      </c>
      <c r="T128" s="117">
        <v>0.49</v>
      </c>
      <c r="U128" s="39">
        <v>300</v>
      </c>
      <c r="V128" s="32"/>
      <c r="W128" s="33"/>
      <c r="X128" s="32"/>
      <c r="Y128" s="32"/>
      <c r="Z128" s="32"/>
      <c r="AA128" s="34"/>
      <c r="AB128" s="35">
        <f t="shared" si="10"/>
        <v>300</v>
      </c>
      <c r="AC128" s="75">
        <f t="shared" si="11"/>
        <v>48000</v>
      </c>
      <c r="AD128" s="78">
        <f t="shared" si="12"/>
        <v>0</v>
      </c>
      <c r="AE128" s="72">
        <f t="shared" si="13"/>
        <v>48000</v>
      </c>
      <c r="AF128" s="75">
        <f t="shared" si="14"/>
        <v>9579.3000000000011</v>
      </c>
      <c r="AG128" s="78">
        <f t="shared" si="15"/>
        <v>0</v>
      </c>
      <c r="AH128" s="72">
        <f t="shared" si="16"/>
        <v>9579.3000000000011</v>
      </c>
      <c r="AI128" s="75">
        <f t="shared" si="17"/>
        <v>6900</v>
      </c>
      <c r="AJ128" s="78">
        <f t="shared" si="18"/>
        <v>0</v>
      </c>
      <c r="AK128" s="72">
        <f t="shared" si="19"/>
        <v>6900</v>
      </c>
    </row>
    <row r="129" spans="1:37" ht="15.95" customHeight="1">
      <c r="A129" s="25" t="s">
        <v>702</v>
      </c>
      <c r="B129" s="25" t="s">
        <v>463</v>
      </c>
      <c r="C129" s="26" t="s">
        <v>124</v>
      </c>
      <c r="D129" s="26" t="s">
        <v>375</v>
      </c>
      <c r="E129" s="26" t="s">
        <v>16</v>
      </c>
      <c r="F129" s="26" t="s">
        <v>759</v>
      </c>
      <c r="G129" s="26"/>
      <c r="H129" s="27" t="s">
        <v>760</v>
      </c>
      <c r="I129" s="26" t="s">
        <v>27</v>
      </c>
      <c r="J129" s="28" t="s">
        <v>41</v>
      </c>
      <c r="K129" s="123">
        <v>160</v>
      </c>
      <c r="L129" s="29">
        <v>31.931000000000001</v>
      </c>
      <c r="M129" s="110">
        <v>23</v>
      </c>
      <c r="N129" s="30">
        <v>0.28199999999999997</v>
      </c>
      <c r="O129" s="116">
        <v>6.4859999999999998</v>
      </c>
      <c r="P129" s="30">
        <v>7.4999999999999997E-2</v>
      </c>
      <c r="Q129" s="116">
        <v>1.7249999999999999</v>
      </c>
      <c r="R129" s="30">
        <v>7.0000000000000007E-2</v>
      </c>
      <c r="S129" s="116">
        <v>0.23</v>
      </c>
      <c r="T129" s="117">
        <v>0.49</v>
      </c>
      <c r="U129" s="39">
        <v>300</v>
      </c>
      <c r="V129" s="32"/>
      <c r="W129" s="33"/>
      <c r="X129" s="32"/>
      <c r="Y129" s="32"/>
      <c r="Z129" s="32"/>
      <c r="AA129" s="34"/>
      <c r="AB129" s="35">
        <f t="shared" si="10"/>
        <v>300</v>
      </c>
      <c r="AC129" s="75">
        <f t="shared" si="11"/>
        <v>48000</v>
      </c>
      <c r="AD129" s="78">
        <f t="shared" si="12"/>
        <v>0</v>
      </c>
      <c r="AE129" s="72">
        <f t="shared" si="13"/>
        <v>48000</v>
      </c>
      <c r="AF129" s="75">
        <f t="shared" si="14"/>
        <v>9579.3000000000011</v>
      </c>
      <c r="AG129" s="78">
        <f t="shared" si="15"/>
        <v>0</v>
      </c>
      <c r="AH129" s="72">
        <f t="shared" si="16"/>
        <v>9579.3000000000011</v>
      </c>
      <c r="AI129" s="75">
        <f t="shared" si="17"/>
        <v>6900</v>
      </c>
      <c r="AJ129" s="78">
        <f t="shared" si="18"/>
        <v>0</v>
      </c>
      <c r="AK129" s="72">
        <f t="shared" si="19"/>
        <v>6900</v>
      </c>
    </row>
    <row r="130" spans="1:37" ht="15.95" customHeight="1">
      <c r="A130" s="25" t="s">
        <v>702</v>
      </c>
      <c r="B130" s="25" t="s">
        <v>463</v>
      </c>
      <c r="C130" s="26" t="s">
        <v>368</v>
      </c>
      <c r="D130" s="26" t="s">
        <v>375</v>
      </c>
      <c r="E130" s="26" t="s">
        <v>16</v>
      </c>
      <c r="F130" s="26" t="s">
        <v>761</v>
      </c>
      <c r="G130" s="26"/>
      <c r="H130" s="27" t="s">
        <v>762</v>
      </c>
      <c r="I130" s="26" t="s">
        <v>19</v>
      </c>
      <c r="J130" s="28" t="s">
        <v>372</v>
      </c>
      <c r="K130" s="123">
        <v>48</v>
      </c>
      <c r="L130" s="29">
        <v>11.262500000000001</v>
      </c>
      <c r="M130" s="110">
        <v>7.75</v>
      </c>
      <c r="N130" s="30">
        <v>7.0000000000000007E-2</v>
      </c>
      <c r="O130" s="116">
        <v>0.54250000000000009</v>
      </c>
      <c r="P130" s="30">
        <v>0.25</v>
      </c>
      <c r="Q130" s="116">
        <v>1.9375</v>
      </c>
      <c r="R130" s="30">
        <v>7.0000000000000007E-2</v>
      </c>
      <c r="S130" s="116">
        <v>0.54250000000000009</v>
      </c>
      <c r="T130" s="117">
        <v>0.49</v>
      </c>
      <c r="U130" s="39">
        <v>150</v>
      </c>
      <c r="V130" s="32">
        <v>100</v>
      </c>
      <c r="W130" s="33"/>
      <c r="X130" s="32"/>
      <c r="Y130" s="32"/>
      <c r="Z130" s="32"/>
      <c r="AA130" s="34"/>
      <c r="AB130" s="35">
        <f t="shared" si="10"/>
        <v>250</v>
      </c>
      <c r="AC130" s="75">
        <f t="shared" si="11"/>
        <v>7200</v>
      </c>
      <c r="AD130" s="78">
        <f t="shared" si="12"/>
        <v>4800</v>
      </c>
      <c r="AE130" s="72">
        <f t="shared" si="13"/>
        <v>12000</v>
      </c>
      <c r="AF130" s="75">
        <f t="shared" si="14"/>
        <v>1689.3750000000002</v>
      </c>
      <c r="AG130" s="78">
        <f t="shared" si="15"/>
        <v>1126.25</v>
      </c>
      <c r="AH130" s="72">
        <f t="shared" si="16"/>
        <v>2815.625</v>
      </c>
      <c r="AI130" s="75">
        <f t="shared" si="17"/>
        <v>1162.5</v>
      </c>
      <c r="AJ130" s="78">
        <f t="shared" si="18"/>
        <v>775</v>
      </c>
      <c r="AK130" s="72">
        <f t="shared" si="19"/>
        <v>1937.5</v>
      </c>
    </row>
    <row r="131" spans="1:37" ht="15.95" customHeight="1">
      <c r="A131" s="25" t="s">
        <v>702</v>
      </c>
      <c r="B131" s="25" t="s">
        <v>463</v>
      </c>
      <c r="C131" s="26" t="s">
        <v>368</v>
      </c>
      <c r="D131" s="26" t="s">
        <v>375</v>
      </c>
      <c r="E131" s="26" t="s">
        <v>16</v>
      </c>
      <c r="F131" s="26" t="s">
        <v>761</v>
      </c>
      <c r="G131" s="26"/>
      <c r="H131" s="27" t="s">
        <v>762</v>
      </c>
      <c r="I131" s="26" t="s">
        <v>19</v>
      </c>
      <c r="J131" s="28" t="s">
        <v>372</v>
      </c>
      <c r="K131" s="123">
        <v>48</v>
      </c>
      <c r="L131" s="29">
        <v>11.262500000000001</v>
      </c>
      <c r="M131" s="110">
        <v>7.75</v>
      </c>
      <c r="N131" s="30">
        <v>7.0000000000000007E-2</v>
      </c>
      <c r="O131" s="116">
        <v>0.54250000000000009</v>
      </c>
      <c r="P131" s="30">
        <v>0.25</v>
      </c>
      <c r="Q131" s="116">
        <v>1.9375</v>
      </c>
      <c r="R131" s="30">
        <v>7.0000000000000007E-2</v>
      </c>
      <c r="S131" s="116">
        <v>0.54250000000000009</v>
      </c>
      <c r="T131" s="117">
        <v>0.49</v>
      </c>
      <c r="U131" s="39">
        <v>150</v>
      </c>
      <c r="V131" s="32">
        <v>100</v>
      </c>
      <c r="W131" s="33"/>
      <c r="X131" s="32"/>
      <c r="Y131" s="32"/>
      <c r="Z131" s="32"/>
      <c r="AA131" s="34"/>
      <c r="AB131" s="35">
        <f t="shared" si="10"/>
        <v>250</v>
      </c>
      <c r="AC131" s="75">
        <f t="shared" si="11"/>
        <v>7200</v>
      </c>
      <c r="AD131" s="78">
        <f t="shared" si="12"/>
        <v>4800</v>
      </c>
      <c r="AE131" s="72">
        <f t="shared" si="13"/>
        <v>12000</v>
      </c>
      <c r="AF131" s="75">
        <f t="shared" si="14"/>
        <v>1689.3750000000002</v>
      </c>
      <c r="AG131" s="78">
        <f t="shared" si="15"/>
        <v>1126.25</v>
      </c>
      <c r="AH131" s="72">
        <f t="shared" si="16"/>
        <v>2815.625</v>
      </c>
      <c r="AI131" s="75">
        <f t="shared" si="17"/>
        <v>1162.5</v>
      </c>
      <c r="AJ131" s="78">
        <f t="shared" si="18"/>
        <v>775</v>
      </c>
      <c r="AK131" s="72">
        <f t="shared" si="19"/>
        <v>1937.5</v>
      </c>
    </row>
    <row r="132" spans="1:37" ht="15.95" customHeight="1">
      <c r="A132" s="25" t="s">
        <v>702</v>
      </c>
      <c r="B132" s="25" t="s">
        <v>463</v>
      </c>
      <c r="C132" s="26" t="s">
        <v>368</v>
      </c>
      <c r="D132" s="26" t="s">
        <v>375</v>
      </c>
      <c r="E132" s="26" t="s">
        <v>16</v>
      </c>
      <c r="F132" s="26" t="s">
        <v>761</v>
      </c>
      <c r="G132" s="26"/>
      <c r="H132" s="27" t="s">
        <v>762</v>
      </c>
      <c r="I132" s="26" t="s">
        <v>19</v>
      </c>
      <c r="J132" s="28" t="s">
        <v>372</v>
      </c>
      <c r="K132" s="123">
        <v>48</v>
      </c>
      <c r="L132" s="29">
        <v>11.262500000000001</v>
      </c>
      <c r="M132" s="110">
        <v>7.75</v>
      </c>
      <c r="N132" s="30">
        <v>7.0000000000000007E-2</v>
      </c>
      <c r="O132" s="116">
        <v>0.54250000000000009</v>
      </c>
      <c r="P132" s="30">
        <v>0.25</v>
      </c>
      <c r="Q132" s="116">
        <v>1.9375</v>
      </c>
      <c r="R132" s="30">
        <v>7.0000000000000007E-2</v>
      </c>
      <c r="S132" s="116">
        <v>0.54250000000000009</v>
      </c>
      <c r="T132" s="117">
        <v>0.49</v>
      </c>
      <c r="U132" s="39">
        <v>150</v>
      </c>
      <c r="V132" s="32">
        <v>100</v>
      </c>
      <c r="W132" s="33"/>
      <c r="X132" s="32"/>
      <c r="Y132" s="32"/>
      <c r="Z132" s="32"/>
      <c r="AA132" s="34"/>
      <c r="AB132" s="35">
        <f t="shared" si="10"/>
        <v>250</v>
      </c>
      <c r="AC132" s="75">
        <f t="shared" si="11"/>
        <v>7200</v>
      </c>
      <c r="AD132" s="78">
        <f t="shared" si="12"/>
        <v>4800</v>
      </c>
      <c r="AE132" s="72">
        <f t="shared" si="13"/>
        <v>12000</v>
      </c>
      <c r="AF132" s="75">
        <f t="shared" si="14"/>
        <v>1689.3750000000002</v>
      </c>
      <c r="AG132" s="78">
        <f t="shared" si="15"/>
        <v>1126.25</v>
      </c>
      <c r="AH132" s="72">
        <f t="shared" si="16"/>
        <v>2815.625</v>
      </c>
      <c r="AI132" s="75">
        <f t="shared" si="17"/>
        <v>1162.5</v>
      </c>
      <c r="AJ132" s="78">
        <f t="shared" si="18"/>
        <v>775</v>
      </c>
      <c r="AK132" s="72">
        <f t="shared" si="19"/>
        <v>1937.5</v>
      </c>
    </row>
    <row r="133" spans="1:37" ht="15.95" customHeight="1">
      <c r="A133" s="25" t="s">
        <v>702</v>
      </c>
      <c r="B133" s="25" t="s">
        <v>463</v>
      </c>
      <c r="C133" s="26" t="s">
        <v>368</v>
      </c>
      <c r="D133" s="26" t="s">
        <v>375</v>
      </c>
      <c r="E133" s="26" t="s">
        <v>16</v>
      </c>
      <c r="F133" s="26" t="s">
        <v>761</v>
      </c>
      <c r="G133" s="26"/>
      <c r="H133" s="27" t="s">
        <v>762</v>
      </c>
      <c r="I133" s="26" t="s">
        <v>19</v>
      </c>
      <c r="J133" s="28" t="s">
        <v>372</v>
      </c>
      <c r="K133" s="123">
        <v>48</v>
      </c>
      <c r="L133" s="29">
        <v>11.262500000000001</v>
      </c>
      <c r="M133" s="110">
        <v>7.75</v>
      </c>
      <c r="N133" s="30">
        <v>7.0000000000000007E-2</v>
      </c>
      <c r="O133" s="116">
        <v>0.54250000000000009</v>
      </c>
      <c r="P133" s="30">
        <v>0.25</v>
      </c>
      <c r="Q133" s="116">
        <v>1.9375</v>
      </c>
      <c r="R133" s="30">
        <v>7.0000000000000007E-2</v>
      </c>
      <c r="S133" s="116">
        <v>0.54250000000000009</v>
      </c>
      <c r="T133" s="117">
        <v>0.49</v>
      </c>
      <c r="U133" s="39">
        <v>150</v>
      </c>
      <c r="V133" s="32">
        <v>100</v>
      </c>
      <c r="W133" s="33"/>
      <c r="X133" s="32"/>
      <c r="Y133" s="32"/>
      <c r="Z133" s="32"/>
      <c r="AA133" s="34"/>
      <c r="AB133" s="35">
        <f t="shared" ref="AB133:AB196" si="20">SUM(U133:AA133)</f>
        <v>250</v>
      </c>
      <c r="AC133" s="75">
        <f t="shared" ref="AC133:AC196" si="21">$K133*U133</f>
        <v>7200</v>
      </c>
      <c r="AD133" s="78">
        <f t="shared" ref="AD133:AD196" si="22">$K133*SUM(V133:AA133)</f>
        <v>4800</v>
      </c>
      <c r="AE133" s="72">
        <f t="shared" ref="AE133:AE196" si="23">SUM(AC133:AD133)</f>
        <v>12000</v>
      </c>
      <c r="AF133" s="75">
        <f t="shared" ref="AF133:AF196" si="24">$L133*U133</f>
        <v>1689.3750000000002</v>
      </c>
      <c r="AG133" s="78">
        <f t="shared" ref="AG133:AG196" si="25">$L133*SUM(V133:W133)+M133*SUM(X133:AA133)</f>
        <v>1126.25</v>
      </c>
      <c r="AH133" s="72">
        <f t="shared" ref="AH133:AH196" si="26">SUM(AF133:AG133)</f>
        <v>2815.625</v>
      </c>
      <c r="AI133" s="75">
        <f t="shared" ref="AI133:AI196" si="27">$M133*U133</f>
        <v>1162.5</v>
      </c>
      <c r="AJ133" s="78">
        <f t="shared" ref="AJ133:AJ196" si="28">$M133*SUM(V133:AA133)</f>
        <v>775</v>
      </c>
      <c r="AK133" s="72">
        <f t="shared" ref="AK133:AK196" si="29">SUM(AI133:AJ133)</f>
        <v>1937.5</v>
      </c>
    </row>
    <row r="134" spans="1:37" ht="15.95" customHeight="1">
      <c r="A134" s="25" t="s">
        <v>702</v>
      </c>
      <c r="B134" s="25" t="s">
        <v>463</v>
      </c>
      <c r="C134" s="26" t="s">
        <v>167</v>
      </c>
      <c r="D134" s="26" t="s">
        <v>375</v>
      </c>
      <c r="E134" s="26" t="s">
        <v>16</v>
      </c>
      <c r="F134" s="26" t="s">
        <v>763</v>
      </c>
      <c r="G134" s="26"/>
      <c r="H134" s="27" t="s">
        <v>764</v>
      </c>
      <c r="I134" s="26" t="s">
        <v>765</v>
      </c>
      <c r="J134" s="28" t="s">
        <v>168</v>
      </c>
      <c r="K134" s="125">
        <v>250</v>
      </c>
      <c r="L134" s="29">
        <v>69.125</v>
      </c>
      <c r="M134" s="110">
        <v>49</v>
      </c>
      <c r="N134" s="30">
        <v>0.32</v>
      </c>
      <c r="O134" s="116">
        <v>15.68</v>
      </c>
      <c r="P134" s="30">
        <v>7.4999999999999997E-2</v>
      </c>
      <c r="Q134" s="116">
        <v>3.6749999999999998</v>
      </c>
      <c r="R134" s="30">
        <v>7.0000000000000007E-2</v>
      </c>
      <c r="S134" s="116">
        <v>0.28000000000000003</v>
      </c>
      <c r="T134" s="117">
        <v>0.49</v>
      </c>
      <c r="U134" s="39">
        <v>86</v>
      </c>
      <c r="V134" s="32">
        <v>175</v>
      </c>
      <c r="W134" s="33"/>
      <c r="X134" s="32"/>
      <c r="Y134" s="32"/>
      <c r="Z134" s="32"/>
      <c r="AA134" s="34"/>
      <c r="AB134" s="35">
        <f t="shared" si="20"/>
        <v>261</v>
      </c>
      <c r="AC134" s="75">
        <f t="shared" si="21"/>
        <v>21500</v>
      </c>
      <c r="AD134" s="78">
        <f t="shared" si="22"/>
        <v>43750</v>
      </c>
      <c r="AE134" s="72">
        <f t="shared" si="23"/>
        <v>65250</v>
      </c>
      <c r="AF134" s="75">
        <f t="shared" si="24"/>
        <v>5944.75</v>
      </c>
      <c r="AG134" s="78">
        <f t="shared" si="25"/>
        <v>12096.875</v>
      </c>
      <c r="AH134" s="72">
        <f t="shared" si="26"/>
        <v>18041.625</v>
      </c>
      <c r="AI134" s="75">
        <f t="shared" si="27"/>
        <v>4214</v>
      </c>
      <c r="AJ134" s="78">
        <f t="shared" si="28"/>
        <v>8575</v>
      </c>
      <c r="AK134" s="72">
        <f t="shared" si="29"/>
        <v>12789</v>
      </c>
    </row>
    <row r="135" spans="1:37" ht="15.95" customHeight="1">
      <c r="A135" s="25" t="s">
        <v>702</v>
      </c>
      <c r="B135" s="25" t="s">
        <v>463</v>
      </c>
      <c r="C135" s="26" t="s">
        <v>167</v>
      </c>
      <c r="D135" s="26" t="s">
        <v>375</v>
      </c>
      <c r="E135" s="26" t="s">
        <v>16</v>
      </c>
      <c r="F135" s="26" t="s">
        <v>766</v>
      </c>
      <c r="G135" s="26"/>
      <c r="H135" s="27" t="s">
        <v>764</v>
      </c>
      <c r="I135" s="26" t="s">
        <v>765</v>
      </c>
      <c r="J135" s="28" t="s">
        <v>554</v>
      </c>
      <c r="K135" s="125">
        <v>225</v>
      </c>
      <c r="L135" s="29">
        <v>62.613500000000009</v>
      </c>
      <c r="M135" s="110">
        <v>45.5</v>
      </c>
      <c r="N135" s="30">
        <v>0.28199999999999997</v>
      </c>
      <c r="O135" s="116">
        <v>12.831</v>
      </c>
      <c r="P135" s="30">
        <v>7.4999999999999997E-2</v>
      </c>
      <c r="Q135" s="116">
        <v>3.4125000000000001</v>
      </c>
      <c r="R135" s="30">
        <v>7.0000000000000007E-2</v>
      </c>
      <c r="S135" s="116">
        <v>0.38</v>
      </c>
      <c r="T135" s="117">
        <v>0.49</v>
      </c>
      <c r="U135" s="39">
        <v>86</v>
      </c>
      <c r="V135" s="32">
        <v>175</v>
      </c>
      <c r="W135" s="33"/>
      <c r="X135" s="32"/>
      <c r="Y135" s="32"/>
      <c r="Z135" s="32"/>
      <c r="AA135" s="34"/>
      <c r="AB135" s="35">
        <f t="shared" si="20"/>
        <v>261</v>
      </c>
      <c r="AC135" s="75">
        <f t="shared" si="21"/>
        <v>19350</v>
      </c>
      <c r="AD135" s="78">
        <f t="shared" si="22"/>
        <v>39375</v>
      </c>
      <c r="AE135" s="72">
        <f t="shared" si="23"/>
        <v>58725</v>
      </c>
      <c r="AF135" s="75">
        <f t="shared" si="24"/>
        <v>5384.7610000000004</v>
      </c>
      <c r="AG135" s="78">
        <f t="shared" si="25"/>
        <v>10957.362500000001</v>
      </c>
      <c r="AH135" s="72">
        <f t="shared" si="26"/>
        <v>16342.123500000002</v>
      </c>
      <c r="AI135" s="75">
        <f t="shared" si="27"/>
        <v>3913</v>
      </c>
      <c r="AJ135" s="78">
        <f t="shared" si="28"/>
        <v>7962.5</v>
      </c>
      <c r="AK135" s="72">
        <f t="shared" si="29"/>
        <v>11875.5</v>
      </c>
    </row>
    <row r="136" spans="1:37" ht="15.95" customHeight="1">
      <c r="A136" s="25" t="s">
        <v>702</v>
      </c>
      <c r="B136" s="25" t="s">
        <v>463</v>
      </c>
      <c r="C136" s="26" t="s">
        <v>167</v>
      </c>
      <c r="D136" s="26" t="s">
        <v>375</v>
      </c>
      <c r="E136" s="26" t="s">
        <v>16</v>
      </c>
      <c r="F136" s="26" t="s">
        <v>763</v>
      </c>
      <c r="G136" s="26"/>
      <c r="H136" s="27" t="s">
        <v>764</v>
      </c>
      <c r="I136" s="26" t="s">
        <v>765</v>
      </c>
      <c r="J136" s="28" t="s">
        <v>168</v>
      </c>
      <c r="K136" s="123">
        <v>250</v>
      </c>
      <c r="L136" s="29">
        <v>69.125</v>
      </c>
      <c r="M136" s="110">
        <v>49</v>
      </c>
      <c r="N136" s="30">
        <v>0.32</v>
      </c>
      <c r="O136" s="116">
        <v>15.68</v>
      </c>
      <c r="P136" s="30">
        <v>7.4999999999999997E-2</v>
      </c>
      <c r="Q136" s="116">
        <v>3.6749999999999998</v>
      </c>
      <c r="R136" s="30">
        <v>7.0000000000000007E-2</v>
      </c>
      <c r="S136" s="116">
        <v>0.28000000000000003</v>
      </c>
      <c r="T136" s="117">
        <v>0.49</v>
      </c>
      <c r="U136" s="39">
        <v>86</v>
      </c>
      <c r="V136" s="32">
        <v>175</v>
      </c>
      <c r="W136" s="33"/>
      <c r="X136" s="32"/>
      <c r="Y136" s="32"/>
      <c r="Z136" s="32"/>
      <c r="AA136" s="34"/>
      <c r="AB136" s="35">
        <f t="shared" si="20"/>
        <v>261</v>
      </c>
      <c r="AC136" s="75">
        <f t="shared" si="21"/>
        <v>21500</v>
      </c>
      <c r="AD136" s="78">
        <f t="shared" si="22"/>
        <v>43750</v>
      </c>
      <c r="AE136" s="72">
        <f t="shared" si="23"/>
        <v>65250</v>
      </c>
      <c r="AF136" s="75">
        <f t="shared" si="24"/>
        <v>5944.75</v>
      </c>
      <c r="AG136" s="78">
        <f t="shared" si="25"/>
        <v>12096.875</v>
      </c>
      <c r="AH136" s="72">
        <f t="shared" si="26"/>
        <v>18041.625</v>
      </c>
      <c r="AI136" s="75">
        <f t="shared" si="27"/>
        <v>4214</v>
      </c>
      <c r="AJ136" s="78">
        <f t="shared" si="28"/>
        <v>8575</v>
      </c>
      <c r="AK136" s="72">
        <f t="shared" si="29"/>
        <v>12789</v>
      </c>
    </row>
    <row r="137" spans="1:37" ht="15.95" customHeight="1">
      <c r="A137" s="25" t="s">
        <v>702</v>
      </c>
      <c r="B137" s="25" t="s">
        <v>463</v>
      </c>
      <c r="C137" s="26" t="s">
        <v>167</v>
      </c>
      <c r="D137" s="26" t="s">
        <v>375</v>
      </c>
      <c r="E137" s="26" t="s">
        <v>16</v>
      </c>
      <c r="F137" s="26" t="s">
        <v>766</v>
      </c>
      <c r="G137" s="26"/>
      <c r="H137" s="27" t="s">
        <v>764</v>
      </c>
      <c r="I137" s="26" t="s">
        <v>765</v>
      </c>
      <c r="J137" s="28" t="s">
        <v>554</v>
      </c>
      <c r="K137" s="123">
        <v>225</v>
      </c>
      <c r="L137" s="29">
        <v>62.613500000000009</v>
      </c>
      <c r="M137" s="110">
        <v>45.5</v>
      </c>
      <c r="N137" s="30">
        <v>0.28199999999999997</v>
      </c>
      <c r="O137" s="116">
        <v>12.831</v>
      </c>
      <c r="P137" s="30">
        <v>7.4999999999999997E-2</v>
      </c>
      <c r="Q137" s="116">
        <v>3.4125000000000001</v>
      </c>
      <c r="R137" s="30">
        <v>7.0000000000000007E-2</v>
      </c>
      <c r="S137" s="116">
        <v>0.38</v>
      </c>
      <c r="T137" s="117">
        <v>0.49</v>
      </c>
      <c r="U137" s="39">
        <v>86</v>
      </c>
      <c r="V137" s="32">
        <v>175</v>
      </c>
      <c r="W137" s="33"/>
      <c r="X137" s="32"/>
      <c r="Y137" s="32"/>
      <c r="Z137" s="32"/>
      <c r="AA137" s="34"/>
      <c r="AB137" s="35">
        <f t="shared" si="20"/>
        <v>261</v>
      </c>
      <c r="AC137" s="75">
        <f t="shared" si="21"/>
        <v>19350</v>
      </c>
      <c r="AD137" s="78">
        <f t="shared" si="22"/>
        <v>39375</v>
      </c>
      <c r="AE137" s="72">
        <f t="shared" si="23"/>
        <v>58725</v>
      </c>
      <c r="AF137" s="75">
        <f t="shared" si="24"/>
        <v>5384.7610000000004</v>
      </c>
      <c r="AG137" s="78">
        <f t="shared" si="25"/>
        <v>10957.362500000001</v>
      </c>
      <c r="AH137" s="72">
        <f t="shared" si="26"/>
        <v>16342.123500000002</v>
      </c>
      <c r="AI137" s="75">
        <f t="shared" si="27"/>
        <v>3913</v>
      </c>
      <c r="AJ137" s="78">
        <f t="shared" si="28"/>
        <v>7962.5</v>
      </c>
      <c r="AK137" s="72">
        <f t="shared" si="29"/>
        <v>11875.5</v>
      </c>
    </row>
    <row r="138" spans="1:37" ht="15.95" customHeight="1">
      <c r="A138" s="25" t="s">
        <v>702</v>
      </c>
      <c r="B138" s="25" t="s">
        <v>463</v>
      </c>
      <c r="C138" s="26" t="s">
        <v>527</v>
      </c>
      <c r="D138" s="26" t="s">
        <v>373</v>
      </c>
      <c r="E138" s="26" t="s">
        <v>16</v>
      </c>
      <c r="F138" s="26" t="s">
        <v>767</v>
      </c>
      <c r="G138" s="26"/>
      <c r="H138" s="27" t="s">
        <v>768</v>
      </c>
      <c r="I138" s="26" t="s">
        <v>19</v>
      </c>
      <c r="J138" s="28" t="s">
        <v>769</v>
      </c>
      <c r="K138" s="123">
        <v>135</v>
      </c>
      <c r="L138" s="29">
        <v>40.8215</v>
      </c>
      <c r="M138" s="111">
        <v>29.5</v>
      </c>
      <c r="N138" s="30">
        <v>0.28199999999999997</v>
      </c>
      <c r="O138" s="116">
        <v>8.3189999999999991</v>
      </c>
      <c r="P138" s="30">
        <v>7.4999999999999997E-2</v>
      </c>
      <c r="Q138" s="116">
        <v>2.2124999999999999</v>
      </c>
      <c r="R138" s="30">
        <v>7.0000000000000007E-2</v>
      </c>
      <c r="S138" s="116">
        <v>0.3</v>
      </c>
      <c r="T138" s="117">
        <v>0.49</v>
      </c>
      <c r="U138" s="39">
        <v>200</v>
      </c>
      <c r="V138" s="32">
        <v>700</v>
      </c>
      <c r="W138" s="33"/>
      <c r="X138" s="32"/>
      <c r="Y138" s="32"/>
      <c r="Z138" s="32"/>
      <c r="AA138" s="34"/>
      <c r="AB138" s="35">
        <f t="shared" si="20"/>
        <v>900</v>
      </c>
      <c r="AC138" s="75">
        <f t="shared" si="21"/>
        <v>27000</v>
      </c>
      <c r="AD138" s="78">
        <f t="shared" si="22"/>
        <v>94500</v>
      </c>
      <c r="AE138" s="72">
        <f t="shared" si="23"/>
        <v>121500</v>
      </c>
      <c r="AF138" s="75">
        <f t="shared" si="24"/>
        <v>8164.3</v>
      </c>
      <c r="AG138" s="78">
        <f t="shared" si="25"/>
        <v>28575.05</v>
      </c>
      <c r="AH138" s="72">
        <f t="shared" si="26"/>
        <v>36739.35</v>
      </c>
      <c r="AI138" s="75">
        <f t="shared" si="27"/>
        <v>5900</v>
      </c>
      <c r="AJ138" s="78">
        <f t="shared" si="28"/>
        <v>20650</v>
      </c>
      <c r="AK138" s="72">
        <f t="shared" si="29"/>
        <v>26550</v>
      </c>
    </row>
    <row r="139" spans="1:37" ht="15.95" customHeight="1">
      <c r="A139" s="25" t="s">
        <v>702</v>
      </c>
      <c r="B139" s="25" t="s">
        <v>463</v>
      </c>
      <c r="C139" s="26" t="s">
        <v>267</v>
      </c>
      <c r="D139" s="26" t="s">
        <v>373</v>
      </c>
      <c r="E139" s="26" t="s">
        <v>16</v>
      </c>
      <c r="F139" s="26" t="s">
        <v>770</v>
      </c>
      <c r="G139" s="26"/>
      <c r="H139" s="27" t="s">
        <v>768</v>
      </c>
      <c r="I139" s="26" t="s">
        <v>19</v>
      </c>
      <c r="J139" s="28" t="s">
        <v>771</v>
      </c>
      <c r="K139" s="123">
        <v>135</v>
      </c>
      <c r="L139" s="29">
        <v>34.572299999999998</v>
      </c>
      <c r="M139" s="110">
        <v>24.95</v>
      </c>
      <c r="N139" s="30">
        <v>0.27900000000000003</v>
      </c>
      <c r="O139" s="116">
        <v>6.9610500000000002</v>
      </c>
      <c r="P139" s="30">
        <v>7.4999999999999997E-2</v>
      </c>
      <c r="Q139" s="116">
        <v>1.8712499999999999</v>
      </c>
      <c r="R139" s="30">
        <v>7.0000000000000007E-2</v>
      </c>
      <c r="S139" s="116">
        <v>0.3</v>
      </c>
      <c r="T139" s="117">
        <v>0.49</v>
      </c>
      <c r="U139" s="39">
        <v>200</v>
      </c>
      <c r="V139" s="32">
        <v>700</v>
      </c>
      <c r="W139" s="33"/>
      <c r="X139" s="32"/>
      <c r="Y139" s="32"/>
      <c r="Z139" s="32"/>
      <c r="AA139" s="34"/>
      <c r="AB139" s="35">
        <f t="shared" si="20"/>
        <v>900</v>
      </c>
      <c r="AC139" s="75">
        <f t="shared" si="21"/>
        <v>27000</v>
      </c>
      <c r="AD139" s="78">
        <f t="shared" si="22"/>
        <v>94500</v>
      </c>
      <c r="AE139" s="72">
        <f t="shared" si="23"/>
        <v>121500</v>
      </c>
      <c r="AF139" s="75">
        <f t="shared" si="24"/>
        <v>6914.46</v>
      </c>
      <c r="AG139" s="78">
        <f t="shared" si="25"/>
        <v>24200.61</v>
      </c>
      <c r="AH139" s="72">
        <f t="shared" si="26"/>
        <v>31115.07</v>
      </c>
      <c r="AI139" s="75">
        <f t="shared" si="27"/>
        <v>4990</v>
      </c>
      <c r="AJ139" s="78">
        <f t="shared" si="28"/>
        <v>17465</v>
      </c>
      <c r="AK139" s="72">
        <f t="shared" si="29"/>
        <v>22455</v>
      </c>
    </row>
    <row r="140" spans="1:37" ht="15.95" customHeight="1">
      <c r="A140" s="25" t="s">
        <v>702</v>
      </c>
      <c r="B140" s="25" t="s">
        <v>463</v>
      </c>
      <c r="C140" s="26" t="s">
        <v>527</v>
      </c>
      <c r="D140" s="26" t="s">
        <v>373</v>
      </c>
      <c r="E140" s="26" t="s">
        <v>16</v>
      </c>
      <c r="F140" s="26" t="s">
        <v>767</v>
      </c>
      <c r="G140" s="26"/>
      <c r="H140" s="27" t="s">
        <v>768</v>
      </c>
      <c r="I140" s="26" t="s">
        <v>19</v>
      </c>
      <c r="J140" s="28" t="s">
        <v>769</v>
      </c>
      <c r="K140" s="123">
        <v>135</v>
      </c>
      <c r="L140" s="29">
        <v>25.188860000000002</v>
      </c>
      <c r="M140" s="110">
        <v>17.98</v>
      </c>
      <c r="N140" s="30">
        <v>0.28199999999999997</v>
      </c>
      <c r="O140" s="116">
        <v>5.07036</v>
      </c>
      <c r="P140" s="30">
        <v>7.4999999999999997E-2</v>
      </c>
      <c r="Q140" s="116">
        <v>1.3485</v>
      </c>
      <c r="R140" s="30">
        <v>7.0000000000000007E-2</v>
      </c>
      <c r="S140" s="116">
        <v>0.3</v>
      </c>
      <c r="T140" s="117">
        <v>0.49</v>
      </c>
      <c r="U140" s="39">
        <v>200</v>
      </c>
      <c r="V140" s="32">
        <v>450</v>
      </c>
      <c r="W140" s="33"/>
      <c r="X140" s="32"/>
      <c r="Y140" s="32"/>
      <c r="Z140" s="32">
        <v>8</v>
      </c>
      <c r="AA140" s="34"/>
      <c r="AB140" s="35">
        <f t="shared" si="20"/>
        <v>658</v>
      </c>
      <c r="AC140" s="75">
        <f t="shared" si="21"/>
        <v>27000</v>
      </c>
      <c r="AD140" s="78">
        <f t="shared" si="22"/>
        <v>61830</v>
      </c>
      <c r="AE140" s="72">
        <f t="shared" si="23"/>
        <v>88830</v>
      </c>
      <c r="AF140" s="75">
        <f t="shared" si="24"/>
        <v>5037.7719999999999</v>
      </c>
      <c r="AG140" s="78">
        <f t="shared" si="25"/>
        <v>11478.827000000001</v>
      </c>
      <c r="AH140" s="72">
        <f t="shared" si="26"/>
        <v>16516.599000000002</v>
      </c>
      <c r="AI140" s="75">
        <f t="shared" si="27"/>
        <v>3596</v>
      </c>
      <c r="AJ140" s="78">
        <f t="shared" si="28"/>
        <v>8234.84</v>
      </c>
      <c r="AK140" s="72">
        <f t="shared" si="29"/>
        <v>11830.84</v>
      </c>
    </row>
    <row r="141" spans="1:37" ht="15.95" customHeight="1">
      <c r="A141" s="25" t="s">
        <v>702</v>
      </c>
      <c r="B141" s="25" t="s">
        <v>463</v>
      </c>
      <c r="C141" s="26" t="s">
        <v>267</v>
      </c>
      <c r="D141" s="26" t="s">
        <v>373</v>
      </c>
      <c r="E141" s="26" t="s">
        <v>16</v>
      </c>
      <c r="F141" s="26" t="s">
        <v>770</v>
      </c>
      <c r="G141" s="26"/>
      <c r="H141" s="27" t="s">
        <v>768</v>
      </c>
      <c r="I141" s="26" t="s">
        <v>19</v>
      </c>
      <c r="J141" s="28" t="s">
        <v>771</v>
      </c>
      <c r="K141" s="123">
        <v>135</v>
      </c>
      <c r="L141" s="29">
        <v>17.715</v>
      </c>
      <c r="M141" s="110">
        <v>12.5</v>
      </c>
      <c r="N141" s="30">
        <v>0.27900000000000003</v>
      </c>
      <c r="O141" s="116">
        <v>3.4875000000000003</v>
      </c>
      <c r="P141" s="30">
        <v>7.4999999999999997E-2</v>
      </c>
      <c r="Q141" s="116">
        <v>0.9375</v>
      </c>
      <c r="R141" s="30">
        <v>7.0000000000000007E-2</v>
      </c>
      <c r="S141" s="116">
        <v>0.3</v>
      </c>
      <c r="T141" s="117">
        <v>0.49</v>
      </c>
      <c r="U141" s="39">
        <v>200</v>
      </c>
      <c r="V141" s="32">
        <v>450</v>
      </c>
      <c r="W141" s="33"/>
      <c r="X141" s="32"/>
      <c r="Y141" s="32"/>
      <c r="Z141" s="32">
        <v>8</v>
      </c>
      <c r="AA141" s="34"/>
      <c r="AB141" s="35">
        <f t="shared" si="20"/>
        <v>658</v>
      </c>
      <c r="AC141" s="75">
        <f t="shared" si="21"/>
        <v>27000</v>
      </c>
      <c r="AD141" s="78">
        <f t="shared" si="22"/>
        <v>61830</v>
      </c>
      <c r="AE141" s="72">
        <f t="shared" si="23"/>
        <v>88830</v>
      </c>
      <c r="AF141" s="75">
        <f t="shared" si="24"/>
        <v>3543</v>
      </c>
      <c r="AG141" s="78">
        <f t="shared" si="25"/>
        <v>8071.75</v>
      </c>
      <c r="AH141" s="72">
        <f t="shared" si="26"/>
        <v>11614.75</v>
      </c>
      <c r="AI141" s="75">
        <f t="shared" si="27"/>
        <v>2500</v>
      </c>
      <c r="AJ141" s="78">
        <f t="shared" si="28"/>
        <v>5725</v>
      </c>
      <c r="AK141" s="72">
        <f t="shared" si="29"/>
        <v>8225</v>
      </c>
    </row>
    <row r="142" spans="1:37" ht="15.95" customHeight="1">
      <c r="A142" s="25" t="s">
        <v>702</v>
      </c>
      <c r="B142" s="25" t="s">
        <v>463</v>
      </c>
      <c r="C142" s="26" t="s">
        <v>14</v>
      </c>
      <c r="D142" s="26" t="s">
        <v>375</v>
      </c>
      <c r="E142" s="26" t="s">
        <v>16</v>
      </c>
      <c r="F142" s="26" t="s">
        <v>772</v>
      </c>
      <c r="G142" s="26"/>
      <c r="H142" s="27" t="s">
        <v>773</v>
      </c>
      <c r="I142" s="26" t="s">
        <v>27</v>
      </c>
      <c r="J142" s="28" t="s">
        <v>41</v>
      </c>
      <c r="K142" s="123">
        <v>160</v>
      </c>
      <c r="L142" s="29">
        <v>32.609499999999997</v>
      </c>
      <c r="M142" s="110">
        <v>23.5</v>
      </c>
      <c r="N142" s="30">
        <v>0.28199999999999997</v>
      </c>
      <c r="O142" s="116">
        <v>6.6269999999999998</v>
      </c>
      <c r="P142" s="30">
        <v>7.4999999999999997E-2</v>
      </c>
      <c r="Q142" s="116">
        <v>1.7625</v>
      </c>
      <c r="R142" s="30">
        <v>7.0000000000000007E-2</v>
      </c>
      <c r="S142" s="116">
        <v>0.23</v>
      </c>
      <c r="T142" s="117">
        <v>0.49</v>
      </c>
      <c r="U142" s="39">
        <v>300</v>
      </c>
      <c r="V142" s="32">
        <v>150</v>
      </c>
      <c r="W142" s="33"/>
      <c r="X142" s="32"/>
      <c r="Y142" s="32"/>
      <c r="Z142" s="32"/>
      <c r="AA142" s="34"/>
      <c r="AB142" s="35">
        <f t="shared" si="20"/>
        <v>450</v>
      </c>
      <c r="AC142" s="75">
        <f t="shared" si="21"/>
        <v>48000</v>
      </c>
      <c r="AD142" s="78">
        <f t="shared" si="22"/>
        <v>24000</v>
      </c>
      <c r="AE142" s="72">
        <f t="shared" si="23"/>
        <v>72000</v>
      </c>
      <c r="AF142" s="75">
        <f t="shared" si="24"/>
        <v>9782.8499999999985</v>
      </c>
      <c r="AG142" s="78">
        <f t="shared" si="25"/>
        <v>4891.4249999999993</v>
      </c>
      <c r="AH142" s="72">
        <f t="shared" si="26"/>
        <v>14674.274999999998</v>
      </c>
      <c r="AI142" s="75">
        <f t="shared" si="27"/>
        <v>7050</v>
      </c>
      <c r="AJ142" s="78">
        <f t="shared" si="28"/>
        <v>3525</v>
      </c>
      <c r="AK142" s="72">
        <f t="shared" si="29"/>
        <v>10575</v>
      </c>
    </row>
    <row r="143" spans="1:37" ht="15.95" customHeight="1">
      <c r="A143" s="25" t="s">
        <v>702</v>
      </c>
      <c r="B143" s="25" t="s">
        <v>463</v>
      </c>
      <c r="C143" s="26" t="s">
        <v>21</v>
      </c>
      <c r="D143" s="26" t="s">
        <v>375</v>
      </c>
      <c r="E143" s="26" t="s">
        <v>16</v>
      </c>
      <c r="F143" s="26" t="s">
        <v>774</v>
      </c>
      <c r="G143" s="26"/>
      <c r="H143" s="27" t="s">
        <v>773</v>
      </c>
      <c r="I143" s="26" t="s">
        <v>27</v>
      </c>
      <c r="J143" s="28" t="s">
        <v>43</v>
      </c>
      <c r="K143" s="123">
        <v>135</v>
      </c>
      <c r="L143" s="29">
        <v>26.503</v>
      </c>
      <c r="M143" s="110">
        <v>19</v>
      </c>
      <c r="N143" s="30">
        <v>0.28199999999999997</v>
      </c>
      <c r="O143" s="116">
        <v>5.3579999999999997</v>
      </c>
      <c r="P143" s="30">
        <v>7.4999999999999997E-2</v>
      </c>
      <c r="Q143" s="116">
        <v>1.425</v>
      </c>
      <c r="R143" s="30">
        <v>7.0000000000000007E-2</v>
      </c>
      <c r="S143" s="116">
        <v>0.23</v>
      </c>
      <c r="T143" s="117">
        <v>0.49</v>
      </c>
      <c r="U143" s="39">
        <v>300</v>
      </c>
      <c r="V143" s="32">
        <v>150</v>
      </c>
      <c r="W143" s="33"/>
      <c r="X143" s="32"/>
      <c r="Y143" s="32"/>
      <c r="Z143" s="32"/>
      <c r="AA143" s="34"/>
      <c r="AB143" s="35">
        <f t="shared" si="20"/>
        <v>450</v>
      </c>
      <c r="AC143" s="75">
        <f t="shared" si="21"/>
        <v>40500</v>
      </c>
      <c r="AD143" s="78">
        <f t="shared" si="22"/>
        <v>20250</v>
      </c>
      <c r="AE143" s="72">
        <f t="shared" si="23"/>
        <v>60750</v>
      </c>
      <c r="AF143" s="75">
        <f t="shared" si="24"/>
        <v>7950.9</v>
      </c>
      <c r="AG143" s="78">
        <f t="shared" si="25"/>
        <v>3975.45</v>
      </c>
      <c r="AH143" s="72">
        <f t="shared" si="26"/>
        <v>11926.349999999999</v>
      </c>
      <c r="AI143" s="75">
        <f t="shared" si="27"/>
        <v>5700</v>
      </c>
      <c r="AJ143" s="78">
        <f t="shared" si="28"/>
        <v>2850</v>
      </c>
      <c r="AK143" s="72">
        <f t="shared" si="29"/>
        <v>8550</v>
      </c>
    </row>
    <row r="144" spans="1:37" ht="15.95" customHeight="1">
      <c r="A144" s="25" t="s">
        <v>702</v>
      </c>
      <c r="B144" s="25" t="s">
        <v>463</v>
      </c>
      <c r="C144" s="26" t="s">
        <v>24</v>
      </c>
      <c r="D144" s="26" t="s">
        <v>213</v>
      </c>
      <c r="E144" s="26" t="s">
        <v>214</v>
      </c>
      <c r="F144" s="26" t="s">
        <v>775</v>
      </c>
      <c r="G144" s="26"/>
      <c r="H144" s="27" t="s">
        <v>511</v>
      </c>
      <c r="I144" s="26" t="s">
        <v>27</v>
      </c>
      <c r="J144" s="28" t="s">
        <v>227</v>
      </c>
      <c r="K144" s="123">
        <v>68</v>
      </c>
      <c r="L144" s="29">
        <v>10.659000000000001</v>
      </c>
      <c r="M144" s="110">
        <v>8.6</v>
      </c>
      <c r="N144" s="30">
        <v>0.16500000000000001</v>
      </c>
      <c r="O144" s="116">
        <v>1.419</v>
      </c>
      <c r="P144" s="30"/>
      <c r="Q144" s="116"/>
      <c r="R144" s="30">
        <v>7.0000000000000007E-2</v>
      </c>
      <c r="S144" s="116">
        <v>0.15</v>
      </c>
      <c r="T144" s="117">
        <v>0.49</v>
      </c>
      <c r="U144" s="39">
        <v>250</v>
      </c>
      <c r="V144" s="32"/>
      <c r="W144" s="33"/>
      <c r="X144" s="32"/>
      <c r="Y144" s="32"/>
      <c r="Z144" s="32"/>
      <c r="AA144" s="34"/>
      <c r="AB144" s="35">
        <f t="shared" si="20"/>
        <v>250</v>
      </c>
      <c r="AC144" s="75">
        <f t="shared" si="21"/>
        <v>17000</v>
      </c>
      <c r="AD144" s="78">
        <f t="shared" si="22"/>
        <v>0</v>
      </c>
      <c r="AE144" s="72">
        <f t="shared" si="23"/>
        <v>17000</v>
      </c>
      <c r="AF144" s="75">
        <f t="shared" si="24"/>
        <v>2664.75</v>
      </c>
      <c r="AG144" s="78">
        <f t="shared" si="25"/>
        <v>0</v>
      </c>
      <c r="AH144" s="72">
        <f t="shared" si="26"/>
        <v>2664.75</v>
      </c>
      <c r="AI144" s="75">
        <f t="shared" si="27"/>
        <v>2150</v>
      </c>
      <c r="AJ144" s="78">
        <f t="shared" si="28"/>
        <v>0</v>
      </c>
      <c r="AK144" s="72">
        <f t="shared" si="29"/>
        <v>2150</v>
      </c>
    </row>
    <row r="145" spans="1:37" ht="15.95" customHeight="1">
      <c r="A145" s="25" t="s">
        <v>702</v>
      </c>
      <c r="B145" s="25" t="s">
        <v>463</v>
      </c>
      <c r="C145" s="26" t="s">
        <v>267</v>
      </c>
      <c r="D145" s="26" t="s">
        <v>375</v>
      </c>
      <c r="E145" s="26" t="s">
        <v>16</v>
      </c>
      <c r="F145" s="26" t="s">
        <v>776</v>
      </c>
      <c r="G145" s="26"/>
      <c r="H145" s="27" t="s">
        <v>773</v>
      </c>
      <c r="I145" s="26" t="s">
        <v>27</v>
      </c>
      <c r="J145" s="28" t="s">
        <v>35</v>
      </c>
      <c r="K145" s="123">
        <v>100</v>
      </c>
      <c r="L145" s="29">
        <v>23.110499999999998</v>
      </c>
      <c r="M145" s="110">
        <v>16.5</v>
      </c>
      <c r="N145" s="30">
        <v>0.28199999999999997</v>
      </c>
      <c r="O145" s="116">
        <v>4.6529999999999996</v>
      </c>
      <c r="P145" s="30">
        <v>7.4999999999999997E-2</v>
      </c>
      <c r="Q145" s="116">
        <v>1.2375</v>
      </c>
      <c r="R145" s="30">
        <v>7.0000000000000007E-2</v>
      </c>
      <c r="S145" s="116">
        <v>0.23</v>
      </c>
      <c r="T145" s="117">
        <v>0.49</v>
      </c>
      <c r="U145" s="39">
        <v>250</v>
      </c>
      <c r="V145" s="32">
        <v>300</v>
      </c>
      <c r="W145" s="33"/>
      <c r="X145" s="32"/>
      <c r="Y145" s="32"/>
      <c r="Z145" s="32"/>
      <c r="AA145" s="34"/>
      <c r="AB145" s="35">
        <f t="shared" si="20"/>
        <v>550</v>
      </c>
      <c r="AC145" s="75">
        <f t="shared" si="21"/>
        <v>25000</v>
      </c>
      <c r="AD145" s="78">
        <f t="shared" si="22"/>
        <v>30000</v>
      </c>
      <c r="AE145" s="72">
        <f t="shared" si="23"/>
        <v>55000</v>
      </c>
      <c r="AF145" s="75">
        <f t="shared" si="24"/>
        <v>5777.625</v>
      </c>
      <c r="AG145" s="78">
        <f t="shared" si="25"/>
        <v>6933.15</v>
      </c>
      <c r="AH145" s="72">
        <f t="shared" si="26"/>
        <v>12710.775</v>
      </c>
      <c r="AI145" s="75">
        <f t="shared" si="27"/>
        <v>4125</v>
      </c>
      <c r="AJ145" s="78">
        <f t="shared" si="28"/>
        <v>4950</v>
      </c>
      <c r="AK145" s="72">
        <f t="shared" si="29"/>
        <v>9075</v>
      </c>
    </row>
    <row r="146" spans="1:37" ht="15.95" customHeight="1">
      <c r="A146" s="25" t="s">
        <v>702</v>
      </c>
      <c r="B146" s="25" t="s">
        <v>463</v>
      </c>
      <c r="C146" s="26" t="s">
        <v>14</v>
      </c>
      <c r="D146" s="26" t="s">
        <v>375</v>
      </c>
      <c r="E146" s="26" t="s">
        <v>16</v>
      </c>
      <c r="F146" s="26" t="s">
        <v>772</v>
      </c>
      <c r="G146" s="26"/>
      <c r="H146" s="44" t="s">
        <v>595</v>
      </c>
      <c r="I146" s="26" t="s">
        <v>27</v>
      </c>
      <c r="J146" s="28" t="s">
        <v>41</v>
      </c>
      <c r="K146" s="125">
        <v>160</v>
      </c>
      <c r="L146" s="29">
        <v>32.609499999999997</v>
      </c>
      <c r="M146" s="110">
        <v>23.5</v>
      </c>
      <c r="N146" s="30">
        <v>0.28199999999999997</v>
      </c>
      <c r="O146" s="116">
        <v>6.6269999999999998</v>
      </c>
      <c r="P146" s="30">
        <v>7.4999999999999997E-2</v>
      </c>
      <c r="Q146" s="116">
        <v>1.7625</v>
      </c>
      <c r="R146" s="30">
        <v>7.0000000000000007E-2</v>
      </c>
      <c r="S146" s="116">
        <v>0.23</v>
      </c>
      <c r="T146" s="117">
        <v>0.49</v>
      </c>
      <c r="U146" s="39">
        <v>350</v>
      </c>
      <c r="V146" s="32">
        <v>150</v>
      </c>
      <c r="W146" s="33"/>
      <c r="X146" s="32"/>
      <c r="Y146" s="32"/>
      <c r="Z146" s="32"/>
      <c r="AA146" s="34"/>
      <c r="AB146" s="35">
        <f t="shared" si="20"/>
        <v>500</v>
      </c>
      <c r="AC146" s="75">
        <f t="shared" si="21"/>
        <v>56000</v>
      </c>
      <c r="AD146" s="78">
        <f t="shared" si="22"/>
        <v>24000</v>
      </c>
      <c r="AE146" s="72">
        <f t="shared" si="23"/>
        <v>80000</v>
      </c>
      <c r="AF146" s="75">
        <f t="shared" si="24"/>
        <v>11413.324999999999</v>
      </c>
      <c r="AG146" s="78">
        <f t="shared" si="25"/>
        <v>4891.4249999999993</v>
      </c>
      <c r="AH146" s="72">
        <f t="shared" si="26"/>
        <v>16304.749999999998</v>
      </c>
      <c r="AI146" s="75">
        <f t="shared" si="27"/>
        <v>8225</v>
      </c>
      <c r="AJ146" s="78">
        <f t="shared" si="28"/>
        <v>3525</v>
      </c>
      <c r="AK146" s="72">
        <f t="shared" si="29"/>
        <v>11750</v>
      </c>
    </row>
    <row r="147" spans="1:37" ht="15.95" customHeight="1">
      <c r="A147" s="25" t="s">
        <v>702</v>
      </c>
      <c r="B147" s="25" t="s">
        <v>463</v>
      </c>
      <c r="C147" s="26" t="s">
        <v>21</v>
      </c>
      <c r="D147" s="26" t="s">
        <v>375</v>
      </c>
      <c r="E147" s="26" t="s">
        <v>16</v>
      </c>
      <c r="F147" s="26" t="s">
        <v>774</v>
      </c>
      <c r="G147" s="26"/>
      <c r="H147" s="44" t="s">
        <v>595</v>
      </c>
      <c r="I147" s="26" t="s">
        <v>27</v>
      </c>
      <c r="J147" s="28" t="s">
        <v>43</v>
      </c>
      <c r="K147" s="125">
        <v>135</v>
      </c>
      <c r="L147" s="29">
        <v>26.503</v>
      </c>
      <c r="M147" s="110">
        <v>19</v>
      </c>
      <c r="N147" s="30">
        <v>0.28199999999999997</v>
      </c>
      <c r="O147" s="116">
        <v>5.3579999999999997</v>
      </c>
      <c r="P147" s="30">
        <v>7.4999999999999997E-2</v>
      </c>
      <c r="Q147" s="116">
        <v>1.425</v>
      </c>
      <c r="R147" s="30">
        <v>7.0000000000000007E-2</v>
      </c>
      <c r="S147" s="116">
        <v>0.23</v>
      </c>
      <c r="T147" s="117">
        <v>0.49</v>
      </c>
      <c r="U147" s="39">
        <v>350</v>
      </c>
      <c r="V147" s="32">
        <v>150</v>
      </c>
      <c r="W147" s="33"/>
      <c r="X147" s="32"/>
      <c r="Y147" s="32"/>
      <c r="Z147" s="32"/>
      <c r="AA147" s="34"/>
      <c r="AB147" s="35">
        <f t="shared" si="20"/>
        <v>500</v>
      </c>
      <c r="AC147" s="75">
        <f t="shared" si="21"/>
        <v>47250</v>
      </c>
      <c r="AD147" s="78">
        <f t="shared" si="22"/>
        <v>20250</v>
      </c>
      <c r="AE147" s="72">
        <f t="shared" si="23"/>
        <v>67500</v>
      </c>
      <c r="AF147" s="75">
        <f t="shared" si="24"/>
        <v>9276.0499999999993</v>
      </c>
      <c r="AG147" s="78">
        <f t="shared" si="25"/>
        <v>3975.45</v>
      </c>
      <c r="AH147" s="72">
        <f t="shared" si="26"/>
        <v>13251.5</v>
      </c>
      <c r="AI147" s="75">
        <f t="shared" si="27"/>
        <v>6650</v>
      </c>
      <c r="AJ147" s="78">
        <f t="shared" si="28"/>
        <v>2850</v>
      </c>
      <c r="AK147" s="72">
        <f t="shared" si="29"/>
        <v>9500</v>
      </c>
    </row>
    <row r="148" spans="1:37" ht="15.95" customHeight="1">
      <c r="A148" s="25" t="s">
        <v>702</v>
      </c>
      <c r="B148" s="25" t="s">
        <v>463</v>
      </c>
      <c r="C148" s="26" t="s">
        <v>24</v>
      </c>
      <c r="D148" s="26" t="s">
        <v>213</v>
      </c>
      <c r="E148" s="26" t="s">
        <v>214</v>
      </c>
      <c r="F148" s="26" t="s">
        <v>775</v>
      </c>
      <c r="G148" s="26"/>
      <c r="H148" s="44" t="s">
        <v>777</v>
      </c>
      <c r="I148" s="26" t="s">
        <v>27</v>
      </c>
      <c r="J148" s="28" t="s">
        <v>227</v>
      </c>
      <c r="K148" s="123">
        <v>68</v>
      </c>
      <c r="L148" s="29">
        <v>10.659000000000001</v>
      </c>
      <c r="M148" s="110">
        <v>8.6</v>
      </c>
      <c r="N148" s="30">
        <v>0.16500000000000001</v>
      </c>
      <c r="O148" s="116">
        <v>1.419</v>
      </c>
      <c r="P148" s="30"/>
      <c r="Q148" s="116"/>
      <c r="R148" s="30">
        <v>7.0000000000000007E-2</v>
      </c>
      <c r="S148" s="116">
        <v>0.15</v>
      </c>
      <c r="T148" s="117">
        <v>0.49</v>
      </c>
      <c r="U148" s="39">
        <v>250</v>
      </c>
      <c r="V148" s="32"/>
      <c r="W148" s="33"/>
      <c r="X148" s="32"/>
      <c r="Y148" s="32"/>
      <c r="Z148" s="32"/>
      <c r="AA148" s="34"/>
      <c r="AB148" s="35">
        <f t="shared" si="20"/>
        <v>250</v>
      </c>
      <c r="AC148" s="75">
        <f t="shared" si="21"/>
        <v>17000</v>
      </c>
      <c r="AD148" s="78">
        <f t="shared" si="22"/>
        <v>0</v>
      </c>
      <c r="AE148" s="72">
        <f t="shared" si="23"/>
        <v>17000</v>
      </c>
      <c r="AF148" s="75">
        <f t="shared" si="24"/>
        <v>2664.75</v>
      </c>
      <c r="AG148" s="78">
        <f t="shared" si="25"/>
        <v>0</v>
      </c>
      <c r="AH148" s="72">
        <f t="shared" si="26"/>
        <v>2664.75</v>
      </c>
      <c r="AI148" s="75">
        <f t="shared" si="27"/>
        <v>2150</v>
      </c>
      <c r="AJ148" s="78">
        <f t="shared" si="28"/>
        <v>0</v>
      </c>
      <c r="AK148" s="72">
        <f t="shared" si="29"/>
        <v>2150</v>
      </c>
    </row>
    <row r="149" spans="1:37" ht="15.95" customHeight="1">
      <c r="A149" s="25" t="s">
        <v>702</v>
      </c>
      <c r="B149" s="25" t="s">
        <v>463</v>
      </c>
      <c r="C149" s="26" t="s">
        <v>267</v>
      </c>
      <c r="D149" s="26" t="s">
        <v>375</v>
      </c>
      <c r="E149" s="26" t="s">
        <v>16</v>
      </c>
      <c r="F149" s="26" t="s">
        <v>776</v>
      </c>
      <c r="G149" s="26"/>
      <c r="H149" s="44" t="s">
        <v>778</v>
      </c>
      <c r="I149" s="26" t="s">
        <v>27</v>
      </c>
      <c r="J149" s="28" t="s">
        <v>35</v>
      </c>
      <c r="K149" s="123">
        <v>100</v>
      </c>
      <c r="L149" s="29">
        <v>23.110499999999998</v>
      </c>
      <c r="M149" s="110">
        <v>16.5</v>
      </c>
      <c r="N149" s="30">
        <v>0.28199999999999997</v>
      </c>
      <c r="O149" s="116">
        <v>4.6529999999999996</v>
      </c>
      <c r="P149" s="30">
        <v>7.4999999999999997E-2</v>
      </c>
      <c r="Q149" s="116">
        <v>1.2375</v>
      </c>
      <c r="R149" s="30">
        <v>7.0000000000000007E-2</v>
      </c>
      <c r="S149" s="116">
        <v>0.23</v>
      </c>
      <c r="T149" s="117">
        <v>0.49</v>
      </c>
      <c r="U149" s="39">
        <v>250</v>
      </c>
      <c r="V149" s="32">
        <v>240</v>
      </c>
      <c r="W149" s="33"/>
      <c r="X149" s="32"/>
      <c r="Y149" s="32"/>
      <c r="Z149" s="32"/>
      <c r="AA149" s="34"/>
      <c r="AB149" s="35">
        <f t="shared" si="20"/>
        <v>490</v>
      </c>
      <c r="AC149" s="75">
        <f t="shared" si="21"/>
        <v>25000</v>
      </c>
      <c r="AD149" s="78">
        <f t="shared" si="22"/>
        <v>24000</v>
      </c>
      <c r="AE149" s="72">
        <f t="shared" si="23"/>
        <v>49000</v>
      </c>
      <c r="AF149" s="75">
        <f t="shared" si="24"/>
        <v>5777.625</v>
      </c>
      <c r="AG149" s="78">
        <f t="shared" si="25"/>
        <v>5546.5199999999995</v>
      </c>
      <c r="AH149" s="72">
        <f t="shared" si="26"/>
        <v>11324.145</v>
      </c>
      <c r="AI149" s="75">
        <f t="shared" si="27"/>
        <v>4125</v>
      </c>
      <c r="AJ149" s="78">
        <f t="shared" si="28"/>
        <v>3960</v>
      </c>
      <c r="AK149" s="72">
        <f t="shared" si="29"/>
        <v>8085</v>
      </c>
    </row>
    <row r="150" spans="1:37" ht="15.95" customHeight="1">
      <c r="A150" s="25" t="s">
        <v>702</v>
      </c>
      <c r="B150" s="25" t="s">
        <v>463</v>
      </c>
      <c r="C150" s="26" t="s">
        <v>24</v>
      </c>
      <c r="D150" s="26" t="s">
        <v>213</v>
      </c>
      <c r="E150" s="26" t="s">
        <v>214</v>
      </c>
      <c r="F150" s="26" t="s">
        <v>779</v>
      </c>
      <c r="G150" s="26"/>
      <c r="H150" s="44" t="s">
        <v>777</v>
      </c>
      <c r="I150" s="26" t="s">
        <v>27</v>
      </c>
      <c r="J150" s="28" t="s">
        <v>227</v>
      </c>
      <c r="K150" s="123">
        <v>54</v>
      </c>
      <c r="L150" s="29">
        <v>6.9892500000000011</v>
      </c>
      <c r="M150" s="110">
        <v>5.45</v>
      </c>
      <c r="N150" s="30">
        <v>0.16500000000000001</v>
      </c>
      <c r="O150" s="116">
        <v>0.8992500000000001</v>
      </c>
      <c r="P150" s="30"/>
      <c r="Q150" s="116"/>
      <c r="R150" s="30">
        <v>7.0000000000000007E-2</v>
      </c>
      <c r="S150" s="116">
        <v>0.15</v>
      </c>
      <c r="T150" s="117">
        <v>0.49</v>
      </c>
      <c r="U150" s="39">
        <v>300</v>
      </c>
      <c r="V150" s="32">
        <v>700</v>
      </c>
      <c r="W150" s="33"/>
      <c r="X150" s="32"/>
      <c r="Y150" s="32">
        <v>20</v>
      </c>
      <c r="Z150" s="32">
        <v>15</v>
      </c>
      <c r="AA150" s="34"/>
      <c r="AB150" s="35">
        <f t="shared" si="20"/>
        <v>1035</v>
      </c>
      <c r="AC150" s="75">
        <f t="shared" si="21"/>
        <v>16200</v>
      </c>
      <c r="AD150" s="78">
        <f t="shared" si="22"/>
        <v>39690</v>
      </c>
      <c r="AE150" s="72">
        <f t="shared" si="23"/>
        <v>55890</v>
      </c>
      <c r="AF150" s="75">
        <f t="shared" si="24"/>
        <v>2096.7750000000005</v>
      </c>
      <c r="AG150" s="78">
        <f t="shared" si="25"/>
        <v>5083.2250000000004</v>
      </c>
      <c r="AH150" s="72">
        <f t="shared" si="26"/>
        <v>7180.0000000000009</v>
      </c>
      <c r="AI150" s="75">
        <f t="shared" si="27"/>
        <v>1635</v>
      </c>
      <c r="AJ150" s="78">
        <f t="shared" si="28"/>
        <v>4005.75</v>
      </c>
      <c r="AK150" s="72">
        <f t="shared" si="29"/>
        <v>5640.75</v>
      </c>
    </row>
    <row r="151" spans="1:37" ht="15.95" customHeight="1">
      <c r="A151" s="25" t="s">
        <v>939</v>
      </c>
      <c r="B151" s="25" t="s">
        <v>463</v>
      </c>
      <c r="C151" s="26" t="s">
        <v>24</v>
      </c>
      <c r="D151" s="26" t="s">
        <v>213</v>
      </c>
      <c r="E151" s="26" t="s">
        <v>214</v>
      </c>
      <c r="F151" s="26" t="s">
        <v>779</v>
      </c>
      <c r="G151" s="26"/>
      <c r="H151" s="44" t="s">
        <v>777</v>
      </c>
      <c r="I151" s="26" t="s">
        <v>27</v>
      </c>
      <c r="J151" s="28" t="s">
        <v>227</v>
      </c>
      <c r="K151" s="123">
        <v>54</v>
      </c>
      <c r="L151" s="29">
        <v>6.9892500000000011</v>
      </c>
      <c r="M151" s="110">
        <v>5.45</v>
      </c>
      <c r="N151" s="30">
        <v>0.16500000000000001</v>
      </c>
      <c r="O151" s="116">
        <v>0.8992500000000001</v>
      </c>
      <c r="P151" s="30"/>
      <c r="Q151" s="116"/>
      <c r="R151" s="30">
        <v>7.0000000000000007E-2</v>
      </c>
      <c r="S151" s="116">
        <v>0.15</v>
      </c>
      <c r="T151" s="117">
        <v>0.49</v>
      </c>
      <c r="U151" s="39"/>
      <c r="V151" s="32">
        <v>938</v>
      </c>
      <c r="W151" s="33"/>
      <c r="X151" s="32"/>
      <c r="Y151" s="32"/>
      <c r="Z151" s="32"/>
      <c r="AA151" s="34"/>
      <c r="AB151" s="35">
        <f t="shared" si="20"/>
        <v>938</v>
      </c>
      <c r="AC151" s="75">
        <f t="shared" si="21"/>
        <v>0</v>
      </c>
      <c r="AD151" s="78">
        <f t="shared" si="22"/>
        <v>50652</v>
      </c>
      <c r="AE151" s="72">
        <f t="shared" si="23"/>
        <v>50652</v>
      </c>
      <c r="AF151" s="75">
        <f t="shared" si="24"/>
        <v>0</v>
      </c>
      <c r="AG151" s="78">
        <f t="shared" si="25"/>
        <v>6555.9165000000012</v>
      </c>
      <c r="AH151" s="72">
        <f t="shared" si="26"/>
        <v>6555.9165000000012</v>
      </c>
      <c r="AI151" s="75">
        <f t="shared" si="27"/>
        <v>0</v>
      </c>
      <c r="AJ151" s="78">
        <f t="shared" si="28"/>
        <v>5112.1000000000004</v>
      </c>
      <c r="AK151" s="72">
        <f t="shared" si="29"/>
        <v>5112.1000000000004</v>
      </c>
    </row>
    <row r="152" spans="1:37" ht="15.95" customHeight="1">
      <c r="A152" s="25" t="s">
        <v>702</v>
      </c>
      <c r="B152" s="25" t="s">
        <v>463</v>
      </c>
      <c r="C152" s="26" t="s">
        <v>24</v>
      </c>
      <c r="D152" s="26" t="s">
        <v>213</v>
      </c>
      <c r="E152" s="26" t="s">
        <v>214</v>
      </c>
      <c r="F152" s="26" t="s">
        <v>779</v>
      </c>
      <c r="G152" s="41"/>
      <c r="H152" s="44" t="s">
        <v>777</v>
      </c>
      <c r="I152" s="26" t="s">
        <v>27</v>
      </c>
      <c r="J152" s="28" t="s">
        <v>227</v>
      </c>
      <c r="K152" s="123">
        <v>54</v>
      </c>
      <c r="L152" s="29">
        <v>6.9892500000000011</v>
      </c>
      <c r="M152" s="110">
        <v>5.45</v>
      </c>
      <c r="N152" s="30">
        <v>0.16500000000000001</v>
      </c>
      <c r="O152" s="116">
        <v>0.8992500000000001</v>
      </c>
      <c r="P152" s="30"/>
      <c r="Q152" s="116"/>
      <c r="R152" s="30">
        <v>7.0000000000000007E-2</v>
      </c>
      <c r="S152" s="116">
        <v>0.15</v>
      </c>
      <c r="T152" s="117">
        <v>0.49</v>
      </c>
      <c r="U152" s="39">
        <v>300</v>
      </c>
      <c r="V152" s="32">
        <v>700</v>
      </c>
      <c r="W152" s="33"/>
      <c r="X152" s="32"/>
      <c r="Y152" s="32">
        <v>35</v>
      </c>
      <c r="Z152" s="32">
        <v>115</v>
      </c>
      <c r="AA152" s="34"/>
      <c r="AB152" s="35">
        <f t="shared" si="20"/>
        <v>1150</v>
      </c>
      <c r="AC152" s="75">
        <f t="shared" si="21"/>
        <v>16200</v>
      </c>
      <c r="AD152" s="78">
        <f t="shared" si="22"/>
        <v>45900</v>
      </c>
      <c r="AE152" s="72">
        <f t="shared" si="23"/>
        <v>62100</v>
      </c>
      <c r="AF152" s="75">
        <f t="shared" si="24"/>
        <v>2096.7750000000005</v>
      </c>
      <c r="AG152" s="78">
        <f t="shared" si="25"/>
        <v>5709.9750000000004</v>
      </c>
      <c r="AH152" s="72">
        <f t="shared" si="26"/>
        <v>7806.7500000000009</v>
      </c>
      <c r="AI152" s="75">
        <f t="shared" si="27"/>
        <v>1635</v>
      </c>
      <c r="AJ152" s="78">
        <f t="shared" si="28"/>
        <v>4632.5</v>
      </c>
      <c r="AK152" s="72">
        <f t="shared" si="29"/>
        <v>6267.5</v>
      </c>
    </row>
    <row r="153" spans="1:37" ht="15.95" customHeight="1">
      <c r="A153" s="25" t="s">
        <v>702</v>
      </c>
      <c r="B153" s="25" t="s">
        <v>463</v>
      </c>
      <c r="C153" s="26" t="s">
        <v>24</v>
      </c>
      <c r="D153" s="26" t="s">
        <v>213</v>
      </c>
      <c r="E153" s="26" t="s">
        <v>214</v>
      </c>
      <c r="F153" s="26" t="s">
        <v>779</v>
      </c>
      <c r="G153" s="41"/>
      <c r="H153" s="44" t="s">
        <v>777</v>
      </c>
      <c r="I153" s="26" t="s">
        <v>27</v>
      </c>
      <c r="J153" s="28" t="s">
        <v>227</v>
      </c>
      <c r="K153" s="123">
        <v>54</v>
      </c>
      <c r="L153" s="29">
        <v>6.9892500000000011</v>
      </c>
      <c r="M153" s="110">
        <v>5.45</v>
      </c>
      <c r="N153" s="30">
        <v>0.16500000000000001</v>
      </c>
      <c r="O153" s="116">
        <v>0.8992500000000001</v>
      </c>
      <c r="P153" s="30"/>
      <c r="Q153" s="116"/>
      <c r="R153" s="30">
        <v>7.0000000000000007E-2</v>
      </c>
      <c r="S153" s="116">
        <v>0.15</v>
      </c>
      <c r="T153" s="117">
        <v>0.49</v>
      </c>
      <c r="U153" s="39">
        <v>300</v>
      </c>
      <c r="V153" s="32">
        <v>700</v>
      </c>
      <c r="W153" s="33"/>
      <c r="X153" s="32"/>
      <c r="Y153" s="32">
        <v>40</v>
      </c>
      <c r="Z153" s="32">
        <v>100</v>
      </c>
      <c r="AA153" s="34"/>
      <c r="AB153" s="35">
        <f t="shared" si="20"/>
        <v>1140</v>
      </c>
      <c r="AC153" s="75">
        <f t="shared" si="21"/>
        <v>16200</v>
      </c>
      <c r="AD153" s="78">
        <f t="shared" si="22"/>
        <v>45360</v>
      </c>
      <c r="AE153" s="72">
        <f t="shared" si="23"/>
        <v>61560</v>
      </c>
      <c r="AF153" s="75">
        <f t="shared" si="24"/>
        <v>2096.7750000000005</v>
      </c>
      <c r="AG153" s="78">
        <f t="shared" si="25"/>
        <v>5655.4750000000004</v>
      </c>
      <c r="AH153" s="72">
        <f t="shared" si="26"/>
        <v>7752.2500000000009</v>
      </c>
      <c r="AI153" s="75">
        <f t="shared" si="27"/>
        <v>1635</v>
      </c>
      <c r="AJ153" s="78">
        <f t="shared" si="28"/>
        <v>4578</v>
      </c>
      <c r="AK153" s="72">
        <f t="shared" si="29"/>
        <v>6213</v>
      </c>
    </row>
    <row r="154" spans="1:37" ht="15.95" customHeight="1">
      <c r="A154" s="25" t="s">
        <v>702</v>
      </c>
      <c r="B154" s="25" t="s">
        <v>463</v>
      </c>
      <c r="C154" s="26" t="s">
        <v>14</v>
      </c>
      <c r="D154" s="26" t="s">
        <v>373</v>
      </c>
      <c r="E154" s="26" t="s">
        <v>16</v>
      </c>
      <c r="F154" s="26" t="s">
        <v>780</v>
      </c>
      <c r="G154" s="41"/>
      <c r="H154" s="44" t="s">
        <v>781</v>
      </c>
      <c r="I154" s="26" t="s">
        <v>19</v>
      </c>
      <c r="J154" s="28" t="s">
        <v>20</v>
      </c>
      <c r="K154" s="123">
        <v>175</v>
      </c>
      <c r="L154" s="29">
        <v>30.779699999999998</v>
      </c>
      <c r="M154" s="110">
        <v>22.1</v>
      </c>
      <c r="N154" s="30">
        <v>0.28199999999999997</v>
      </c>
      <c r="O154" s="116">
        <v>6.2321999999999997</v>
      </c>
      <c r="P154" s="30">
        <v>7.4999999999999997E-2</v>
      </c>
      <c r="Q154" s="116">
        <v>1.6575</v>
      </c>
      <c r="R154" s="30">
        <v>7.0000000000000007E-2</v>
      </c>
      <c r="S154" s="116">
        <v>0.3</v>
      </c>
      <c r="T154" s="117">
        <v>0.49</v>
      </c>
      <c r="U154" s="39">
        <v>250</v>
      </c>
      <c r="V154" s="32">
        <v>250</v>
      </c>
      <c r="W154" s="33"/>
      <c r="X154" s="32"/>
      <c r="Y154" s="32"/>
      <c r="Z154" s="32">
        <v>14</v>
      </c>
      <c r="AA154" s="34"/>
      <c r="AB154" s="35">
        <f t="shared" si="20"/>
        <v>514</v>
      </c>
      <c r="AC154" s="75">
        <f t="shared" si="21"/>
        <v>43750</v>
      </c>
      <c r="AD154" s="78">
        <f t="shared" si="22"/>
        <v>46200</v>
      </c>
      <c r="AE154" s="72">
        <f t="shared" si="23"/>
        <v>89950</v>
      </c>
      <c r="AF154" s="75">
        <f t="shared" si="24"/>
        <v>7694.9249999999993</v>
      </c>
      <c r="AG154" s="78">
        <f t="shared" si="25"/>
        <v>8004.3249999999989</v>
      </c>
      <c r="AH154" s="72">
        <f t="shared" si="26"/>
        <v>15699.249999999998</v>
      </c>
      <c r="AI154" s="75">
        <f t="shared" si="27"/>
        <v>5525</v>
      </c>
      <c r="AJ154" s="78">
        <f t="shared" si="28"/>
        <v>5834.4000000000005</v>
      </c>
      <c r="AK154" s="72">
        <f t="shared" si="29"/>
        <v>11359.400000000001</v>
      </c>
    </row>
    <row r="155" spans="1:37" ht="15.95" customHeight="1">
      <c r="A155" s="25" t="s">
        <v>702</v>
      </c>
      <c r="B155" s="25" t="s">
        <v>463</v>
      </c>
      <c r="C155" s="26" t="s">
        <v>21</v>
      </c>
      <c r="D155" s="26" t="s">
        <v>373</v>
      </c>
      <c r="E155" s="26" t="s">
        <v>16</v>
      </c>
      <c r="F155" s="26" t="s">
        <v>782</v>
      </c>
      <c r="G155" s="41"/>
      <c r="H155" s="44" t="s">
        <v>781</v>
      </c>
      <c r="I155" s="26" t="s">
        <v>19</v>
      </c>
      <c r="J155" s="28" t="s">
        <v>23</v>
      </c>
      <c r="K155" s="123">
        <v>110</v>
      </c>
      <c r="L155" s="29">
        <v>14.360000000000001</v>
      </c>
      <c r="M155" s="110">
        <v>10</v>
      </c>
      <c r="N155" s="30">
        <v>0.28199999999999997</v>
      </c>
      <c r="O155" s="116">
        <v>2.82</v>
      </c>
      <c r="P155" s="30">
        <v>7.4999999999999997E-2</v>
      </c>
      <c r="Q155" s="116">
        <v>0.75</v>
      </c>
      <c r="R155" s="30">
        <v>7.0000000000000007E-2</v>
      </c>
      <c r="S155" s="116">
        <v>0.3</v>
      </c>
      <c r="T155" s="117">
        <v>0.49</v>
      </c>
      <c r="U155" s="39">
        <v>250</v>
      </c>
      <c r="V155" s="32">
        <v>250</v>
      </c>
      <c r="W155" s="33"/>
      <c r="X155" s="32"/>
      <c r="Y155" s="32"/>
      <c r="Z155" s="32"/>
      <c r="AA155" s="34"/>
      <c r="AB155" s="35">
        <f t="shared" si="20"/>
        <v>500</v>
      </c>
      <c r="AC155" s="75">
        <f t="shared" si="21"/>
        <v>27500</v>
      </c>
      <c r="AD155" s="78">
        <f t="shared" si="22"/>
        <v>27500</v>
      </c>
      <c r="AE155" s="72">
        <f t="shared" si="23"/>
        <v>55000</v>
      </c>
      <c r="AF155" s="75">
        <f t="shared" si="24"/>
        <v>3590.0000000000005</v>
      </c>
      <c r="AG155" s="78">
        <f t="shared" si="25"/>
        <v>3590.0000000000005</v>
      </c>
      <c r="AH155" s="72">
        <f t="shared" si="26"/>
        <v>7180.0000000000009</v>
      </c>
      <c r="AI155" s="75">
        <f t="shared" si="27"/>
        <v>2500</v>
      </c>
      <c r="AJ155" s="78">
        <f t="shared" si="28"/>
        <v>2500</v>
      </c>
      <c r="AK155" s="72">
        <f t="shared" si="29"/>
        <v>5000</v>
      </c>
    </row>
    <row r="156" spans="1:37" ht="15.95" customHeight="1">
      <c r="A156" s="25" t="s">
        <v>702</v>
      </c>
      <c r="B156" s="25" t="s">
        <v>463</v>
      </c>
      <c r="C156" s="26" t="s">
        <v>728</v>
      </c>
      <c r="D156" s="26" t="s">
        <v>373</v>
      </c>
      <c r="E156" s="26" t="s">
        <v>16</v>
      </c>
      <c r="F156" s="26" t="s">
        <v>783</v>
      </c>
      <c r="G156" s="41"/>
      <c r="H156" s="44" t="s">
        <v>781</v>
      </c>
      <c r="I156" s="26" t="s">
        <v>19</v>
      </c>
      <c r="J156" s="28"/>
      <c r="K156" s="123"/>
      <c r="L156" s="29">
        <v>45.435299999999998</v>
      </c>
      <c r="M156" s="110">
        <v>32.9</v>
      </c>
      <c r="N156" s="30">
        <v>0.28199999999999997</v>
      </c>
      <c r="O156" s="116">
        <v>9.2777999999999992</v>
      </c>
      <c r="P156" s="30">
        <v>7.4999999999999997E-2</v>
      </c>
      <c r="Q156" s="116">
        <v>2.4674999999999998</v>
      </c>
      <c r="R156" s="30">
        <v>7.0000000000000007E-2</v>
      </c>
      <c r="S156" s="116">
        <v>0.3</v>
      </c>
      <c r="T156" s="117">
        <v>0.49</v>
      </c>
      <c r="U156" s="39"/>
      <c r="V156" s="32"/>
      <c r="W156" s="33"/>
      <c r="X156" s="32"/>
      <c r="Y156" s="32"/>
      <c r="Z156" s="32">
        <v>14</v>
      </c>
      <c r="AA156" s="34"/>
      <c r="AB156" s="35">
        <f t="shared" si="20"/>
        <v>14</v>
      </c>
      <c r="AC156" s="75">
        <f t="shared" si="21"/>
        <v>0</v>
      </c>
      <c r="AD156" s="78">
        <f t="shared" si="22"/>
        <v>0</v>
      </c>
      <c r="AE156" s="72">
        <f t="shared" si="23"/>
        <v>0</v>
      </c>
      <c r="AF156" s="75">
        <f t="shared" si="24"/>
        <v>0</v>
      </c>
      <c r="AG156" s="78">
        <f t="shared" si="25"/>
        <v>460.59999999999997</v>
      </c>
      <c r="AH156" s="72">
        <f t="shared" si="26"/>
        <v>460.59999999999997</v>
      </c>
      <c r="AI156" s="75">
        <f t="shared" si="27"/>
        <v>0</v>
      </c>
      <c r="AJ156" s="78">
        <f t="shared" si="28"/>
        <v>460.59999999999997</v>
      </c>
      <c r="AK156" s="72">
        <f t="shared" si="29"/>
        <v>460.59999999999997</v>
      </c>
    </row>
    <row r="157" spans="1:37" ht="15.95" customHeight="1">
      <c r="A157" s="25" t="s">
        <v>702</v>
      </c>
      <c r="B157" s="25" t="s">
        <v>463</v>
      </c>
      <c r="C157" s="26" t="s">
        <v>527</v>
      </c>
      <c r="D157" s="26" t="s">
        <v>373</v>
      </c>
      <c r="E157" s="26" t="s">
        <v>16</v>
      </c>
      <c r="F157" s="26" t="s">
        <v>784</v>
      </c>
      <c r="G157" s="41"/>
      <c r="H157" s="44" t="s">
        <v>785</v>
      </c>
      <c r="I157" s="26" t="s">
        <v>19</v>
      </c>
      <c r="J157" s="28" t="s">
        <v>529</v>
      </c>
      <c r="K157" s="123">
        <v>135</v>
      </c>
      <c r="L157" s="29">
        <v>31.729600000000001</v>
      </c>
      <c r="M157" s="110">
        <v>22.8</v>
      </c>
      <c r="N157" s="30">
        <v>0.28199999999999997</v>
      </c>
      <c r="O157" s="116">
        <v>6.4295999999999998</v>
      </c>
      <c r="P157" s="30">
        <v>7.4999999999999997E-2</v>
      </c>
      <c r="Q157" s="116">
        <v>1.71</v>
      </c>
      <c r="R157" s="30">
        <v>7.0000000000000007E-2</v>
      </c>
      <c r="S157" s="116">
        <v>0.3</v>
      </c>
      <c r="T157" s="117">
        <v>0.49</v>
      </c>
      <c r="U157" s="39">
        <v>390</v>
      </c>
      <c r="V157" s="32">
        <v>550</v>
      </c>
      <c r="W157" s="33"/>
      <c r="X157" s="32"/>
      <c r="Y157" s="32"/>
      <c r="Z157" s="32"/>
      <c r="AA157" s="34"/>
      <c r="AB157" s="35">
        <f t="shared" si="20"/>
        <v>940</v>
      </c>
      <c r="AC157" s="75">
        <f t="shared" si="21"/>
        <v>52650</v>
      </c>
      <c r="AD157" s="78">
        <f t="shared" si="22"/>
        <v>74250</v>
      </c>
      <c r="AE157" s="72">
        <f t="shared" si="23"/>
        <v>126900</v>
      </c>
      <c r="AF157" s="75">
        <f t="shared" si="24"/>
        <v>12374.544</v>
      </c>
      <c r="AG157" s="78">
        <f t="shared" si="25"/>
        <v>17451.280000000002</v>
      </c>
      <c r="AH157" s="72">
        <f t="shared" si="26"/>
        <v>29825.824000000001</v>
      </c>
      <c r="AI157" s="75">
        <f t="shared" si="27"/>
        <v>8892</v>
      </c>
      <c r="AJ157" s="78">
        <f t="shared" si="28"/>
        <v>12540</v>
      </c>
      <c r="AK157" s="72">
        <f t="shared" si="29"/>
        <v>21432</v>
      </c>
    </row>
    <row r="158" spans="1:37" ht="15.95" customHeight="1">
      <c r="A158" s="25" t="s">
        <v>702</v>
      </c>
      <c r="B158" s="25" t="s">
        <v>463</v>
      </c>
      <c r="C158" s="26" t="s">
        <v>267</v>
      </c>
      <c r="D158" s="26" t="s">
        <v>373</v>
      </c>
      <c r="E158" s="26" t="s">
        <v>16</v>
      </c>
      <c r="F158" s="26" t="s">
        <v>786</v>
      </c>
      <c r="G158" s="41"/>
      <c r="H158" s="44" t="s">
        <v>787</v>
      </c>
      <c r="I158" s="26" t="s">
        <v>788</v>
      </c>
      <c r="J158" s="28" t="s">
        <v>31</v>
      </c>
      <c r="K158" s="123">
        <v>135</v>
      </c>
      <c r="L158" s="29">
        <v>25.216000000000001</v>
      </c>
      <c r="M158" s="110">
        <v>18</v>
      </c>
      <c r="N158" s="30">
        <v>0.28199999999999997</v>
      </c>
      <c r="O158" s="116">
        <v>5.0759999999999996</v>
      </c>
      <c r="P158" s="30">
        <v>7.4999999999999997E-2</v>
      </c>
      <c r="Q158" s="116">
        <v>1.3499999999999999</v>
      </c>
      <c r="R158" s="30">
        <v>7.0000000000000007E-2</v>
      </c>
      <c r="S158" s="116">
        <v>0.3</v>
      </c>
      <c r="T158" s="117">
        <v>0.49</v>
      </c>
      <c r="U158" s="39">
        <v>410</v>
      </c>
      <c r="V158" s="32">
        <v>550</v>
      </c>
      <c r="W158" s="33"/>
      <c r="X158" s="32"/>
      <c r="Y158" s="32"/>
      <c r="Z158" s="32"/>
      <c r="AA158" s="34"/>
      <c r="AB158" s="35">
        <f t="shared" si="20"/>
        <v>960</v>
      </c>
      <c r="AC158" s="75">
        <f t="shared" si="21"/>
        <v>55350</v>
      </c>
      <c r="AD158" s="78">
        <f t="shared" si="22"/>
        <v>74250</v>
      </c>
      <c r="AE158" s="72">
        <f t="shared" si="23"/>
        <v>129600</v>
      </c>
      <c r="AF158" s="75">
        <f t="shared" si="24"/>
        <v>10338.560000000001</v>
      </c>
      <c r="AG158" s="78">
        <f t="shared" si="25"/>
        <v>13868.800000000001</v>
      </c>
      <c r="AH158" s="72">
        <f t="shared" si="26"/>
        <v>24207.360000000001</v>
      </c>
      <c r="AI158" s="75">
        <f t="shared" si="27"/>
        <v>7380</v>
      </c>
      <c r="AJ158" s="78">
        <f t="shared" si="28"/>
        <v>9900</v>
      </c>
      <c r="AK158" s="72">
        <f t="shared" si="29"/>
        <v>17280</v>
      </c>
    </row>
    <row r="159" spans="1:37" ht="15.95" customHeight="1">
      <c r="A159" s="25" t="s">
        <v>702</v>
      </c>
      <c r="B159" s="25" t="s">
        <v>463</v>
      </c>
      <c r="C159" s="26" t="s">
        <v>14</v>
      </c>
      <c r="D159" s="26" t="s">
        <v>375</v>
      </c>
      <c r="E159" s="26" t="s">
        <v>16</v>
      </c>
      <c r="F159" s="26" t="s">
        <v>789</v>
      </c>
      <c r="G159" s="41"/>
      <c r="H159" s="44" t="s">
        <v>790</v>
      </c>
      <c r="I159" s="26" t="s">
        <v>27</v>
      </c>
      <c r="J159" s="28" t="s">
        <v>41</v>
      </c>
      <c r="K159" s="123">
        <v>135</v>
      </c>
      <c r="L159" s="29">
        <v>26.16375</v>
      </c>
      <c r="M159" s="110">
        <v>18.75</v>
      </c>
      <c r="N159" s="30">
        <v>0.28199999999999997</v>
      </c>
      <c r="O159" s="116">
        <v>5.2874999999999996</v>
      </c>
      <c r="P159" s="30">
        <v>7.4999999999999997E-2</v>
      </c>
      <c r="Q159" s="116">
        <v>1.40625</v>
      </c>
      <c r="R159" s="30">
        <v>7.0000000000000007E-2</v>
      </c>
      <c r="S159" s="116">
        <v>0.23</v>
      </c>
      <c r="T159" s="117">
        <v>0.49</v>
      </c>
      <c r="U159" s="39">
        <v>350</v>
      </c>
      <c r="V159" s="32"/>
      <c r="W159" s="33"/>
      <c r="X159" s="32"/>
      <c r="Y159" s="32"/>
      <c r="Z159" s="32"/>
      <c r="AA159" s="34"/>
      <c r="AB159" s="35">
        <f t="shared" si="20"/>
        <v>350</v>
      </c>
      <c r="AC159" s="75">
        <f t="shared" si="21"/>
        <v>47250</v>
      </c>
      <c r="AD159" s="78">
        <f t="shared" si="22"/>
        <v>0</v>
      </c>
      <c r="AE159" s="72">
        <f t="shared" si="23"/>
        <v>47250</v>
      </c>
      <c r="AF159" s="75">
        <f t="shared" si="24"/>
        <v>9157.3125</v>
      </c>
      <c r="AG159" s="78">
        <f t="shared" si="25"/>
        <v>0</v>
      </c>
      <c r="AH159" s="72">
        <f t="shared" si="26"/>
        <v>9157.3125</v>
      </c>
      <c r="AI159" s="75">
        <f t="shared" si="27"/>
        <v>6562.5</v>
      </c>
      <c r="AJ159" s="78">
        <f t="shared" si="28"/>
        <v>0</v>
      </c>
      <c r="AK159" s="72">
        <f t="shared" si="29"/>
        <v>6562.5</v>
      </c>
    </row>
    <row r="160" spans="1:37" ht="15.95" customHeight="1">
      <c r="A160" s="25" t="s">
        <v>702</v>
      </c>
      <c r="B160" s="25" t="s">
        <v>463</v>
      </c>
      <c r="C160" s="26" t="s">
        <v>21</v>
      </c>
      <c r="D160" s="26" t="s">
        <v>375</v>
      </c>
      <c r="E160" s="26" t="s">
        <v>16</v>
      </c>
      <c r="F160" s="26" t="s">
        <v>791</v>
      </c>
      <c r="G160" s="41"/>
      <c r="H160" s="44" t="s">
        <v>792</v>
      </c>
      <c r="I160" s="26" t="s">
        <v>27</v>
      </c>
      <c r="J160" s="28" t="s">
        <v>43</v>
      </c>
      <c r="K160" s="123">
        <v>110</v>
      </c>
      <c r="L160" s="29">
        <v>21.007149999999999</v>
      </c>
      <c r="M160" s="110">
        <v>14.95</v>
      </c>
      <c r="N160" s="30">
        <v>0.28199999999999997</v>
      </c>
      <c r="O160" s="116">
        <v>4.2158999999999995</v>
      </c>
      <c r="P160" s="30">
        <v>7.4999999999999997E-2</v>
      </c>
      <c r="Q160" s="116">
        <v>1.1212499999999999</v>
      </c>
      <c r="R160" s="30">
        <v>7.0000000000000007E-2</v>
      </c>
      <c r="S160" s="116">
        <v>0.23</v>
      </c>
      <c r="T160" s="117">
        <v>0.49</v>
      </c>
      <c r="U160" s="39">
        <v>350</v>
      </c>
      <c r="V160" s="32"/>
      <c r="W160" s="33"/>
      <c r="X160" s="32"/>
      <c r="Y160" s="32"/>
      <c r="Z160" s="32"/>
      <c r="AA160" s="34"/>
      <c r="AB160" s="35">
        <f t="shared" si="20"/>
        <v>350</v>
      </c>
      <c r="AC160" s="75">
        <f t="shared" si="21"/>
        <v>38500</v>
      </c>
      <c r="AD160" s="78">
        <f t="shared" si="22"/>
        <v>0</v>
      </c>
      <c r="AE160" s="72">
        <f t="shared" si="23"/>
        <v>38500</v>
      </c>
      <c r="AF160" s="75">
        <f t="shared" si="24"/>
        <v>7352.5024999999996</v>
      </c>
      <c r="AG160" s="78">
        <f t="shared" si="25"/>
        <v>0</v>
      </c>
      <c r="AH160" s="72">
        <f t="shared" si="26"/>
        <v>7352.5024999999996</v>
      </c>
      <c r="AI160" s="75">
        <f t="shared" si="27"/>
        <v>5232.5</v>
      </c>
      <c r="AJ160" s="78">
        <f t="shared" si="28"/>
        <v>0</v>
      </c>
      <c r="AK160" s="72">
        <f t="shared" si="29"/>
        <v>5232.5</v>
      </c>
    </row>
    <row r="161" spans="1:37" ht="15.95" customHeight="1">
      <c r="A161" s="25" t="s">
        <v>702</v>
      </c>
      <c r="B161" s="25" t="s">
        <v>463</v>
      </c>
      <c r="C161" s="26" t="s">
        <v>14</v>
      </c>
      <c r="D161" s="26" t="s">
        <v>375</v>
      </c>
      <c r="E161" s="26" t="s">
        <v>16</v>
      </c>
      <c r="F161" s="26" t="s">
        <v>789</v>
      </c>
      <c r="G161" s="41"/>
      <c r="H161" s="44" t="s">
        <v>792</v>
      </c>
      <c r="I161" s="26" t="s">
        <v>27</v>
      </c>
      <c r="J161" s="28" t="s">
        <v>41</v>
      </c>
      <c r="K161" s="123">
        <v>135</v>
      </c>
      <c r="L161" s="29">
        <v>26.16375</v>
      </c>
      <c r="M161" s="110">
        <v>18.75</v>
      </c>
      <c r="N161" s="30">
        <v>0.28199999999999997</v>
      </c>
      <c r="O161" s="116">
        <v>5.2874999999999996</v>
      </c>
      <c r="P161" s="30">
        <v>7.4999999999999997E-2</v>
      </c>
      <c r="Q161" s="116">
        <v>1.40625</v>
      </c>
      <c r="R161" s="30">
        <v>7.0000000000000007E-2</v>
      </c>
      <c r="S161" s="116">
        <v>0.23</v>
      </c>
      <c r="T161" s="117">
        <v>0.49</v>
      </c>
      <c r="U161" s="39">
        <v>400</v>
      </c>
      <c r="V161" s="32"/>
      <c r="W161" s="33"/>
      <c r="X161" s="32"/>
      <c r="Y161" s="32"/>
      <c r="Z161" s="32"/>
      <c r="AA161" s="34"/>
      <c r="AB161" s="35">
        <f t="shared" si="20"/>
        <v>400</v>
      </c>
      <c r="AC161" s="75">
        <f t="shared" si="21"/>
        <v>54000</v>
      </c>
      <c r="AD161" s="78">
        <f t="shared" si="22"/>
        <v>0</v>
      </c>
      <c r="AE161" s="72">
        <f t="shared" si="23"/>
        <v>54000</v>
      </c>
      <c r="AF161" s="75">
        <f t="shared" si="24"/>
        <v>10465.5</v>
      </c>
      <c r="AG161" s="78">
        <f t="shared" si="25"/>
        <v>0</v>
      </c>
      <c r="AH161" s="72">
        <f t="shared" si="26"/>
        <v>10465.5</v>
      </c>
      <c r="AI161" s="75">
        <f t="shared" si="27"/>
        <v>7500</v>
      </c>
      <c r="AJ161" s="78">
        <f t="shared" si="28"/>
        <v>0</v>
      </c>
      <c r="AK161" s="72">
        <f t="shared" si="29"/>
        <v>7500</v>
      </c>
    </row>
    <row r="162" spans="1:37" ht="15.95" customHeight="1">
      <c r="A162" s="25" t="s">
        <v>702</v>
      </c>
      <c r="B162" s="25" t="s">
        <v>463</v>
      </c>
      <c r="C162" s="26" t="s">
        <v>21</v>
      </c>
      <c r="D162" s="26" t="s">
        <v>375</v>
      </c>
      <c r="E162" s="26" t="s">
        <v>16</v>
      </c>
      <c r="F162" s="26" t="s">
        <v>791</v>
      </c>
      <c r="G162" s="41"/>
      <c r="H162" s="44" t="s">
        <v>792</v>
      </c>
      <c r="I162" s="26" t="s">
        <v>27</v>
      </c>
      <c r="J162" s="28" t="s">
        <v>43</v>
      </c>
      <c r="K162" s="123">
        <v>110</v>
      </c>
      <c r="L162" s="29">
        <v>21.007149999999999</v>
      </c>
      <c r="M162" s="110">
        <v>14.95</v>
      </c>
      <c r="N162" s="30">
        <v>0.28199999999999997</v>
      </c>
      <c r="O162" s="116">
        <v>4.2158999999999995</v>
      </c>
      <c r="P162" s="30">
        <v>7.4999999999999997E-2</v>
      </c>
      <c r="Q162" s="116">
        <v>1.1212499999999999</v>
      </c>
      <c r="R162" s="30">
        <v>7.0000000000000007E-2</v>
      </c>
      <c r="S162" s="116">
        <v>0.23</v>
      </c>
      <c r="T162" s="117">
        <v>0.49</v>
      </c>
      <c r="U162" s="39">
        <v>400</v>
      </c>
      <c r="V162" s="32"/>
      <c r="W162" s="33"/>
      <c r="X162" s="32"/>
      <c r="Y162" s="32"/>
      <c r="Z162" s="32"/>
      <c r="AA162" s="34"/>
      <c r="AB162" s="35">
        <f t="shared" si="20"/>
        <v>400</v>
      </c>
      <c r="AC162" s="75">
        <f t="shared" si="21"/>
        <v>44000</v>
      </c>
      <c r="AD162" s="78">
        <f t="shared" si="22"/>
        <v>0</v>
      </c>
      <c r="AE162" s="72">
        <f t="shared" si="23"/>
        <v>44000</v>
      </c>
      <c r="AF162" s="75">
        <f t="shared" si="24"/>
        <v>8402.86</v>
      </c>
      <c r="AG162" s="78">
        <f t="shared" si="25"/>
        <v>0</v>
      </c>
      <c r="AH162" s="72">
        <f t="shared" si="26"/>
        <v>8402.86</v>
      </c>
      <c r="AI162" s="75">
        <f t="shared" si="27"/>
        <v>5980</v>
      </c>
      <c r="AJ162" s="78">
        <f t="shared" si="28"/>
        <v>0</v>
      </c>
      <c r="AK162" s="72">
        <f t="shared" si="29"/>
        <v>5980</v>
      </c>
    </row>
    <row r="163" spans="1:37" ht="15.95" customHeight="1">
      <c r="A163" s="25" t="s">
        <v>702</v>
      </c>
      <c r="B163" s="25" t="s">
        <v>463</v>
      </c>
      <c r="C163" s="26" t="s">
        <v>24</v>
      </c>
      <c r="D163" s="26" t="s">
        <v>213</v>
      </c>
      <c r="E163" s="26" t="s">
        <v>214</v>
      </c>
      <c r="F163" s="26" t="s">
        <v>793</v>
      </c>
      <c r="G163" s="41"/>
      <c r="H163" s="44" t="s">
        <v>234</v>
      </c>
      <c r="I163" s="26" t="s">
        <v>27</v>
      </c>
      <c r="J163" s="28" t="s">
        <v>227</v>
      </c>
      <c r="K163" s="123">
        <v>48</v>
      </c>
      <c r="L163" s="29">
        <v>8.9697500000000012</v>
      </c>
      <c r="M163" s="110">
        <v>7.15</v>
      </c>
      <c r="N163" s="30">
        <v>0.16500000000000001</v>
      </c>
      <c r="O163" s="116">
        <v>1.1797500000000001</v>
      </c>
      <c r="P163" s="30"/>
      <c r="Q163" s="116"/>
      <c r="R163" s="30">
        <v>7.0000000000000007E-2</v>
      </c>
      <c r="S163" s="116">
        <v>0.15</v>
      </c>
      <c r="T163" s="117">
        <v>0.49</v>
      </c>
      <c r="U163" s="39">
        <v>400</v>
      </c>
      <c r="V163" s="32">
        <v>200</v>
      </c>
      <c r="W163" s="33"/>
      <c r="X163" s="32"/>
      <c r="Y163" s="32"/>
      <c r="Z163" s="32"/>
      <c r="AA163" s="34"/>
      <c r="AB163" s="35">
        <f t="shared" si="20"/>
        <v>600</v>
      </c>
      <c r="AC163" s="75">
        <f t="shared" si="21"/>
        <v>19200</v>
      </c>
      <c r="AD163" s="78">
        <f t="shared" si="22"/>
        <v>9600</v>
      </c>
      <c r="AE163" s="72">
        <f t="shared" si="23"/>
        <v>28800</v>
      </c>
      <c r="AF163" s="75">
        <f t="shared" si="24"/>
        <v>3587.9000000000005</v>
      </c>
      <c r="AG163" s="78">
        <f t="shared" si="25"/>
        <v>1793.9500000000003</v>
      </c>
      <c r="AH163" s="72">
        <f t="shared" si="26"/>
        <v>5381.85</v>
      </c>
      <c r="AI163" s="75">
        <f t="shared" si="27"/>
        <v>2860</v>
      </c>
      <c r="AJ163" s="78">
        <f t="shared" si="28"/>
        <v>1430</v>
      </c>
      <c r="AK163" s="72">
        <f t="shared" si="29"/>
        <v>4290</v>
      </c>
    </row>
    <row r="164" spans="1:37" ht="15.95" customHeight="1">
      <c r="A164" s="25" t="s">
        <v>702</v>
      </c>
      <c r="B164" s="25" t="s">
        <v>463</v>
      </c>
      <c r="C164" s="26" t="s">
        <v>24</v>
      </c>
      <c r="D164" s="26" t="s">
        <v>213</v>
      </c>
      <c r="E164" s="26" t="s">
        <v>214</v>
      </c>
      <c r="F164" s="26" t="s">
        <v>793</v>
      </c>
      <c r="G164" s="41"/>
      <c r="H164" s="44" t="s">
        <v>777</v>
      </c>
      <c r="I164" s="26" t="s">
        <v>27</v>
      </c>
      <c r="J164" s="28" t="s">
        <v>227</v>
      </c>
      <c r="K164" s="123">
        <v>48</v>
      </c>
      <c r="L164" s="29">
        <v>8.9697500000000012</v>
      </c>
      <c r="M164" s="110">
        <v>7.15</v>
      </c>
      <c r="N164" s="30">
        <v>0.16500000000000001</v>
      </c>
      <c r="O164" s="116">
        <v>1.1797500000000001</v>
      </c>
      <c r="P164" s="30"/>
      <c r="Q164" s="116"/>
      <c r="R164" s="30">
        <v>7.0000000000000007E-2</v>
      </c>
      <c r="S164" s="116">
        <v>0.15</v>
      </c>
      <c r="T164" s="117">
        <v>0.49</v>
      </c>
      <c r="U164" s="39">
        <v>300</v>
      </c>
      <c r="V164" s="32">
        <v>200</v>
      </c>
      <c r="W164" s="33"/>
      <c r="X164" s="32"/>
      <c r="Y164" s="32"/>
      <c r="Z164" s="32"/>
      <c r="AA164" s="34"/>
      <c r="AB164" s="35">
        <f t="shared" si="20"/>
        <v>500</v>
      </c>
      <c r="AC164" s="75">
        <f t="shared" si="21"/>
        <v>14400</v>
      </c>
      <c r="AD164" s="78">
        <f t="shared" si="22"/>
        <v>9600</v>
      </c>
      <c r="AE164" s="72">
        <f t="shared" si="23"/>
        <v>24000</v>
      </c>
      <c r="AF164" s="75">
        <f t="shared" si="24"/>
        <v>2690.9250000000002</v>
      </c>
      <c r="AG164" s="78">
        <f t="shared" si="25"/>
        <v>1793.9500000000003</v>
      </c>
      <c r="AH164" s="72">
        <f t="shared" si="26"/>
        <v>4484.875</v>
      </c>
      <c r="AI164" s="75">
        <f t="shared" si="27"/>
        <v>2145</v>
      </c>
      <c r="AJ164" s="78">
        <f t="shared" si="28"/>
        <v>1430</v>
      </c>
      <c r="AK164" s="72">
        <f t="shared" si="29"/>
        <v>3575</v>
      </c>
    </row>
    <row r="165" spans="1:37" ht="15.95" customHeight="1">
      <c r="A165" s="25" t="s">
        <v>702</v>
      </c>
      <c r="B165" s="25" t="s">
        <v>463</v>
      </c>
      <c r="C165" s="26" t="s">
        <v>24</v>
      </c>
      <c r="D165" s="26" t="s">
        <v>213</v>
      </c>
      <c r="E165" s="26" t="s">
        <v>214</v>
      </c>
      <c r="F165" s="26" t="s">
        <v>793</v>
      </c>
      <c r="G165" s="41"/>
      <c r="H165" s="44" t="s">
        <v>234</v>
      </c>
      <c r="I165" s="26" t="s">
        <v>27</v>
      </c>
      <c r="J165" s="28" t="s">
        <v>227</v>
      </c>
      <c r="K165" s="123">
        <v>48</v>
      </c>
      <c r="L165" s="29">
        <v>8.9697500000000012</v>
      </c>
      <c r="M165" s="110">
        <v>7.15</v>
      </c>
      <c r="N165" s="30">
        <v>0.16500000000000001</v>
      </c>
      <c r="O165" s="116">
        <v>1.1797500000000001</v>
      </c>
      <c r="P165" s="30"/>
      <c r="Q165" s="116"/>
      <c r="R165" s="30">
        <v>7.0000000000000007E-2</v>
      </c>
      <c r="S165" s="116">
        <v>0.15</v>
      </c>
      <c r="T165" s="117">
        <v>0.49</v>
      </c>
      <c r="U165" s="39">
        <v>400</v>
      </c>
      <c r="V165" s="32">
        <v>300</v>
      </c>
      <c r="W165" s="33"/>
      <c r="X165" s="32"/>
      <c r="Y165" s="32"/>
      <c r="Z165" s="32"/>
      <c r="AA165" s="34"/>
      <c r="AB165" s="35">
        <f t="shared" si="20"/>
        <v>700</v>
      </c>
      <c r="AC165" s="75">
        <f t="shared" si="21"/>
        <v>19200</v>
      </c>
      <c r="AD165" s="78">
        <f t="shared" si="22"/>
        <v>14400</v>
      </c>
      <c r="AE165" s="72">
        <f t="shared" si="23"/>
        <v>33600</v>
      </c>
      <c r="AF165" s="75">
        <f t="shared" si="24"/>
        <v>3587.9000000000005</v>
      </c>
      <c r="AG165" s="78">
        <f t="shared" si="25"/>
        <v>2690.9250000000002</v>
      </c>
      <c r="AH165" s="72">
        <f t="shared" si="26"/>
        <v>6278.8250000000007</v>
      </c>
      <c r="AI165" s="75">
        <f t="shared" si="27"/>
        <v>2860</v>
      </c>
      <c r="AJ165" s="78">
        <f t="shared" si="28"/>
        <v>2145</v>
      </c>
      <c r="AK165" s="72">
        <f t="shared" si="29"/>
        <v>5005</v>
      </c>
    </row>
    <row r="166" spans="1:37" ht="15.95" customHeight="1">
      <c r="A166" s="25" t="s">
        <v>702</v>
      </c>
      <c r="B166" s="25" t="s">
        <v>463</v>
      </c>
      <c r="C166" s="26" t="s">
        <v>24</v>
      </c>
      <c r="D166" s="26" t="s">
        <v>213</v>
      </c>
      <c r="E166" s="26" t="s">
        <v>214</v>
      </c>
      <c r="F166" s="26" t="s">
        <v>793</v>
      </c>
      <c r="G166" s="41"/>
      <c r="H166" s="44" t="s">
        <v>234</v>
      </c>
      <c r="I166" s="26" t="s">
        <v>27</v>
      </c>
      <c r="J166" s="28" t="s">
        <v>227</v>
      </c>
      <c r="K166" s="123">
        <v>48</v>
      </c>
      <c r="L166" s="29">
        <v>8.9697500000000012</v>
      </c>
      <c r="M166" s="110">
        <v>7.15</v>
      </c>
      <c r="N166" s="30">
        <v>0.16500000000000001</v>
      </c>
      <c r="O166" s="116">
        <v>1.1797500000000001</v>
      </c>
      <c r="P166" s="30"/>
      <c r="Q166" s="116"/>
      <c r="R166" s="30">
        <v>7.0000000000000007E-2</v>
      </c>
      <c r="S166" s="116">
        <v>0.15</v>
      </c>
      <c r="T166" s="117">
        <v>0.49</v>
      </c>
      <c r="U166" s="39">
        <v>300</v>
      </c>
      <c r="V166" s="32">
        <v>360</v>
      </c>
      <c r="W166" s="33"/>
      <c r="X166" s="32"/>
      <c r="Y166" s="32"/>
      <c r="Z166" s="32"/>
      <c r="AA166" s="34"/>
      <c r="AB166" s="35">
        <f t="shared" si="20"/>
        <v>660</v>
      </c>
      <c r="AC166" s="75">
        <f t="shared" si="21"/>
        <v>14400</v>
      </c>
      <c r="AD166" s="78">
        <f t="shared" si="22"/>
        <v>17280</v>
      </c>
      <c r="AE166" s="72">
        <f t="shared" si="23"/>
        <v>31680</v>
      </c>
      <c r="AF166" s="75">
        <f t="shared" si="24"/>
        <v>2690.9250000000002</v>
      </c>
      <c r="AG166" s="78">
        <f t="shared" si="25"/>
        <v>3229.1100000000006</v>
      </c>
      <c r="AH166" s="72">
        <f t="shared" si="26"/>
        <v>5920.0350000000008</v>
      </c>
      <c r="AI166" s="75">
        <f t="shared" si="27"/>
        <v>2145</v>
      </c>
      <c r="AJ166" s="78">
        <f t="shared" si="28"/>
        <v>2574</v>
      </c>
      <c r="AK166" s="72">
        <f t="shared" si="29"/>
        <v>4719</v>
      </c>
    </row>
    <row r="167" spans="1:37" ht="15.95" customHeight="1">
      <c r="A167" s="25" t="s">
        <v>702</v>
      </c>
      <c r="B167" s="25" t="s">
        <v>463</v>
      </c>
      <c r="C167" s="26" t="s">
        <v>267</v>
      </c>
      <c r="D167" s="26" t="s">
        <v>375</v>
      </c>
      <c r="E167" s="26" t="s">
        <v>16</v>
      </c>
      <c r="F167" s="26" t="s">
        <v>794</v>
      </c>
      <c r="G167" s="41"/>
      <c r="H167" s="44" t="s">
        <v>790</v>
      </c>
      <c r="I167" s="26" t="s">
        <v>27</v>
      </c>
      <c r="J167" s="28" t="s">
        <v>35</v>
      </c>
      <c r="K167" s="123">
        <v>90</v>
      </c>
      <c r="L167" s="29">
        <v>17.682499999999997</v>
      </c>
      <c r="M167" s="110">
        <v>12.5</v>
      </c>
      <c r="N167" s="30">
        <v>0.28199999999999997</v>
      </c>
      <c r="O167" s="116">
        <v>3.5249999999999995</v>
      </c>
      <c r="P167" s="30">
        <v>7.4999999999999997E-2</v>
      </c>
      <c r="Q167" s="116">
        <v>0.9375</v>
      </c>
      <c r="R167" s="30">
        <v>7.0000000000000007E-2</v>
      </c>
      <c r="S167" s="116">
        <v>0.23</v>
      </c>
      <c r="T167" s="117">
        <v>0.49</v>
      </c>
      <c r="U167" s="39">
        <v>300</v>
      </c>
      <c r="V167" s="32">
        <v>300</v>
      </c>
      <c r="W167" s="33"/>
      <c r="X167" s="32"/>
      <c r="Y167" s="32"/>
      <c r="Z167" s="32"/>
      <c r="AA167" s="34"/>
      <c r="AB167" s="35">
        <f t="shared" si="20"/>
        <v>600</v>
      </c>
      <c r="AC167" s="75">
        <f t="shared" si="21"/>
        <v>27000</v>
      </c>
      <c r="AD167" s="78">
        <f t="shared" si="22"/>
        <v>27000</v>
      </c>
      <c r="AE167" s="72">
        <f t="shared" si="23"/>
        <v>54000</v>
      </c>
      <c r="AF167" s="75">
        <f t="shared" si="24"/>
        <v>5304.7499999999991</v>
      </c>
      <c r="AG167" s="78">
        <f t="shared" si="25"/>
        <v>5304.7499999999991</v>
      </c>
      <c r="AH167" s="72">
        <f t="shared" si="26"/>
        <v>10609.499999999998</v>
      </c>
      <c r="AI167" s="75">
        <f t="shared" si="27"/>
        <v>3750</v>
      </c>
      <c r="AJ167" s="78">
        <f t="shared" si="28"/>
        <v>3750</v>
      </c>
      <c r="AK167" s="72">
        <f t="shared" si="29"/>
        <v>7500</v>
      </c>
    </row>
    <row r="168" spans="1:37" ht="15.95" customHeight="1">
      <c r="A168" s="25" t="s">
        <v>702</v>
      </c>
      <c r="B168" s="25" t="s">
        <v>463</v>
      </c>
      <c r="C168" s="26" t="s">
        <v>267</v>
      </c>
      <c r="D168" s="26" t="s">
        <v>375</v>
      </c>
      <c r="E168" s="26" t="s">
        <v>16</v>
      </c>
      <c r="F168" s="26" t="s">
        <v>794</v>
      </c>
      <c r="G168" s="41"/>
      <c r="H168" s="44" t="s">
        <v>792</v>
      </c>
      <c r="I168" s="26" t="s">
        <v>27</v>
      </c>
      <c r="J168" s="28" t="s">
        <v>35</v>
      </c>
      <c r="K168" s="123">
        <v>90</v>
      </c>
      <c r="L168" s="29">
        <v>17.682499999999997</v>
      </c>
      <c r="M168" s="110">
        <v>12.5</v>
      </c>
      <c r="N168" s="30">
        <v>0.28199999999999997</v>
      </c>
      <c r="O168" s="116">
        <v>3.5249999999999995</v>
      </c>
      <c r="P168" s="30">
        <v>7.4999999999999997E-2</v>
      </c>
      <c r="Q168" s="116">
        <v>0.9375</v>
      </c>
      <c r="R168" s="30">
        <v>7.0000000000000007E-2</v>
      </c>
      <c r="S168" s="116">
        <v>0.23</v>
      </c>
      <c r="T168" s="117">
        <v>0.49</v>
      </c>
      <c r="U168" s="39">
        <v>300</v>
      </c>
      <c r="V168" s="32">
        <v>200</v>
      </c>
      <c r="W168" s="33"/>
      <c r="X168" s="32"/>
      <c r="Y168" s="32"/>
      <c r="Z168" s="32"/>
      <c r="AA168" s="34"/>
      <c r="AB168" s="35">
        <f t="shared" si="20"/>
        <v>500</v>
      </c>
      <c r="AC168" s="75">
        <f t="shared" si="21"/>
        <v>27000</v>
      </c>
      <c r="AD168" s="78">
        <f t="shared" si="22"/>
        <v>18000</v>
      </c>
      <c r="AE168" s="72">
        <f t="shared" si="23"/>
        <v>45000</v>
      </c>
      <c r="AF168" s="75">
        <f t="shared" si="24"/>
        <v>5304.7499999999991</v>
      </c>
      <c r="AG168" s="78">
        <f t="shared" si="25"/>
        <v>3536.4999999999995</v>
      </c>
      <c r="AH168" s="72">
        <f t="shared" si="26"/>
        <v>8841.2499999999982</v>
      </c>
      <c r="AI168" s="75">
        <f t="shared" si="27"/>
        <v>3750</v>
      </c>
      <c r="AJ168" s="78">
        <f t="shared" si="28"/>
        <v>2500</v>
      </c>
      <c r="AK168" s="72">
        <f t="shared" si="29"/>
        <v>6250</v>
      </c>
    </row>
    <row r="169" spans="1:37" ht="15.95" customHeight="1">
      <c r="A169" s="25" t="s">
        <v>702</v>
      </c>
      <c r="B169" s="25" t="s">
        <v>463</v>
      </c>
      <c r="C169" s="26" t="s">
        <v>267</v>
      </c>
      <c r="D169" s="26" t="s">
        <v>375</v>
      </c>
      <c r="E169" s="26" t="s">
        <v>16</v>
      </c>
      <c r="F169" s="26" t="s">
        <v>794</v>
      </c>
      <c r="G169" s="41"/>
      <c r="H169" s="44" t="s">
        <v>792</v>
      </c>
      <c r="I169" s="26" t="s">
        <v>27</v>
      </c>
      <c r="J169" s="28" t="s">
        <v>35</v>
      </c>
      <c r="K169" s="123">
        <v>90</v>
      </c>
      <c r="L169" s="29">
        <v>17.682499999999997</v>
      </c>
      <c r="M169" s="110">
        <v>12.5</v>
      </c>
      <c r="N169" s="30">
        <v>0.28199999999999997</v>
      </c>
      <c r="O169" s="116">
        <v>3.5249999999999995</v>
      </c>
      <c r="P169" s="30">
        <v>7.4999999999999997E-2</v>
      </c>
      <c r="Q169" s="116">
        <v>0.9375</v>
      </c>
      <c r="R169" s="30">
        <v>7.0000000000000007E-2</v>
      </c>
      <c r="S169" s="116">
        <v>0.23</v>
      </c>
      <c r="T169" s="117">
        <v>0.49</v>
      </c>
      <c r="U169" s="39">
        <v>300</v>
      </c>
      <c r="V169" s="32">
        <v>300</v>
      </c>
      <c r="W169" s="33"/>
      <c r="X169" s="32"/>
      <c r="Y169" s="32"/>
      <c r="Z169" s="32"/>
      <c r="AA169" s="34"/>
      <c r="AB169" s="35">
        <f t="shared" si="20"/>
        <v>600</v>
      </c>
      <c r="AC169" s="75">
        <f t="shared" si="21"/>
        <v>27000</v>
      </c>
      <c r="AD169" s="78">
        <f t="shared" si="22"/>
        <v>27000</v>
      </c>
      <c r="AE169" s="72">
        <f t="shared" si="23"/>
        <v>54000</v>
      </c>
      <c r="AF169" s="75">
        <f t="shared" si="24"/>
        <v>5304.7499999999991</v>
      </c>
      <c r="AG169" s="78">
        <f t="shared" si="25"/>
        <v>5304.7499999999991</v>
      </c>
      <c r="AH169" s="72">
        <f t="shared" si="26"/>
        <v>10609.499999999998</v>
      </c>
      <c r="AI169" s="75">
        <f t="shared" si="27"/>
        <v>3750</v>
      </c>
      <c r="AJ169" s="78">
        <f t="shared" si="28"/>
        <v>3750</v>
      </c>
      <c r="AK169" s="72">
        <f t="shared" si="29"/>
        <v>7500</v>
      </c>
    </row>
    <row r="170" spans="1:37" ht="15.95" customHeight="1">
      <c r="A170" s="25" t="s">
        <v>702</v>
      </c>
      <c r="B170" s="25" t="s">
        <v>463</v>
      </c>
      <c r="C170" s="26" t="s">
        <v>267</v>
      </c>
      <c r="D170" s="26" t="s">
        <v>375</v>
      </c>
      <c r="E170" s="26" t="s">
        <v>16</v>
      </c>
      <c r="F170" s="26" t="s">
        <v>794</v>
      </c>
      <c r="G170" s="41"/>
      <c r="H170" s="44" t="s">
        <v>792</v>
      </c>
      <c r="I170" s="26" t="s">
        <v>27</v>
      </c>
      <c r="J170" s="28" t="s">
        <v>35</v>
      </c>
      <c r="K170" s="123">
        <v>90</v>
      </c>
      <c r="L170" s="29">
        <v>17.682499999999997</v>
      </c>
      <c r="M170" s="110">
        <v>12.5</v>
      </c>
      <c r="N170" s="30">
        <v>0.28199999999999997</v>
      </c>
      <c r="O170" s="116">
        <v>3.5249999999999995</v>
      </c>
      <c r="P170" s="30">
        <v>7.4999999999999997E-2</v>
      </c>
      <c r="Q170" s="116">
        <v>0.9375</v>
      </c>
      <c r="R170" s="30">
        <v>7.0000000000000007E-2</v>
      </c>
      <c r="S170" s="116">
        <v>0.23</v>
      </c>
      <c r="T170" s="117">
        <v>0.49</v>
      </c>
      <c r="U170" s="39">
        <v>300</v>
      </c>
      <c r="V170" s="32">
        <v>360</v>
      </c>
      <c r="W170" s="33"/>
      <c r="X170" s="32"/>
      <c r="Y170" s="32"/>
      <c r="Z170" s="32"/>
      <c r="AA170" s="34"/>
      <c r="AB170" s="35">
        <f t="shared" si="20"/>
        <v>660</v>
      </c>
      <c r="AC170" s="75">
        <f t="shared" si="21"/>
        <v>27000</v>
      </c>
      <c r="AD170" s="78">
        <f t="shared" si="22"/>
        <v>32400</v>
      </c>
      <c r="AE170" s="72">
        <f t="shared" si="23"/>
        <v>59400</v>
      </c>
      <c r="AF170" s="75">
        <f t="shared" si="24"/>
        <v>5304.7499999999991</v>
      </c>
      <c r="AG170" s="78">
        <f t="shared" si="25"/>
        <v>6365.6999999999989</v>
      </c>
      <c r="AH170" s="72">
        <f t="shared" si="26"/>
        <v>11670.449999999997</v>
      </c>
      <c r="AI170" s="75">
        <f t="shared" si="27"/>
        <v>3750</v>
      </c>
      <c r="AJ170" s="78">
        <f t="shared" si="28"/>
        <v>4500</v>
      </c>
      <c r="AK170" s="72">
        <f t="shared" si="29"/>
        <v>8250</v>
      </c>
    </row>
    <row r="171" spans="1:37" ht="15.95" customHeight="1">
      <c r="A171" s="25" t="s">
        <v>702</v>
      </c>
      <c r="B171" s="25" t="s">
        <v>463</v>
      </c>
      <c r="C171" s="26" t="s">
        <v>24</v>
      </c>
      <c r="D171" s="26" t="s">
        <v>375</v>
      </c>
      <c r="E171" s="26" t="s">
        <v>16</v>
      </c>
      <c r="F171" s="26" t="s">
        <v>795</v>
      </c>
      <c r="G171" s="41"/>
      <c r="H171" s="44" t="s">
        <v>792</v>
      </c>
      <c r="I171" s="26" t="s">
        <v>27</v>
      </c>
      <c r="J171" s="28" t="s">
        <v>578</v>
      </c>
      <c r="K171" s="123">
        <v>98</v>
      </c>
      <c r="L171" s="29">
        <v>19.552499999999998</v>
      </c>
      <c r="M171" s="110">
        <v>13.5</v>
      </c>
      <c r="N171" s="30">
        <v>0.32</v>
      </c>
      <c r="O171" s="116">
        <v>4.32</v>
      </c>
      <c r="P171" s="30">
        <v>7.4999999999999997E-2</v>
      </c>
      <c r="Q171" s="116">
        <v>1.0125</v>
      </c>
      <c r="R171" s="30">
        <v>7.0000000000000007E-2</v>
      </c>
      <c r="S171" s="116">
        <v>0.23</v>
      </c>
      <c r="T171" s="117">
        <v>0.49</v>
      </c>
      <c r="U171" s="39">
        <v>200</v>
      </c>
      <c r="V171" s="32">
        <v>450</v>
      </c>
      <c r="W171" s="33"/>
      <c r="X171" s="32"/>
      <c r="Y171" s="32"/>
      <c r="Z171" s="32"/>
      <c r="AA171" s="34"/>
      <c r="AB171" s="35">
        <f t="shared" si="20"/>
        <v>650</v>
      </c>
      <c r="AC171" s="75">
        <f t="shared" si="21"/>
        <v>19600</v>
      </c>
      <c r="AD171" s="78">
        <f t="shared" si="22"/>
        <v>44100</v>
      </c>
      <c r="AE171" s="72">
        <f t="shared" si="23"/>
        <v>63700</v>
      </c>
      <c r="AF171" s="75">
        <f t="shared" si="24"/>
        <v>3910.4999999999995</v>
      </c>
      <c r="AG171" s="78">
        <f t="shared" si="25"/>
        <v>8798.625</v>
      </c>
      <c r="AH171" s="72">
        <f t="shared" si="26"/>
        <v>12709.125</v>
      </c>
      <c r="AI171" s="75">
        <f t="shared" si="27"/>
        <v>2700</v>
      </c>
      <c r="AJ171" s="78">
        <f t="shared" si="28"/>
        <v>6075</v>
      </c>
      <c r="AK171" s="72">
        <f t="shared" si="29"/>
        <v>8775</v>
      </c>
    </row>
    <row r="172" spans="1:37" ht="15.95" customHeight="1">
      <c r="A172" s="25" t="s">
        <v>702</v>
      </c>
      <c r="B172" s="25" t="s">
        <v>463</v>
      </c>
      <c r="C172" s="26" t="s">
        <v>267</v>
      </c>
      <c r="D172" s="26" t="s">
        <v>375</v>
      </c>
      <c r="E172" s="26" t="s">
        <v>16</v>
      </c>
      <c r="F172" s="26" t="s">
        <v>796</v>
      </c>
      <c r="G172" s="41"/>
      <c r="H172" s="44" t="s">
        <v>792</v>
      </c>
      <c r="I172" s="26" t="s">
        <v>27</v>
      </c>
      <c r="J172" s="28" t="s">
        <v>35</v>
      </c>
      <c r="K172" s="123">
        <v>100</v>
      </c>
      <c r="L172" s="29">
        <v>19.378749999999997</v>
      </c>
      <c r="M172" s="110">
        <v>13.75</v>
      </c>
      <c r="N172" s="30">
        <v>0.28199999999999997</v>
      </c>
      <c r="O172" s="116">
        <v>3.8774999999999995</v>
      </c>
      <c r="P172" s="30">
        <v>7.4999999999999997E-2</v>
      </c>
      <c r="Q172" s="116">
        <v>1.03125</v>
      </c>
      <c r="R172" s="30">
        <v>7.0000000000000007E-2</v>
      </c>
      <c r="S172" s="116">
        <v>0.23</v>
      </c>
      <c r="T172" s="117">
        <v>0.49</v>
      </c>
      <c r="U172" s="39">
        <v>200</v>
      </c>
      <c r="V172" s="32">
        <v>450</v>
      </c>
      <c r="W172" s="33"/>
      <c r="X172" s="32"/>
      <c r="Y172" s="32"/>
      <c r="Z172" s="32"/>
      <c r="AA172" s="34"/>
      <c r="AB172" s="35">
        <f t="shared" si="20"/>
        <v>650</v>
      </c>
      <c r="AC172" s="75">
        <f t="shared" si="21"/>
        <v>20000</v>
      </c>
      <c r="AD172" s="78">
        <f t="shared" si="22"/>
        <v>45000</v>
      </c>
      <c r="AE172" s="72">
        <f t="shared" si="23"/>
        <v>65000</v>
      </c>
      <c r="AF172" s="75">
        <f t="shared" si="24"/>
        <v>3875.7499999999991</v>
      </c>
      <c r="AG172" s="78">
        <f t="shared" si="25"/>
        <v>8720.4374999999982</v>
      </c>
      <c r="AH172" s="72">
        <f t="shared" si="26"/>
        <v>12596.187499999996</v>
      </c>
      <c r="AI172" s="75">
        <f t="shared" si="27"/>
        <v>2750</v>
      </c>
      <c r="AJ172" s="78">
        <f t="shared" si="28"/>
        <v>6187.5</v>
      </c>
      <c r="AK172" s="72">
        <f t="shared" si="29"/>
        <v>8937.5</v>
      </c>
    </row>
    <row r="173" spans="1:37" ht="15.95" customHeight="1">
      <c r="A173" s="25" t="s">
        <v>702</v>
      </c>
      <c r="B173" s="25" t="s">
        <v>463</v>
      </c>
      <c r="C173" s="26" t="s">
        <v>167</v>
      </c>
      <c r="D173" s="26" t="s">
        <v>375</v>
      </c>
      <c r="E173" s="26" t="s">
        <v>16</v>
      </c>
      <c r="F173" s="26" t="s">
        <v>797</v>
      </c>
      <c r="G173" s="41"/>
      <c r="H173" s="44" t="s">
        <v>798</v>
      </c>
      <c r="I173" s="26" t="s">
        <v>765</v>
      </c>
      <c r="J173" s="28" t="s">
        <v>172</v>
      </c>
      <c r="K173" s="123">
        <v>175</v>
      </c>
      <c r="L173" s="29">
        <v>36.99</v>
      </c>
      <c r="M173" s="110">
        <v>29.25</v>
      </c>
      <c r="N173" s="30">
        <v>0.16500000000000001</v>
      </c>
      <c r="O173" s="116">
        <v>4.8262499999999999</v>
      </c>
      <c r="P173" s="30">
        <v>7.4999999999999997E-2</v>
      </c>
      <c r="Q173" s="116">
        <v>2.1937500000000001</v>
      </c>
      <c r="R173" s="30">
        <v>7.0000000000000007E-2</v>
      </c>
      <c r="S173" s="116">
        <v>0.23</v>
      </c>
      <c r="T173" s="117">
        <v>0.49</v>
      </c>
      <c r="U173" s="39">
        <v>200</v>
      </c>
      <c r="V173" s="32">
        <v>250</v>
      </c>
      <c r="W173" s="33"/>
      <c r="X173" s="32"/>
      <c r="Y173" s="32"/>
      <c r="Z173" s="32"/>
      <c r="AA173" s="34"/>
      <c r="AB173" s="35">
        <f t="shared" si="20"/>
        <v>450</v>
      </c>
      <c r="AC173" s="75">
        <f t="shared" si="21"/>
        <v>35000</v>
      </c>
      <c r="AD173" s="78">
        <f t="shared" si="22"/>
        <v>43750</v>
      </c>
      <c r="AE173" s="72">
        <f t="shared" si="23"/>
        <v>78750</v>
      </c>
      <c r="AF173" s="75">
        <f t="shared" si="24"/>
        <v>7398</v>
      </c>
      <c r="AG173" s="78">
        <f t="shared" si="25"/>
        <v>9247.5</v>
      </c>
      <c r="AH173" s="72">
        <f t="shared" si="26"/>
        <v>16645.5</v>
      </c>
      <c r="AI173" s="75">
        <f t="shared" si="27"/>
        <v>5850</v>
      </c>
      <c r="AJ173" s="78">
        <f t="shared" si="28"/>
        <v>7312.5</v>
      </c>
      <c r="AK173" s="72">
        <f t="shared" si="29"/>
        <v>13162.5</v>
      </c>
    </row>
    <row r="174" spans="1:37" ht="15.95" customHeight="1">
      <c r="A174" s="25" t="s">
        <v>702</v>
      </c>
      <c r="B174" s="25" t="s">
        <v>463</v>
      </c>
      <c r="C174" s="26" t="s">
        <v>167</v>
      </c>
      <c r="D174" s="26" t="s">
        <v>375</v>
      </c>
      <c r="E174" s="26" t="s">
        <v>16</v>
      </c>
      <c r="F174" s="26" t="s">
        <v>799</v>
      </c>
      <c r="G174" s="41"/>
      <c r="H174" s="44" t="s">
        <v>800</v>
      </c>
      <c r="I174" s="26" t="s">
        <v>765</v>
      </c>
      <c r="J174" s="28" t="s">
        <v>174</v>
      </c>
      <c r="K174" s="123">
        <v>150</v>
      </c>
      <c r="L174" s="29">
        <v>36.563999999999993</v>
      </c>
      <c r="M174" s="110">
        <v>29</v>
      </c>
      <c r="N174" s="30">
        <v>0.161</v>
      </c>
      <c r="O174" s="116">
        <v>4.6690000000000005</v>
      </c>
      <c r="P174" s="30">
        <v>7.4999999999999997E-2</v>
      </c>
      <c r="Q174" s="116">
        <v>2.1749999999999998</v>
      </c>
      <c r="R174" s="30">
        <v>7.0000000000000007E-2</v>
      </c>
      <c r="S174" s="116">
        <v>0.23</v>
      </c>
      <c r="T174" s="117">
        <v>0.49</v>
      </c>
      <c r="U174" s="39">
        <v>200</v>
      </c>
      <c r="V174" s="32">
        <v>250</v>
      </c>
      <c r="W174" s="33"/>
      <c r="X174" s="32"/>
      <c r="Y174" s="32"/>
      <c r="Z174" s="32"/>
      <c r="AA174" s="34"/>
      <c r="AB174" s="35">
        <f t="shared" si="20"/>
        <v>450</v>
      </c>
      <c r="AC174" s="75">
        <f t="shared" si="21"/>
        <v>30000</v>
      </c>
      <c r="AD174" s="78">
        <f t="shared" si="22"/>
        <v>37500</v>
      </c>
      <c r="AE174" s="72">
        <f t="shared" si="23"/>
        <v>67500</v>
      </c>
      <c r="AF174" s="75">
        <f t="shared" si="24"/>
        <v>7312.7999999999984</v>
      </c>
      <c r="AG174" s="78">
        <f t="shared" si="25"/>
        <v>9140.9999999999982</v>
      </c>
      <c r="AH174" s="72">
        <f t="shared" si="26"/>
        <v>16453.799999999996</v>
      </c>
      <c r="AI174" s="75">
        <f t="shared" si="27"/>
        <v>5800</v>
      </c>
      <c r="AJ174" s="78">
        <f t="shared" si="28"/>
        <v>7250</v>
      </c>
      <c r="AK174" s="72">
        <f t="shared" si="29"/>
        <v>13050</v>
      </c>
    </row>
    <row r="175" spans="1:37" ht="15.95" customHeight="1">
      <c r="A175" s="25" t="s">
        <v>702</v>
      </c>
      <c r="B175" s="25" t="s">
        <v>463</v>
      </c>
      <c r="C175" s="26" t="s">
        <v>167</v>
      </c>
      <c r="D175" s="26" t="s">
        <v>375</v>
      </c>
      <c r="E175" s="26" t="s">
        <v>16</v>
      </c>
      <c r="F175" s="26" t="s">
        <v>797</v>
      </c>
      <c r="G175" s="41"/>
      <c r="H175" s="44" t="s">
        <v>800</v>
      </c>
      <c r="I175" s="26" t="s">
        <v>765</v>
      </c>
      <c r="J175" s="28" t="s">
        <v>172</v>
      </c>
      <c r="K175" s="123">
        <v>175</v>
      </c>
      <c r="L175" s="29">
        <v>36.99</v>
      </c>
      <c r="M175" s="110">
        <v>29.25</v>
      </c>
      <c r="N175" s="30">
        <v>0.16500000000000001</v>
      </c>
      <c r="O175" s="116">
        <v>4.8262499999999999</v>
      </c>
      <c r="P175" s="30">
        <v>7.4999999999999997E-2</v>
      </c>
      <c r="Q175" s="116">
        <v>2.1937500000000001</v>
      </c>
      <c r="R175" s="30">
        <v>7.0000000000000007E-2</v>
      </c>
      <c r="S175" s="116">
        <v>0.23</v>
      </c>
      <c r="T175" s="117">
        <v>0.49</v>
      </c>
      <c r="U175" s="39">
        <v>200</v>
      </c>
      <c r="V175" s="32">
        <v>480</v>
      </c>
      <c r="W175" s="33">
        <v>60</v>
      </c>
      <c r="X175" s="32"/>
      <c r="Y175" s="32"/>
      <c r="Z175" s="32"/>
      <c r="AA175" s="34"/>
      <c r="AB175" s="35">
        <f t="shared" si="20"/>
        <v>740</v>
      </c>
      <c r="AC175" s="75">
        <f t="shared" si="21"/>
        <v>35000</v>
      </c>
      <c r="AD175" s="78">
        <f t="shared" si="22"/>
        <v>94500</v>
      </c>
      <c r="AE175" s="72">
        <f t="shared" si="23"/>
        <v>129500</v>
      </c>
      <c r="AF175" s="75">
        <f t="shared" si="24"/>
        <v>7398</v>
      </c>
      <c r="AG175" s="78">
        <f t="shared" si="25"/>
        <v>19974.600000000002</v>
      </c>
      <c r="AH175" s="72">
        <f t="shared" si="26"/>
        <v>27372.600000000002</v>
      </c>
      <c r="AI175" s="75">
        <f t="shared" si="27"/>
        <v>5850</v>
      </c>
      <c r="AJ175" s="78">
        <f t="shared" si="28"/>
        <v>15795</v>
      </c>
      <c r="AK175" s="72">
        <f t="shared" si="29"/>
        <v>21645</v>
      </c>
    </row>
    <row r="176" spans="1:37" ht="15.95" customHeight="1">
      <c r="A176" s="25" t="s">
        <v>702</v>
      </c>
      <c r="B176" s="25" t="s">
        <v>463</v>
      </c>
      <c r="C176" s="26" t="s">
        <v>167</v>
      </c>
      <c r="D176" s="26" t="s">
        <v>375</v>
      </c>
      <c r="E176" s="26" t="s">
        <v>16</v>
      </c>
      <c r="F176" s="26" t="s">
        <v>799</v>
      </c>
      <c r="G176" s="41"/>
      <c r="H176" s="44" t="s">
        <v>798</v>
      </c>
      <c r="I176" s="26" t="s">
        <v>765</v>
      </c>
      <c r="J176" s="28" t="s">
        <v>174</v>
      </c>
      <c r="K176" s="123">
        <v>150</v>
      </c>
      <c r="L176" s="29">
        <v>36.563999999999993</v>
      </c>
      <c r="M176" s="110">
        <v>29</v>
      </c>
      <c r="N176" s="30">
        <v>0.161</v>
      </c>
      <c r="O176" s="116">
        <v>4.6690000000000005</v>
      </c>
      <c r="P176" s="30">
        <v>7.4999999999999997E-2</v>
      </c>
      <c r="Q176" s="116">
        <v>2.1749999999999998</v>
      </c>
      <c r="R176" s="30">
        <v>7.0000000000000007E-2</v>
      </c>
      <c r="S176" s="116">
        <v>0.23</v>
      </c>
      <c r="T176" s="117">
        <v>0.49</v>
      </c>
      <c r="U176" s="39">
        <v>200</v>
      </c>
      <c r="V176" s="32">
        <v>480</v>
      </c>
      <c r="W176" s="33"/>
      <c r="X176" s="32"/>
      <c r="Y176" s="32"/>
      <c r="Z176" s="32"/>
      <c r="AA176" s="34"/>
      <c r="AB176" s="35">
        <f t="shared" si="20"/>
        <v>680</v>
      </c>
      <c r="AC176" s="75">
        <f t="shared" si="21"/>
        <v>30000</v>
      </c>
      <c r="AD176" s="78">
        <f t="shared" si="22"/>
        <v>72000</v>
      </c>
      <c r="AE176" s="72">
        <f t="shared" si="23"/>
        <v>102000</v>
      </c>
      <c r="AF176" s="75">
        <f t="shared" si="24"/>
        <v>7312.7999999999984</v>
      </c>
      <c r="AG176" s="78">
        <f t="shared" si="25"/>
        <v>17550.719999999998</v>
      </c>
      <c r="AH176" s="72">
        <f t="shared" si="26"/>
        <v>24863.519999999997</v>
      </c>
      <c r="AI176" s="75">
        <f t="shared" si="27"/>
        <v>5800</v>
      </c>
      <c r="AJ176" s="78">
        <f t="shared" si="28"/>
        <v>13920</v>
      </c>
      <c r="AK176" s="72">
        <f t="shared" si="29"/>
        <v>19720</v>
      </c>
    </row>
    <row r="177" spans="1:37" ht="15.95" customHeight="1">
      <c r="A177" s="25" t="s">
        <v>702</v>
      </c>
      <c r="B177" s="25" t="s">
        <v>463</v>
      </c>
      <c r="C177" s="26" t="s">
        <v>44</v>
      </c>
      <c r="D177" s="26" t="s">
        <v>464</v>
      </c>
      <c r="E177" s="26" t="s">
        <v>16</v>
      </c>
      <c r="F177" s="26" t="s">
        <v>801</v>
      </c>
      <c r="G177" s="41"/>
      <c r="H177" s="44" t="s">
        <v>466</v>
      </c>
      <c r="I177" s="26" t="s">
        <v>27</v>
      </c>
      <c r="J177" s="28" t="s">
        <v>46</v>
      </c>
      <c r="K177" s="123">
        <v>88</v>
      </c>
      <c r="L177" s="29">
        <v>17.117749999999997</v>
      </c>
      <c r="M177" s="110">
        <v>11.35</v>
      </c>
      <c r="N177" s="30">
        <v>0.32</v>
      </c>
      <c r="O177" s="116">
        <v>3.6320000000000001</v>
      </c>
      <c r="P177" s="30">
        <v>7.4999999999999997E-2</v>
      </c>
      <c r="Q177" s="116">
        <v>0.85124999999999995</v>
      </c>
      <c r="R177" s="30">
        <v>7.0000000000000007E-2</v>
      </c>
      <c r="S177" s="116">
        <v>0.7945000000000001</v>
      </c>
      <c r="T177" s="117">
        <v>0.49</v>
      </c>
      <c r="U177" s="39">
        <v>100</v>
      </c>
      <c r="V177" s="32">
        <v>350</v>
      </c>
      <c r="W177" s="33"/>
      <c r="X177" s="32"/>
      <c r="Y177" s="32"/>
      <c r="Z177" s="32"/>
      <c r="AA177" s="34"/>
      <c r="AB177" s="35">
        <f t="shared" si="20"/>
        <v>450</v>
      </c>
      <c r="AC177" s="75">
        <f t="shared" si="21"/>
        <v>8800</v>
      </c>
      <c r="AD177" s="78">
        <f t="shared" si="22"/>
        <v>30800</v>
      </c>
      <c r="AE177" s="72">
        <f t="shared" si="23"/>
        <v>39600</v>
      </c>
      <c r="AF177" s="75">
        <f t="shared" si="24"/>
        <v>1711.7749999999996</v>
      </c>
      <c r="AG177" s="78">
        <f t="shared" si="25"/>
        <v>5991.2124999999987</v>
      </c>
      <c r="AH177" s="72">
        <f t="shared" si="26"/>
        <v>7702.9874999999984</v>
      </c>
      <c r="AI177" s="75">
        <f t="shared" si="27"/>
        <v>1135</v>
      </c>
      <c r="AJ177" s="78">
        <f t="shared" si="28"/>
        <v>3972.5</v>
      </c>
      <c r="AK177" s="72">
        <f t="shared" si="29"/>
        <v>5107.5</v>
      </c>
    </row>
    <row r="178" spans="1:37" ht="15.95" customHeight="1">
      <c r="A178" s="25" t="s">
        <v>702</v>
      </c>
      <c r="B178" s="25" t="s">
        <v>463</v>
      </c>
      <c r="C178" s="26" t="s">
        <v>267</v>
      </c>
      <c r="D178" s="26" t="s">
        <v>464</v>
      </c>
      <c r="E178" s="26" t="s">
        <v>16</v>
      </c>
      <c r="F178" s="26" t="s">
        <v>802</v>
      </c>
      <c r="G178" s="41"/>
      <c r="H178" s="44" t="s">
        <v>803</v>
      </c>
      <c r="I178" s="26" t="s">
        <v>19</v>
      </c>
      <c r="J178" s="28" t="s">
        <v>31</v>
      </c>
      <c r="K178" s="123">
        <v>85</v>
      </c>
      <c r="L178" s="29">
        <v>16.011600000000001</v>
      </c>
      <c r="M178" s="110">
        <v>10.9</v>
      </c>
      <c r="N178" s="30">
        <v>0.27900000000000003</v>
      </c>
      <c r="O178" s="116">
        <v>3.0411000000000006</v>
      </c>
      <c r="P178" s="30">
        <v>7.4999999999999997E-2</v>
      </c>
      <c r="Q178" s="116">
        <v>0.8175</v>
      </c>
      <c r="R178" s="30">
        <v>7.0000000000000007E-2</v>
      </c>
      <c r="S178" s="116">
        <v>0.76300000000000012</v>
      </c>
      <c r="T178" s="117">
        <v>0.49</v>
      </c>
      <c r="U178" s="39">
        <v>100</v>
      </c>
      <c r="V178" s="32">
        <v>350</v>
      </c>
      <c r="W178" s="33"/>
      <c r="X178" s="32"/>
      <c r="Y178" s="32"/>
      <c r="Z178" s="32"/>
      <c r="AA178" s="34"/>
      <c r="AB178" s="35">
        <f t="shared" si="20"/>
        <v>450</v>
      </c>
      <c r="AC178" s="75">
        <f t="shared" si="21"/>
        <v>8500</v>
      </c>
      <c r="AD178" s="78">
        <f t="shared" si="22"/>
        <v>29750</v>
      </c>
      <c r="AE178" s="72">
        <f t="shared" si="23"/>
        <v>38250</v>
      </c>
      <c r="AF178" s="75">
        <f t="shared" si="24"/>
        <v>1601.16</v>
      </c>
      <c r="AG178" s="78">
        <f t="shared" si="25"/>
        <v>5604.06</v>
      </c>
      <c r="AH178" s="72">
        <f t="shared" si="26"/>
        <v>7205.22</v>
      </c>
      <c r="AI178" s="75">
        <f t="shared" si="27"/>
        <v>1090</v>
      </c>
      <c r="AJ178" s="78">
        <f t="shared" si="28"/>
        <v>3815</v>
      </c>
      <c r="AK178" s="72">
        <f t="shared" si="29"/>
        <v>4905</v>
      </c>
    </row>
    <row r="179" spans="1:37" ht="15.95" customHeight="1">
      <c r="A179" s="25" t="s">
        <v>702</v>
      </c>
      <c r="B179" s="25" t="s">
        <v>463</v>
      </c>
      <c r="C179" s="26" t="s">
        <v>44</v>
      </c>
      <c r="D179" s="26" t="s">
        <v>464</v>
      </c>
      <c r="E179" s="26" t="s">
        <v>16</v>
      </c>
      <c r="F179" s="26" t="s">
        <v>801</v>
      </c>
      <c r="G179" s="41"/>
      <c r="H179" s="44" t="s">
        <v>466</v>
      </c>
      <c r="I179" s="26" t="s">
        <v>27</v>
      </c>
      <c r="J179" s="28" t="s">
        <v>46</v>
      </c>
      <c r="K179" s="123">
        <v>88</v>
      </c>
      <c r="L179" s="29">
        <v>17.117749999999997</v>
      </c>
      <c r="M179" s="110">
        <v>11.35</v>
      </c>
      <c r="N179" s="30">
        <v>0.32</v>
      </c>
      <c r="O179" s="116">
        <v>3.6320000000000001</v>
      </c>
      <c r="P179" s="30">
        <v>7.4999999999999997E-2</v>
      </c>
      <c r="Q179" s="116">
        <v>0.85124999999999995</v>
      </c>
      <c r="R179" s="30">
        <v>7.0000000000000007E-2</v>
      </c>
      <c r="S179" s="116">
        <v>0.7945000000000001</v>
      </c>
      <c r="T179" s="117">
        <v>0.49</v>
      </c>
      <c r="U179" s="39">
        <v>100</v>
      </c>
      <c r="V179" s="32">
        <v>350</v>
      </c>
      <c r="W179" s="33"/>
      <c r="X179" s="32"/>
      <c r="Y179" s="32"/>
      <c r="Z179" s="32"/>
      <c r="AA179" s="34"/>
      <c r="AB179" s="35">
        <f t="shared" si="20"/>
        <v>450</v>
      </c>
      <c r="AC179" s="75">
        <f t="shared" si="21"/>
        <v>8800</v>
      </c>
      <c r="AD179" s="78">
        <f t="shared" si="22"/>
        <v>30800</v>
      </c>
      <c r="AE179" s="72">
        <f t="shared" si="23"/>
        <v>39600</v>
      </c>
      <c r="AF179" s="75">
        <f t="shared" si="24"/>
        <v>1711.7749999999996</v>
      </c>
      <c r="AG179" s="78">
        <f t="shared" si="25"/>
        <v>5991.2124999999987</v>
      </c>
      <c r="AH179" s="72">
        <f t="shared" si="26"/>
        <v>7702.9874999999984</v>
      </c>
      <c r="AI179" s="75">
        <f t="shared" si="27"/>
        <v>1135</v>
      </c>
      <c r="AJ179" s="78">
        <f t="shared" si="28"/>
        <v>3972.5</v>
      </c>
      <c r="AK179" s="72">
        <f t="shared" si="29"/>
        <v>5107.5</v>
      </c>
    </row>
    <row r="180" spans="1:37" ht="15.95" customHeight="1">
      <c r="A180" s="25" t="s">
        <v>702</v>
      </c>
      <c r="B180" s="25" t="s">
        <v>463</v>
      </c>
      <c r="C180" s="26" t="s">
        <v>267</v>
      </c>
      <c r="D180" s="26" t="s">
        <v>464</v>
      </c>
      <c r="E180" s="26" t="s">
        <v>16</v>
      </c>
      <c r="F180" s="26" t="s">
        <v>802</v>
      </c>
      <c r="G180" s="41"/>
      <c r="H180" s="44" t="s">
        <v>803</v>
      </c>
      <c r="I180" s="26" t="s">
        <v>19</v>
      </c>
      <c r="J180" s="28" t="s">
        <v>31</v>
      </c>
      <c r="K180" s="123">
        <v>85</v>
      </c>
      <c r="L180" s="29">
        <v>16.011600000000001</v>
      </c>
      <c r="M180" s="110">
        <v>10.9</v>
      </c>
      <c r="N180" s="30">
        <v>0.27900000000000003</v>
      </c>
      <c r="O180" s="116">
        <v>3.0411000000000006</v>
      </c>
      <c r="P180" s="30">
        <v>7.4999999999999997E-2</v>
      </c>
      <c r="Q180" s="116">
        <v>0.8175</v>
      </c>
      <c r="R180" s="30">
        <v>7.0000000000000007E-2</v>
      </c>
      <c r="S180" s="116">
        <v>0.76300000000000012</v>
      </c>
      <c r="T180" s="117">
        <v>0.49</v>
      </c>
      <c r="U180" s="39">
        <v>100</v>
      </c>
      <c r="V180" s="32">
        <v>350</v>
      </c>
      <c r="W180" s="33"/>
      <c r="X180" s="32"/>
      <c r="Y180" s="32"/>
      <c r="Z180" s="32"/>
      <c r="AA180" s="34"/>
      <c r="AB180" s="35">
        <f t="shared" si="20"/>
        <v>450</v>
      </c>
      <c r="AC180" s="75">
        <f t="shared" si="21"/>
        <v>8500</v>
      </c>
      <c r="AD180" s="78">
        <f t="shared" si="22"/>
        <v>29750</v>
      </c>
      <c r="AE180" s="72">
        <f t="shared" si="23"/>
        <v>38250</v>
      </c>
      <c r="AF180" s="75">
        <f t="shared" si="24"/>
        <v>1601.16</v>
      </c>
      <c r="AG180" s="78">
        <f t="shared" si="25"/>
        <v>5604.06</v>
      </c>
      <c r="AH180" s="72">
        <f t="shared" si="26"/>
        <v>7205.22</v>
      </c>
      <c r="AI180" s="75">
        <f t="shared" si="27"/>
        <v>1090</v>
      </c>
      <c r="AJ180" s="78">
        <f t="shared" si="28"/>
        <v>3815</v>
      </c>
      <c r="AK180" s="72">
        <f t="shared" si="29"/>
        <v>4905</v>
      </c>
    </row>
    <row r="181" spans="1:37" ht="15.95" customHeight="1">
      <c r="A181" s="25" t="s">
        <v>702</v>
      </c>
      <c r="B181" s="25" t="s">
        <v>463</v>
      </c>
      <c r="C181" s="26" t="s">
        <v>44</v>
      </c>
      <c r="D181" s="26" t="s">
        <v>464</v>
      </c>
      <c r="E181" s="26" t="s">
        <v>16</v>
      </c>
      <c r="F181" s="26" t="s">
        <v>804</v>
      </c>
      <c r="G181" s="41"/>
      <c r="H181" s="44" t="s">
        <v>466</v>
      </c>
      <c r="I181" s="26" t="s">
        <v>27</v>
      </c>
      <c r="J181" s="28" t="s">
        <v>46</v>
      </c>
      <c r="K181" s="123">
        <v>98</v>
      </c>
      <c r="L181" s="29">
        <v>15.857849999999999</v>
      </c>
      <c r="M181" s="110">
        <v>10.49</v>
      </c>
      <c r="N181" s="30">
        <v>0.32</v>
      </c>
      <c r="O181" s="116">
        <v>3.3568000000000002</v>
      </c>
      <c r="P181" s="30">
        <v>7.4999999999999997E-2</v>
      </c>
      <c r="Q181" s="116">
        <v>0.78674999999999995</v>
      </c>
      <c r="R181" s="30">
        <v>7.0000000000000007E-2</v>
      </c>
      <c r="S181" s="116">
        <v>0.73430000000000006</v>
      </c>
      <c r="T181" s="117">
        <v>0.49</v>
      </c>
      <c r="U181" s="39">
        <v>150</v>
      </c>
      <c r="V181" s="32"/>
      <c r="W181" s="33"/>
      <c r="X181" s="32"/>
      <c r="Y181" s="32"/>
      <c r="Z181" s="32"/>
      <c r="AA181" s="34"/>
      <c r="AB181" s="35">
        <f t="shared" si="20"/>
        <v>150</v>
      </c>
      <c r="AC181" s="75">
        <f t="shared" si="21"/>
        <v>14700</v>
      </c>
      <c r="AD181" s="78">
        <f t="shared" si="22"/>
        <v>0</v>
      </c>
      <c r="AE181" s="72">
        <f t="shared" si="23"/>
        <v>14700</v>
      </c>
      <c r="AF181" s="75">
        <f t="shared" si="24"/>
        <v>2378.6774999999998</v>
      </c>
      <c r="AG181" s="78">
        <f t="shared" si="25"/>
        <v>0</v>
      </c>
      <c r="AH181" s="72">
        <f t="shared" si="26"/>
        <v>2378.6774999999998</v>
      </c>
      <c r="AI181" s="75">
        <f t="shared" si="27"/>
        <v>1573.5</v>
      </c>
      <c r="AJ181" s="78">
        <f t="shared" si="28"/>
        <v>0</v>
      </c>
      <c r="AK181" s="72">
        <f t="shared" si="29"/>
        <v>1573.5</v>
      </c>
    </row>
    <row r="182" spans="1:37" ht="15.95" customHeight="1">
      <c r="A182" s="25" t="s">
        <v>702</v>
      </c>
      <c r="B182" s="25" t="s">
        <v>463</v>
      </c>
      <c r="C182" s="26" t="s">
        <v>24</v>
      </c>
      <c r="D182" s="26" t="s">
        <v>213</v>
      </c>
      <c r="E182" s="26" t="s">
        <v>214</v>
      </c>
      <c r="F182" s="26" t="s">
        <v>805</v>
      </c>
      <c r="G182" s="41"/>
      <c r="H182" s="44" t="s">
        <v>234</v>
      </c>
      <c r="I182" s="26" t="s">
        <v>27</v>
      </c>
      <c r="J182" s="28" t="s">
        <v>227</v>
      </c>
      <c r="K182" s="123">
        <v>54</v>
      </c>
      <c r="L182" s="29">
        <v>6.9892500000000011</v>
      </c>
      <c r="M182" s="110">
        <v>5.45</v>
      </c>
      <c r="N182" s="30">
        <v>0.16500000000000001</v>
      </c>
      <c r="O182" s="116">
        <v>0.8992500000000001</v>
      </c>
      <c r="P182" s="30"/>
      <c r="Q182" s="116"/>
      <c r="R182" s="30">
        <v>7.0000000000000007E-2</v>
      </c>
      <c r="S182" s="116">
        <v>0.15</v>
      </c>
      <c r="T182" s="117">
        <v>0.49</v>
      </c>
      <c r="U182" s="39">
        <v>250</v>
      </c>
      <c r="V182" s="32">
        <v>360</v>
      </c>
      <c r="W182" s="33"/>
      <c r="X182" s="32"/>
      <c r="Y182" s="32"/>
      <c r="Z182" s="32"/>
      <c r="AA182" s="34"/>
      <c r="AB182" s="35">
        <f t="shared" si="20"/>
        <v>610</v>
      </c>
      <c r="AC182" s="75">
        <f t="shared" si="21"/>
        <v>13500</v>
      </c>
      <c r="AD182" s="78">
        <f t="shared" si="22"/>
        <v>19440</v>
      </c>
      <c r="AE182" s="72">
        <f t="shared" si="23"/>
        <v>32940</v>
      </c>
      <c r="AF182" s="75">
        <f t="shared" si="24"/>
        <v>1747.3125000000002</v>
      </c>
      <c r="AG182" s="78">
        <f t="shared" si="25"/>
        <v>2516.1300000000006</v>
      </c>
      <c r="AH182" s="72">
        <f t="shared" si="26"/>
        <v>4263.442500000001</v>
      </c>
      <c r="AI182" s="75">
        <f t="shared" si="27"/>
        <v>1362.5</v>
      </c>
      <c r="AJ182" s="78">
        <f t="shared" si="28"/>
        <v>1962</v>
      </c>
      <c r="AK182" s="72">
        <f t="shared" si="29"/>
        <v>3324.5</v>
      </c>
    </row>
    <row r="183" spans="1:37" ht="15.95" customHeight="1">
      <c r="A183" s="25" t="s">
        <v>702</v>
      </c>
      <c r="B183" s="25" t="s">
        <v>463</v>
      </c>
      <c r="C183" s="26" t="s">
        <v>24</v>
      </c>
      <c r="D183" s="26" t="s">
        <v>213</v>
      </c>
      <c r="E183" s="26" t="s">
        <v>214</v>
      </c>
      <c r="F183" s="26" t="s">
        <v>805</v>
      </c>
      <c r="G183" s="41"/>
      <c r="H183" s="44" t="s">
        <v>234</v>
      </c>
      <c r="I183" s="26" t="s">
        <v>27</v>
      </c>
      <c r="J183" s="28" t="s">
        <v>227</v>
      </c>
      <c r="K183" s="123">
        <v>54</v>
      </c>
      <c r="L183" s="29">
        <v>6.9892500000000011</v>
      </c>
      <c r="M183" s="110">
        <v>5.45</v>
      </c>
      <c r="N183" s="30">
        <v>0.16500000000000001</v>
      </c>
      <c r="O183" s="116">
        <v>0.8992500000000001</v>
      </c>
      <c r="P183" s="30"/>
      <c r="Q183" s="116"/>
      <c r="R183" s="30">
        <v>7.0000000000000007E-2</v>
      </c>
      <c r="S183" s="116">
        <v>0.15</v>
      </c>
      <c r="T183" s="117">
        <v>0.49</v>
      </c>
      <c r="U183" s="39">
        <v>500</v>
      </c>
      <c r="V183" s="32"/>
      <c r="W183" s="33"/>
      <c r="X183" s="32"/>
      <c r="Y183" s="32"/>
      <c r="Z183" s="32"/>
      <c r="AA183" s="34"/>
      <c r="AB183" s="35">
        <f t="shared" si="20"/>
        <v>500</v>
      </c>
      <c r="AC183" s="75">
        <f t="shared" si="21"/>
        <v>27000</v>
      </c>
      <c r="AD183" s="78">
        <f t="shared" si="22"/>
        <v>0</v>
      </c>
      <c r="AE183" s="72">
        <f t="shared" si="23"/>
        <v>27000</v>
      </c>
      <c r="AF183" s="75">
        <f t="shared" si="24"/>
        <v>3494.6250000000005</v>
      </c>
      <c r="AG183" s="78">
        <f t="shared" si="25"/>
        <v>0</v>
      </c>
      <c r="AH183" s="72">
        <f t="shared" si="26"/>
        <v>3494.6250000000005</v>
      </c>
      <c r="AI183" s="75">
        <f t="shared" si="27"/>
        <v>2725</v>
      </c>
      <c r="AJ183" s="78">
        <f t="shared" si="28"/>
        <v>0</v>
      </c>
      <c r="AK183" s="72">
        <f t="shared" si="29"/>
        <v>2725</v>
      </c>
    </row>
    <row r="184" spans="1:37" ht="15.95" customHeight="1">
      <c r="A184" s="14" t="s">
        <v>702</v>
      </c>
      <c r="B184" s="14" t="s">
        <v>463</v>
      </c>
      <c r="C184" s="15" t="s">
        <v>24</v>
      </c>
      <c r="D184" s="15" t="s">
        <v>213</v>
      </c>
      <c r="E184" s="15" t="s">
        <v>214</v>
      </c>
      <c r="F184" s="15" t="s">
        <v>806</v>
      </c>
      <c r="G184" s="15"/>
      <c r="H184" s="16" t="s">
        <v>511</v>
      </c>
      <c r="I184" s="15" t="s">
        <v>27</v>
      </c>
      <c r="J184" s="17" t="s">
        <v>227</v>
      </c>
      <c r="K184" s="122">
        <v>58</v>
      </c>
      <c r="L184" s="18">
        <v>6.9892500000000011</v>
      </c>
      <c r="M184" s="109">
        <v>5.45</v>
      </c>
      <c r="N184" s="19">
        <v>0.16500000000000001</v>
      </c>
      <c r="O184" s="114">
        <v>0.8992500000000001</v>
      </c>
      <c r="P184" s="19"/>
      <c r="Q184" s="114"/>
      <c r="R184" s="19">
        <v>7.0000000000000007E-2</v>
      </c>
      <c r="S184" s="114">
        <v>0.15</v>
      </c>
      <c r="T184" s="115">
        <v>0.49</v>
      </c>
      <c r="U184" s="20">
        <v>500</v>
      </c>
      <c r="V184" s="21"/>
      <c r="W184" s="22"/>
      <c r="X184" s="21"/>
      <c r="Y184" s="21"/>
      <c r="Z184" s="21"/>
      <c r="AA184" s="23"/>
      <c r="AB184" s="24">
        <f t="shared" si="20"/>
        <v>500</v>
      </c>
      <c r="AC184" s="74">
        <f t="shared" si="21"/>
        <v>29000</v>
      </c>
      <c r="AD184" s="77">
        <f t="shared" si="22"/>
        <v>0</v>
      </c>
      <c r="AE184" s="71">
        <f t="shared" si="23"/>
        <v>29000</v>
      </c>
      <c r="AF184" s="74">
        <f t="shared" si="24"/>
        <v>3494.6250000000005</v>
      </c>
      <c r="AG184" s="77">
        <f t="shared" si="25"/>
        <v>0</v>
      </c>
      <c r="AH184" s="71">
        <f t="shared" si="26"/>
        <v>3494.6250000000005</v>
      </c>
      <c r="AI184" s="74">
        <f t="shared" si="27"/>
        <v>2725</v>
      </c>
      <c r="AJ184" s="77">
        <f t="shared" si="28"/>
        <v>0</v>
      </c>
      <c r="AK184" s="71">
        <f t="shared" si="29"/>
        <v>2725</v>
      </c>
    </row>
    <row r="185" spans="1:37" ht="15.95" customHeight="1">
      <c r="A185" s="25" t="s">
        <v>702</v>
      </c>
      <c r="B185" s="25" t="s">
        <v>463</v>
      </c>
      <c r="C185" s="26" t="s">
        <v>24</v>
      </c>
      <c r="D185" s="26" t="s">
        <v>213</v>
      </c>
      <c r="E185" s="26" t="s">
        <v>214</v>
      </c>
      <c r="F185" s="26" t="s">
        <v>806</v>
      </c>
      <c r="G185" s="26"/>
      <c r="H185" s="27" t="s">
        <v>234</v>
      </c>
      <c r="I185" s="26" t="s">
        <v>27</v>
      </c>
      <c r="J185" s="28" t="s">
        <v>227</v>
      </c>
      <c r="K185" s="123">
        <v>58</v>
      </c>
      <c r="L185" s="29">
        <v>6.9892500000000011</v>
      </c>
      <c r="M185" s="110">
        <v>5.45</v>
      </c>
      <c r="N185" s="30">
        <v>0.16500000000000001</v>
      </c>
      <c r="O185" s="116">
        <v>0.8992500000000001</v>
      </c>
      <c r="P185" s="30"/>
      <c r="Q185" s="116"/>
      <c r="R185" s="30">
        <v>7.0000000000000007E-2</v>
      </c>
      <c r="S185" s="116">
        <v>0.15</v>
      </c>
      <c r="T185" s="117">
        <v>0.49</v>
      </c>
      <c r="U185" s="31">
        <v>500</v>
      </c>
      <c r="V185" s="32"/>
      <c r="W185" s="33"/>
      <c r="X185" s="32"/>
      <c r="Y185" s="32"/>
      <c r="Z185" s="32"/>
      <c r="AA185" s="34"/>
      <c r="AB185" s="35">
        <f t="shared" si="20"/>
        <v>500</v>
      </c>
      <c r="AC185" s="75">
        <f t="shared" si="21"/>
        <v>29000</v>
      </c>
      <c r="AD185" s="78">
        <f t="shared" si="22"/>
        <v>0</v>
      </c>
      <c r="AE185" s="72">
        <f t="shared" si="23"/>
        <v>29000</v>
      </c>
      <c r="AF185" s="75">
        <f t="shared" si="24"/>
        <v>3494.6250000000005</v>
      </c>
      <c r="AG185" s="78">
        <f t="shared" si="25"/>
        <v>0</v>
      </c>
      <c r="AH185" s="72">
        <f t="shared" si="26"/>
        <v>3494.6250000000005</v>
      </c>
      <c r="AI185" s="75">
        <f t="shared" si="27"/>
        <v>2725</v>
      </c>
      <c r="AJ185" s="78">
        <f t="shared" si="28"/>
        <v>0</v>
      </c>
      <c r="AK185" s="72">
        <f t="shared" si="29"/>
        <v>2725</v>
      </c>
    </row>
    <row r="186" spans="1:37" ht="15.95" customHeight="1">
      <c r="A186" s="25" t="s">
        <v>702</v>
      </c>
      <c r="B186" s="25" t="s">
        <v>463</v>
      </c>
      <c r="C186" s="26" t="s">
        <v>24</v>
      </c>
      <c r="D186" s="26" t="s">
        <v>213</v>
      </c>
      <c r="E186" s="26" t="s">
        <v>214</v>
      </c>
      <c r="F186" s="26" t="s">
        <v>807</v>
      </c>
      <c r="G186" s="26"/>
      <c r="H186" s="27" t="s">
        <v>234</v>
      </c>
      <c r="I186" s="26" t="s">
        <v>27</v>
      </c>
      <c r="J186" s="28" t="s">
        <v>227</v>
      </c>
      <c r="K186" s="123">
        <v>58</v>
      </c>
      <c r="L186" s="29">
        <v>6.9892500000000011</v>
      </c>
      <c r="M186" s="110">
        <v>5.45</v>
      </c>
      <c r="N186" s="30">
        <v>0.16500000000000001</v>
      </c>
      <c r="O186" s="116">
        <v>0.8992500000000001</v>
      </c>
      <c r="P186" s="30"/>
      <c r="Q186" s="116"/>
      <c r="R186" s="30">
        <v>7.0000000000000007E-2</v>
      </c>
      <c r="S186" s="116">
        <v>0.15</v>
      </c>
      <c r="T186" s="117">
        <v>0.49</v>
      </c>
      <c r="U186" s="31">
        <v>500</v>
      </c>
      <c r="V186" s="32"/>
      <c r="W186" s="33"/>
      <c r="X186" s="32"/>
      <c r="Y186" s="32"/>
      <c r="Z186" s="32"/>
      <c r="AA186" s="34"/>
      <c r="AB186" s="35">
        <f t="shared" si="20"/>
        <v>500</v>
      </c>
      <c r="AC186" s="75">
        <f t="shared" si="21"/>
        <v>29000</v>
      </c>
      <c r="AD186" s="78">
        <f t="shared" si="22"/>
        <v>0</v>
      </c>
      <c r="AE186" s="72">
        <f t="shared" si="23"/>
        <v>29000</v>
      </c>
      <c r="AF186" s="75">
        <f t="shared" si="24"/>
        <v>3494.6250000000005</v>
      </c>
      <c r="AG186" s="78">
        <f t="shared" si="25"/>
        <v>0</v>
      </c>
      <c r="AH186" s="72">
        <f t="shared" si="26"/>
        <v>3494.6250000000005</v>
      </c>
      <c r="AI186" s="75">
        <f t="shared" si="27"/>
        <v>2725</v>
      </c>
      <c r="AJ186" s="78">
        <f t="shared" si="28"/>
        <v>0</v>
      </c>
      <c r="AK186" s="72">
        <f t="shared" si="29"/>
        <v>2725</v>
      </c>
    </row>
    <row r="187" spans="1:37" ht="15.95" customHeight="1">
      <c r="A187" s="25" t="s">
        <v>702</v>
      </c>
      <c r="B187" s="25" t="s">
        <v>463</v>
      </c>
      <c r="C187" s="26" t="s">
        <v>24</v>
      </c>
      <c r="D187" s="26" t="s">
        <v>213</v>
      </c>
      <c r="E187" s="26" t="s">
        <v>214</v>
      </c>
      <c r="F187" s="26" t="s">
        <v>807</v>
      </c>
      <c r="G187" s="26"/>
      <c r="H187" s="27" t="s">
        <v>234</v>
      </c>
      <c r="I187" s="26" t="s">
        <v>27</v>
      </c>
      <c r="J187" s="28" t="s">
        <v>227</v>
      </c>
      <c r="K187" s="123">
        <v>58</v>
      </c>
      <c r="L187" s="29">
        <v>6.9892500000000011</v>
      </c>
      <c r="M187" s="110">
        <v>5.45</v>
      </c>
      <c r="N187" s="30">
        <v>0.16500000000000001</v>
      </c>
      <c r="O187" s="116">
        <v>0.8992500000000001</v>
      </c>
      <c r="P187" s="30"/>
      <c r="Q187" s="116"/>
      <c r="R187" s="30">
        <v>7.0000000000000007E-2</v>
      </c>
      <c r="S187" s="116">
        <v>0.15</v>
      </c>
      <c r="T187" s="117">
        <v>0.49</v>
      </c>
      <c r="U187" s="31">
        <v>500</v>
      </c>
      <c r="V187" s="32"/>
      <c r="W187" s="33"/>
      <c r="X187" s="32"/>
      <c r="Y187" s="32"/>
      <c r="Z187" s="32"/>
      <c r="AA187" s="34"/>
      <c r="AB187" s="35">
        <f t="shared" si="20"/>
        <v>500</v>
      </c>
      <c r="AC187" s="75">
        <f t="shared" si="21"/>
        <v>29000</v>
      </c>
      <c r="AD187" s="78">
        <f t="shared" si="22"/>
        <v>0</v>
      </c>
      <c r="AE187" s="72">
        <f t="shared" si="23"/>
        <v>29000</v>
      </c>
      <c r="AF187" s="75">
        <f t="shared" si="24"/>
        <v>3494.6250000000005</v>
      </c>
      <c r="AG187" s="78">
        <f t="shared" si="25"/>
        <v>0</v>
      </c>
      <c r="AH187" s="72">
        <f t="shared" si="26"/>
        <v>3494.6250000000005</v>
      </c>
      <c r="AI187" s="75">
        <f t="shared" si="27"/>
        <v>2725</v>
      </c>
      <c r="AJ187" s="78">
        <f t="shared" si="28"/>
        <v>0</v>
      </c>
      <c r="AK187" s="72">
        <f t="shared" si="29"/>
        <v>2725</v>
      </c>
    </row>
    <row r="188" spans="1:37" ht="15.95" customHeight="1">
      <c r="A188" s="25" t="s">
        <v>702</v>
      </c>
      <c r="B188" s="25" t="s">
        <v>463</v>
      </c>
      <c r="C188" s="26" t="s">
        <v>24</v>
      </c>
      <c r="D188" s="26" t="s">
        <v>213</v>
      </c>
      <c r="E188" s="26" t="s">
        <v>214</v>
      </c>
      <c r="F188" s="26" t="s">
        <v>808</v>
      </c>
      <c r="G188" s="36"/>
      <c r="H188" s="27" t="s">
        <v>511</v>
      </c>
      <c r="I188" s="26" t="s">
        <v>27</v>
      </c>
      <c r="J188" s="28" t="s">
        <v>227</v>
      </c>
      <c r="K188" s="123">
        <v>58</v>
      </c>
      <c r="L188" s="29">
        <v>7.2805000000000009</v>
      </c>
      <c r="M188" s="110">
        <v>5.7</v>
      </c>
      <c r="N188" s="30">
        <v>0.16500000000000001</v>
      </c>
      <c r="O188" s="116">
        <v>0.94050000000000011</v>
      </c>
      <c r="P188" s="30"/>
      <c r="Q188" s="116"/>
      <c r="R188" s="30">
        <v>7.0000000000000007E-2</v>
      </c>
      <c r="S188" s="116">
        <v>0.15</v>
      </c>
      <c r="T188" s="117">
        <v>0.49</v>
      </c>
      <c r="U188" s="31">
        <v>500</v>
      </c>
      <c r="V188" s="32"/>
      <c r="W188" s="33"/>
      <c r="X188" s="32"/>
      <c r="Y188" s="32"/>
      <c r="Z188" s="32"/>
      <c r="AA188" s="34"/>
      <c r="AB188" s="35">
        <f t="shared" si="20"/>
        <v>500</v>
      </c>
      <c r="AC188" s="75">
        <f t="shared" si="21"/>
        <v>29000</v>
      </c>
      <c r="AD188" s="78">
        <f t="shared" si="22"/>
        <v>0</v>
      </c>
      <c r="AE188" s="72">
        <f t="shared" si="23"/>
        <v>29000</v>
      </c>
      <c r="AF188" s="75">
        <f t="shared" si="24"/>
        <v>3640.2500000000005</v>
      </c>
      <c r="AG188" s="78">
        <f t="shared" si="25"/>
        <v>0</v>
      </c>
      <c r="AH188" s="72">
        <f t="shared" si="26"/>
        <v>3640.2500000000005</v>
      </c>
      <c r="AI188" s="75">
        <f t="shared" si="27"/>
        <v>2850</v>
      </c>
      <c r="AJ188" s="78">
        <f t="shared" si="28"/>
        <v>0</v>
      </c>
      <c r="AK188" s="72">
        <f t="shared" si="29"/>
        <v>2850</v>
      </c>
    </row>
    <row r="189" spans="1:37" ht="15.95" customHeight="1">
      <c r="A189" s="25" t="s">
        <v>702</v>
      </c>
      <c r="B189" s="25" t="s">
        <v>463</v>
      </c>
      <c r="C189" s="26" t="s">
        <v>24</v>
      </c>
      <c r="D189" s="26" t="s">
        <v>213</v>
      </c>
      <c r="E189" s="26" t="s">
        <v>214</v>
      </c>
      <c r="F189" s="26" t="s">
        <v>808</v>
      </c>
      <c r="G189" s="36"/>
      <c r="H189" s="27" t="s">
        <v>234</v>
      </c>
      <c r="I189" s="26" t="s">
        <v>27</v>
      </c>
      <c r="J189" s="28" t="s">
        <v>227</v>
      </c>
      <c r="K189" s="123">
        <v>58</v>
      </c>
      <c r="L189" s="29">
        <v>7.2805000000000009</v>
      </c>
      <c r="M189" s="110">
        <v>5.7</v>
      </c>
      <c r="N189" s="30">
        <v>0.16500000000000001</v>
      </c>
      <c r="O189" s="116">
        <v>0.94050000000000011</v>
      </c>
      <c r="P189" s="30"/>
      <c r="Q189" s="116"/>
      <c r="R189" s="30">
        <v>7.0000000000000007E-2</v>
      </c>
      <c r="S189" s="116">
        <v>0.15</v>
      </c>
      <c r="T189" s="117">
        <v>0.49</v>
      </c>
      <c r="U189" s="31">
        <v>500</v>
      </c>
      <c r="V189" s="32"/>
      <c r="W189" s="33"/>
      <c r="X189" s="32"/>
      <c r="Y189" s="32"/>
      <c r="Z189" s="32"/>
      <c r="AA189" s="34"/>
      <c r="AB189" s="35">
        <f t="shared" si="20"/>
        <v>500</v>
      </c>
      <c r="AC189" s="75">
        <f t="shared" si="21"/>
        <v>29000</v>
      </c>
      <c r="AD189" s="78">
        <f t="shared" si="22"/>
        <v>0</v>
      </c>
      <c r="AE189" s="72">
        <f t="shared" si="23"/>
        <v>29000</v>
      </c>
      <c r="AF189" s="75">
        <f t="shared" si="24"/>
        <v>3640.2500000000005</v>
      </c>
      <c r="AG189" s="78">
        <f t="shared" si="25"/>
        <v>0</v>
      </c>
      <c r="AH189" s="72">
        <f t="shared" si="26"/>
        <v>3640.2500000000005</v>
      </c>
      <c r="AI189" s="75">
        <f t="shared" si="27"/>
        <v>2850</v>
      </c>
      <c r="AJ189" s="78">
        <f t="shared" si="28"/>
        <v>0</v>
      </c>
      <c r="AK189" s="72">
        <f t="shared" si="29"/>
        <v>2850</v>
      </c>
    </row>
    <row r="190" spans="1:37" ht="15.95" customHeight="1">
      <c r="A190" s="25" t="s">
        <v>702</v>
      </c>
      <c r="B190" s="25" t="s">
        <v>463</v>
      </c>
      <c r="C190" s="26" t="s">
        <v>167</v>
      </c>
      <c r="D190" s="26" t="s">
        <v>375</v>
      </c>
      <c r="E190" s="26" t="s">
        <v>16</v>
      </c>
      <c r="F190" s="26" t="s">
        <v>809</v>
      </c>
      <c r="G190" s="26"/>
      <c r="H190" s="27" t="s">
        <v>810</v>
      </c>
      <c r="I190" s="26" t="s">
        <v>765</v>
      </c>
      <c r="J190" s="37" t="s">
        <v>172</v>
      </c>
      <c r="K190" s="123">
        <v>145</v>
      </c>
      <c r="L190" s="29">
        <v>37.299999999999997</v>
      </c>
      <c r="M190" s="110">
        <v>29.5</v>
      </c>
      <c r="N190" s="30">
        <v>0.16500000000000001</v>
      </c>
      <c r="O190" s="116">
        <v>4.8675000000000006</v>
      </c>
      <c r="P190" s="30">
        <v>7.4999999999999997E-2</v>
      </c>
      <c r="Q190" s="116">
        <v>2.2124999999999999</v>
      </c>
      <c r="R190" s="30">
        <v>7.0000000000000007E-2</v>
      </c>
      <c r="S190" s="116">
        <v>0.23</v>
      </c>
      <c r="T190" s="117">
        <v>0.49</v>
      </c>
      <c r="U190" s="31">
        <v>150</v>
      </c>
      <c r="V190" s="32">
        <v>200</v>
      </c>
      <c r="W190" s="33"/>
      <c r="X190" s="32"/>
      <c r="Y190" s="32"/>
      <c r="Z190" s="32"/>
      <c r="AA190" s="34"/>
      <c r="AB190" s="35">
        <f t="shared" si="20"/>
        <v>350</v>
      </c>
      <c r="AC190" s="75">
        <f t="shared" si="21"/>
        <v>21750</v>
      </c>
      <c r="AD190" s="78">
        <f t="shared" si="22"/>
        <v>29000</v>
      </c>
      <c r="AE190" s="72">
        <f t="shared" si="23"/>
        <v>50750</v>
      </c>
      <c r="AF190" s="75">
        <f t="shared" si="24"/>
        <v>5595</v>
      </c>
      <c r="AG190" s="78">
        <f t="shared" si="25"/>
        <v>7459.9999999999991</v>
      </c>
      <c r="AH190" s="72">
        <f t="shared" si="26"/>
        <v>13055</v>
      </c>
      <c r="AI190" s="75">
        <f t="shared" si="27"/>
        <v>4425</v>
      </c>
      <c r="AJ190" s="78">
        <f t="shared" si="28"/>
        <v>5900</v>
      </c>
      <c r="AK190" s="72">
        <f t="shared" si="29"/>
        <v>10325</v>
      </c>
    </row>
    <row r="191" spans="1:37" ht="15.95" customHeight="1">
      <c r="A191" s="25" t="s">
        <v>702</v>
      </c>
      <c r="B191" s="25" t="s">
        <v>463</v>
      </c>
      <c r="C191" s="26" t="s">
        <v>167</v>
      </c>
      <c r="D191" s="26" t="s">
        <v>375</v>
      </c>
      <c r="E191" s="26" t="s">
        <v>16</v>
      </c>
      <c r="F191" s="26" t="s">
        <v>811</v>
      </c>
      <c r="G191" s="26"/>
      <c r="H191" s="27" t="s">
        <v>800</v>
      </c>
      <c r="I191" s="26" t="s">
        <v>765</v>
      </c>
      <c r="J191" s="37" t="s">
        <v>174</v>
      </c>
      <c r="K191" s="123">
        <v>135</v>
      </c>
      <c r="L191" s="29">
        <v>28.4682</v>
      </c>
      <c r="M191" s="110">
        <v>22.45</v>
      </c>
      <c r="N191" s="30">
        <v>0.161</v>
      </c>
      <c r="O191" s="116">
        <v>3.6144500000000002</v>
      </c>
      <c r="P191" s="30">
        <v>7.4999999999999997E-2</v>
      </c>
      <c r="Q191" s="116">
        <v>1.6837499999999999</v>
      </c>
      <c r="R191" s="30">
        <v>7.0000000000000007E-2</v>
      </c>
      <c r="S191" s="116">
        <v>0.23</v>
      </c>
      <c r="T191" s="117">
        <v>0.49</v>
      </c>
      <c r="U191" s="31">
        <v>150</v>
      </c>
      <c r="V191" s="32">
        <v>200</v>
      </c>
      <c r="W191" s="33"/>
      <c r="X191" s="32"/>
      <c r="Y191" s="32"/>
      <c r="Z191" s="32"/>
      <c r="AA191" s="34"/>
      <c r="AB191" s="35">
        <f t="shared" si="20"/>
        <v>350</v>
      </c>
      <c r="AC191" s="75">
        <f t="shared" si="21"/>
        <v>20250</v>
      </c>
      <c r="AD191" s="78">
        <f t="shared" si="22"/>
        <v>27000</v>
      </c>
      <c r="AE191" s="72">
        <f t="shared" si="23"/>
        <v>47250</v>
      </c>
      <c r="AF191" s="75">
        <f t="shared" si="24"/>
        <v>4270.2299999999996</v>
      </c>
      <c r="AG191" s="78">
        <f t="shared" si="25"/>
        <v>5693.64</v>
      </c>
      <c r="AH191" s="72">
        <f t="shared" si="26"/>
        <v>9963.869999999999</v>
      </c>
      <c r="AI191" s="75">
        <f t="shared" si="27"/>
        <v>3367.5</v>
      </c>
      <c r="AJ191" s="78">
        <f t="shared" si="28"/>
        <v>4490</v>
      </c>
      <c r="AK191" s="72">
        <f t="shared" si="29"/>
        <v>7857.5</v>
      </c>
    </row>
    <row r="192" spans="1:37" ht="15.95" customHeight="1">
      <c r="A192" s="25" t="s">
        <v>702</v>
      </c>
      <c r="B192" s="25" t="s">
        <v>463</v>
      </c>
      <c r="C192" s="26" t="s">
        <v>167</v>
      </c>
      <c r="D192" s="26" t="s">
        <v>375</v>
      </c>
      <c r="E192" s="26" t="s">
        <v>16</v>
      </c>
      <c r="F192" s="26" t="s">
        <v>809</v>
      </c>
      <c r="G192" s="26"/>
      <c r="H192" s="27" t="s">
        <v>812</v>
      </c>
      <c r="I192" s="26" t="s">
        <v>765</v>
      </c>
      <c r="J192" s="28" t="s">
        <v>172</v>
      </c>
      <c r="K192" s="123">
        <v>145</v>
      </c>
      <c r="L192" s="29">
        <v>37.299999999999997</v>
      </c>
      <c r="M192" s="110">
        <v>29.5</v>
      </c>
      <c r="N192" s="30">
        <v>0.16500000000000001</v>
      </c>
      <c r="O192" s="116">
        <v>4.8675000000000006</v>
      </c>
      <c r="P192" s="30">
        <v>7.4999999999999997E-2</v>
      </c>
      <c r="Q192" s="116">
        <v>2.2124999999999999</v>
      </c>
      <c r="R192" s="30">
        <v>7.0000000000000007E-2</v>
      </c>
      <c r="S192" s="116">
        <v>0.23</v>
      </c>
      <c r="T192" s="117">
        <v>0.49</v>
      </c>
      <c r="U192" s="31">
        <v>150</v>
      </c>
      <c r="V192" s="32">
        <v>300</v>
      </c>
      <c r="W192" s="33"/>
      <c r="X192" s="32"/>
      <c r="Y192" s="32"/>
      <c r="Z192" s="32"/>
      <c r="AA192" s="34"/>
      <c r="AB192" s="35">
        <f t="shared" si="20"/>
        <v>450</v>
      </c>
      <c r="AC192" s="75">
        <f t="shared" si="21"/>
        <v>21750</v>
      </c>
      <c r="AD192" s="78">
        <f t="shared" si="22"/>
        <v>43500</v>
      </c>
      <c r="AE192" s="72">
        <f t="shared" si="23"/>
        <v>65250</v>
      </c>
      <c r="AF192" s="75">
        <f t="shared" si="24"/>
        <v>5595</v>
      </c>
      <c r="AG192" s="78">
        <f t="shared" si="25"/>
        <v>11190</v>
      </c>
      <c r="AH192" s="72">
        <f t="shared" si="26"/>
        <v>16785</v>
      </c>
      <c r="AI192" s="75">
        <f t="shared" si="27"/>
        <v>4425</v>
      </c>
      <c r="AJ192" s="78">
        <f t="shared" si="28"/>
        <v>8850</v>
      </c>
      <c r="AK192" s="72">
        <f t="shared" si="29"/>
        <v>13275</v>
      </c>
    </row>
    <row r="193" spans="1:37" ht="15.95" customHeight="1">
      <c r="A193" s="25" t="s">
        <v>702</v>
      </c>
      <c r="B193" s="25" t="s">
        <v>463</v>
      </c>
      <c r="C193" s="26" t="s">
        <v>167</v>
      </c>
      <c r="D193" s="26" t="s">
        <v>375</v>
      </c>
      <c r="E193" s="26" t="s">
        <v>16</v>
      </c>
      <c r="F193" s="26" t="s">
        <v>811</v>
      </c>
      <c r="G193" s="36"/>
      <c r="H193" s="27" t="s">
        <v>800</v>
      </c>
      <c r="I193" s="26" t="s">
        <v>765</v>
      </c>
      <c r="J193" s="28" t="s">
        <v>174</v>
      </c>
      <c r="K193" s="123">
        <v>135</v>
      </c>
      <c r="L193" s="29">
        <v>28.4682</v>
      </c>
      <c r="M193" s="110">
        <v>22.45</v>
      </c>
      <c r="N193" s="30">
        <v>0.161</v>
      </c>
      <c r="O193" s="116">
        <v>3.6144500000000002</v>
      </c>
      <c r="P193" s="30">
        <v>7.4999999999999997E-2</v>
      </c>
      <c r="Q193" s="116">
        <v>1.6837499999999999</v>
      </c>
      <c r="R193" s="30">
        <v>7.0000000000000007E-2</v>
      </c>
      <c r="S193" s="116">
        <v>0.23</v>
      </c>
      <c r="T193" s="117">
        <v>0.49</v>
      </c>
      <c r="U193" s="31">
        <v>150</v>
      </c>
      <c r="V193" s="32">
        <v>300</v>
      </c>
      <c r="W193" s="33"/>
      <c r="X193" s="32"/>
      <c r="Y193" s="32"/>
      <c r="Z193" s="32"/>
      <c r="AA193" s="34"/>
      <c r="AB193" s="35">
        <f t="shared" si="20"/>
        <v>450</v>
      </c>
      <c r="AC193" s="75">
        <f t="shared" si="21"/>
        <v>20250</v>
      </c>
      <c r="AD193" s="78">
        <f t="shared" si="22"/>
        <v>40500</v>
      </c>
      <c r="AE193" s="72">
        <f t="shared" si="23"/>
        <v>60750</v>
      </c>
      <c r="AF193" s="75">
        <f t="shared" si="24"/>
        <v>4270.2299999999996</v>
      </c>
      <c r="AG193" s="78">
        <f t="shared" si="25"/>
        <v>8540.4599999999991</v>
      </c>
      <c r="AH193" s="72">
        <f t="shared" si="26"/>
        <v>12810.689999999999</v>
      </c>
      <c r="AI193" s="75">
        <f t="shared" si="27"/>
        <v>3367.5</v>
      </c>
      <c r="AJ193" s="78">
        <f t="shared" si="28"/>
        <v>6735</v>
      </c>
      <c r="AK193" s="72">
        <f t="shared" si="29"/>
        <v>10102.5</v>
      </c>
    </row>
    <row r="194" spans="1:37" ht="15.95" customHeight="1">
      <c r="A194" s="25" t="s">
        <v>702</v>
      </c>
      <c r="B194" s="25" t="s">
        <v>463</v>
      </c>
      <c r="C194" s="26" t="s">
        <v>527</v>
      </c>
      <c r="D194" s="26" t="s">
        <v>375</v>
      </c>
      <c r="E194" s="26" t="s">
        <v>16</v>
      </c>
      <c r="F194" s="26" t="s">
        <v>813</v>
      </c>
      <c r="G194" s="36"/>
      <c r="H194" s="27" t="s">
        <v>814</v>
      </c>
      <c r="I194" s="26" t="s">
        <v>19</v>
      </c>
      <c r="J194" s="28" t="s">
        <v>529</v>
      </c>
      <c r="K194" s="123">
        <v>145</v>
      </c>
      <c r="L194" s="29">
        <v>25.086599999999997</v>
      </c>
      <c r="M194" s="110">
        <v>17.899999999999999</v>
      </c>
      <c r="N194" s="30">
        <v>0.27900000000000003</v>
      </c>
      <c r="O194" s="116">
        <v>4.9941000000000004</v>
      </c>
      <c r="P194" s="30">
        <v>7.4999999999999997E-2</v>
      </c>
      <c r="Q194" s="116">
        <v>1.3424999999999998</v>
      </c>
      <c r="R194" s="30">
        <v>7.0000000000000007E-2</v>
      </c>
      <c r="S194" s="116">
        <v>0.36</v>
      </c>
      <c r="T194" s="117">
        <v>0.49</v>
      </c>
      <c r="U194" s="31">
        <v>250</v>
      </c>
      <c r="V194" s="32">
        <v>250</v>
      </c>
      <c r="W194" s="33"/>
      <c r="X194" s="32"/>
      <c r="Y194" s="32"/>
      <c r="Z194" s="32"/>
      <c r="AA194" s="34"/>
      <c r="AB194" s="35">
        <f t="shared" si="20"/>
        <v>500</v>
      </c>
      <c r="AC194" s="75">
        <f t="shared" si="21"/>
        <v>36250</v>
      </c>
      <c r="AD194" s="78">
        <f t="shared" si="22"/>
        <v>36250</v>
      </c>
      <c r="AE194" s="72">
        <f t="shared" si="23"/>
        <v>72500</v>
      </c>
      <c r="AF194" s="75">
        <f t="shared" si="24"/>
        <v>6271.65</v>
      </c>
      <c r="AG194" s="78">
        <f t="shared" si="25"/>
        <v>6271.65</v>
      </c>
      <c r="AH194" s="72">
        <f t="shared" si="26"/>
        <v>12543.3</v>
      </c>
      <c r="AI194" s="75">
        <f t="shared" si="27"/>
        <v>4475</v>
      </c>
      <c r="AJ194" s="78">
        <f t="shared" si="28"/>
        <v>4475</v>
      </c>
      <c r="AK194" s="72">
        <f t="shared" si="29"/>
        <v>8950</v>
      </c>
    </row>
    <row r="195" spans="1:37" ht="15.95" customHeight="1">
      <c r="A195" s="25" t="s">
        <v>702</v>
      </c>
      <c r="B195" s="25" t="s">
        <v>463</v>
      </c>
      <c r="C195" s="26" t="s">
        <v>267</v>
      </c>
      <c r="D195" s="26" t="s">
        <v>375</v>
      </c>
      <c r="E195" s="26" t="s">
        <v>16</v>
      </c>
      <c r="F195" s="26" t="s">
        <v>815</v>
      </c>
      <c r="G195" s="36"/>
      <c r="H195" s="27" t="s">
        <v>814</v>
      </c>
      <c r="I195" s="26" t="s">
        <v>19</v>
      </c>
      <c r="J195" s="28" t="s">
        <v>31</v>
      </c>
      <c r="K195" s="123">
        <v>135</v>
      </c>
      <c r="L195" s="29">
        <v>22.175499999999996</v>
      </c>
      <c r="M195" s="110">
        <v>15.75</v>
      </c>
      <c r="N195" s="30">
        <v>0.27900000000000003</v>
      </c>
      <c r="O195" s="116">
        <v>4.3942500000000004</v>
      </c>
      <c r="P195" s="30">
        <v>7.4999999999999997E-2</v>
      </c>
      <c r="Q195" s="116">
        <v>1.1812499999999999</v>
      </c>
      <c r="R195" s="30">
        <v>7.0000000000000007E-2</v>
      </c>
      <c r="S195" s="116">
        <v>0.36</v>
      </c>
      <c r="T195" s="117">
        <v>0.49</v>
      </c>
      <c r="U195" s="31">
        <v>250</v>
      </c>
      <c r="V195" s="32">
        <v>250</v>
      </c>
      <c r="W195" s="33"/>
      <c r="X195" s="32"/>
      <c r="Y195" s="32"/>
      <c r="Z195" s="32"/>
      <c r="AA195" s="34"/>
      <c r="AB195" s="35">
        <f t="shared" si="20"/>
        <v>500</v>
      </c>
      <c r="AC195" s="75">
        <f t="shared" si="21"/>
        <v>33750</v>
      </c>
      <c r="AD195" s="78">
        <f t="shared" si="22"/>
        <v>33750</v>
      </c>
      <c r="AE195" s="72">
        <f t="shared" si="23"/>
        <v>67500</v>
      </c>
      <c r="AF195" s="75">
        <f t="shared" si="24"/>
        <v>5543.8749999999991</v>
      </c>
      <c r="AG195" s="78">
        <f t="shared" si="25"/>
        <v>5543.8749999999991</v>
      </c>
      <c r="AH195" s="72">
        <f t="shared" si="26"/>
        <v>11087.749999999998</v>
      </c>
      <c r="AI195" s="75">
        <f t="shared" si="27"/>
        <v>3937.5</v>
      </c>
      <c r="AJ195" s="78">
        <f t="shared" si="28"/>
        <v>3937.5</v>
      </c>
      <c r="AK195" s="72">
        <f t="shared" si="29"/>
        <v>7875</v>
      </c>
    </row>
    <row r="196" spans="1:37" ht="15.95" customHeight="1">
      <c r="A196" s="25" t="s">
        <v>702</v>
      </c>
      <c r="B196" s="25" t="s">
        <v>463</v>
      </c>
      <c r="C196" s="26" t="s">
        <v>527</v>
      </c>
      <c r="D196" s="26" t="s">
        <v>375</v>
      </c>
      <c r="E196" s="26" t="s">
        <v>16</v>
      </c>
      <c r="F196" s="26" t="s">
        <v>813</v>
      </c>
      <c r="G196" s="36"/>
      <c r="H196" s="27" t="s">
        <v>814</v>
      </c>
      <c r="I196" s="26" t="s">
        <v>19</v>
      </c>
      <c r="J196" s="28" t="s">
        <v>529</v>
      </c>
      <c r="K196" s="123">
        <v>145</v>
      </c>
      <c r="L196" s="29">
        <v>27.651060000000001</v>
      </c>
      <c r="M196" s="110">
        <v>19.89</v>
      </c>
      <c r="N196" s="30">
        <v>0.27900000000000003</v>
      </c>
      <c r="O196" s="116">
        <v>5.5493100000000011</v>
      </c>
      <c r="P196" s="30">
        <v>7.4999999999999997E-2</v>
      </c>
      <c r="Q196" s="116">
        <v>1.4917499999999999</v>
      </c>
      <c r="R196" s="30">
        <v>7.0000000000000007E-2</v>
      </c>
      <c r="S196" s="116">
        <v>0.23</v>
      </c>
      <c r="T196" s="117">
        <v>0.49</v>
      </c>
      <c r="U196" s="31">
        <v>250</v>
      </c>
      <c r="V196" s="32">
        <v>250</v>
      </c>
      <c r="W196" s="33"/>
      <c r="X196" s="32"/>
      <c r="Y196" s="32"/>
      <c r="Z196" s="32"/>
      <c r="AA196" s="34"/>
      <c r="AB196" s="35">
        <f t="shared" si="20"/>
        <v>500</v>
      </c>
      <c r="AC196" s="75">
        <f t="shared" si="21"/>
        <v>36250</v>
      </c>
      <c r="AD196" s="78">
        <f t="shared" si="22"/>
        <v>36250</v>
      </c>
      <c r="AE196" s="72">
        <f t="shared" si="23"/>
        <v>72500</v>
      </c>
      <c r="AF196" s="75">
        <f t="shared" si="24"/>
        <v>6912.7650000000003</v>
      </c>
      <c r="AG196" s="78">
        <f t="shared" si="25"/>
        <v>6912.7650000000003</v>
      </c>
      <c r="AH196" s="72">
        <f t="shared" si="26"/>
        <v>13825.53</v>
      </c>
      <c r="AI196" s="75">
        <f t="shared" si="27"/>
        <v>4972.5</v>
      </c>
      <c r="AJ196" s="78">
        <f t="shared" si="28"/>
        <v>4972.5</v>
      </c>
      <c r="AK196" s="72">
        <f t="shared" si="29"/>
        <v>9945</v>
      </c>
    </row>
    <row r="197" spans="1:37" ht="15.95" customHeight="1">
      <c r="A197" s="25" t="s">
        <v>702</v>
      </c>
      <c r="B197" s="25" t="s">
        <v>463</v>
      </c>
      <c r="C197" s="26" t="s">
        <v>267</v>
      </c>
      <c r="D197" s="26" t="s">
        <v>375</v>
      </c>
      <c r="E197" s="26" t="s">
        <v>16</v>
      </c>
      <c r="F197" s="26" t="s">
        <v>815</v>
      </c>
      <c r="G197" s="36"/>
      <c r="H197" s="27" t="s">
        <v>814</v>
      </c>
      <c r="I197" s="26" t="s">
        <v>19</v>
      </c>
      <c r="J197" s="28" t="s">
        <v>31</v>
      </c>
      <c r="K197" s="123">
        <v>135</v>
      </c>
      <c r="L197" s="29">
        <v>24.414999999999999</v>
      </c>
      <c r="M197" s="110">
        <v>17.5</v>
      </c>
      <c r="N197" s="30">
        <v>0.27900000000000003</v>
      </c>
      <c r="O197" s="116">
        <v>4.8825000000000003</v>
      </c>
      <c r="P197" s="30">
        <v>7.4999999999999997E-2</v>
      </c>
      <c r="Q197" s="116">
        <v>1.3125</v>
      </c>
      <c r="R197" s="30">
        <v>7.0000000000000007E-2</v>
      </c>
      <c r="S197" s="116">
        <v>0.23</v>
      </c>
      <c r="T197" s="117">
        <v>0.49</v>
      </c>
      <c r="U197" s="31">
        <v>250</v>
      </c>
      <c r="V197" s="32">
        <v>250</v>
      </c>
      <c r="W197" s="33"/>
      <c r="X197" s="32"/>
      <c r="Y197" s="32"/>
      <c r="Z197" s="32"/>
      <c r="AA197" s="34"/>
      <c r="AB197" s="35">
        <f t="shared" ref="AB197:AB248" si="30">SUM(U197:AA197)</f>
        <v>500</v>
      </c>
      <c r="AC197" s="75">
        <f t="shared" ref="AC197:AC248" si="31">$K197*U197</f>
        <v>33750</v>
      </c>
      <c r="AD197" s="78">
        <f t="shared" ref="AD197:AD248" si="32">$K197*SUM(V197:AA197)</f>
        <v>33750</v>
      </c>
      <c r="AE197" s="72">
        <f t="shared" ref="AE197:AE248" si="33">SUM(AC197:AD197)</f>
        <v>67500</v>
      </c>
      <c r="AF197" s="75">
        <f t="shared" ref="AF197:AF248" si="34">$L197*U197</f>
        <v>6103.75</v>
      </c>
      <c r="AG197" s="78">
        <f t="shared" ref="AG197:AG248" si="35">$L197*SUM(V197:W197)+M197*SUM(X197:AA197)</f>
        <v>6103.75</v>
      </c>
      <c r="AH197" s="72">
        <f t="shared" ref="AH197:AH248" si="36">SUM(AF197:AG197)</f>
        <v>12207.5</v>
      </c>
      <c r="AI197" s="75">
        <f t="shared" ref="AI197:AI248" si="37">$M197*U197</f>
        <v>4375</v>
      </c>
      <c r="AJ197" s="78">
        <f t="shared" ref="AJ197:AJ248" si="38">$M197*SUM(V197:AA197)</f>
        <v>4375</v>
      </c>
      <c r="AK197" s="72">
        <f t="shared" ref="AK197:AK248" si="39">SUM(AI197:AJ197)</f>
        <v>8750</v>
      </c>
    </row>
    <row r="198" spans="1:37" ht="15.95" customHeight="1">
      <c r="A198" s="25" t="s">
        <v>702</v>
      </c>
      <c r="B198" s="25" t="s">
        <v>463</v>
      </c>
      <c r="C198" s="26" t="s">
        <v>816</v>
      </c>
      <c r="D198" s="26" t="s">
        <v>817</v>
      </c>
      <c r="E198" s="26" t="s">
        <v>818</v>
      </c>
      <c r="F198" s="26" t="s">
        <v>819</v>
      </c>
      <c r="G198" s="26"/>
      <c r="H198" s="27"/>
      <c r="I198" s="26" t="s">
        <v>816</v>
      </c>
      <c r="J198" s="28" t="s">
        <v>370</v>
      </c>
      <c r="K198" s="123">
        <v>105</v>
      </c>
      <c r="L198" s="29">
        <v>53.49</v>
      </c>
      <c r="M198" s="110">
        <v>52</v>
      </c>
      <c r="N198" s="30"/>
      <c r="O198" s="116"/>
      <c r="P198" s="30"/>
      <c r="Q198" s="116"/>
      <c r="R198" s="30">
        <v>7.0000000000000007E-2</v>
      </c>
      <c r="S198" s="116">
        <v>1</v>
      </c>
      <c r="T198" s="117">
        <v>0.49</v>
      </c>
      <c r="U198" s="31">
        <v>200</v>
      </c>
      <c r="V198" s="32"/>
      <c r="W198" s="38"/>
      <c r="X198" s="32"/>
      <c r="Y198" s="32"/>
      <c r="Z198" s="32"/>
      <c r="AA198" s="34"/>
      <c r="AB198" s="35">
        <f t="shared" si="30"/>
        <v>200</v>
      </c>
      <c r="AC198" s="75">
        <f t="shared" si="31"/>
        <v>21000</v>
      </c>
      <c r="AD198" s="78">
        <f t="shared" si="32"/>
        <v>0</v>
      </c>
      <c r="AE198" s="72">
        <f t="shared" si="33"/>
        <v>21000</v>
      </c>
      <c r="AF198" s="75">
        <f t="shared" si="34"/>
        <v>10698</v>
      </c>
      <c r="AG198" s="78">
        <f t="shared" si="35"/>
        <v>0</v>
      </c>
      <c r="AH198" s="72">
        <f t="shared" si="36"/>
        <v>10698</v>
      </c>
      <c r="AI198" s="75">
        <f t="shared" si="37"/>
        <v>10400</v>
      </c>
      <c r="AJ198" s="78">
        <f t="shared" si="38"/>
        <v>0</v>
      </c>
      <c r="AK198" s="72">
        <f t="shared" si="39"/>
        <v>10400</v>
      </c>
    </row>
    <row r="199" spans="1:37" ht="15.95" customHeight="1">
      <c r="A199" s="25" t="s">
        <v>702</v>
      </c>
      <c r="B199" s="25" t="s">
        <v>463</v>
      </c>
      <c r="C199" s="26" t="s">
        <v>816</v>
      </c>
      <c r="D199" s="26" t="s">
        <v>817</v>
      </c>
      <c r="E199" s="26" t="s">
        <v>818</v>
      </c>
      <c r="F199" s="26" t="s">
        <v>819</v>
      </c>
      <c r="G199" s="26"/>
      <c r="H199" s="27"/>
      <c r="I199" s="26" t="s">
        <v>816</v>
      </c>
      <c r="J199" s="28" t="s">
        <v>370</v>
      </c>
      <c r="K199" s="123">
        <v>105</v>
      </c>
      <c r="L199" s="29">
        <v>53.49</v>
      </c>
      <c r="M199" s="110">
        <v>52</v>
      </c>
      <c r="N199" s="30"/>
      <c r="O199" s="116"/>
      <c r="P199" s="30"/>
      <c r="Q199" s="116"/>
      <c r="R199" s="30">
        <v>7.0000000000000007E-2</v>
      </c>
      <c r="S199" s="116">
        <v>1</v>
      </c>
      <c r="T199" s="117">
        <v>0.49</v>
      </c>
      <c r="U199" s="31">
        <v>200</v>
      </c>
      <c r="V199" s="32"/>
      <c r="W199" s="38"/>
      <c r="X199" s="32"/>
      <c r="Y199" s="32"/>
      <c r="Z199" s="32"/>
      <c r="AA199" s="34"/>
      <c r="AB199" s="35">
        <f t="shared" si="30"/>
        <v>200</v>
      </c>
      <c r="AC199" s="75">
        <f t="shared" si="31"/>
        <v>21000</v>
      </c>
      <c r="AD199" s="78">
        <f t="shared" si="32"/>
        <v>0</v>
      </c>
      <c r="AE199" s="72">
        <f t="shared" si="33"/>
        <v>21000</v>
      </c>
      <c r="AF199" s="75">
        <f t="shared" si="34"/>
        <v>10698</v>
      </c>
      <c r="AG199" s="78">
        <f t="shared" si="35"/>
        <v>0</v>
      </c>
      <c r="AH199" s="72">
        <f t="shared" si="36"/>
        <v>10698</v>
      </c>
      <c r="AI199" s="75">
        <f t="shared" si="37"/>
        <v>10400</v>
      </c>
      <c r="AJ199" s="78">
        <f t="shared" si="38"/>
        <v>0</v>
      </c>
      <c r="AK199" s="72">
        <f t="shared" si="39"/>
        <v>10400</v>
      </c>
    </row>
    <row r="200" spans="1:37" ht="15.95" customHeight="1">
      <c r="A200" s="25" t="s">
        <v>702</v>
      </c>
      <c r="B200" s="25" t="s">
        <v>463</v>
      </c>
      <c r="C200" s="26" t="s">
        <v>816</v>
      </c>
      <c r="D200" s="26" t="s">
        <v>817</v>
      </c>
      <c r="E200" s="26" t="s">
        <v>818</v>
      </c>
      <c r="F200" s="26" t="s">
        <v>819</v>
      </c>
      <c r="G200" s="26"/>
      <c r="H200" s="27"/>
      <c r="I200" s="26" t="s">
        <v>816</v>
      </c>
      <c r="J200" s="28" t="s">
        <v>370</v>
      </c>
      <c r="K200" s="123">
        <v>105</v>
      </c>
      <c r="L200" s="29">
        <v>53.49</v>
      </c>
      <c r="M200" s="110">
        <v>52</v>
      </c>
      <c r="N200" s="30"/>
      <c r="O200" s="116"/>
      <c r="P200" s="30"/>
      <c r="Q200" s="116"/>
      <c r="R200" s="30">
        <v>7.0000000000000007E-2</v>
      </c>
      <c r="S200" s="116">
        <v>1</v>
      </c>
      <c r="T200" s="117">
        <v>0.49</v>
      </c>
      <c r="U200" s="31">
        <v>200</v>
      </c>
      <c r="V200" s="32"/>
      <c r="W200" s="33"/>
      <c r="X200" s="32"/>
      <c r="Y200" s="32"/>
      <c r="Z200" s="32"/>
      <c r="AA200" s="34"/>
      <c r="AB200" s="35">
        <f t="shared" si="30"/>
        <v>200</v>
      </c>
      <c r="AC200" s="75">
        <f t="shared" si="31"/>
        <v>21000</v>
      </c>
      <c r="AD200" s="78">
        <f t="shared" si="32"/>
        <v>0</v>
      </c>
      <c r="AE200" s="72">
        <f t="shared" si="33"/>
        <v>21000</v>
      </c>
      <c r="AF200" s="75">
        <f t="shared" si="34"/>
        <v>10698</v>
      </c>
      <c r="AG200" s="78">
        <f t="shared" si="35"/>
        <v>0</v>
      </c>
      <c r="AH200" s="72">
        <f t="shared" si="36"/>
        <v>10698</v>
      </c>
      <c r="AI200" s="75">
        <f t="shared" si="37"/>
        <v>10400</v>
      </c>
      <c r="AJ200" s="78">
        <f t="shared" si="38"/>
        <v>0</v>
      </c>
      <c r="AK200" s="72">
        <f t="shared" si="39"/>
        <v>10400</v>
      </c>
    </row>
    <row r="201" spans="1:37" ht="15.95" customHeight="1">
      <c r="A201" s="25" t="s">
        <v>702</v>
      </c>
      <c r="B201" s="25" t="s">
        <v>463</v>
      </c>
      <c r="C201" s="26" t="s">
        <v>816</v>
      </c>
      <c r="D201" s="26" t="s">
        <v>817</v>
      </c>
      <c r="E201" s="26" t="s">
        <v>818</v>
      </c>
      <c r="F201" s="26" t="s">
        <v>820</v>
      </c>
      <c r="G201" s="26"/>
      <c r="H201" s="27"/>
      <c r="I201" s="26" t="s">
        <v>816</v>
      </c>
      <c r="J201" s="28" t="s">
        <v>370</v>
      </c>
      <c r="K201" s="123">
        <v>15</v>
      </c>
      <c r="L201" s="29">
        <v>8.49</v>
      </c>
      <c r="M201" s="110">
        <v>7</v>
      </c>
      <c r="N201" s="30"/>
      <c r="O201" s="116"/>
      <c r="P201" s="30"/>
      <c r="Q201" s="116"/>
      <c r="R201" s="30">
        <v>7.0000000000000007E-2</v>
      </c>
      <c r="S201" s="116">
        <v>1</v>
      </c>
      <c r="T201" s="117">
        <v>0.49</v>
      </c>
      <c r="U201" s="39">
        <v>50</v>
      </c>
      <c r="V201" s="32"/>
      <c r="W201" s="33"/>
      <c r="X201" s="32"/>
      <c r="Y201" s="32"/>
      <c r="Z201" s="32"/>
      <c r="AA201" s="34"/>
      <c r="AB201" s="35">
        <f t="shared" si="30"/>
        <v>50</v>
      </c>
      <c r="AC201" s="75">
        <f t="shared" si="31"/>
        <v>750</v>
      </c>
      <c r="AD201" s="78">
        <f t="shared" si="32"/>
        <v>0</v>
      </c>
      <c r="AE201" s="72">
        <f t="shared" si="33"/>
        <v>750</v>
      </c>
      <c r="AF201" s="75">
        <f t="shared" si="34"/>
        <v>424.5</v>
      </c>
      <c r="AG201" s="78">
        <f t="shared" si="35"/>
        <v>0</v>
      </c>
      <c r="AH201" s="72">
        <f t="shared" si="36"/>
        <v>424.5</v>
      </c>
      <c r="AI201" s="75">
        <f t="shared" si="37"/>
        <v>350</v>
      </c>
      <c r="AJ201" s="78">
        <f t="shared" si="38"/>
        <v>0</v>
      </c>
      <c r="AK201" s="72">
        <f t="shared" si="39"/>
        <v>350</v>
      </c>
    </row>
    <row r="202" spans="1:37" ht="15.95" customHeight="1">
      <c r="A202" s="25" t="s">
        <v>702</v>
      </c>
      <c r="B202" s="25" t="s">
        <v>463</v>
      </c>
      <c r="C202" s="26" t="s">
        <v>816</v>
      </c>
      <c r="D202" s="26" t="s">
        <v>817</v>
      </c>
      <c r="E202" s="26" t="s">
        <v>818</v>
      </c>
      <c r="F202" s="26" t="s">
        <v>820</v>
      </c>
      <c r="G202" s="26"/>
      <c r="H202" s="27"/>
      <c r="I202" s="26" t="s">
        <v>816</v>
      </c>
      <c r="J202" s="28" t="s">
        <v>370</v>
      </c>
      <c r="K202" s="123">
        <v>15</v>
      </c>
      <c r="L202" s="29">
        <v>8.49</v>
      </c>
      <c r="M202" s="110">
        <v>7</v>
      </c>
      <c r="N202" s="30"/>
      <c r="O202" s="116"/>
      <c r="P202" s="30"/>
      <c r="Q202" s="116"/>
      <c r="R202" s="30">
        <v>7.0000000000000007E-2</v>
      </c>
      <c r="S202" s="116">
        <v>1</v>
      </c>
      <c r="T202" s="117">
        <v>0.49</v>
      </c>
      <c r="U202" s="39">
        <v>50</v>
      </c>
      <c r="V202" s="32"/>
      <c r="W202" s="33"/>
      <c r="X202" s="32"/>
      <c r="Y202" s="32"/>
      <c r="Z202" s="32"/>
      <c r="AA202" s="34"/>
      <c r="AB202" s="35">
        <f t="shared" si="30"/>
        <v>50</v>
      </c>
      <c r="AC202" s="75">
        <f t="shared" si="31"/>
        <v>750</v>
      </c>
      <c r="AD202" s="78">
        <f t="shared" si="32"/>
        <v>0</v>
      </c>
      <c r="AE202" s="72">
        <f t="shared" si="33"/>
        <v>750</v>
      </c>
      <c r="AF202" s="75">
        <f t="shared" si="34"/>
        <v>424.5</v>
      </c>
      <c r="AG202" s="78">
        <f t="shared" si="35"/>
        <v>0</v>
      </c>
      <c r="AH202" s="72">
        <f t="shared" si="36"/>
        <v>424.5</v>
      </c>
      <c r="AI202" s="75">
        <f t="shared" si="37"/>
        <v>350</v>
      </c>
      <c r="AJ202" s="78">
        <f t="shared" si="38"/>
        <v>0</v>
      </c>
      <c r="AK202" s="72">
        <f t="shared" si="39"/>
        <v>350</v>
      </c>
    </row>
    <row r="203" spans="1:37" ht="15.95" customHeight="1">
      <c r="A203" s="25" t="s">
        <v>702</v>
      </c>
      <c r="B203" s="25" t="s">
        <v>463</v>
      </c>
      <c r="C203" s="26" t="s">
        <v>44</v>
      </c>
      <c r="D203" s="26" t="s">
        <v>10</v>
      </c>
      <c r="E203" s="26" t="s">
        <v>16</v>
      </c>
      <c r="F203" s="26" t="s">
        <v>821</v>
      </c>
      <c r="G203" s="26"/>
      <c r="H203" s="27" t="s">
        <v>822</v>
      </c>
      <c r="I203" s="26" t="s">
        <v>27</v>
      </c>
      <c r="J203" s="28" t="s">
        <v>578</v>
      </c>
      <c r="K203" s="123">
        <v>98</v>
      </c>
      <c r="L203" s="29">
        <v>17.801799999999997</v>
      </c>
      <c r="M203" s="110">
        <v>12.9</v>
      </c>
      <c r="N203" s="30">
        <v>0.19700000000000001</v>
      </c>
      <c r="O203" s="116">
        <v>2.5413000000000001</v>
      </c>
      <c r="P203" s="30">
        <v>7.4999999999999997E-2</v>
      </c>
      <c r="Q203" s="116">
        <v>0.96750000000000003</v>
      </c>
      <c r="R203" s="30">
        <v>7.0000000000000007E-2</v>
      </c>
      <c r="S203" s="116">
        <v>0.90300000000000014</v>
      </c>
      <c r="T203" s="117">
        <v>0.49</v>
      </c>
      <c r="U203" s="39">
        <v>500</v>
      </c>
      <c r="V203" s="32"/>
      <c r="W203" s="33"/>
      <c r="X203" s="32"/>
      <c r="Y203" s="32"/>
      <c r="Z203" s="32"/>
      <c r="AA203" s="34"/>
      <c r="AB203" s="35">
        <f t="shared" si="30"/>
        <v>500</v>
      </c>
      <c r="AC203" s="75">
        <f t="shared" si="31"/>
        <v>49000</v>
      </c>
      <c r="AD203" s="78">
        <f t="shared" si="32"/>
        <v>0</v>
      </c>
      <c r="AE203" s="72">
        <f t="shared" si="33"/>
        <v>49000</v>
      </c>
      <c r="AF203" s="75">
        <f t="shared" si="34"/>
        <v>8900.8999999999978</v>
      </c>
      <c r="AG203" s="78">
        <f t="shared" si="35"/>
        <v>0</v>
      </c>
      <c r="AH203" s="72">
        <f t="shared" si="36"/>
        <v>8900.8999999999978</v>
      </c>
      <c r="AI203" s="75">
        <f t="shared" si="37"/>
        <v>6450</v>
      </c>
      <c r="AJ203" s="78">
        <f t="shared" si="38"/>
        <v>0</v>
      </c>
      <c r="AK203" s="72">
        <f t="shared" si="39"/>
        <v>6450</v>
      </c>
    </row>
    <row r="204" spans="1:37" ht="15.95" customHeight="1">
      <c r="A204" s="25" t="s">
        <v>702</v>
      </c>
      <c r="B204" s="25" t="s">
        <v>463</v>
      </c>
      <c r="C204" s="26" t="s">
        <v>267</v>
      </c>
      <c r="D204" s="26" t="s">
        <v>10</v>
      </c>
      <c r="E204" s="26" t="s">
        <v>16</v>
      </c>
      <c r="F204" s="26" t="s">
        <v>823</v>
      </c>
      <c r="G204" s="26"/>
      <c r="H204" s="27" t="s">
        <v>824</v>
      </c>
      <c r="I204" s="26" t="s">
        <v>27</v>
      </c>
      <c r="J204" s="28" t="s">
        <v>174</v>
      </c>
      <c r="K204" s="123">
        <v>95</v>
      </c>
      <c r="L204" s="29">
        <v>14.856</v>
      </c>
      <c r="M204" s="110">
        <v>11</v>
      </c>
      <c r="N204" s="30">
        <v>0.161</v>
      </c>
      <c r="O204" s="116">
        <v>1.7710000000000001</v>
      </c>
      <c r="P204" s="30">
        <v>7.4999999999999997E-2</v>
      </c>
      <c r="Q204" s="116">
        <v>0.82499999999999996</v>
      </c>
      <c r="R204" s="30">
        <v>7.0000000000000007E-2</v>
      </c>
      <c r="S204" s="116">
        <v>0.77</v>
      </c>
      <c r="T204" s="117">
        <v>0.49</v>
      </c>
      <c r="U204" s="39">
        <v>500</v>
      </c>
      <c r="V204" s="32"/>
      <c r="W204" s="33"/>
      <c r="X204" s="32"/>
      <c r="Y204" s="32"/>
      <c r="Z204" s="32"/>
      <c r="AA204" s="34"/>
      <c r="AB204" s="35">
        <f t="shared" si="30"/>
        <v>500</v>
      </c>
      <c r="AC204" s="75">
        <f t="shared" si="31"/>
        <v>47500</v>
      </c>
      <c r="AD204" s="78">
        <f t="shared" si="32"/>
        <v>0</v>
      </c>
      <c r="AE204" s="72">
        <f t="shared" si="33"/>
        <v>47500</v>
      </c>
      <c r="AF204" s="75">
        <f t="shared" si="34"/>
        <v>7428</v>
      </c>
      <c r="AG204" s="78">
        <f t="shared" si="35"/>
        <v>0</v>
      </c>
      <c r="AH204" s="72">
        <f t="shared" si="36"/>
        <v>7428</v>
      </c>
      <c r="AI204" s="75">
        <f t="shared" si="37"/>
        <v>5500</v>
      </c>
      <c r="AJ204" s="78">
        <f t="shared" si="38"/>
        <v>0</v>
      </c>
      <c r="AK204" s="72">
        <f t="shared" si="39"/>
        <v>5500</v>
      </c>
    </row>
    <row r="205" spans="1:37" ht="15.95" customHeight="1">
      <c r="A205" s="25" t="s">
        <v>702</v>
      </c>
      <c r="B205" s="25" t="s">
        <v>463</v>
      </c>
      <c r="C205" s="26" t="s">
        <v>44</v>
      </c>
      <c r="D205" s="26" t="s">
        <v>10</v>
      </c>
      <c r="E205" s="26" t="s">
        <v>16</v>
      </c>
      <c r="F205" s="26" t="s">
        <v>821</v>
      </c>
      <c r="G205" s="26"/>
      <c r="H205" s="27" t="s">
        <v>822</v>
      </c>
      <c r="I205" s="26" t="s">
        <v>27</v>
      </c>
      <c r="J205" s="28" t="s">
        <v>578</v>
      </c>
      <c r="K205" s="123">
        <v>98</v>
      </c>
      <c r="L205" s="29">
        <v>17.801799999999997</v>
      </c>
      <c r="M205" s="110">
        <v>12.9</v>
      </c>
      <c r="N205" s="30">
        <v>0.19700000000000001</v>
      </c>
      <c r="O205" s="116">
        <v>2.5413000000000001</v>
      </c>
      <c r="P205" s="30">
        <v>7.4999999999999997E-2</v>
      </c>
      <c r="Q205" s="116">
        <v>0.96750000000000003</v>
      </c>
      <c r="R205" s="30">
        <v>7.0000000000000007E-2</v>
      </c>
      <c r="S205" s="116">
        <v>0.90300000000000014</v>
      </c>
      <c r="T205" s="117">
        <v>0.49</v>
      </c>
      <c r="U205" s="39">
        <v>500</v>
      </c>
      <c r="V205" s="32"/>
      <c r="W205" s="33"/>
      <c r="X205" s="32"/>
      <c r="Y205" s="32"/>
      <c r="Z205" s="32"/>
      <c r="AA205" s="34"/>
      <c r="AB205" s="35">
        <f t="shared" si="30"/>
        <v>500</v>
      </c>
      <c r="AC205" s="75">
        <f t="shared" si="31"/>
        <v>49000</v>
      </c>
      <c r="AD205" s="78">
        <f t="shared" si="32"/>
        <v>0</v>
      </c>
      <c r="AE205" s="72">
        <f t="shared" si="33"/>
        <v>49000</v>
      </c>
      <c r="AF205" s="75">
        <f t="shared" si="34"/>
        <v>8900.8999999999978</v>
      </c>
      <c r="AG205" s="78">
        <f t="shared" si="35"/>
        <v>0</v>
      </c>
      <c r="AH205" s="72">
        <f t="shared" si="36"/>
        <v>8900.8999999999978</v>
      </c>
      <c r="AI205" s="75">
        <f t="shared" si="37"/>
        <v>6450</v>
      </c>
      <c r="AJ205" s="78">
        <f t="shared" si="38"/>
        <v>0</v>
      </c>
      <c r="AK205" s="72">
        <f t="shared" si="39"/>
        <v>6450</v>
      </c>
    </row>
    <row r="206" spans="1:37" ht="15.95" customHeight="1">
      <c r="A206" s="25" t="s">
        <v>702</v>
      </c>
      <c r="B206" s="25" t="s">
        <v>463</v>
      </c>
      <c r="C206" s="26" t="s">
        <v>267</v>
      </c>
      <c r="D206" s="26" t="s">
        <v>10</v>
      </c>
      <c r="E206" s="26" t="s">
        <v>16</v>
      </c>
      <c r="F206" s="26" t="s">
        <v>823</v>
      </c>
      <c r="G206" s="26"/>
      <c r="H206" s="27" t="s">
        <v>822</v>
      </c>
      <c r="I206" s="26" t="s">
        <v>27</v>
      </c>
      <c r="J206" s="28" t="s">
        <v>174</v>
      </c>
      <c r="K206" s="123">
        <v>95</v>
      </c>
      <c r="L206" s="29">
        <v>14.856</v>
      </c>
      <c r="M206" s="110">
        <v>11</v>
      </c>
      <c r="N206" s="30">
        <v>0.161</v>
      </c>
      <c r="O206" s="116">
        <v>1.7710000000000001</v>
      </c>
      <c r="P206" s="30">
        <v>7.4999999999999997E-2</v>
      </c>
      <c r="Q206" s="116">
        <v>0.82499999999999996</v>
      </c>
      <c r="R206" s="30">
        <v>7.0000000000000007E-2</v>
      </c>
      <c r="S206" s="116">
        <v>0.77</v>
      </c>
      <c r="T206" s="117">
        <v>0.49</v>
      </c>
      <c r="U206" s="39">
        <v>500</v>
      </c>
      <c r="V206" s="32"/>
      <c r="W206" s="33"/>
      <c r="X206" s="32"/>
      <c r="Y206" s="32"/>
      <c r="Z206" s="32"/>
      <c r="AA206" s="34"/>
      <c r="AB206" s="35">
        <f t="shared" si="30"/>
        <v>500</v>
      </c>
      <c r="AC206" s="75">
        <f t="shared" si="31"/>
        <v>47500</v>
      </c>
      <c r="AD206" s="78">
        <f t="shared" si="32"/>
        <v>0</v>
      </c>
      <c r="AE206" s="72">
        <f t="shared" si="33"/>
        <v>47500</v>
      </c>
      <c r="AF206" s="75">
        <f t="shared" si="34"/>
        <v>7428</v>
      </c>
      <c r="AG206" s="78">
        <f t="shared" si="35"/>
        <v>0</v>
      </c>
      <c r="AH206" s="72">
        <f t="shared" si="36"/>
        <v>7428</v>
      </c>
      <c r="AI206" s="75">
        <f t="shared" si="37"/>
        <v>5500</v>
      </c>
      <c r="AJ206" s="78">
        <f t="shared" si="38"/>
        <v>0</v>
      </c>
      <c r="AK206" s="72">
        <f t="shared" si="39"/>
        <v>5500</v>
      </c>
    </row>
    <row r="207" spans="1:37" ht="15.95" customHeight="1">
      <c r="A207" s="25" t="s">
        <v>702</v>
      </c>
      <c r="B207" s="25" t="s">
        <v>463</v>
      </c>
      <c r="C207" s="26" t="s">
        <v>14</v>
      </c>
      <c r="D207" s="26" t="s">
        <v>10</v>
      </c>
      <c r="E207" s="26" t="s">
        <v>16</v>
      </c>
      <c r="F207" s="26" t="s">
        <v>825</v>
      </c>
      <c r="G207" s="26"/>
      <c r="H207" s="27" t="s">
        <v>826</v>
      </c>
      <c r="I207" s="26" t="s">
        <v>19</v>
      </c>
      <c r="J207" s="28" t="s">
        <v>827</v>
      </c>
      <c r="K207" s="123">
        <v>135</v>
      </c>
      <c r="L207" s="29">
        <v>27.6068</v>
      </c>
      <c r="M207" s="110">
        <v>22.3</v>
      </c>
      <c r="N207" s="30">
        <v>7.0999999999999994E-2</v>
      </c>
      <c r="O207" s="116">
        <v>1.5832999999999999</v>
      </c>
      <c r="P207" s="30">
        <v>7.4999999999999997E-2</v>
      </c>
      <c r="Q207" s="116">
        <v>1.6725000000000001</v>
      </c>
      <c r="R207" s="30">
        <v>7.0000000000000007E-2</v>
      </c>
      <c r="S207" s="116">
        <v>1.5610000000000002</v>
      </c>
      <c r="T207" s="117">
        <v>0.49</v>
      </c>
      <c r="U207" s="39">
        <v>250</v>
      </c>
      <c r="V207" s="32">
        <v>250</v>
      </c>
      <c r="W207" s="33"/>
      <c r="X207" s="32"/>
      <c r="Y207" s="32"/>
      <c r="Z207" s="32"/>
      <c r="AA207" s="34"/>
      <c r="AB207" s="35">
        <f t="shared" si="30"/>
        <v>500</v>
      </c>
      <c r="AC207" s="75">
        <f t="shared" si="31"/>
        <v>33750</v>
      </c>
      <c r="AD207" s="78">
        <f t="shared" si="32"/>
        <v>33750</v>
      </c>
      <c r="AE207" s="72">
        <f t="shared" si="33"/>
        <v>67500</v>
      </c>
      <c r="AF207" s="75">
        <f t="shared" si="34"/>
        <v>6901.7</v>
      </c>
      <c r="AG207" s="78">
        <f t="shared" si="35"/>
        <v>6901.7</v>
      </c>
      <c r="AH207" s="72">
        <f t="shared" si="36"/>
        <v>13803.4</v>
      </c>
      <c r="AI207" s="75">
        <f t="shared" si="37"/>
        <v>5575</v>
      </c>
      <c r="AJ207" s="78">
        <f t="shared" si="38"/>
        <v>5575</v>
      </c>
      <c r="AK207" s="72">
        <f t="shared" si="39"/>
        <v>11150</v>
      </c>
    </row>
    <row r="208" spans="1:37" ht="15.95" customHeight="1">
      <c r="A208" s="25" t="s">
        <v>702</v>
      </c>
      <c r="B208" s="25" t="s">
        <v>463</v>
      </c>
      <c r="C208" s="26" t="s">
        <v>21</v>
      </c>
      <c r="D208" s="26" t="s">
        <v>10</v>
      </c>
      <c r="E208" s="26" t="s">
        <v>16</v>
      </c>
      <c r="F208" s="26" t="s">
        <v>828</v>
      </c>
      <c r="G208" s="36"/>
      <c r="H208" s="27" t="s">
        <v>829</v>
      </c>
      <c r="I208" s="26" t="s">
        <v>19</v>
      </c>
      <c r="J208" s="28" t="s">
        <v>23</v>
      </c>
      <c r="K208" s="123">
        <v>125</v>
      </c>
      <c r="L208" s="29">
        <v>20.432399999999998</v>
      </c>
      <c r="M208" s="110">
        <v>16.399999999999999</v>
      </c>
      <c r="N208" s="30">
        <v>7.0999999999999994E-2</v>
      </c>
      <c r="O208" s="116">
        <v>1.1643999999999999</v>
      </c>
      <c r="P208" s="30">
        <v>7.4999999999999997E-2</v>
      </c>
      <c r="Q208" s="116">
        <v>1.2299999999999998</v>
      </c>
      <c r="R208" s="30">
        <v>7.0000000000000007E-2</v>
      </c>
      <c r="S208" s="116">
        <v>1.1479999999999999</v>
      </c>
      <c r="T208" s="117">
        <v>0.49</v>
      </c>
      <c r="U208" s="39">
        <v>250</v>
      </c>
      <c r="V208" s="32">
        <v>250</v>
      </c>
      <c r="W208" s="33"/>
      <c r="X208" s="32"/>
      <c r="Y208" s="32"/>
      <c r="Z208" s="32"/>
      <c r="AA208" s="34"/>
      <c r="AB208" s="35">
        <f t="shared" si="30"/>
        <v>500</v>
      </c>
      <c r="AC208" s="75">
        <f t="shared" si="31"/>
        <v>31250</v>
      </c>
      <c r="AD208" s="78">
        <f t="shared" si="32"/>
        <v>31250</v>
      </c>
      <c r="AE208" s="72">
        <f t="shared" si="33"/>
        <v>62500</v>
      </c>
      <c r="AF208" s="75">
        <f t="shared" si="34"/>
        <v>5108.0999999999995</v>
      </c>
      <c r="AG208" s="78">
        <f t="shared" si="35"/>
        <v>5108.0999999999995</v>
      </c>
      <c r="AH208" s="72">
        <f t="shared" si="36"/>
        <v>10216.199999999999</v>
      </c>
      <c r="AI208" s="75">
        <f t="shared" si="37"/>
        <v>4100</v>
      </c>
      <c r="AJ208" s="78">
        <f t="shared" si="38"/>
        <v>4100</v>
      </c>
      <c r="AK208" s="72">
        <f t="shared" si="39"/>
        <v>8200</v>
      </c>
    </row>
    <row r="209" spans="1:37" ht="15.95" customHeight="1">
      <c r="A209" s="25" t="s">
        <v>702</v>
      </c>
      <c r="B209" s="25" t="s">
        <v>463</v>
      </c>
      <c r="C209" s="26" t="s">
        <v>14</v>
      </c>
      <c r="D209" s="26" t="s">
        <v>10</v>
      </c>
      <c r="E209" s="26" t="s">
        <v>16</v>
      </c>
      <c r="F209" s="26" t="s">
        <v>825</v>
      </c>
      <c r="G209" s="36"/>
      <c r="H209" s="27" t="s">
        <v>826</v>
      </c>
      <c r="I209" s="26" t="s">
        <v>19</v>
      </c>
      <c r="J209" s="28" t="s">
        <v>827</v>
      </c>
      <c r="K209" s="123">
        <v>135</v>
      </c>
      <c r="L209" s="29">
        <v>27.6068</v>
      </c>
      <c r="M209" s="110">
        <v>22.3</v>
      </c>
      <c r="N209" s="30">
        <v>7.0999999999999994E-2</v>
      </c>
      <c r="O209" s="116">
        <v>1.5832999999999999</v>
      </c>
      <c r="P209" s="30">
        <v>7.4999999999999997E-2</v>
      </c>
      <c r="Q209" s="116">
        <v>1.6725000000000001</v>
      </c>
      <c r="R209" s="30">
        <v>7.0000000000000007E-2</v>
      </c>
      <c r="S209" s="116">
        <v>1.5610000000000002</v>
      </c>
      <c r="T209" s="117">
        <v>0.49</v>
      </c>
      <c r="U209" s="39">
        <v>250</v>
      </c>
      <c r="V209" s="32">
        <v>250</v>
      </c>
      <c r="W209" s="33"/>
      <c r="X209" s="32"/>
      <c r="Y209" s="32"/>
      <c r="Z209" s="32"/>
      <c r="AA209" s="34"/>
      <c r="AB209" s="35">
        <f t="shared" si="30"/>
        <v>500</v>
      </c>
      <c r="AC209" s="75">
        <f t="shared" si="31"/>
        <v>33750</v>
      </c>
      <c r="AD209" s="78">
        <f t="shared" si="32"/>
        <v>33750</v>
      </c>
      <c r="AE209" s="72">
        <f t="shared" si="33"/>
        <v>67500</v>
      </c>
      <c r="AF209" s="75">
        <f t="shared" si="34"/>
        <v>6901.7</v>
      </c>
      <c r="AG209" s="78">
        <f t="shared" si="35"/>
        <v>6901.7</v>
      </c>
      <c r="AH209" s="72">
        <f t="shared" si="36"/>
        <v>13803.4</v>
      </c>
      <c r="AI209" s="75">
        <f t="shared" si="37"/>
        <v>5575</v>
      </c>
      <c r="AJ209" s="78">
        <f t="shared" si="38"/>
        <v>5575</v>
      </c>
      <c r="AK209" s="72">
        <f t="shared" si="39"/>
        <v>11150</v>
      </c>
    </row>
    <row r="210" spans="1:37" ht="15.95" customHeight="1">
      <c r="A210" s="25" t="s">
        <v>702</v>
      </c>
      <c r="B210" s="25" t="s">
        <v>463</v>
      </c>
      <c r="C210" s="26" t="s">
        <v>21</v>
      </c>
      <c r="D210" s="26" t="s">
        <v>10</v>
      </c>
      <c r="E210" s="26" t="s">
        <v>16</v>
      </c>
      <c r="F210" s="26" t="s">
        <v>828</v>
      </c>
      <c r="G210" s="26"/>
      <c r="H210" s="27" t="s">
        <v>829</v>
      </c>
      <c r="I210" s="26" t="s">
        <v>19</v>
      </c>
      <c r="J210" s="28" t="s">
        <v>23</v>
      </c>
      <c r="K210" s="123">
        <v>125</v>
      </c>
      <c r="L210" s="29">
        <v>20.432399999999998</v>
      </c>
      <c r="M210" s="110">
        <v>16.399999999999999</v>
      </c>
      <c r="N210" s="30">
        <v>7.0999999999999994E-2</v>
      </c>
      <c r="O210" s="116">
        <v>1.1643999999999999</v>
      </c>
      <c r="P210" s="30">
        <v>7.4999999999999997E-2</v>
      </c>
      <c r="Q210" s="116">
        <v>1.2299999999999998</v>
      </c>
      <c r="R210" s="30">
        <v>7.0000000000000007E-2</v>
      </c>
      <c r="S210" s="116">
        <v>1.1479999999999999</v>
      </c>
      <c r="T210" s="117">
        <v>0.49</v>
      </c>
      <c r="U210" s="39">
        <v>250</v>
      </c>
      <c r="V210" s="32">
        <v>250</v>
      </c>
      <c r="W210" s="33"/>
      <c r="X210" s="32"/>
      <c r="Y210" s="32"/>
      <c r="Z210" s="32"/>
      <c r="AA210" s="34"/>
      <c r="AB210" s="35">
        <f t="shared" si="30"/>
        <v>500</v>
      </c>
      <c r="AC210" s="75">
        <f t="shared" si="31"/>
        <v>31250</v>
      </c>
      <c r="AD210" s="78">
        <f t="shared" si="32"/>
        <v>31250</v>
      </c>
      <c r="AE210" s="72">
        <f t="shared" si="33"/>
        <v>62500</v>
      </c>
      <c r="AF210" s="75">
        <f t="shared" si="34"/>
        <v>5108.0999999999995</v>
      </c>
      <c r="AG210" s="78">
        <f t="shared" si="35"/>
        <v>5108.0999999999995</v>
      </c>
      <c r="AH210" s="72">
        <f t="shared" si="36"/>
        <v>10216.199999999999</v>
      </c>
      <c r="AI210" s="75">
        <f t="shared" si="37"/>
        <v>4100</v>
      </c>
      <c r="AJ210" s="78">
        <f t="shared" si="38"/>
        <v>4100</v>
      </c>
      <c r="AK210" s="72">
        <f t="shared" si="39"/>
        <v>8200</v>
      </c>
    </row>
    <row r="211" spans="1:37" ht="15.95" customHeight="1">
      <c r="A211" s="25" t="s">
        <v>702</v>
      </c>
      <c r="B211" s="25" t="s">
        <v>463</v>
      </c>
      <c r="C211" s="26" t="s">
        <v>124</v>
      </c>
      <c r="D211" s="26" t="s">
        <v>10</v>
      </c>
      <c r="E211" s="26" t="s">
        <v>16</v>
      </c>
      <c r="F211" s="26" t="s">
        <v>830</v>
      </c>
      <c r="G211" s="26"/>
      <c r="H211" s="27" t="s">
        <v>831</v>
      </c>
      <c r="I211" s="26" t="s">
        <v>19</v>
      </c>
      <c r="J211" s="28" t="s">
        <v>109</v>
      </c>
      <c r="K211" s="123">
        <v>150</v>
      </c>
      <c r="L211" s="29">
        <v>29.300999999999998</v>
      </c>
      <c r="M211" s="110">
        <v>23.5</v>
      </c>
      <c r="N211" s="30">
        <v>8.1000000000000003E-2</v>
      </c>
      <c r="O211" s="116">
        <v>1.9035</v>
      </c>
      <c r="P211" s="30">
        <v>7.4999999999999997E-2</v>
      </c>
      <c r="Q211" s="116">
        <v>1.7625</v>
      </c>
      <c r="R211" s="30">
        <v>7.0000000000000007E-2</v>
      </c>
      <c r="S211" s="116">
        <v>1.6450000000000002</v>
      </c>
      <c r="T211" s="117">
        <v>0.49</v>
      </c>
      <c r="U211" s="39">
        <v>250</v>
      </c>
      <c r="V211" s="32">
        <v>300</v>
      </c>
      <c r="W211" s="33"/>
      <c r="X211" s="32"/>
      <c r="Y211" s="32"/>
      <c r="Z211" s="32"/>
      <c r="AA211" s="34"/>
      <c r="AB211" s="35">
        <f t="shared" si="30"/>
        <v>550</v>
      </c>
      <c r="AC211" s="75">
        <f t="shared" si="31"/>
        <v>37500</v>
      </c>
      <c r="AD211" s="78">
        <f t="shared" si="32"/>
        <v>45000</v>
      </c>
      <c r="AE211" s="72">
        <f t="shared" si="33"/>
        <v>82500</v>
      </c>
      <c r="AF211" s="75">
        <f t="shared" si="34"/>
        <v>7325.25</v>
      </c>
      <c r="AG211" s="78">
        <f t="shared" si="35"/>
        <v>8790.2999999999993</v>
      </c>
      <c r="AH211" s="72">
        <f t="shared" si="36"/>
        <v>16115.55</v>
      </c>
      <c r="AI211" s="75">
        <f t="shared" si="37"/>
        <v>5875</v>
      </c>
      <c r="AJ211" s="78">
        <f t="shared" si="38"/>
        <v>7050</v>
      </c>
      <c r="AK211" s="72">
        <f t="shared" si="39"/>
        <v>12925</v>
      </c>
    </row>
    <row r="212" spans="1:37" ht="15.95" customHeight="1">
      <c r="A212" s="25" t="s">
        <v>702</v>
      </c>
      <c r="B212" s="25" t="s">
        <v>463</v>
      </c>
      <c r="C212" s="26" t="s">
        <v>267</v>
      </c>
      <c r="D212" s="26" t="s">
        <v>10</v>
      </c>
      <c r="E212" s="26" t="s">
        <v>16</v>
      </c>
      <c r="F212" s="26" t="s">
        <v>832</v>
      </c>
      <c r="G212" s="26"/>
      <c r="H212" s="27" t="s">
        <v>831</v>
      </c>
      <c r="I212" s="26" t="s">
        <v>19</v>
      </c>
      <c r="J212" s="28" t="s">
        <v>144</v>
      </c>
      <c r="K212" s="123">
        <v>85</v>
      </c>
      <c r="L212" s="29">
        <v>16.21</v>
      </c>
      <c r="M212" s="110">
        <v>12</v>
      </c>
      <c r="N212" s="30">
        <v>0.16500000000000001</v>
      </c>
      <c r="O212" s="116">
        <v>1.98</v>
      </c>
      <c r="P212" s="30">
        <v>7.4999999999999997E-2</v>
      </c>
      <c r="Q212" s="116">
        <v>0.89999999999999991</v>
      </c>
      <c r="R212" s="30">
        <v>7.0000000000000007E-2</v>
      </c>
      <c r="S212" s="116">
        <v>0.84000000000000008</v>
      </c>
      <c r="T212" s="117">
        <v>0.49</v>
      </c>
      <c r="U212" s="39">
        <v>250</v>
      </c>
      <c r="V212" s="32">
        <v>300</v>
      </c>
      <c r="W212" s="33"/>
      <c r="X212" s="32"/>
      <c r="Y212" s="32"/>
      <c r="Z212" s="32"/>
      <c r="AA212" s="34"/>
      <c r="AB212" s="35">
        <f t="shared" si="30"/>
        <v>550</v>
      </c>
      <c r="AC212" s="75">
        <f t="shared" si="31"/>
        <v>21250</v>
      </c>
      <c r="AD212" s="78">
        <f t="shared" si="32"/>
        <v>25500</v>
      </c>
      <c r="AE212" s="72">
        <f t="shared" si="33"/>
        <v>46750</v>
      </c>
      <c r="AF212" s="75">
        <f t="shared" si="34"/>
        <v>4052.5</v>
      </c>
      <c r="AG212" s="78">
        <f t="shared" si="35"/>
        <v>4863</v>
      </c>
      <c r="AH212" s="72">
        <f t="shared" si="36"/>
        <v>8915.5</v>
      </c>
      <c r="AI212" s="75">
        <f t="shared" si="37"/>
        <v>3000</v>
      </c>
      <c r="AJ212" s="78">
        <f t="shared" si="38"/>
        <v>3600</v>
      </c>
      <c r="AK212" s="72">
        <f t="shared" si="39"/>
        <v>6600</v>
      </c>
    </row>
    <row r="213" spans="1:37" ht="15.95" customHeight="1">
      <c r="A213" s="25" t="s">
        <v>702</v>
      </c>
      <c r="B213" s="25" t="s">
        <v>463</v>
      </c>
      <c r="C213" s="26" t="s">
        <v>124</v>
      </c>
      <c r="D213" s="26" t="s">
        <v>10</v>
      </c>
      <c r="E213" s="26" t="s">
        <v>16</v>
      </c>
      <c r="F213" s="26" t="s">
        <v>830</v>
      </c>
      <c r="G213" s="26"/>
      <c r="H213" s="27" t="s">
        <v>833</v>
      </c>
      <c r="I213" s="26" t="s">
        <v>19</v>
      </c>
      <c r="J213" s="37" t="s">
        <v>109</v>
      </c>
      <c r="K213" s="123">
        <v>150</v>
      </c>
      <c r="L213" s="29">
        <v>29.300999999999998</v>
      </c>
      <c r="M213" s="110">
        <v>23.5</v>
      </c>
      <c r="N213" s="30">
        <v>8.1000000000000003E-2</v>
      </c>
      <c r="O213" s="116">
        <v>1.9035</v>
      </c>
      <c r="P213" s="30">
        <v>7.4999999999999997E-2</v>
      </c>
      <c r="Q213" s="116">
        <v>1.7625</v>
      </c>
      <c r="R213" s="30">
        <v>7.0000000000000007E-2</v>
      </c>
      <c r="S213" s="116">
        <v>1.6450000000000002</v>
      </c>
      <c r="T213" s="117">
        <v>0.49</v>
      </c>
      <c r="U213" s="39">
        <v>250</v>
      </c>
      <c r="V213" s="32">
        <v>250</v>
      </c>
      <c r="W213" s="33"/>
      <c r="X213" s="32"/>
      <c r="Y213" s="32"/>
      <c r="Z213" s="32"/>
      <c r="AA213" s="34"/>
      <c r="AB213" s="35">
        <f t="shared" si="30"/>
        <v>500</v>
      </c>
      <c r="AC213" s="75">
        <f t="shared" si="31"/>
        <v>37500</v>
      </c>
      <c r="AD213" s="78">
        <f t="shared" si="32"/>
        <v>37500</v>
      </c>
      <c r="AE213" s="72">
        <f t="shared" si="33"/>
        <v>75000</v>
      </c>
      <c r="AF213" s="75">
        <f t="shared" si="34"/>
        <v>7325.25</v>
      </c>
      <c r="AG213" s="78">
        <f t="shared" si="35"/>
        <v>7325.25</v>
      </c>
      <c r="AH213" s="72">
        <f t="shared" si="36"/>
        <v>14650.5</v>
      </c>
      <c r="AI213" s="75">
        <f t="shared" si="37"/>
        <v>5875</v>
      </c>
      <c r="AJ213" s="78">
        <f t="shared" si="38"/>
        <v>5875</v>
      </c>
      <c r="AK213" s="72">
        <f t="shared" si="39"/>
        <v>11750</v>
      </c>
    </row>
    <row r="214" spans="1:37" ht="15.95" customHeight="1">
      <c r="A214" s="25" t="s">
        <v>702</v>
      </c>
      <c r="B214" s="25" t="s">
        <v>463</v>
      </c>
      <c r="C214" s="26" t="s">
        <v>267</v>
      </c>
      <c r="D214" s="26" t="s">
        <v>10</v>
      </c>
      <c r="E214" s="26" t="s">
        <v>16</v>
      </c>
      <c r="F214" s="26" t="s">
        <v>832</v>
      </c>
      <c r="G214" s="26"/>
      <c r="H214" s="27" t="s">
        <v>831</v>
      </c>
      <c r="I214" s="26" t="s">
        <v>19</v>
      </c>
      <c r="J214" s="28" t="s">
        <v>144</v>
      </c>
      <c r="K214" s="123">
        <v>85</v>
      </c>
      <c r="L214" s="29">
        <v>16.21</v>
      </c>
      <c r="M214" s="110">
        <v>12</v>
      </c>
      <c r="N214" s="30">
        <v>0.16500000000000001</v>
      </c>
      <c r="O214" s="116">
        <v>1.98</v>
      </c>
      <c r="P214" s="30">
        <v>7.4999999999999997E-2</v>
      </c>
      <c r="Q214" s="116">
        <v>0.89999999999999991</v>
      </c>
      <c r="R214" s="30">
        <v>7.0000000000000007E-2</v>
      </c>
      <c r="S214" s="116">
        <v>0.84000000000000008</v>
      </c>
      <c r="T214" s="117">
        <v>0.49</v>
      </c>
      <c r="U214" s="39">
        <v>250</v>
      </c>
      <c r="V214" s="32">
        <v>250</v>
      </c>
      <c r="W214" s="33"/>
      <c r="X214" s="32"/>
      <c r="Y214" s="32"/>
      <c r="Z214" s="32"/>
      <c r="AA214" s="34"/>
      <c r="AB214" s="35">
        <f t="shared" si="30"/>
        <v>500</v>
      </c>
      <c r="AC214" s="75">
        <f t="shared" si="31"/>
        <v>21250</v>
      </c>
      <c r="AD214" s="78">
        <f t="shared" si="32"/>
        <v>21250</v>
      </c>
      <c r="AE214" s="72">
        <f t="shared" si="33"/>
        <v>42500</v>
      </c>
      <c r="AF214" s="75">
        <f t="shared" si="34"/>
        <v>4052.5</v>
      </c>
      <c r="AG214" s="78">
        <f t="shared" si="35"/>
        <v>4052.5</v>
      </c>
      <c r="AH214" s="72">
        <f t="shared" si="36"/>
        <v>8105</v>
      </c>
      <c r="AI214" s="75">
        <f t="shared" si="37"/>
        <v>3000</v>
      </c>
      <c r="AJ214" s="78">
        <f t="shared" si="38"/>
        <v>3000</v>
      </c>
      <c r="AK214" s="72">
        <f t="shared" si="39"/>
        <v>6000</v>
      </c>
    </row>
    <row r="215" spans="1:37" ht="15.95" customHeight="1">
      <c r="A215" s="25" t="s">
        <v>702</v>
      </c>
      <c r="B215" s="25" t="s">
        <v>463</v>
      </c>
      <c r="C215" s="26" t="s">
        <v>167</v>
      </c>
      <c r="D215" s="26" t="s">
        <v>10</v>
      </c>
      <c r="E215" s="26" t="s">
        <v>444</v>
      </c>
      <c r="F215" s="26" t="s">
        <v>834</v>
      </c>
      <c r="G215" s="26"/>
      <c r="H215" s="27" t="s">
        <v>835</v>
      </c>
      <c r="I215" s="26" t="s">
        <v>765</v>
      </c>
      <c r="J215" s="37" t="s">
        <v>578</v>
      </c>
      <c r="K215" s="123">
        <v>125</v>
      </c>
      <c r="L215" s="29">
        <v>20.570799999999995</v>
      </c>
      <c r="M215" s="110">
        <v>16.399999999999999</v>
      </c>
      <c r="N215" s="30">
        <v>0.19700000000000001</v>
      </c>
      <c r="O215" s="116">
        <v>3.2307999999999999</v>
      </c>
      <c r="P215" s="30"/>
      <c r="Q215" s="116"/>
      <c r="R215" s="30">
        <v>7.0000000000000007E-2</v>
      </c>
      <c r="S215" s="116">
        <v>0.45</v>
      </c>
      <c r="T215" s="117">
        <v>0.49</v>
      </c>
      <c r="U215" s="39">
        <v>250</v>
      </c>
      <c r="V215" s="32">
        <v>250</v>
      </c>
      <c r="W215" s="33"/>
      <c r="X215" s="32"/>
      <c r="Y215" s="32"/>
      <c r="Z215" s="32"/>
      <c r="AA215" s="34"/>
      <c r="AB215" s="35">
        <f t="shared" si="30"/>
        <v>500</v>
      </c>
      <c r="AC215" s="75">
        <f t="shared" si="31"/>
        <v>31250</v>
      </c>
      <c r="AD215" s="78">
        <f t="shared" si="32"/>
        <v>31250</v>
      </c>
      <c r="AE215" s="72">
        <f t="shared" si="33"/>
        <v>62500</v>
      </c>
      <c r="AF215" s="75">
        <f t="shared" si="34"/>
        <v>5142.6999999999989</v>
      </c>
      <c r="AG215" s="78">
        <f t="shared" si="35"/>
        <v>5142.6999999999989</v>
      </c>
      <c r="AH215" s="72">
        <f t="shared" si="36"/>
        <v>10285.399999999998</v>
      </c>
      <c r="AI215" s="75">
        <f t="shared" si="37"/>
        <v>4100</v>
      </c>
      <c r="AJ215" s="78">
        <f t="shared" si="38"/>
        <v>4100</v>
      </c>
      <c r="AK215" s="72">
        <f t="shared" si="39"/>
        <v>8200</v>
      </c>
    </row>
    <row r="216" spans="1:37" ht="15.95" customHeight="1">
      <c r="A216" s="25" t="s">
        <v>702</v>
      </c>
      <c r="B216" s="25" t="s">
        <v>463</v>
      </c>
      <c r="C216" s="26" t="s">
        <v>527</v>
      </c>
      <c r="D216" s="26" t="s">
        <v>10</v>
      </c>
      <c r="E216" s="26" t="s">
        <v>16</v>
      </c>
      <c r="F216" s="26" t="s">
        <v>836</v>
      </c>
      <c r="G216" s="26"/>
      <c r="H216" s="27" t="s">
        <v>837</v>
      </c>
      <c r="I216" s="26" t="s">
        <v>19</v>
      </c>
      <c r="J216" s="28" t="s">
        <v>529</v>
      </c>
      <c r="K216" s="123">
        <v>125</v>
      </c>
      <c r="L216" s="29">
        <v>23.273999999999997</v>
      </c>
      <c r="M216" s="110">
        <v>16</v>
      </c>
      <c r="N216" s="30">
        <v>0.27900000000000003</v>
      </c>
      <c r="O216" s="116">
        <v>4.4640000000000004</v>
      </c>
      <c r="P216" s="30">
        <v>7.4999999999999997E-2</v>
      </c>
      <c r="Q216" s="116">
        <v>1.2</v>
      </c>
      <c r="R216" s="30">
        <v>7.0000000000000007E-2</v>
      </c>
      <c r="S216" s="116">
        <v>1.1200000000000001</v>
      </c>
      <c r="T216" s="117">
        <v>0.49</v>
      </c>
      <c r="U216" s="39">
        <v>200</v>
      </c>
      <c r="V216" s="32">
        <v>600</v>
      </c>
      <c r="W216" s="33"/>
      <c r="X216" s="32"/>
      <c r="Y216" s="32"/>
      <c r="Z216" s="32"/>
      <c r="AA216" s="34"/>
      <c r="AB216" s="35">
        <f t="shared" si="30"/>
        <v>800</v>
      </c>
      <c r="AC216" s="75">
        <f t="shared" si="31"/>
        <v>25000</v>
      </c>
      <c r="AD216" s="78">
        <f t="shared" si="32"/>
        <v>75000</v>
      </c>
      <c r="AE216" s="72">
        <f t="shared" si="33"/>
        <v>100000</v>
      </c>
      <c r="AF216" s="75">
        <f t="shared" si="34"/>
        <v>4654.7999999999993</v>
      </c>
      <c r="AG216" s="78">
        <f t="shared" si="35"/>
        <v>13964.399999999998</v>
      </c>
      <c r="AH216" s="72">
        <f t="shared" si="36"/>
        <v>18619.199999999997</v>
      </c>
      <c r="AI216" s="75">
        <f t="shared" si="37"/>
        <v>3200</v>
      </c>
      <c r="AJ216" s="78">
        <f t="shared" si="38"/>
        <v>9600</v>
      </c>
      <c r="AK216" s="72">
        <f t="shared" si="39"/>
        <v>12800</v>
      </c>
    </row>
    <row r="217" spans="1:37" ht="15.95" customHeight="1">
      <c r="A217" s="25" t="s">
        <v>702</v>
      </c>
      <c r="B217" s="25" t="s">
        <v>463</v>
      </c>
      <c r="C217" s="26" t="s">
        <v>267</v>
      </c>
      <c r="D217" s="26" t="s">
        <v>838</v>
      </c>
      <c r="E217" s="26" t="s">
        <v>16</v>
      </c>
      <c r="F217" s="26" t="s">
        <v>839</v>
      </c>
      <c r="G217" s="26"/>
      <c r="H217" s="27" t="s">
        <v>837</v>
      </c>
      <c r="I217" s="26" t="s">
        <v>19</v>
      </c>
      <c r="J217" s="28" t="s">
        <v>31</v>
      </c>
      <c r="K217" s="123">
        <v>125</v>
      </c>
      <c r="L217" s="29">
        <v>23.273999999999997</v>
      </c>
      <c r="M217" s="110">
        <v>16</v>
      </c>
      <c r="N217" s="30">
        <v>0.27900000000000003</v>
      </c>
      <c r="O217" s="116">
        <v>4.4640000000000004</v>
      </c>
      <c r="P217" s="30">
        <v>7.4999999999999997E-2</v>
      </c>
      <c r="Q217" s="116">
        <v>1.2</v>
      </c>
      <c r="R217" s="30">
        <v>7.0000000000000007E-2</v>
      </c>
      <c r="S217" s="116">
        <v>1.1200000000000001</v>
      </c>
      <c r="T217" s="117">
        <v>0.49</v>
      </c>
      <c r="U217" s="39">
        <v>200</v>
      </c>
      <c r="V217" s="32">
        <v>600</v>
      </c>
      <c r="W217" s="33"/>
      <c r="X217" s="32"/>
      <c r="Y217" s="32"/>
      <c r="Z217" s="32"/>
      <c r="AA217" s="34"/>
      <c r="AB217" s="35">
        <f t="shared" si="30"/>
        <v>800</v>
      </c>
      <c r="AC217" s="75">
        <f t="shared" si="31"/>
        <v>25000</v>
      </c>
      <c r="AD217" s="78">
        <f t="shared" si="32"/>
        <v>75000</v>
      </c>
      <c r="AE217" s="72">
        <f t="shared" si="33"/>
        <v>100000</v>
      </c>
      <c r="AF217" s="75">
        <f t="shared" si="34"/>
        <v>4654.7999999999993</v>
      </c>
      <c r="AG217" s="78">
        <f t="shared" si="35"/>
        <v>13964.399999999998</v>
      </c>
      <c r="AH217" s="72">
        <f t="shared" si="36"/>
        <v>18619.199999999997</v>
      </c>
      <c r="AI217" s="75">
        <f t="shared" si="37"/>
        <v>3200</v>
      </c>
      <c r="AJ217" s="78">
        <f t="shared" si="38"/>
        <v>9600</v>
      </c>
      <c r="AK217" s="72">
        <f t="shared" si="39"/>
        <v>12800</v>
      </c>
    </row>
    <row r="218" spans="1:37" ht="15.95" customHeight="1">
      <c r="A218" s="25" t="s">
        <v>702</v>
      </c>
      <c r="B218" s="25" t="s">
        <v>463</v>
      </c>
      <c r="C218" s="26" t="s">
        <v>24</v>
      </c>
      <c r="D218" s="26" t="s">
        <v>10</v>
      </c>
      <c r="E218" s="26" t="s">
        <v>444</v>
      </c>
      <c r="F218" s="26" t="s">
        <v>840</v>
      </c>
      <c r="G218" s="26"/>
      <c r="H218" s="27" t="s">
        <v>841</v>
      </c>
      <c r="I218" s="26" t="s">
        <v>27</v>
      </c>
      <c r="J218" s="28" t="s">
        <v>227</v>
      </c>
      <c r="K218" s="123">
        <v>58</v>
      </c>
      <c r="L218" s="29">
        <v>7.2824999999999998</v>
      </c>
      <c r="M218" s="110">
        <v>5.5</v>
      </c>
      <c r="N218" s="30">
        <v>0.16500000000000001</v>
      </c>
      <c r="O218" s="116">
        <v>0.90750000000000008</v>
      </c>
      <c r="P218" s="30"/>
      <c r="Q218" s="116"/>
      <c r="R218" s="30">
        <v>7.0000000000000007E-2</v>
      </c>
      <c r="S218" s="116">
        <v>0.38500000000000001</v>
      </c>
      <c r="T218" s="117">
        <v>0.49</v>
      </c>
      <c r="U218" s="39">
        <v>200</v>
      </c>
      <c r="V218" s="32">
        <v>300</v>
      </c>
      <c r="W218" s="33"/>
      <c r="X218" s="32"/>
      <c r="Y218" s="32"/>
      <c r="Z218" s="32"/>
      <c r="AA218" s="34"/>
      <c r="AB218" s="35">
        <f t="shared" si="30"/>
        <v>500</v>
      </c>
      <c r="AC218" s="75">
        <f t="shared" si="31"/>
        <v>11600</v>
      </c>
      <c r="AD218" s="78">
        <f t="shared" si="32"/>
        <v>17400</v>
      </c>
      <c r="AE218" s="72">
        <f t="shared" si="33"/>
        <v>29000</v>
      </c>
      <c r="AF218" s="75">
        <f t="shared" si="34"/>
        <v>1456.5</v>
      </c>
      <c r="AG218" s="78">
        <f t="shared" si="35"/>
        <v>2184.75</v>
      </c>
      <c r="AH218" s="72">
        <f t="shared" si="36"/>
        <v>3641.25</v>
      </c>
      <c r="AI218" s="75">
        <f t="shared" si="37"/>
        <v>1100</v>
      </c>
      <c r="AJ218" s="78">
        <f t="shared" si="38"/>
        <v>1650</v>
      </c>
      <c r="AK218" s="72">
        <f t="shared" si="39"/>
        <v>2750</v>
      </c>
    </row>
    <row r="219" spans="1:37" ht="15.95" customHeight="1">
      <c r="A219" s="25" t="s">
        <v>702</v>
      </c>
      <c r="B219" s="25" t="s">
        <v>463</v>
      </c>
      <c r="C219" s="26" t="s">
        <v>14</v>
      </c>
      <c r="D219" s="26" t="s">
        <v>10</v>
      </c>
      <c r="E219" s="26" t="s">
        <v>16</v>
      </c>
      <c r="F219" s="26" t="s">
        <v>842</v>
      </c>
      <c r="G219" s="26"/>
      <c r="H219" s="27" t="s">
        <v>843</v>
      </c>
      <c r="I219" s="26" t="s">
        <v>19</v>
      </c>
      <c r="J219" s="37" t="s">
        <v>844</v>
      </c>
      <c r="K219" s="123">
        <v>125</v>
      </c>
      <c r="L219" s="29">
        <v>23.701200000000004</v>
      </c>
      <c r="M219" s="110">
        <v>16.3</v>
      </c>
      <c r="N219" s="30">
        <v>0.27900000000000003</v>
      </c>
      <c r="O219" s="116">
        <v>4.5477000000000007</v>
      </c>
      <c r="P219" s="30">
        <v>7.4999999999999997E-2</v>
      </c>
      <c r="Q219" s="116">
        <v>1.2224999999999999</v>
      </c>
      <c r="R219" s="30">
        <v>7.0000000000000007E-2</v>
      </c>
      <c r="S219" s="116">
        <v>1.1410000000000002</v>
      </c>
      <c r="T219" s="117">
        <v>0.49</v>
      </c>
      <c r="U219" s="39">
        <v>200</v>
      </c>
      <c r="V219" s="32">
        <v>300</v>
      </c>
      <c r="W219" s="33"/>
      <c r="X219" s="32"/>
      <c r="Y219" s="32"/>
      <c r="Z219" s="32"/>
      <c r="AA219" s="34"/>
      <c r="AB219" s="35">
        <f t="shared" si="30"/>
        <v>500</v>
      </c>
      <c r="AC219" s="75">
        <f t="shared" si="31"/>
        <v>25000</v>
      </c>
      <c r="AD219" s="78">
        <f t="shared" si="32"/>
        <v>37500</v>
      </c>
      <c r="AE219" s="72">
        <f t="shared" si="33"/>
        <v>62500</v>
      </c>
      <c r="AF219" s="75">
        <f t="shared" si="34"/>
        <v>4740.2400000000007</v>
      </c>
      <c r="AG219" s="78">
        <f t="shared" si="35"/>
        <v>7110.3600000000015</v>
      </c>
      <c r="AH219" s="72">
        <f t="shared" si="36"/>
        <v>11850.600000000002</v>
      </c>
      <c r="AI219" s="75">
        <f t="shared" si="37"/>
        <v>3260</v>
      </c>
      <c r="AJ219" s="78">
        <f t="shared" si="38"/>
        <v>4890</v>
      </c>
      <c r="AK219" s="72">
        <f t="shared" si="39"/>
        <v>8150</v>
      </c>
    </row>
    <row r="220" spans="1:37" ht="15.95" customHeight="1">
      <c r="A220" s="25" t="s">
        <v>702</v>
      </c>
      <c r="B220" s="25" t="s">
        <v>463</v>
      </c>
      <c r="C220" s="26" t="s">
        <v>21</v>
      </c>
      <c r="D220" s="26" t="s">
        <v>10</v>
      </c>
      <c r="E220" s="26" t="s">
        <v>16</v>
      </c>
      <c r="F220" s="26" t="s">
        <v>845</v>
      </c>
      <c r="G220" s="26"/>
      <c r="H220" s="27" t="s">
        <v>843</v>
      </c>
      <c r="I220" s="26" t="s">
        <v>19</v>
      </c>
      <c r="J220" s="37" t="s">
        <v>23</v>
      </c>
      <c r="K220" s="123">
        <v>110</v>
      </c>
      <c r="L220" s="29">
        <v>17.435599999999997</v>
      </c>
      <c r="M220" s="110">
        <v>11.9</v>
      </c>
      <c r="N220" s="30">
        <v>0.27900000000000003</v>
      </c>
      <c r="O220" s="116">
        <v>3.3201000000000005</v>
      </c>
      <c r="P220" s="30">
        <v>7.4999999999999997E-2</v>
      </c>
      <c r="Q220" s="116">
        <v>0.89249999999999996</v>
      </c>
      <c r="R220" s="30">
        <v>7.0000000000000007E-2</v>
      </c>
      <c r="S220" s="116">
        <v>0.83300000000000007</v>
      </c>
      <c r="T220" s="117">
        <v>0.49</v>
      </c>
      <c r="U220" s="39">
        <v>200</v>
      </c>
      <c r="V220" s="32">
        <v>300</v>
      </c>
      <c r="W220" s="33"/>
      <c r="X220" s="32"/>
      <c r="Y220" s="32"/>
      <c r="Z220" s="32"/>
      <c r="AA220" s="34"/>
      <c r="AB220" s="35">
        <f t="shared" si="30"/>
        <v>500</v>
      </c>
      <c r="AC220" s="75">
        <f t="shared" si="31"/>
        <v>22000</v>
      </c>
      <c r="AD220" s="78">
        <f t="shared" si="32"/>
        <v>33000</v>
      </c>
      <c r="AE220" s="72">
        <f t="shared" si="33"/>
        <v>55000</v>
      </c>
      <c r="AF220" s="75">
        <f t="shared" si="34"/>
        <v>3487.1199999999994</v>
      </c>
      <c r="AG220" s="78">
        <f t="shared" si="35"/>
        <v>5230.6799999999994</v>
      </c>
      <c r="AH220" s="72">
        <f t="shared" si="36"/>
        <v>8717.7999999999993</v>
      </c>
      <c r="AI220" s="75">
        <f t="shared" si="37"/>
        <v>2380</v>
      </c>
      <c r="AJ220" s="78">
        <f t="shared" si="38"/>
        <v>3570</v>
      </c>
      <c r="AK220" s="72">
        <f t="shared" si="39"/>
        <v>5950</v>
      </c>
    </row>
    <row r="221" spans="1:37" ht="15.95" customHeight="1">
      <c r="A221" s="25" t="s">
        <v>702</v>
      </c>
      <c r="B221" s="25" t="s">
        <v>463</v>
      </c>
      <c r="C221" s="26" t="s">
        <v>44</v>
      </c>
      <c r="D221" s="26" t="s">
        <v>10</v>
      </c>
      <c r="E221" s="26" t="s">
        <v>444</v>
      </c>
      <c r="F221" s="26" t="s">
        <v>846</v>
      </c>
      <c r="G221" s="26"/>
      <c r="H221" s="27" t="s">
        <v>847</v>
      </c>
      <c r="I221" s="26" t="s">
        <v>27</v>
      </c>
      <c r="J221" s="28" t="s">
        <v>578</v>
      </c>
      <c r="K221" s="123">
        <v>78</v>
      </c>
      <c r="L221" s="29">
        <v>12.1464</v>
      </c>
      <c r="M221" s="110">
        <v>9.1999999999999993</v>
      </c>
      <c r="N221" s="30">
        <v>0.19700000000000001</v>
      </c>
      <c r="O221" s="116">
        <v>1.8124</v>
      </c>
      <c r="P221" s="30"/>
      <c r="Q221" s="116"/>
      <c r="R221" s="30">
        <v>7.0000000000000007E-2</v>
      </c>
      <c r="S221" s="116">
        <v>0.64400000000000002</v>
      </c>
      <c r="T221" s="117">
        <v>0.49</v>
      </c>
      <c r="U221" s="39">
        <v>250</v>
      </c>
      <c r="V221" s="32">
        <v>250</v>
      </c>
      <c r="W221" s="33"/>
      <c r="X221" s="32"/>
      <c r="Y221" s="32"/>
      <c r="Z221" s="32"/>
      <c r="AA221" s="34"/>
      <c r="AB221" s="35">
        <f t="shared" si="30"/>
        <v>500</v>
      </c>
      <c r="AC221" s="75">
        <f t="shared" si="31"/>
        <v>19500</v>
      </c>
      <c r="AD221" s="78">
        <f t="shared" si="32"/>
        <v>19500</v>
      </c>
      <c r="AE221" s="72">
        <f t="shared" si="33"/>
        <v>39000</v>
      </c>
      <c r="AF221" s="75">
        <f t="shared" si="34"/>
        <v>3036.6</v>
      </c>
      <c r="AG221" s="78">
        <f t="shared" si="35"/>
        <v>3036.6</v>
      </c>
      <c r="AH221" s="72">
        <f t="shared" si="36"/>
        <v>6073.2</v>
      </c>
      <c r="AI221" s="75">
        <f t="shared" si="37"/>
        <v>2300</v>
      </c>
      <c r="AJ221" s="78">
        <f t="shared" si="38"/>
        <v>2300</v>
      </c>
      <c r="AK221" s="72">
        <f t="shared" si="39"/>
        <v>4600</v>
      </c>
    </row>
    <row r="222" spans="1:37" ht="15.95" customHeight="1">
      <c r="A222" s="25" t="s">
        <v>702</v>
      </c>
      <c r="B222" s="25" t="s">
        <v>463</v>
      </c>
      <c r="C222" s="26" t="s">
        <v>24</v>
      </c>
      <c r="D222" s="26" t="s">
        <v>10</v>
      </c>
      <c r="E222" s="26" t="s">
        <v>444</v>
      </c>
      <c r="F222" s="26" t="s">
        <v>848</v>
      </c>
      <c r="G222" s="26"/>
      <c r="H222" s="27" t="s">
        <v>847</v>
      </c>
      <c r="I222" s="26" t="s">
        <v>27</v>
      </c>
      <c r="J222" s="28" t="s">
        <v>227</v>
      </c>
      <c r="K222" s="123">
        <v>48</v>
      </c>
      <c r="L222" s="29">
        <v>7.0355000000000008</v>
      </c>
      <c r="M222" s="110">
        <v>5.3</v>
      </c>
      <c r="N222" s="30">
        <v>0.16500000000000001</v>
      </c>
      <c r="O222" s="116">
        <v>0.87450000000000006</v>
      </c>
      <c r="P222" s="30"/>
      <c r="Q222" s="116"/>
      <c r="R222" s="30">
        <v>7.0000000000000007E-2</v>
      </c>
      <c r="S222" s="116">
        <v>0.371</v>
      </c>
      <c r="T222" s="117">
        <v>0.49</v>
      </c>
      <c r="U222" s="39">
        <v>150</v>
      </c>
      <c r="V222" s="32">
        <v>420</v>
      </c>
      <c r="W222" s="33"/>
      <c r="X222" s="32"/>
      <c r="Y222" s="32"/>
      <c r="Z222" s="32"/>
      <c r="AA222" s="34"/>
      <c r="AB222" s="35">
        <f t="shared" si="30"/>
        <v>570</v>
      </c>
      <c r="AC222" s="75">
        <f t="shared" si="31"/>
        <v>7200</v>
      </c>
      <c r="AD222" s="78">
        <f t="shared" si="32"/>
        <v>20160</v>
      </c>
      <c r="AE222" s="72">
        <f t="shared" si="33"/>
        <v>27360</v>
      </c>
      <c r="AF222" s="75">
        <f t="shared" si="34"/>
        <v>1055.325</v>
      </c>
      <c r="AG222" s="78">
        <f t="shared" si="35"/>
        <v>2954.9100000000003</v>
      </c>
      <c r="AH222" s="72">
        <f t="shared" si="36"/>
        <v>4010.2350000000006</v>
      </c>
      <c r="AI222" s="75">
        <f t="shared" si="37"/>
        <v>795</v>
      </c>
      <c r="AJ222" s="78">
        <f t="shared" si="38"/>
        <v>2226</v>
      </c>
      <c r="AK222" s="72">
        <f t="shared" si="39"/>
        <v>3021</v>
      </c>
    </row>
    <row r="223" spans="1:37" ht="15.95" customHeight="1">
      <c r="A223" s="25" t="s">
        <v>702</v>
      </c>
      <c r="B223" s="25" t="s">
        <v>463</v>
      </c>
      <c r="C223" s="26" t="s">
        <v>267</v>
      </c>
      <c r="D223" s="26" t="s">
        <v>10</v>
      </c>
      <c r="E223" s="26" t="s">
        <v>16</v>
      </c>
      <c r="F223" s="26" t="s">
        <v>849</v>
      </c>
      <c r="G223" s="26"/>
      <c r="H223" s="27" t="s">
        <v>850</v>
      </c>
      <c r="I223" s="26" t="s">
        <v>27</v>
      </c>
      <c r="J223" s="28" t="s">
        <v>35</v>
      </c>
      <c r="K223" s="123">
        <v>75</v>
      </c>
      <c r="L223" s="29">
        <v>17.471299999999996</v>
      </c>
      <c r="M223" s="110">
        <v>11.9</v>
      </c>
      <c r="N223" s="30">
        <v>0.28199999999999997</v>
      </c>
      <c r="O223" s="116">
        <v>3.3557999999999999</v>
      </c>
      <c r="P223" s="30">
        <v>7.4999999999999997E-2</v>
      </c>
      <c r="Q223" s="116">
        <v>0.89249999999999996</v>
      </c>
      <c r="R223" s="30">
        <v>7.0000000000000007E-2</v>
      </c>
      <c r="S223" s="116">
        <v>0.83300000000000007</v>
      </c>
      <c r="T223" s="117">
        <v>0.49</v>
      </c>
      <c r="U223" s="39">
        <v>150</v>
      </c>
      <c r="V223" s="32">
        <v>420</v>
      </c>
      <c r="W223" s="33"/>
      <c r="X223" s="32"/>
      <c r="Y223" s="32"/>
      <c r="Z223" s="32"/>
      <c r="AA223" s="34"/>
      <c r="AB223" s="35">
        <f t="shared" si="30"/>
        <v>570</v>
      </c>
      <c r="AC223" s="75">
        <f t="shared" si="31"/>
        <v>11250</v>
      </c>
      <c r="AD223" s="78">
        <f t="shared" si="32"/>
        <v>31500</v>
      </c>
      <c r="AE223" s="72">
        <f t="shared" si="33"/>
        <v>42750</v>
      </c>
      <c r="AF223" s="75">
        <f t="shared" si="34"/>
        <v>2620.6949999999993</v>
      </c>
      <c r="AG223" s="78">
        <f t="shared" si="35"/>
        <v>7337.9459999999981</v>
      </c>
      <c r="AH223" s="72">
        <f t="shared" si="36"/>
        <v>9958.6409999999978</v>
      </c>
      <c r="AI223" s="75">
        <f t="shared" si="37"/>
        <v>1785</v>
      </c>
      <c r="AJ223" s="78">
        <f t="shared" si="38"/>
        <v>4998</v>
      </c>
      <c r="AK223" s="72">
        <f t="shared" si="39"/>
        <v>6783</v>
      </c>
    </row>
    <row r="224" spans="1:37" ht="15.95" customHeight="1">
      <c r="A224" s="25" t="s">
        <v>702</v>
      </c>
      <c r="B224" s="25" t="s">
        <v>463</v>
      </c>
      <c r="C224" s="26" t="s">
        <v>14</v>
      </c>
      <c r="D224" s="26" t="s">
        <v>10</v>
      </c>
      <c r="E224" s="26" t="s">
        <v>16</v>
      </c>
      <c r="F224" s="26" t="s">
        <v>851</v>
      </c>
      <c r="G224" s="26"/>
      <c r="H224" s="27" t="s">
        <v>850</v>
      </c>
      <c r="I224" s="26" t="s">
        <v>27</v>
      </c>
      <c r="J224" s="28" t="s">
        <v>41</v>
      </c>
      <c r="K224" s="123">
        <v>130</v>
      </c>
      <c r="L224" s="29">
        <v>25.462499999999999</v>
      </c>
      <c r="M224" s="110">
        <v>17.5</v>
      </c>
      <c r="N224" s="30">
        <v>0.28199999999999997</v>
      </c>
      <c r="O224" s="116">
        <v>4.9349999999999996</v>
      </c>
      <c r="P224" s="30">
        <v>7.4999999999999997E-2</v>
      </c>
      <c r="Q224" s="116">
        <v>1.3125</v>
      </c>
      <c r="R224" s="30">
        <v>7.0000000000000007E-2</v>
      </c>
      <c r="S224" s="116">
        <v>1.2250000000000001</v>
      </c>
      <c r="T224" s="117">
        <v>0.49</v>
      </c>
      <c r="U224" s="39">
        <v>250</v>
      </c>
      <c r="V224" s="32">
        <v>250</v>
      </c>
      <c r="W224" s="33"/>
      <c r="X224" s="32"/>
      <c r="Y224" s="32"/>
      <c r="Z224" s="32"/>
      <c r="AA224" s="34"/>
      <c r="AB224" s="35">
        <f t="shared" si="30"/>
        <v>500</v>
      </c>
      <c r="AC224" s="75">
        <f t="shared" si="31"/>
        <v>32500</v>
      </c>
      <c r="AD224" s="78">
        <f t="shared" si="32"/>
        <v>32500</v>
      </c>
      <c r="AE224" s="72">
        <f t="shared" si="33"/>
        <v>65000</v>
      </c>
      <c r="AF224" s="75">
        <f t="shared" si="34"/>
        <v>6365.625</v>
      </c>
      <c r="AG224" s="78">
        <f t="shared" si="35"/>
        <v>6365.625</v>
      </c>
      <c r="AH224" s="72">
        <f t="shared" si="36"/>
        <v>12731.25</v>
      </c>
      <c r="AI224" s="75">
        <f t="shared" si="37"/>
        <v>4375</v>
      </c>
      <c r="AJ224" s="78">
        <f t="shared" si="38"/>
        <v>4375</v>
      </c>
      <c r="AK224" s="72">
        <f t="shared" si="39"/>
        <v>8750</v>
      </c>
    </row>
    <row r="225" spans="1:37" ht="15.95" customHeight="1">
      <c r="A225" s="25" t="s">
        <v>702</v>
      </c>
      <c r="B225" s="25" t="s">
        <v>463</v>
      </c>
      <c r="C225" s="26" t="s">
        <v>21</v>
      </c>
      <c r="D225" s="26" t="s">
        <v>10</v>
      </c>
      <c r="E225" s="26" t="s">
        <v>16</v>
      </c>
      <c r="F225" s="26" t="s">
        <v>852</v>
      </c>
      <c r="G225" s="26"/>
      <c r="H225" s="27" t="s">
        <v>850</v>
      </c>
      <c r="I225" s="26" t="s">
        <v>27</v>
      </c>
      <c r="J225" s="28" t="s">
        <v>43</v>
      </c>
      <c r="K225" s="123">
        <v>115</v>
      </c>
      <c r="L225" s="29">
        <v>21.181499999999996</v>
      </c>
      <c r="M225" s="110">
        <v>14.5</v>
      </c>
      <c r="N225" s="30">
        <v>0.28199999999999997</v>
      </c>
      <c r="O225" s="116">
        <v>4.0889999999999995</v>
      </c>
      <c r="P225" s="30">
        <v>7.4999999999999997E-2</v>
      </c>
      <c r="Q225" s="116">
        <v>1.0874999999999999</v>
      </c>
      <c r="R225" s="30">
        <v>7.0000000000000007E-2</v>
      </c>
      <c r="S225" s="116">
        <v>1.0150000000000001</v>
      </c>
      <c r="T225" s="117">
        <v>0.49</v>
      </c>
      <c r="U225" s="39">
        <v>250</v>
      </c>
      <c r="V225" s="32">
        <v>250</v>
      </c>
      <c r="W225" s="33"/>
      <c r="X225" s="32"/>
      <c r="Y225" s="32"/>
      <c r="Z225" s="32"/>
      <c r="AA225" s="34"/>
      <c r="AB225" s="35">
        <f t="shared" si="30"/>
        <v>500</v>
      </c>
      <c r="AC225" s="75">
        <f t="shared" si="31"/>
        <v>28750</v>
      </c>
      <c r="AD225" s="78">
        <f t="shared" si="32"/>
        <v>28750</v>
      </c>
      <c r="AE225" s="72">
        <f t="shared" si="33"/>
        <v>57500</v>
      </c>
      <c r="AF225" s="75">
        <f t="shared" si="34"/>
        <v>5295.3749999999991</v>
      </c>
      <c r="AG225" s="78">
        <f t="shared" si="35"/>
        <v>5295.3749999999991</v>
      </c>
      <c r="AH225" s="72">
        <f t="shared" si="36"/>
        <v>10590.749999999998</v>
      </c>
      <c r="AI225" s="75">
        <f t="shared" si="37"/>
        <v>3625</v>
      </c>
      <c r="AJ225" s="78">
        <f t="shared" si="38"/>
        <v>3625</v>
      </c>
      <c r="AK225" s="72">
        <f t="shared" si="39"/>
        <v>7250</v>
      </c>
    </row>
    <row r="226" spans="1:37" ht="15.95" customHeight="1">
      <c r="A226" s="25" t="s">
        <v>702</v>
      </c>
      <c r="B226" s="25" t="s">
        <v>463</v>
      </c>
      <c r="C226" s="26" t="s">
        <v>14</v>
      </c>
      <c r="D226" s="26" t="s">
        <v>10</v>
      </c>
      <c r="E226" s="26" t="s">
        <v>16</v>
      </c>
      <c r="F226" s="26" t="s">
        <v>851</v>
      </c>
      <c r="G226" s="26"/>
      <c r="H226" s="27" t="s">
        <v>850</v>
      </c>
      <c r="I226" s="26" t="s">
        <v>27</v>
      </c>
      <c r="J226" s="28" t="s">
        <v>41</v>
      </c>
      <c r="K226" s="123">
        <v>130</v>
      </c>
      <c r="L226" s="29">
        <v>25.462499999999999</v>
      </c>
      <c r="M226" s="110">
        <v>17.5</v>
      </c>
      <c r="N226" s="30">
        <v>0.28199999999999997</v>
      </c>
      <c r="O226" s="116">
        <v>4.9349999999999996</v>
      </c>
      <c r="P226" s="30">
        <v>7.4999999999999997E-2</v>
      </c>
      <c r="Q226" s="116">
        <v>1.3125</v>
      </c>
      <c r="R226" s="30">
        <v>7.0000000000000007E-2</v>
      </c>
      <c r="S226" s="116">
        <v>1.2250000000000001</v>
      </c>
      <c r="T226" s="117">
        <v>0.49</v>
      </c>
      <c r="U226" s="39">
        <v>250</v>
      </c>
      <c r="V226" s="32">
        <v>250</v>
      </c>
      <c r="W226" s="33"/>
      <c r="X226" s="32"/>
      <c r="Y226" s="32"/>
      <c r="Z226" s="32"/>
      <c r="AA226" s="34"/>
      <c r="AB226" s="35">
        <f t="shared" si="30"/>
        <v>500</v>
      </c>
      <c r="AC226" s="75">
        <f t="shared" si="31"/>
        <v>32500</v>
      </c>
      <c r="AD226" s="78">
        <f t="shared" si="32"/>
        <v>32500</v>
      </c>
      <c r="AE226" s="72">
        <f t="shared" si="33"/>
        <v>65000</v>
      </c>
      <c r="AF226" s="75">
        <f t="shared" si="34"/>
        <v>6365.625</v>
      </c>
      <c r="AG226" s="78">
        <f t="shared" si="35"/>
        <v>6365.625</v>
      </c>
      <c r="AH226" s="72">
        <f t="shared" si="36"/>
        <v>12731.25</v>
      </c>
      <c r="AI226" s="75">
        <f t="shared" si="37"/>
        <v>4375</v>
      </c>
      <c r="AJ226" s="78">
        <f t="shared" si="38"/>
        <v>4375</v>
      </c>
      <c r="AK226" s="72">
        <f t="shared" si="39"/>
        <v>8750</v>
      </c>
    </row>
    <row r="227" spans="1:37" ht="15.95" customHeight="1">
      <c r="A227" s="25" t="s">
        <v>702</v>
      </c>
      <c r="B227" s="25" t="s">
        <v>463</v>
      </c>
      <c r="C227" s="26" t="s">
        <v>21</v>
      </c>
      <c r="D227" s="26" t="s">
        <v>10</v>
      </c>
      <c r="E227" s="26" t="s">
        <v>16</v>
      </c>
      <c r="F227" s="26" t="s">
        <v>852</v>
      </c>
      <c r="G227" s="26"/>
      <c r="H227" s="27" t="s">
        <v>850</v>
      </c>
      <c r="I227" s="26" t="s">
        <v>27</v>
      </c>
      <c r="J227" s="28" t="s">
        <v>43</v>
      </c>
      <c r="K227" s="123">
        <v>115</v>
      </c>
      <c r="L227" s="29">
        <v>21.181499999999996</v>
      </c>
      <c r="M227" s="110">
        <v>14.5</v>
      </c>
      <c r="N227" s="30">
        <v>0.28199999999999997</v>
      </c>
      <c r="O227" s="116">
        <v>4.0889999999999995</v>
      </c>
      <c r="P227" s="30">
        <v>7.4999999999999997E-2</v>
      </c>
      <c r="Q227" s="116">
        <v>1.0874999999999999</v>
      </c>
      <c r="R227" s="30">
        <v>7.0000000000000007E-2</v>
      </c>
      <c r="S227" s="116">
        <v>1.0150000000000001</v>
      </c>
      <c r="T227" s="117">
        <v>0.49</v>
      </c>
      <c r="U227" s="39">
        <v>250</v>
      </c>
      <c r="V227" s="32">
        <v>250</v>
      </c>
      <c r="W227" s="33"/>
      <c r="X227" s="32"/>
      <c r="Y227" s="32"/>
      <c r="Z227" s="32"/>
      <c r="AA227" s="34"/>
      <c r="AB227" s="35">
        <f t="shared" si="30"/>
        <v>500</v>
      </c>
      <c r="AC227" s="75">
        <f t="shared" si="31"/>
        <v>28750</v>
      </c>
      <c r="AD227" s="78">
        <f t="shared" si="32"/>
        <v>28750</v>
      </c>
      <c r="AE227" s="72">
        <f t="shared" si="33"/>
        <v>57500</v>
      </c>
      <c r="AF227" s="75">
        <f t="shared" si="34"/>
        <v>5295.3749999999991</v>
      </c>
      <c r="AG227" s="78">
        <f t="shared" si="35"/>
        <v>5295.3749999999991</v>
      </c>
      <c r="AH227" s="72">
        <f t="shared" si="36"/>
        <v>10590.749999999998</v>
      </c>
      <c r="AI227" s="75">
        <f t="shared" si="37"/>
        <v>3625</v>
      </c>
      <c r="AJ227" s="78">
        <f t="shared" si="38"/>
        <v>3625</v>
      </c>
      <c r="AK227" s="72">
        <f t="shared" si="39"/>
        <v>7250</v>
      </c>
    </row>
    <row r="228" spans="1:37" ht="15.95" customHeight="1">
      <c r="A228" s="25" t="s">
        <v>702</v>
      </c>
      <c r="B228" s="25" t="s">
        <v>463</v>
      </c>
      <c r="C228" s="26" t="s">
        <v>14</v>
      </c>
      <c r="D228" s="26" t="s">
        <v>10</v>
      </c>
      <c r="E228" s="26" t="s">
        <v>16</v>
      </c>
      <c r="F228" s="26" t="s">
        <v>851</v>
      </c>
      <c r="G228" s="26"/>
      <c r="H228" s="27" t="s">
        <v>850</v>
      </c>
      <c r="I228" s="26" t="s">
        <v>27</v>
      </c>
      <c r="J228" s="28" t="s">
        <v>41</v>
      </c>
      <c r="K228" s="124">
        <v>130</v>
      </c>
      <c r="L228" s="29">
        <v>25.462499999999999</v>
      </c>
      <c r="M228" s="110">
        <v>17.5</v>
      </c>
      <c r="N228" s="30">
        <v>0.28199999999999997</v>
      </c>
      <c r="O228" s="116">
        <v>4.9349999999999996</v>
      </c>
      <c r="P228" s="30">
        <v>7.4999999999999997E-2</v>
      </c>
      <c r="Q228" s="116">
        <v>1.3125</v>
      </c>
      <c r="R228" s="30">
        <v>7.0000000000000007E-2</v>
      </c>
      <c r="S228" s="116">
        <v>1.2250000000000001</v>
      </c>
      <c r="T228" s="117">
        <v>0.49</v>
      </c>
      <c r="U228" s="39">
        <v>500</v>
      </c>
      <c r="V228" s="32"/>
      <c r="W228" s="33"/>
      <c r="X228" s="32"/>
      <c r="Y228" s="32"/>
      <c r="Z228" s="32"/>
      <c r="AA228" s="34"/>
      <c r="AB228" s="35">
        <f t="shared" si="30"/>
        <v>500</v>
      </c>
      <c r="AC228" s="75">
        <f t="shared" si="31"/>
        <v>65000</v>
      </c>
      <c r="AD228" s="78">
        <f t="shared" si="32"/>
        <v>0</v>
      </c>
      <c r="AE228" s="72">
        <f t="shared" si="33"/>
        <v>65000</v>
      </c>
      <c r="AF228" s="75">
        <f t="shared" si="34"/>
        <v>12731.25</v>
      </c>
      <c r="AG228" s="78">
        <f t="shared" si="35"/>
        <v>0</v>
      </c>
      <c r="AH228" s="72">
        <f t="shared" si="36"/>
        <v>12731.25</v>
      </c>
      <c r="AI228" s="75">
        <f t="shared" si="37"/>
        <v>8750</v>
      </c>
      <c r="AJ228" s="78">
        <f t="shared" si="38"/>
        <v>0</v>
      </c>
      <c r="AK228" s="72">
        <f t="shared" si="39"/>
        <v>8750</v>
      </c>
    </row>
    <row r="229" spans="1:37" ht="15.95" customHeight="1">
      <c r="A229" s="25" t="s">
        <v>702</v>
      </c>
      <c r="B229" s="25" t="s">
        <v>463</v>
      </c>
      <c r="C229" s="26" t="s">
        <v>21</v>
      </c>
      <c r="D229" s="26" t="s">
        <v>10</v>
      </c>
      <c r="E229" s="26" t="s">
        <v>16</v>
      </c>
      <c r="F229" s="26" t="s">
        <v>852</v>
      </c>
      <c r="G229" s="26"/>
      <c r="H229" s="27" t="s">
        <v>850</v>
      </c>
      <c r="I229" s="26" t="s">
        <v>27</v>
      </c>
      <c r="J229" s="28" t="s">
        <v>43</v>
      </c>
      <c r="K229" s="123">
        <v>115</v>
      </c>
      <c r="L229" s="29">
        <v>21.181499999999996</v>
      </c>
      <c r="M229" s="110">
        <v>14.5</v>
      </c>
      <c r="N229" s="30">
        <v>0.28199999999999997</v>
      </c>
      <c r="O229" s="116">
        <v>4.0889999999999995</v>
      </c>
      <c r="P229" s="30">
        <v>7.4999999999999997E-2</v>
      </c>
      <c r="Q229" s="116">
        <v>1.0874999999999999</v>
      </c>
      <c r="R229" s="30">
        <v>7.0000000000000007E-2</v>
      </c>
      <c r="S229" s="116">
        <v>1.0150000000000001</v>
      </c>
      <c r="T229" s="117">
        <v>0.49</v>
      </c>
      <c r="U229" s="39">
        <v>500</v>
      </c>
      <c r="V229" s="32"/>
      <c r="W229" s="33"/>
      <c r="X229" s="32"/>
      <c r="Y229" s="32"/>
      <c r="Z229" s="32"/>
      <c r="AA229" s="34"/>
      <c r="AB229" s="35">
        <f t="shared" si="30"/>
        <v>500</v>
      </c>
      <c r="AC229" s="75">
        <f t="shared" si="31"/>
        <v>57500</v>
      </c>
      <c r="AD229" s="78">
        <f t="shared" si="32"/>
        <v>0</v>
      </c>
      <c r="AE229" s="72">
        <f t="shared" si="33"/>
        <v>57500</v>
      </c>
      <c r="AF229" s="75">
        <f t="shared" si="34"/>
        <v>10590.749999999998</v>
      </c>
      <c r="AG229" s="78">
        <f t="shared" si="35"/>
        <v>0</v>
      </c>
      <c r="AH229" s="72">
        <f t="shared" si="36"/>
        <v>10590.749999999998</v>
      </c>
      <c r="AI229" s="75">
        <f t="shared" si="37"/>
        <v>7250</v>
      </c>
      <c r="AJ229" s="78">
        <f t="shared" si="38"/>
        <v>0</v>
      </c>
      <c r="AK229" s="72">
        <f t="shared" si="39"/>
        <v>7250</v>
      </c>
    </row>
    <row r="230" spans="1:37" ht="15.95" customHeight="1">
      <c r="A230" s="25" t="s">
        <v>702</v>
      </c>
      <c r="B230" s="25" t="s">
        <v>463</v>
      </c>
      <c r="C230" s="26" t="s">
        <v>14</v>
      </c>
      <c r="D230" s="26" t="s">
        <v>10</v>
      </c>
      <c r="E230" s="26" t="s">
        <v>16</v>
      </c>
      <c r="F230" s="26" t="s">
        <v>851</v>
      </c>
      <c r="G230" s="26"/>
      <c r="H230" s="27" t="s">
        <v>850</v>
      </c>
      <c r="I230" s="26" t="s">
        <v>27</v>
      </c>
      <c r="J230" s="28" t="s">
        <v>41</v>
      </c>
      <c r="K230" s="123">
        <v>130</v>
      </c>
      <c r="L230" s="29">
        <v>25.462499999999999</v>
      </c>
      <c r="M230" s="110">
        <v>17.5</v>
      </c>
      <c r="N230" s="30">
        <v>0.28199999999999997</v>
      </c>
      <c r="O230" s="116">
        <v>4.9349999999999996</v>
      </c>
      <c r="P230" s="30">
        <v>7.4999999999999997E-2</v>
      </c>
      <c r="Q230" s="116">
        <v>1.3125</v>
      </c>
      <c r="R230" s="30">
        <v>7.0000000000000007E-2</v>
      </c>
      <c r="S230" s="116">
        <v>1.2250000000000001</v>
      </c>
      <c r="T230" s="117">
        <v>0.49</v>
      </c>
      <c r="U230" s="39">
        <v>500</v>
      </c>
      <c r="V230" s="32"/>
      <c r="W230" s="33"/>
      <c r="X230" s="32"/>
      <c r="Y230" s="32"/>
      <c r="Z230" s="32"/>
      <c r="AA230" s="34"/>
      <c r="AB230" s="35">
        <f t="shared" si="30"/>
        <v>500</v>
      </c>
      <c r="AC230" s="75">
        <f t="shared" si="31"/>
        <v>65000</v>
      </c>
      <c r="AD230" s="78">
        <f t="shared" si="32"/>
        <v>0</v>
      </c>
      <c r="AE230" s="72">
        <f t="shared" si="33"/>
        <v>65000</v>
      </c>
      <c r="AF230" s="75">
        <f t="shared" si="34"/>
        <v>12731.25</v>
      </c>
      <c r="AG230" s="78">
        <f t="shared" si="35"/>
        <v>0</v>
      </c>
      <c r="AH230" s="72">
        <f t="shared" si="36"/>
        <v>12731.25</v>
      </c>
      <c r="AI230" s="75">
        <f t="shared" si="37"/>
        <v>8750</v>
      </c>
      <c r="AJ230" s="78">
        <f t="shared" si="38"/>
        <v>0</v>
      </c>
      <c r="AK230" s="72">
        <f t="shared" si="39"/>
        <v>8750</v>
      </c>
    </row>
    <row r="231" spans="1:37" ht="15.95" customHeight="1">
      <c r="A231" s="25" t="s">
        <v>702</v>
      </c>
      <c r="B231" s="25" t="s">
        <v>463</v>
      </c>
      <c r="C231" s="26" t="s">
        <v>21</v>
      </c>
      <c r="D231" s="26" t="s">
        <v>10</v>
      </c>
      <c r="E231" s="26" t="s">
        <v>16</v>
      </c>
      <c r="F231" s="26" t="s">
        <v>852</v>
      </c>
      <c r="G231" s="26"/>
      <c r="H231" s="27" t="s">
        <v>850</v>
      </c>
      <c r="I231" s="26" t="s">
        <v>27</v>
      </c>
      <c r="J231" s="28" t="s">
        <v>43</v>
      </c>
      <c r="K231" s="123">
        <v>115</v>
      </c>
      <c r="L231" s="29">
        <v>21.181499999999996</v>
      </c>
      <c r="M231" s="110">
        <v>14.5</v>
      </c>
      <c r="N231" s="30">
        <v>0.28199999999999997</v>
      </c>
      <c r="O231" s="116">
        <v>4.0889999999999995</v>
      </c>
      <c r="P231" s="30">
        <v>7.4999999999999997E-2</v>
      </c>
      <c r="Q231" s="116">
        <v>1.0874999999999999</v>
      </c>
      <c r="R231" s="30">
        <v>7.0000000000000007E-2</v>
      </c>
      <c r="S231" s="116">
        <v>1.0150000000000001</v>
      </c>
      <c r="T231" s="117">
        <v>0.49</v>
      </c>
      <c r="U231" s="39">
        <v>500</v>
      </c>
      <c r="V231" s="32"/>
      <c r="W231" s="33"/>
      <c r="X231" s="32"/>
      <c r="Y231" s="32"/>
      <c r="Z231" s="32"/>
      <c r="AA231" s="34"/>
      <c r="AB231" s="35">
        <f t="shared" si="30"/>
        <v>500</v>
      </c>
      <c r="AC231" s="75">
        <f t="shared" si="31"/>
        <v>57500</v>
      </c>
      <c r="AD231" s="78">
        <f t="shared" si="32"/>
        <v>0</v>
      </c>
      <c r="AE231" s="72">
        <f t="shared" si="33"/>
        <v>57500</v>
      </c>
      <c r="AF231" s="75">
        <f t="shared" si="34"/>
        <v>10590.749999999998</v>
      </c>
      <c r="AG231" s="78">
        <f t="shared" si="35"/>
        <v>0</v>
      </c>
      <c r="AH231" s="72">
        <f t="shared" si="36"/>
        <v>10590.749999999998</v>
      </c>
      <c r="AI231" s="75">
        <f t="shared" si="37"/>
        <v>7250</v>
      </c>
      <c r="AJ231" s="78">
        <f t="shared" si="38"/>
        <v>0</v>
      </c>
      <c r="AK231" s="72">
        <f t="shared" si="39"/>
        <v>7250</v>
      </c>
    </row>
    <row r="232" spans="1:37" ht="15.95" customHeight="1">
      <c r="A232" s="25" t="s">
        <v>702</v>
      </c>
      <c r="B232" s="25" t="s">
        <v>463</v>
      </c>
      <c r="C232" s="26" t="s">
        <v>24</v>
      </c>
      <c r="D232" s="26" t="s">
        <v>10</v>
      </c>
      <c r="E232" s="26" t="s">
        <v>444</v>
      </c>
      <c r="F232" s="26" t="s">
        <v>853</v>
      </c>
      <c r="G232" s="26"/>
      <c r="H232" s="27" t="s">
        <v>847</v>
      </c>
      <c r="I232" s="26" t="s">
        <v>27</v>
      </c>
      <c r="J232" s="28" t="s">
        <v>227</v>
      </c>
      <c r="K232" s="123">
        <v>68</v>
      </c>
      <c r="L232" s="29">
        <v>7.7765000000000013</v>
      </c>
      <c r="M232" s="110">
        <v>5.9</v>
      </c>
      <c r="N232" s="30">
        <v>0.16500000000000001</v>
      </c>
      <c r="O232" s="116">
        <v>0.97350000000000014</v>
      </c>
      <c r="P232" s="30"/>
      <c r="Q232" s="116"/>
      <c r="R232" s="30">
        <v>7.0000000000000007E-2</v>
      </c>
      <c r="S232" s="116">
        <v>0.41300000000000009</v>
      </c>
      <c r="T232" s="117">
        <v>0.49</v>
      </c>
      <c r="U232" s="39">
        <v>250</v>
      </c>
      <c r="V232" s="32">
        <v>250</v>
      </c>
      <c r="W232" s="33"/>
      <c r="X232" s="32"/>
      <c r="Y232" s="32"/>
      <c r="Z232" s="32"/>
      <c r="AA232" s="34"/>
      <c r="AB232" s="35">
        <f t="shared" si="30"/>
        <v>500</v>
      </c>
      <c r="AC232" s="75">
        <f t="shared" si="31"/>
        <v>17000</v>
      </c>
      <c r="AD232" s="78">
        <f t="shared" si="32"/>
        <v>17000</v>
      </c>
      <c r="AE232" s="72">
        <f t="shared" si="33"/>
        <v>34000</v>
      </c>
      <c r="AF232" s="75">
        <f t="shared" si="34"/>
        <v>1944.1250000000002</v>
      </c>
      <c r="AG232" s="78">
        <f t="shared" si="35"/>
        <v>1944.1250000000002</v>
      </c>
      <c r="AH232" s="72">
        <f t="shared" si="36"/>
        <v>3888.2500000000005</v>
      </c>
      <c r="AI232" s="75">
        <f t="shared" si="37"/>
        <v>1475</v>
      </c>
      <c r="AJ232" s="78">
        <f t="shared" si="38"/>
        <v>1475</v>
      </c>
      <c r="AK232" s="72">
        <f t="shared" si="39"/>
        <v>2950</v>
      </c>
    </row>
    <row r="233" spans="1:37" ht="15.95" customHeight="1">
      <c r="A233" s="25" t="s">
        <v>702</v>
      </c>
      <c r="B233" s="25" t="s">
        <v>463</v>
      </c>
      <c r="C233" s="26" t="s">
        <v>267</v>
      </c>
      <c r="D233" s="26" t="s">
        <v>10</v>
      </c>
      <c r="E233" s="26" t="s">
        <v>16</v>
      </c>
      <c r="F233" s="26" t="s">
        <v>854</v>
      </c>
      <c r="G233" s="26"/>
      <c r="H233" s="27" t="s">
        <v>855</v>
      </c>
      <c r="I233" s="26" t="s">
        <v>27</v>
      </c>
      <c r="J233" s="37" t="s">
        <v>35</v>
      </c>
      <c r="K233" s="123">
        <v>75</v>
      </c>
      <c r="L233" s="29">
        <v>17.613999999999997</v>
      </c>
      <c r="M233" s="110">
        <v>12</v>
      </c>
      <c r="N233" s="30">
        <v>0.28199999999999997</v>
      </c>
      <c r="O233" s="116">
        <v>3.3839999999999995</v>
      </c>
      <c r="P233" s="30">
        <v>7.4999999999999997E-2</v>
      </c>
      <c r="Q233" s="116">
        <v>0.89999999999999991</v>
      </c>
      <c r="R233" s="30">
        <v>7.0000000000000007E-2</v>
      </c>
      <c r="S233" s="116">
        <v>0.84000000000000008</v>
      </c>
      <c r="T233" s="117">
        <v>0.49</v>
      </c>
      <c r="U233" s="39">
        <v>250</v>
      </c>
      <c r="V233" s="32">
        <v>250</v>
      </c>
      <c r="W233" s="33"/>
      <c r="X233" s="32"/>
      <c r="Y233" s="32"/>
      <c r="Z233" s="32"/>
      <c r="AA233" s="34"/>
      <c r="AB233" s="35">
        <f t="shared" si="30"/>
        <v>500</v>
      </c>
      <c r="AC233" s="75">
        <f t="shared" si="31"/>
        <v>18750</v>
      </c>
      <c r="AD233" s="78">
        <f t="shared" si="32"/>
        <v>18750</v>
      </c>
      <c r="AE233" s="72">
        <f t="shared" si="33"/>
        <v>37500</v>
      </c>
      <c r="AF233" s="75">
        <f t="shared" si="34"/>
        <v>4403.4999999999991</v>
      </c>
      <c r="AG233" s="78">
        <f t="shared" si="35"/>
        <v>4403.4999999999991</v>
      </c>
      <c r="AH233" s="72">
        <f t="shared" si="36"/>
        <v>8806.9999999999982</v>
      </c>
      <c r="AI233" s="75">
        <f t="shared" si="37"/>
        <v>3000</v>
      </c>
      <c r="AJ233" s="78">
        <f t="shared" si="38"/>
        <v>3000</v>
      </c>
      <c r="AK233" s="72">
        <f t="shared" si="39"/>
        <v>6000</v>
      </c>
    </row>
    <row r="234" spans="1:37" ht="15.95" customHeight="1">
      <c r="A234" s="25" t="s">
        <v>702</v>
      </c>
      <c r="B234" s="25" t="s">
        <v>463</v>
      </c>
      <c r="C234" s="26" t="s">
        <v>44</v>
      </c>
      <c r="D234" s="26" t="s">
        <v>10</v>
      </c>
      <c r="E234" s="26" t="s">
        <v>444</v>
      </c>
      <c r="F234" s="26" t="s">
        <v>856</v>
      </c>
      <c r="G234" s="26"/>
      <c r="H234" s="27" t="s">
        <v>857</v>
      </c>
      <c r="I234" s="26" t="s">
        <v>27</v>
      </c>
      <c r="J234" s="28" t="s">
        <v>578</v>
      </c>
      <c r="K234" s="123">
        <v>68</v>
      </c>
      <c r="L234" s="29">
        <v>11.5129</v>
      </c>
      <c r="M234" s="110">
        <v>8.6999999999999993</v>
      </c>
      <c r="N234" s="30">
        <v>0.19700000000000001</v>
      </c>
      <c r="O234" s="116">
        <v>1.7139</v>
      </c>
      <c r="P234" s="30"/>
      <c r="Q234" s="116"/>
      <c r="R234" s="30">
        <v>7.0000000000000007E-2</v>
      </c>
      <c r="S234" s="116">
        <v>0.60899999999999999</v>
      </c>
      <c r="T234" s="117">
        <v>0.49</v>
      </c>
      <c r="U234" s="39">
        <v>500</v>
      </c>
      <c r="V234" s="32">
        <v>0</v>
      </c>
      <c r="W234" s="33"/>
      <c r="X234" s="32"/>
      <c r="Y234" s="32"/>
      <c r="Z234" s="32"/>
      <c r="AA234" s="34"/>
      <c r="AB234" s="35">
        <f t="shared" si="30"/>
        <v>500</v>
      </c>
      <c r="AC234" s="75">
        <f t="shared" si="31"/>
        <v>34000</v>
      </c>
      <c r="AD234" s="78">
        <f t="shared" si="32"/>
        <v>0</v>
      </c>
      <c r="AE234" s="72">
        <f t="shared" si="33"/>
        <v>34000</v>
      </c>
      <c r="AF234" s="75">
        <f t="shared" si="34"/>
        <v>5756.45</v>
      </c>
      <c r="AG234" s="78">
        <f t="shared" si="35"/>
        <v>0</v>
      </c>
      <c r="AH234" s="72">
        <f t="shared" si="36"/>
        <v>5756.45</v>
      </c>
      <c r="AI234" s="75">
        <f t="shared" si="37"/>
        <v>4350</v>
      </c>
      <c r="AJ234" s="78">
        <f t="shared" si="38"/>
        <v>0</v>
      </c>
      <c r="AK234" s="72">
        <f t="shared" si="39"/>
        <v>4350</v>
      </c>
    </row>
    <row r="235" spans="1:37" ht="15.95" customHeight="1">
      <c r="A235" s="25" t="s">
        <v>702</v>
      </c>
      <c r="B235" s="25" t="s">
        <v>463</v>
      </c>
      <c r="C235" s="26" t="s">
        <v>24</v>
      </c>
      <c r="D235" s="26" t="s">
        <v>10</v>
      </c>
      <c r="E235" s="26" t="s">
        <v>444</v>
      </c>
      <c r="F235" s="26" t="s">
        <v>858</v>
      </c>
      <c r="G235" s="26"/>
      <c r="H235" s="27" t="s">
        <v>859</v>
      </c>
      <c r="I235" s="26" t="s">
        <v>27</v>
      </c>
      <c r="J235" s="37" t="s">
        <v>227</v>
      </c>
      <c r="K235" s="123">
        <v>48</v>
      </c>
      <c r="L235" s="29">
        <v>7.5295000000000005</v>
      </c>
      <c r="M235" s="110">
        <v>5.7</v>
      </c>
      <c r="N235" s="30">
        <v>0.16500000000000001</v>
      </c>
      <c r="O235" s="116">
        <v>0.94050000000000011</v>
      </c>
      <c r="P235" s="30"/>
      <c r="Q235" s="116"/>
      <c r="R235" s="30">
        <v>7.0000000000000007E-2</v>
      </c>
      <c r="S235" s="116">
        <v>0.39900000000000008</v>
      </c>
      <c r="T235" s="117">
        <v>0.49</v>
      </c>
      <c r="U235" s="39">
        <v>500</v>
      </c>
      <c r="V235" s="32">
        <v>0</v>
      </c>
      <c r="W235" s="33"/>
      <c r="X235" s="32"/>
      <c r="Y235" s="32"/>
      <c r="Z235" s="32"/>
      <c r="AA235" s="34"/>
      <c r="AB235" s="35">
        <f t="shared" si="30"/>
        <v>500</v>
      </c>
      <c r="AC235" s="75">
        <f t="shared" si="31"/>
        <v>24000</v>
      </c>
      <c r="AD235" s="78">
        <f t="shared" si="32"/>
        <v>0</v>
      </c>
      <c r="AE235" s="72">
        <f t="shared" si="33"/>
        <v>24000</v>
      </c>
      <c r="AF235" s="75">
        <f t="shared" si="34"/>
        <v>3764.7500000000005</v>
      </c>
      <c r="AG235" s="78">
        <f t="shared" si="35"/>
        <v>0</v>
      </c>
      <c r="AH235" s="72">
        <f t="shared" si="36"/>
        <v>3764.7500000000005</v>
      </c>
      <c r="AI235" s="75">
        <f t="shared" si="37"/>
        <v>2850</v>
      </c>
      <c r="AJ235" s="78">
        <f t="shared" si="38"/>
        <v>0</v>
      </c>
      <c r="AK235" s="72">
        <f t="shared" si="39"/>
        <v>2850</v>
      </c>
    </row>
    <row r="236" spans="1:37" ht="15.95" customHeight="1">
      <c r="A236" s="25" t="s">
        <v>702</v>
      </c>
      <c r="B236" s="25" t="s">
        <v>463</v>
      </c>
      <c r="C236" s="26" t="s">
        <v>24</v>
      </c>
      <c r="D236" s="26" t="s">
        <v>10</v>
      </c>
      <c r="E236" s="26" t="s">
        <v>444</v>
      </c>
      <c r="F236" s="26" t="s">
        <v>860</v>
      </c>
      <c r="G236" s="26"/>
      <c r="H236" s="27" t="s">
        <v>859</v>
      </c>
      <c r="I236" s="26" t="s">
        <v>27</v>
      </c>
      <c r="J236" s="28" t="s">
        <v>227</v>
      </c>
      <c r="K236" s="123">
        <v>48</v>
      </c>
      <c r="L236" s="29">
        <v>7.9</v>
      </c>
      <c r="M236" s="110">
        <v>6</v>
      </c>
      <c r="N236" s="30">
        <v>0.16500000000000001</v>
      </c>
      <c r="O236" s="116">
        <v>0.99</v>
      </c>
      <c r="P236" s="30"/>
      <c r="Q236" s="116"/>
      <c r="R236" s="30">
        <v>7.0000000000000007E-2</v>
      </c>
      <c r="S236" s="116">
        <v>0.42000000000000004</v>
      </c>
      <c r="T236" s="117">
        <v>0.49</v>
      </c>
      <c r="U236" s="39">
        <v>500</v>
      </c>
      <c r="V236" s="32">
        <v>0</v>
      </c>
      <c r="W236" s="33"/>
      <c r="X236" s="32"/>
      <c r="Y236" s="32"/>
      <c r="Z236" s="32"/>
      <c r="AA236" s="34"/>
      <c r="AB236" s="35">
        <f t="shared" si="30"/>
        <v>500</v>
      </c>
      <c r="AC236" s="75">
        <f t="shared" si="31"/>
        <v>24000</v>
      </c>
      <c r="AD236" s="78">
        <f t="shared" si="32"/>
        <v>0</v>
      </c>
      <c r="AE236" s="72">
        <f t="shared" si="33"/>
        <v>24000</v>
      </c>
      <c r="AF236" s="75">
        <f t="shared" si="34"/>
        <v>3950</v>
      </c>
      <c r="AG236" s="78">
        <f t="shared" si="35"/>
        <v>0</v>
      </c>
      <c r="AH236" s="72">
        <f t="shared" si="36"/>
        <v>3950</v>
      </c>
      <c r="AI236" s="75">
        <f t="shared" si="37"/>
        <v>3000</v>
      </c>
      <c r="AJ236" s="78">
        <f t="shared" si="38"/>
        <v>0</v>
      </c>
      <c r="AK236" s="72">
        <f t="shared" si="39"/>
        <v>3000</v>
      </c>
    </row>
    <row r="237" spans="1:37" ht="15.95" customHeight="1">
      <c r="A237" s="25" t="s">
        <v>702</v>
      </c>
      <c r="B237" s="25" t="s">
        <v>463</v>
      </c>
      <c r="C237" s="26" t="s">
        <v>24</v>
      </c>
      <c r="D237" s="26" t="s">
        <v>10</v>
      </c>
      <c r="E237" s="26" t="s">
        <v>444</v>
      </c>
      <c r="F237" s="26" t="s">
        <v>860</v>
      </c>
      <c r="G237" s="26"/>
      <c r="H237" s="27" t="s">
        <v>847</v>
      </c>
      <c r="I237" s="26" t="s">
        <v>27</v>
      </c>
      <c r="J237" s="28" t="s">
        <v>227</v>
      </c>
      <c r="K237" s="123">
        <v>48</v>
      </c>
      <c r="L237" s="29">
        <v>7.9</v>
      </c>
      <c r="M237" s="110">
        <v>6</v>
      </c>
      <c r="N237" s="30">
        <v>0.16500000000000001</v>
      </c>
      <c r="O237" s="116">
        <v>0.99</v>
      </c>
      <c r="P237" s="30"/>
      <c r="Q237" s="116"/>
      <c r="R237" s="30">
        <v>7.0000000000000007E-2</v>
      </c>
      <c r="S237" s="116">
        <v>0.42000000000000004</v>
      </c>
      <c r="T237" s="117">
        <v>0.49</v>
      </c>
      <c r="U237" s="39">
        <v>500</v>
      </c>
      <c r="V237" s="32">
        <v>0</v>
      </c>
      <c r="W237" s="33"/>
      <c r="X237" s="32"/>
      <c r="Y237" s="32"/>
      <c r="Z237" s="32"/>
      <c r="AA237" s="34"/>
      <c r="AB237" s="35">
        <f t="shared" si="30"/>
        <v>500</v>
      </c>
      <c r="AC237" s="75">
        <f t="shared" si="31"/>
        <v>24000</v>
      </c>
      <c r="AD237" s="78">
        <f t="shared" si="32"/>
        <v>0</v>
      </c>
      <c r="AE237" s="72">
        <f t="shared" si="33"/>
        <v>24000</v>
      </c>
      <c r="AF237" s="75">
        <f t="shared" si="34"/>
        <v>3950</v>
      </c>
      <c r="AG237" s="78">
        <f t="shared" si="35"/>
        <v>0</v>
      </c>
      <c r="AH237" s="72">
        <f t="shared" si="36"/>
        <v>3950</v>
      </c>
      <c r="AI237" s="75">
        <f t="shared" si="37"/>
        <v>3000</v>
      </c>
      <c r="AJ237" s="78">
        <f t="shared" si="38"/>
        <v>0</v>
      </c>
      <c r="AK237" s="72">
        <f t="shared" si="39"/>
        <v>3000</v>
      </c>
    </row>
    <row r="238" spans="1:37" ht="15.95" customHeight="1">
      <c r="A238" s="25" t="s">
        <v>702</v>
      </c>
      <c r="B238" s="25" t="s">
        <v>463</v>
      </c>
      <c r="C238" s="26" t="s">
        <v>167</v>
      </c>
      <c r="D238" s="26" t="s">
        <v>10</v>
      </c>
      <c r="E238" s="26" t="s">
        <v>444</v>
      </c>
      <c r="F238" s="26" t="s">
        <v>861</v>
      </c>
      <c r="G238" s="26"/>
      <c r="H238" s="27" t="s">
        <v>862</v>
      </c>
      <c r="I238" s="26" t="s">
        <v>765</v>
      </c>
      <c r="J238" s="28" t="s">
        <v>578</v>
      </c>
      <c r="K238" s="123">
        <v>125</v>
      </c>
      <c r="L238" s="29">
        <v>24.760299999999997</v>
      </c>
      <c r="M238" s="110">
        <v>19.899999999999999</v>
      </c>
      <c r="N238" s="30">
        <v>0.19700000000000001</v>
      </c>
      <c r="O238" s="116">
        <v>3.9202999999999997</v>
      </c>
      <c r="P238" s="30"/>
      <c r="Q238" s="116"/>
      <c r="R238" s="30">
        <v>7.0000000000000007E-2</v>
      </c>
      <c r="S238" s="116">
        <v>0.45</v>
      </c>
      <c r="T238" s="117">
        <v>0.49</v>
      </c>
      <c r="U238" s="39">
        <v>500</v>
      </c>
      <c r="V238" s="32">
        <v>0</v>
      </c>
      <c r="W238" s="33"/>
      <c r="X238" s="32"/>
      <c r="Y238" s="32"/>
      <c r="Z238" s="32"/>
      <c r="AA238" s="34"/>
      <c r="AB238" s="35">
        <f t="shared" si="30"/>
        <v>500</v>
      </c>
      <c r="AC238" s="75">
        <f t="shared" si="31"/>
        <v>62500</v>
      </c>
      <c r="AD238" s="78">
        <f t="shared" si="32"/>
        <v>0</v>
      </c>
      <c r="AE238" s="72">
        <f t="shared" si="33"/>
        <v>62500</v>
      </c>
      <c r="AF238" s="75">
        <f t="shared" si="34"/>
        <v>12380.149999999998</v>
      </c>
      <c r="AG238" s="78">
        <f t="shared" si="35"/>
        <v>0</v>
      </c>
      <c r="AH238" s="72">
        <f t="shared" si="36"/>
        <v>12380.149999999998</v>
      </c>
      <c r="AI238" s="75">
        <f t="shared" si="37"/>
        <v>9950</v>
      </c>
      <c r="AJ238" s="78">
        <f t="shared" si="38"/>
        <v>0</v>
      </c>
      <c r="AK238" s="72">
        <f t="shared" si="39"/>
        <v>9950</v>
      </c>
    </row>
    <row r="239" spans="1:37" ht="15.95" customHeight="1">
      <c r="A239" s="25" t="s">
        <v>702</v>
      </c>
      <c r="B239" s="25" t="s">
        <v>463</v>
      </c>
      <c r="C239" s="40" t="s">
        <v>14</v>
      </c>
      <c r="D239" s="26" t="s">
        <v>10</v>
      </c>
      <c r="E239" s="26" t="s">
        <v>16</v>
      </c>
      <c r="F239" s="26" t="s">
        <v>863</v>
      </c>
      <c r="G239" s="41"/>
      <c r="H239" s="27" t="s">
        <v>850</v>
      </c>
      <c r="I239" s="26" t="s">
        <v>27</v>
      </c>
      <c r="J239" s="28" t="s">
        <v>41</v>
      </c>
      <c r="K239" s="123">
        <v>140</v>
      </c>
      <c r="L239" s="29">
        <v>26.889499999999998</v>
      </c>
      <c r="M239" s="110">
        <v>18.5</v>
      </c>
      <c r="N239" s="30">
        <v>0.28199999999999997</v>
      </c>
      <c r="O239" s="116">
        <v>5.2169999999999996</v>
      </c>
      <c r="P239" s="30">
        <v>7.4999999999999997E-2</v>
      </c>
      <c r="Q239" s="116">
        <v>1.3875</v>
      </c>
      <c r="R239" s="30">
        <v>7.0000000000000007E-2</v>
      </c>
      <c r="S239" s="116">
        <v>1.2950000000000002</v>
      </c>
      <c r="T239" s="117">
        <v>0.49</v>
      </c>
      <c r="U239" s="39">
        <v>600</v>
      </c>
      <c r="V239" s="32">
        <v>400</v>
      </c>
      <c r="W239" s="33"/>
      <c r="X239" s="32"/>
      <c r="Y239" s="32"/>
      <c r="Z239" s="32"/>
      <c r="AA239" s="34"/>
      <c r="AB239" s="35">
        <f t="shared" si="30"/>
        <v>1000</v>
      </c>
      <c r="AC239" s="75">
        <f t="shared" si="31"/>
        <v>84000</v>
      </c>
      <c r="AD239" s="78">
        <f t="shared" si="32"/>
        <v>56000</v>
      </c>
      <c r="AE239" s="72">
        <f t="shared" si="33"/>
        <v>140000</v>
      </c>
      <c r="AF239" s="75">
        <f t="shared" si="34"/>
        <v>16133.699999999999</v>
      </c>
      <c r="AG239" s="78">
        <f t="shared" si="35"/>
        <v>10755.8</v>
      </c>
      <c r="AH239" s="72">
        <f t="shared" si="36"/>
        <v>26889.5</v>
      </c>
      <c r="AI239" s="75">
        <f t="shared" si="37"/>
        <v>11100</v>
      </c>
      <c r="AJ239" s="78">
        <f t="shared" si="38"/>
        <v>7400</v>
      </c>
      <c r="AK239" s="72">
        <f t="shared" si="39"/>
        <v>18500</v>
      </c>
    </row>
    <row r="240" spans="1:37" ht="15.95" customHeight="1">
      <c r="A240" s="25" t="s">
        <v>702</v>
      </c>
      <c r="B240" s="25" t="s">
        <v>463</v>
      </c>
      <c r="C240" s="26" t="s">
        <v>21</v>
      </c>
      <c r="D240" s="26" t="s">
        <v>10</v>
      </c>
      <c r="E240" s="26" t="s">
        <v>16</v>
      </c>
      <c r="F240" s="26" t="s">
        <v>864</v>
      </c>
      <c r="G240" s="41"/>
      <c r="H240" s="27" t="s">
        <v>865</v>
      </c>
      <c r="I240" s="26" t="s">
        <v>27</v>
      </c>
      <c r="J240" s="37" t="s">
        <v>43</v>
      </c>
      <c r="K240" s="123">
        <v>125</v>
      </c>
      <c r="L240" s="29">
        <v>21.538249999999998</v>
      </c>
      <c r="M240" s="110">
        <v>14.75</v>
      </c>
      <c r="N240" s="30">
        <v>0.28199999999999997</v>
      </c>
      <c r="O240" s="116">
        <v>4.1594999999999995</v>
      </c>
      <c r="P240" s="30">
        <v>7.4999999999999997E-2</v>
      </c>
      <c r="Q240" s="116">
        <v>1.10625</v>
      </c>
      <c r="R240" s="30">
        <v>7.0000000000000007E-2</v>
      </c>
      <c r="S240" s="116">
        <v>1.0325000000000002</v>
      </c>
      <c r="T240" s="117">
        <v>0.49</v>
      </c>
      <c r="U240" s="39">
        <v>600</v>
      </c>
      <c r="V240" s="32">
        <v>400</v>
      </c>
      <c r="W240" s="33"/>
      <c r="X240" s="32"/>
      <c r="Y240" s="32"/>
      <c r="Z240" s="32"/>
      <c r="AA240" s="34"/>
      <c r="AB240" s="35">
        <f t="shared" si="30"/>
        <v>1000</v>
      </c>
      <c r="AC240" s="75">
        <f t="shared" si="31"/>
        <v>75000</v>
      </c>
      <c r="AD240" s="78">
        <f t="shared" si="32"/>
        <v>50000</v>
      </c>
      <c r="AE240" s="72">
        <f t="shared" si="33"/>
        <v>125000</v>
      </c>
      <c r="AF240" s="75">
        <f t="shared" si="34"/>
        <v>12922.949999999999</v>
      </c>
      <c r="AG240" s="78">
        <f t="shared" si="35"/>
        <v>8615.2999999999993</v>
      </c>
      <c r="AH240" s="72">
        <f t="shared" si="36"/>
        <v>21538.25</v>
      </c>
      <c r="AI240" s="75">
        <f t="shared" si="37"/>
        <v>8850</v>
      </c>
      <c r="AJ240" s="78">
        <f t="shared" si="38"/>
        <v>5900</v>
      </c>
      <c r="AK240" s="72">
        <f t="shared" si="39"/>
        <v>14750</v>
      </c>
    </row>
    <row r="241" spans="1:37" ht="15.95" customHeight="1">
      <c r="A241" s="25" t="s">
        <v>702</v>
      </c>
      <c r="B241" s="25" t="s">
        <v>463</v>
      </c>
      <c r="C241" s="40" t="s">
        <v>14</v>
      </c>
      <c r="D241" s="26" t="s">
        <v>10</v>
      </c>
      <c r="E241" s="26" t="s">
        <v>16</v>
      </c>
      <c r="F241" s="26" t="s">
        <v>863</v>
      </c>
      <c r="G241" s="41"/>
      <c r="H241" s="27" t="s">
        <v>850</v>
      </c>
      <c r="I241" s="26" t="s">
        <v>27</v>
      </c>
      <c r="J241" s="28" t="s">
        <v>41</v>
      </c>
      <c r="K241" s="123">
        <v>140</v>
      </c>
      <c r="L241" s="29">
        <v>26.889499999999998</v>
      </c>
      <c r="M241" s="110">
        <v>18.5</v>
      </c>
      <c r="N241" s="30">
        <v>0.28199999999999997</v>
      </c>
      <c r="O241" s="116">
        <v>5.2169999999999996</v>
      </c>
      <c r="P241" s="30">
        <v>7.4999999999999997E-2</v>
      </c>
      <c r="Q241" s="116">
        <v>1.3875</v>
      </c>
      <c r="R241" s="30">
        <v>7.0000000000000007E-2</v>
      </c>
      <c r="S241" s="116">
        <v>1.2950000000000002</v>
      </c>
      <c r="T241" s="117">
        <v>0.49</v>
      </c>
      <c r="U241" s="39">
        <v>800</v>
      </c>
      <c r="V241" s="32">
        <v>500</v>
      </c>
      <c r="W241" s="33"/>
      <c r="X241" s="32"/>
      <c r="Y241" s="32"/>
      <c r="Z241" s="32"/>
      <c r="AA241" s="34"/>
      <c r="AB241" s="35">
        <f t="shared" si="30"/>
        <v>1300</v>
      </c>
      <c r="AC241" s="75">
        <f t="shared" si="31"/>
        <v>112000</v>
      </c>
      <c r="AD241" s="78">
        <f t="shared" si="32"/>
        <v>70000</v>
      </c>
      <c r="AE241" s="72">
        <f t="shared" si="33"/>
        <v>182000</v>
      </c>
      <c r="AF241" s="75">
        <f t="shared" si="34"/>
        <v>21511.599999999999</v>
      </c>
      <c r="AG241" s="78">
        <f t="shared" si="35"/>
        <v>13444.75</v>
      </c>
      <c r="AH241" s="72">
        <f t="shared" si="36"/>
        <v>34956.35</v>
      </c>
      <c r="AI241" s="75">
        <f t="shared" si="37"/>
        <v>14800</v>
      </c>
      <c r="AJ241" s="78">
        <f t="shared" si="38"/>
        <v>9250</v>
      </c>
      <c r="AK241" s="72">
        <f t="shared" si="39"/>
        <v>24050</v>
      </c>
    </row>
    <row r="242" spans="1:37" ht="15.95" customHeight="1">
      <c r="A242" s="25" t="s">
        <v>702</v>
      </c>
      <c r="B242" s="25" t="s">
        <v>463</v>
      </c>
      <c r="C242" s="26" t="s">
        <v>21</v>
      </c>
      <c r="D242" s="26" t="s">
        <v>10</v>
      </c>
      <c r="E242" s="26" t="s">
        <v>16</v>
      </c>
      <c r="F242" s="26" t="s">
        <v>864</v>
      </c>
      <c r="G242" s="41"/>
      <c r="H242" s="27" t="s">
        <v>865</v>
      </c>
      <c r="I242" s="26" t="s">
        <v>27</v>
      </c>
      <c r="J242" s="37" t="s">
        <v>43</v>
      </c>
      <c r="K242" s="123">
        <v>125</v>
      </c>
      <c r="L242" s="29">
        <v>21.538249999999998</v>
      </c>
      <c r="M242" s="110">
        <v>14.75</v>
      </c>
      <c r="N242" s="30">
        <v>0.28199999999999997</v>
      </c>
      <c r="O242" s="116">
        <v>4.1594999999999995</v>
      </c>
      <c r="P242" s="30">
        <v>7.4999999999999997E-2</v>
      </c>
      <c r="Q242" s="116">
        <v>1.10625</v>
      </c>
      <c r="R242" s="30">
        <v>7.0000000000000007E-2</v>
      </c>
      <c r="S242" s="116">
        <v>1.0325000000000002</v>
      </c>
      <c r="T242" s="117">
        <v>0.49</v>
      </c>
      <c r="U242" s="39">
        <v>800</v>
      </c>
      <c r="V242" s="32">
        <v>500</v>
      </c>
      <c r="W242" s="33"/>
      <c r="X242" s="32"/>
      <c r="Y242" s="32"/>
      <c r="Z242" s="32"/>
      <c r="AA242" s="34"/>
      <c r="AB242" s="35">
        <f t="shared" si="30"/>
        <v>1300</v>
      </c>
      <c r="AC242" s="75">
        <f t="shared" si="31"/>
        <v>100000</v>
      </c>
      <c r="AD242" s="78">
        <f t="shared" si="32"/>
        <v>62500</v>
      </c>
      <c r="AE242" s="72">
        <f t="shared" si="33"/>
        <v>162500</v>
      </c>
      <c r="AF242" s="75">
        <f t="shared" si="34"/>
        <v>17230.599999999999</v>
      </c>
      <c r="AG242" s="78">
        <f t="shared" si="35"/>
        <v>10769.124999999998</v>
      </c>
      <c r="AH242" s="72">
        <f t="shared" si="36"/>
        <v>27999.724999999999</v>
      </c>
      <c r="AI242" s="75">
        <f t="shared" si="37"/>
        <v>11800</v>
      </c>
      <c r="AJ242" s="78">
        <f t="shared" si="38"/>
        <v>7375</v>
      </c>
      <c r="AK242" s="72">
        <f t="shared" si="39"/>
        <v>19175</v>
      </c>
    </row>
    <row r="243" spans="1:37" ht="15.95" customHeight="1">
      <c r="A243" s="25" t="s">
        <v>702</v>
      </c>
      <c r="B243" s="25" t="s">
        <v>463</v>
      </c>
      <c r="C243" s="40" t="s">
        <v>14</v>
      </c>
      <c r="D243" s="26" t="s">
        <v>10</v>
      </c>
      <c r="E243" s="26" t="s">
        <v>16</v>
      </c>
      <c r="F243" s="26" t="s">
        <v>866</v>
      </c>
      <c r="G243" s="41"/>
      <c r="H243" s="27" t="s">
        <v>850</v>
      </c>
      <c r="I243" s="26" t="s">
        <v>27</v>
      </c>
      <c r="J243" s="28" t="s">
        <v>41</v>
      </c>
      <c r="K243" s="123">
        <v>140</v>
      </c>
      <c r="L243" s="29">
        <v>30.171599999999998</v>
      </c>
      <c r="M243" s="110">
        <v>20.8</v>
      </c>
      <c r="N243" s="30">
        <v>0.28199999999999997</v>
      </c>
      <c r="O243" s="116">
        <v>5.8655999999999997</v>
      </c>
      <c r="P243" s="30">
        <v>7.4999999999999997E-2</v>
      </c>
      <c r="Q243" s="116">
        <v>1.56</v>
      </c>
      <c r="R243" s="30">
        <v>7.0000000000000007E-2</v>
      </c>
      <c r="S243" s="116">
        <v>1.4560000000000002</v>
      </c>
      <c r="T243" s="117">
        <v>0.49</v>
      </c>
      <c r="U243" s="39">
        <v>600</v>
      </c>
      <c r="V243" s="32">
        <v>500</v>
      </c>
      <c r="W243" s="33"/>
      <c r="X243" s="32"/>
      <c r="Y243" s="32"/>
      <c r="Z243" s="32"/>
      <c r="AA243" s="34"/>
      <c r="AB243" s="35">
        <f t="shared" si="30"/>
        <v>1100</v>
      </c>
      <c r="AC243" s="75">
        <f t="shared" si="31"/>
        <v>84000</v>
      </c>
      <c r="AD243" s="78">
        <f t="shared" si="32"/>
        <v>70000</v>
      </c>
      <c r="AE243" s="72">
        <f t="shared" si="33"/>
        <v>154000</v>
      </c>
      <c r="AF243" s="75">
        <f t="shared" si="34"/>
        <v>18102.96</v>
      </c>
      <c r="AG243" s="78">
        <f t="shared" si="35"/>
        <v>15085.8</v>
      </c>
      <c r="AH243" s="72">
        <f t="shared" si="36"/>
        <v>33188.759999999995</v>
      </c>
      <c r="AI243" s="75">
        <f t="shared" si="37"/>
        <v>12480</v>
      </c>
      <c r="AJ243" s="78">
        <f t="shared" si="38"/>
        <v>10400</v>
      </c>
      <c r="AK243" s="72">
        <f t="shared" si="39"/>
        <v>22880</v>
      </c>
    </row>
    <row r="244" spans="1:37" ht="15.95" customHeight="1">
      <c r="A244" s="25" t="s">
        <v>702</v>
      </c>
      <c r="B244" s="25" t="s">
        <v>463</v>
      </c>
      <c r="C244" s="26" t="s">
        <v>21</v>
      </c>
      <c r="D244" s="26" t="s">
        <v>10</v>
      </c>
      <c r="E244" s="26" t="s">
        <v>16</v>
      </c>
      <c r="F244" s="26" t="s">
        <v>867</v>
      </c>
      <c r="G244" s="41"/>
      <c r="H244" s="27" t="s">
        <v>865</v>
      </c>
      <c r="I244" s="26" t="s">
        <v>27</v>
      </c>
      <c r="J244" s="37" t="s">
        <v>43</v>
      </c>
      <c r="K244" s="123">
        <v>125</v>
      </c>
      <c r="L244" s="29">
        <v>25.462499999999999</v>
      </c>
      <c r="M244" s="110">
        <v>17.5</v>
      </c>
      <c r="N244" s="30">
        <v>0.28199999999999997</v>
      </c>
      <c r="O244" s="116">
        <v>4.9349999999999996</v>
      </c>
      <c r="P244" s="30">
        <v>7.4999999999999997E-2</v>
      </c>
      <c r="Q244" s="116">
        <v>1.3125</v>
      </c>
      <c r="R244" s="30">
        <v>7.0000000000000007E-2</v>
      </c>
      <c r="S244" s="116">
        <v>1.2250000000000001</v>
      </c>
      <c r="T244" s="117">
        <v>0.49</v>
      </c>
      <c r="U244" s="39">
        <v>600</v>
      </c>
      <c r="V244" s="32">
        <v>500</v>
      </c>
      <c r="W244" s="33"/>
      <c r="X244" s="32"/>
      <c r="Y244" s="32"/>
      <c r="Z244" s="32"/>
      <c r="AA244" s="34"/>
      <c r="AB244" s="35">
        <f t="shared" si="30"/>
        <v>1100</v>
      </c>
      <c r="AC244" s="75">
        <f t="shared" si="31"/>
        <v>75000</v>
      </c>
      <c r="AD244" s="78">
        <f t="shared" si="32"/>
        <v>62500</v>
      </c>
      <c r="AE244" s="72">
        <f t="shared" si="33"/>
        <v>137500</v>
      </c>
      <c r="AF244" s="75">
        <f t="shared" si="34"/>
        <v>15277.5</v>
      </c>
      <c r="AG244" s="78">
        <f t="shared" si="35"/>
        <v>12731.25</v>
      </c>
      <c r="AH244" s="72">
        <f t="shared" si="36"/>
        <v>28008.75</v>
      </c>
      <c r="AI244" s="75">
        <f t="shared" si="37"/>
        <v>10500</v>
      </c>
      <c r="AJ244" s="78">
        <f t="shared" si="38"/>
        <v>8750</v>
      </c>
      <c r="AK244" s="72">
        <f t="shared" si="39"/>
        <v>19250</v>
      </c>
    </row>
    <row r="245" spans="1:37" ht="15.95" customHeight="1">
      <c r="A245" s="25" t="s">
        <v>702</v>
      </c>
      <c r="B245" s="25" t="s">
        <v>463</v>
      </c>
      <c r="C245" s="26" t="s">
        <v>14</v>
      </c>
      <c r="D245" s="26" t="s">
        <v>10</v>
      </c>
      <c r="E245" s="26" t="s">
        <v>16</v>
      </c>
      <c r="F245" s="26" t="s">
        <v>866</v>
      </c>
      <c r="G245" s="26"/>
      <c r="H245" s="27" t="s">
        <v>850</v>
      </c>
      <c r="I245" s="26" t="s">
        <v>27</v>
      </c>
      <c r="J245" s="28" t="s">
        <v>41</v>
      </c>
      <c r="K245" s="123">
        <v>140</v>
      </c>
      <c r="L245" s="29">
        <v>30.171599999999998</v>
      </c>
      <c r="M245" s="110">
        <v>20.8</v>
      </c>
      <c r="N245" s="30">
        <v>0.28199999999999997</v>
      </c>
      <c r="O245" s="116">
        <v>5.8655999999999997</v>
      </c>
      <c r="P245" s="30">
        <v>7.4999999999999997E-2</v>
      </c>
      <c r="Q245" s="116">
        <v>1.56</v>
      </c>
      <c r="R245" s="30">
        <v>7.0000000000000007E-2</v>
      </c>
      <c r="S245" s="116">
        <v>1.4560000000000002</v>
      </c>
      <c r="T245" s="117">
        <v>0.49</v>
      </c>
      <c r="U245" s="39">
        <v>800</v>
      </c>
      <c r="V245" s="32">
        <v>600</v>
      </c>
      <c r="W245" s="33"/>
      <c r="X245" s="32"/>
      <c r="Y245" s="32"/>
      <c r="Z245" s="32"/>
      <c r="AA245" s="34"/>
      <c r="AB245" s="35">
        <f t="shared" si="30"/>
        <v>1400</v>
      </c>
      <c r="AC245" s="75">
        <f t="shared" si="31"/>
        <v>112000</v>
      </c>
      <c r="AD245" s="78">
        <f t="shared" si="32"/>
        <v>84000</v>
      </c>
      <c r="AE245" s="72">
        <f t="shared" si="33"/>
        <v>196000</v>
      </c>
      <c r="AF245" s="75">
        <f t="shared" si="34"/>
        <v>24137.279999999999</v>
      </c>
      <c r="AG245" s="78">
        <f t="shared" si="35"/>
        <v>18102.96</v>
      </c>
      <c r="AH245" s="72">
        <f t="shared" si="36"/>
        <v>42240.24</v>
      </c>
      <c r="AI245" s="75">
        <f t="shared" si="37"/>
        <v>16640</v>
      </c>
      <c r="AJ245" s="78">
        <f t="shared" si="38"/>
        <v>12480</v>
      </c>
      <c r="AK245" s="72">
        <f t="shared" si="39"/>
        <v>29120</v>
      </c>
    </row>
    <row r="246" spans="1:37" ht="15.95" customHeight="1">
      <c r="A246" s="25" t="s">
        <v>702</v>
      </c>
      <c r="B246" s="25" t="s">
        <v>463</v>
      </c>
      <c r="C246" s="26" t="s">
        <v>21</v>
      </c>
      <c r="D246" s="26" t="s">
        <v>10</v>
      </c>
      <c r="E246" s="26" t="s">
        <v>16</v>
      </c>
      <c r="F246" s="26" t="s">
        <v>867</v>
      </c>
      <c r="G246" s="26"/>
      <c r="H246" s="27" t="s">
        <v>865</v>
      </c>
      <c r="I246" s="26" t="s">
        <v>27</v>
      </c>
      <c r="J246" s="28" t="s">
        <v>43</v>
      </c>
      <c r="K246" s="123">
        <v>125</v>
      </c>
      <c r="L246" s="29">
        <v>25.462499999999999</v>
      </c>
      <c r="M246" s="110">
        <v>17.5</v>
      </c>
      <c r="N246" s="30">
        <v>0.28199999999999997</v>
      </c>
      <c r="O246" s="116">
        <v>4.9349999999999996</v>
      </c>
      <c r="P246" s="30">
        <v>7.4999999999999997E-2</v>
      </c>
      <c r="Q246" s="116">
        <v>1.3125</v>
      </c>
      <c r="R246" s="30">
        <v>7.0000000000000007E-2</v>
      </c>
      <c r="S246" s="116">
        <v>1.2250000000000001</v>
      </c>
      <c r="T246" s="117">
        <v>0.49</v>
      </c>
      <c r="U246" s="39">
        <v>800</v>
      </c>
      <c r="V246" s="32">
        <v>600</v>
      </c>
      <c r="W246" s="33"/>
      <c r="X246" s="32"/>
      <c r="Y246" s="32"/>
      <c r="Z246" s="32"/>
      <c r="AA246" s="34"/>
      <c r="AB246" s="35">
        <f t="shared" si="30"/>
        <v>1400</v>
      </c>
      <c r="AC246" s="75">
        <f t="shared" si="31"/>
        <v>100000</v>
      </c>
      <c r="AD246" s="78">
        <f t="shared" si="32"/>
        <v>75000</v>
      </c>
      <c r="AE246" s="72">
        <f t="shared" si="33"/>
        <v>175000</v>
      </c>
      <c r="AF246" s="75">
        <f t="shared" si="34"/>
        <v>20370</v>
      </c>
      <c r="AG246" s="78">
        <f t="shared" si="35"/>
        <v>15277.5</v>
      </c>
      <c r="AH246" s="72">
        <f t="shared" si="36"/>
        <v>35647.5</v>
      </c>
      <c r="AI246" s="75">
        <f t="shared" si="37"/>
        <v>14000</v>
      </c>
      <c r="AJ246" s="78">
        <f t="shared" si="38"/>
        <v>10500</v>
      </c>
      <c r="AK246" s="72">
        <f t="shared" si="39"/>
        <v>24500</v>
      </c>
    </row>
    <row r="247" spans="1:37" ht="15.95" customHeight="1">
      <c r="A247" s="25" t="s">
        <v>702</v>
      </c>
      <c r="B247" s="25" t="s">
        <v>463</v>
      </c>
      <c r="C247" s="26" t="s">
        <v>14</v>
      </c>
      <c r="D247" s="26" t="s">
        <v>10</v>
      </c>
      <c r="E247" s="26" t="s">
        <v>16</v>
      </c>
      <c r="F247" s="26" t="s">
        <v>866</v>
      </c>
      <c r="G247" s="26"/>
      <c r="H247" s="27" t="s">
        <v>850</v>
      </c>
      <c r="I247" s="26" t="s">
        <v>27</v>
      </c>
      <c r="J247" s="28" t="s">
        <v>41</v>
      </c>
      <c r="K247" s="123">
        <v>140</v>
      </c>
      <c r="L247" s="29">
        <v>30.171599999999998</v>
      </c>
      <c r="M247" s="110">
        <v>20.8</v>
      </c>
      <c r="N247" s="30">
        <v>0.28199999999999997</v>
      </c>
      <c r="O247" s="116">
        <v>5.8655999999999997</v>
      </c>
      <c r="P247" s="30">
        <v>7.4999999999999997E-2</v>
      </c>
      <c r="Q247" s="116">
        <v>1.56</v>
      </c>
      <c r="R247" s="30">
        <v>7.0000000000000007E-2</v>
      </c>
      <c r="S247" s="116">
        <v>1.4560000000000002</v>
      </c>
      <c r="T247" s="117">
        <v>0.49</v>
      </c>
      <c r="U247" s="39">
        <v>400</v>
      </c>
      <c r="V247" s="32">
        <v>250</v>
      </c>
      <c r="W247" s="33"/>
      <c r="X247" s="32"/>
      <c r="Y247" s="32"/>
      <c r="Z247" s="32"/>
      <c r="AA247" s="34"/>
      <c r="AB247" s="35">
        <f t="shared" si="30"/>
        <v>650</v>
      </c>
      <c r="AC247" s="75">
        <f t="shared" si="31"/>
        <v>56000</v>
      </c>
      <c r="AD247" s="78">
        <f t="shared" si="32"/>
        <v>35000</v>
      </c>
      <c r="AE247" s="72">
        <f t="shared" si="33"/>
        <v>91000</v>
      </c>
      <c r="AF247" s="75">
        <f t="shared" si="34"/>
        <v>12068.64</v>
      </c>
      <c r="AG247" s="78">
        <f t="shared" si="35"/>
        <v>7542.9</v>
      </c>
      <c r="AH247" s="72">
        <f t="shared" si="36"/>
        <v>19611.54</v>
      </c>
      <c r="AI247" s="75">
        <f t="shared" si="37"/>
        <v>8320</v>
      </c>
      <c r="AJ247" s="78">
        <f t="shared" si="38"/>
        <v>5200</v>
      </c>
      <c r="AK247" s="72">
        <f t="shared" si="39"/>
        <v>13520</v>
      </c>
    </row>
    <row r="248" spans="1:37" ht="15.95" customHeight="1">
      <c r="A248" s="25" t="s">
        <v>702</v>
      </c>
      <c r="B248" s="25" t="s">
        <v>463</v>
      </c>
      <c r="C248" s="26" t="s">
        <v>21</v>
      </c>
      <c r="D248" s="26" t="s">
        <v>10</v>
      </c>
      <c r="E248" s="26" t="s">
        <v>16</v>
      </c>
      <c r="F248" s="26" t="s">
        <v>867</v>
      </c>
      <c r="G248" s="26"/>
      <c r="H248" s="27" t="s">
        <v>865</v>
      </c>
      <c r="I248" s="26" t="s">
        <v>27</v>
      </c>
      <c r="J248" s="28" t="s">
        <v>43</v>
      </c>
      <c r="K248" s="123">
        <v>125</v>
      </c>
      <c r="L248" s="29">
        <v>25.462499999999999</v>
      </c>
      <c r="M248" s="110">
        <v>17.5</v>
      </c>
      <c r="N248" s="30">
        <v>0.28199999999999997</v>
      </c>
      <c r="O248" s="116">
        <v>4.9349999999999996</v>
      </c>
      <c r="P248" s="30">
        <v>7.4999999999999997E-2</v>
      </c>
      <c r="Q248" s="116">
        <v>1.3125</v>
      </c>
      <c r="R248" s="30">
        <v>7.0000000000000007E-2</v>
      </c>
      <c r="S248" s="116">
        <v>1.2250000000000001</v>
      </c>
      <c r="T248" s="117">
        <v>0.49</v>
      </c>
      <c r="U248" s="39">
        <v>400</v>
      </c>
      <c r="V248" s="32">
        <v>250</v>
      </c>
      <c r="W248" s="33"/>
      <c r="X248" s="32"/>
      <c r="Y248" s="32"/>
      <c r="Z248" s="32"/>
      <c r="AA248" s="34"/>
      <c r="AB248" s="35">
        <f t="shared" si="30"/>
        <v>650</v>
      </c>
      <c r="AC248" s="75">
        <f t="shared" si="31"/>
        <v>50000</v>
      </c>
      <c r="AD248" s="78">
        <f t="shared" si="32"/>
        <v>31250</v>
      </c>
      <c r="AE248" s="72">
        <f t="shared" si="33"/>
        <v>81250</v>
      </c>
      <c r="AF248" s="75">
        <f t="shared" si="34"/>
        <v>10185</v>
      </c>
      <c r="AG248" s="78">
        <f t="shared" si="35"/>
        <v>6365.625</v>
      </c>
      <c r="AH248" s="72">
        <f t="shared" si="36"/>
        <v>16550.625</v>
      </c>
      <c r="AI248" s="75">
        <f t="shared" si="37"/>
        <v>7000</v>
      </c>
      <c r="AJ248" s="78">
        <f t="shared" si="38"/>
        <v>4375</v>
      </c>
      <c r="AK248" s="72">
        <f t="shared" si="39"/>
        <v>11375</v>
      </c>
    </row>
    <row r="249" spans="1:37" ht="15.95" customHeight="1">
      <c r="A249" s="14" t="s">
        <v>702</v>
      </c>
      <c r="B249" s="14" t="s">
        <v>252</v>
      </c>
      <c r="C249" s="15" t="s">
        <v>14</v>
      </c>
      <c r="D249" s="15" t="s">
        <v>375</v>
      </c>
      <c r="E249" s="15" t="s">
        <v>16</v>
      </c>
      <c r="F249" s="15" t="s">
        <v>868</v>
      </c>
      <c r="G249" s="15"/>
      <c r="H249" s="16" t="s">
        <v>869</v>
      </c>
      <c r="I249" s="15" t="s">
        <v>27</v>
      </c>
      <c r="J249" s="17" t="s">
        <v>261</v>
      </c>
      <c r="K249" s="122">
        <v>150</v>
      </c>
      <c r="L249" s="18">
        <v>27.602999999999998</v>
      </c>
      <c r="M249" s="109">
        <v>19</v>
      </c>
      <c r="N249" s="19">
        <v>0.28199999999999997</v>
      </c>
      <c r="O249" s="114">
        <v>5.3579999999999997</v>
      </c>
      <c r="P249" s="19">
        <v>7.4999999999999997E-2</v>
      </c>
      <c r="Q249" s="114">
        <v>1.425</v>
      </c>
      <c r="R249" s="19">
        <v>7.0000000000000007E-2</v>
      </c>
      <c r="S249" s="114">
        <v>1.33</v>
      </c>
      <c r="T249" s="115">
        <v>0.49</v>
      </c>
      <c r="U249" s="20">
        <v>350</v>
      </c>
      <c r="V249" s="21">
        <v>150</v>
      </c>
      <c r="W249" s="22"/>
      <c r="X249" s="21"/>
      <c r="Y249" s="21"/>
      <c r="Z249" s="21"/>
      <c r="AA249" s="23"/>
      <c r="AB249" s="24">
        <f>SUM(U249:AA249)</f>
        <v>500</v>
      </c>
      <c r="AC249" s="74">
        <f>$K249*U249</f>
        <v>52500</v>
      </c>
      <c r="AD249" s="77">
        <f>$K249*SUM(V249:AA249)</f>
        <v>22500</v>
      </c>
      <c r="AE249" s="71">
        <f>SUM(AC249:AD249)</f>
        <v>75000</v>
      </c>
      <c r="AF249" s="74">
        <f>$L249*U249</f>
        <v>9661.0499999999993</v>
      </c>
      <c r="AG249" s="77">
        <f>$L249*SUM(V249:W249)+M249*SUM(X249:AA249)</f>
        <v>4140.45</v>
      </c>
      <c r="AH249" s="71">
        <f>SUM(AF249:AG249)</f>
        <v>13801.5</v>
      </c>
      <c r="AI249" s="74">
        <f>$M249*U249</f>
        <v>6650</v>
      </c>
      <c r="AJ249" s="77">
        <f>$M249*SUM(V249:AA249)</f>
        <v>2850</v>
      </c>
      <c r="AK249" s="71">
        <f>SUM(AI249:AJ249)</f>
        <v>9500</v>
      </c>
    </row>
    <row r="250" spans="1:37" ht="15.95" customHeight="1">
      <c r="A250" s="25" t="s">
        <v>702</v>
      </c>
      <c r="B250" s="25" t="s">
        <v>252</v>
      </c>
      <c r="C250" s="26" t="s">
        <v>21</v>
      </c>
      <c r="D250" s="26" t="s">
        <v>375</v>
      </c>
      <c r="E250" s="26" t="s">
        <v>16</v>
      </c>
      <c r="F250" s="26" t="s">
        <v>870</v>
      </c>
      <c r="G250" s="26"/>
      <c r="H250" s="27" t="s">
        <v>739</v>
      </c>
      <c r="I250" s="26" t="s">
        <v>27</v>
      </c>
      <c r="J250" s="28" t="s">
        <v>265</v>
      </c>
      <c r="K250" s="123">
        <v>125</v>
      </c>
      <c r="L250" s="29">
        <v>23.321999999999999</v>
      </c>
      <c r="M250" s="110">
        <v>16</v>
      </c>
      <c r="N250" s="30">
        <v>0.28199999999999997</v>
      </c>
      <c r="O250" s="116">
        <v>4.5119999999999996</v>
      </c>
      <c r="P250" s="30">
        <v>7.4999999999999997E-2</v>
      </c>
      <c r="Q250" s="116">
        <v>1.2</v>
      </c>
      <c r="R250" s="30">
        <v>7.0000000000000007E-2</v>
      </c>
      <c r="S250" s="116">
        <v>1.1200000000000001</v>
      </c>
      <c r="T250" s="117">
        <v>0.49</v>
      </c>
      <c r="U250" s="31">
        <v>350</v>
      </c>
      <c r="V250" s="32">
        <v>150</v>
      </c>
      <c r="W250" s="33"/>
      <c r="X250" s="32"/>
      <c r="Y250" s="32"/>
      <c r="Z250" s="32"/>
      <c r="AA250" s="34"/>
      <c r="AB250" s="35">
        <f t="shared" ref="AB250:AB313" si="40">SUM(U250:AA250)</f>
        <v>500</v>
      </c>
      <c r="AC250" s="75">
        <f t="shared" ref="AC250:AC313" si="41">$K250*U250</f>
        <v>43750</v>
      </c>
      <c r="AD250" s="78">
        <f t="shared" ref="AD250:AD313" si="42">$K250*SUM(V250:AA250)</f>
        <v>18750</v>
      </c>
      <c r="AE250" s="72">
        <f t="shared" ref="AE250:AE313" si="43">SUM(AC250:AD250)</f>
        <v>62500</v>
      </c>
      <c r="AF250" s="75">
        <f t="shared" ref="AF250:AF313" si="44">$L250*U250</f>
        <v>8162.7</v>
      </c>
      <c r="AG250" s="78">
        <f t="shared" ref="AG250:AG313" si="45">$L250*SUM(V250:W250)+M250*SUM(X250:AA250)</f>
        <v>3498.2999999999997</v>
      </c>
      <c r="AH250" s="72">
        <f t="shared" ref="AH250:AH313" si="46">SUM(AF250:AG250)</f>
        <v>11661</v>
      </c>
      <c r="AI250" s="75">
        <f t="shared" ref="AI250:AI313" si="47">$M250*U250</f>
        <v>5600</v>
      </c>
      <c r="AJ250" s="78">
        <f t="shared" ref="AJ250:AJ313" si="48">$M250*SUM(V250:AA250)</f>
        <v>2400</v>
      </c>
      <c r="AK250" s="72">
        <f t="shared" ref="AK250:AK313" si="49">SUM(AI250:AJ250)</f>
        <v>8000</v>
      </c>
    </row>
    <row r="251" spans="1:37" ht="15.95" customHeight="1">
      <c r="A251" s="25" t="s">
        <v>702</v>
      </c>
      <c r="B251" s="25" t="s">
        <v>252</v>
      </c>
      <c r="C251" s="26" t="s">
        <v>14</v>
      </c>
      <c r="D251" s="26" t="s">
        <v>375</v>
      </c>
      <c r="E251" s="26" t="s">
        <v>16</v>
      </c>
      <c r="F251" s="26" t="s">
        <v>868</v>
      </c>
      <c r="G251" s="26"/>
      <c r="H251" s="27" t="s">
        <v>739</v>
      </c>
      <c r="I251" s="26" t="s">
        <v>27</v>
      </c>
      <c r="J251" s="28" t="s">
        <v>261</v>
      </c>
      <c r="K251" s="123">
        <v>150</v>
      </c>
      <c r="L251" s="29">
        <v>27.602999999999998</v>
      </c>
      <c r="M251" s="110">
        <v>19</v>
      </c>
      <c r="N251" s="30">
        <v>0.28199999999999997</v>
      </c>
      <c r="O251" s="116">
        <v>5.3579999999999997</v>
      </c>
      <c r="P251" s="30">
        <v>7.4999999999999997E-2</v>
      </c>
      <c r="Q251" s="116">
        <v>1.425</v>
      </c>
      <c r="R251" s="30">
        <v>7.0000000000000007E-2</v>
      </c>
      <c r="S251" s="116">
        <v>1.33</v>
      </c>
      <c r="T251" s="117">
        <v>0.49</v>
      </c>
      <c r="U251" s="31">
        <v>350</v>
      </c>
      <c r="V251" s="32">
        <v>150</v>
      </c>
      <c r="W251" s="33"/>
      <c r="X251" s="32"/>
      <c r="Y251" s="32"/>
      <c r="Z251" s="32"/>
      <c r="AA251" s="34"/>
      <c r="AB251" s="35">
        <f t="shared" si="40"/>
        <v>500</v>
      </c>
      <c r="AC251" s="75">
        <f t="shared" si="41"/>
        <v>52500</v>
      </c>
      <c r="AD251" s="78">
        <f t="shared" si="42"/>
        <v>22500</v>
      </c>
      <c r="AE251" s="72">
        <f t="shared" si="43"/>
        <v>75000</v>
      </c>
      <c r="AF251" s="75">
        <f t="shared" si="44"/>
        <v>9661.0499999999993</v>
      </c>
      <c r="AG251" s="78">
        <f t="shared" si="45"/>
        <v>4140.45</v>
      </c>
      <c r="AH251" s="72">
        <f t="shared" si="46"/>
        <v>13801.5</v>
      </c>
      <c r="AI251" s="75">
        <f t="shared" si="47"/>
        <v>6650</v>
      </c>
      <c r="AJ251" s="78">
        <f t="shared" si="48"/>
        <v>2850</v>
      </c>
      <c r="AK251" s="72">
        <f t="shared" si="49"/>
        <v>9500</v>
      </c>
    </row>
    <row r="252" spans="1:37" ht="15.95" customHeight="1">
      <c r="A252" s="25" t="s">
        <v>702</v>
      </c>
      <c r="B252" s="25" t="s">
        <v>252</v>
      </c>
      <c r="C252" s="26" t="s">
        <v>21</v>
      </c>
      <c r="D252" s="26" t="s">
        <v>375</v>
      </c>
      <c r="E252" s="26" t="s">
        <v>16</v>
      </c>
      <c r="F252" s="26" t="s">
        <v>870</v>
      </c>
      <c r="G252" s="26"/>
      <c r="H252" s="27" t="s">
        <v>739</v>
      </c>
      <c r="I252" s="26" t="s">
        <v>27</v>
      </c>
      <c r="J252" s="28" t="s">
        <v>265</v>
      </c>
      <c r="K252" s="123">
        <v>125</v>
      </c>
      <c r="L252" s="29">
        <v>23.321999999999999</v>
      </c>
      <c r="M252" s="110">
        <v>16</v>
      </c>
      <c r="N252" s="30">
        <v>0.28199999999999997</v>
      </c>
      <c r="O252" s="116">
        <v>4.5119999999999996</v>
      </c>
      <c r="P252" s="30">
        <v>7.4999999999999997E-2</v>
      </c>
      <c r="Q252" s="116">
        <v>1.2</v>
      </c>
      <c r="R252" s="30">
        <v>7.0000000000000007E-2</v>
      </c>
      <c r="S252" s="116">
        <v>1.1200000000000001</v>
      </c>
      <c r="T252" s="117">
        <v>0.49</v>
      </c>
      <c r="U252" s="31">
        <v>350</v>
      </c>
      <c r="V252" s="32">
        <v>150</v>
      </c>
      <c r="W252" s="33"/>
      <c r="X252" s="32"/>
      <c r="Y252" s="32"/>
      <c r="Z252" s="32"/>
      <c r="AA252" s="34"/>
      <c r="AB252" s="35">
        <f t="shared" si="40"/>
        <v>500</v>
      </c>
      <c r="AC252" s="75">
        <f t="shared" si="41"/>
        <v>43750</v>
      </c>
      <c r="AD252" s="78">
        <f t="shared" si="42"/>
        <v>18750</v>
      </c>
      <c r="AE252" s="72">
        <f t="shared" si="43"/>
        <v>62500</v>
      </c>
      <c r="AF252" s="75">
        <f t="shared" si="44"/>
        <v>8162.7</v>
      </c>
      <c r="AG252" s="78">
        <f t="shared" si="45"/>
        <v>3498.2999999999997</v>
      </c>
      <c r="AH252" s="72">
        <f t="shared" si="46"/>
        <v>11661</v>
      </c>
      <c r="AI252" s="75">
        <f t="shared" si="47"/>
        <v>5600</v>
      </c>
      <c r="AJ252" s="78">
        <f t="shared" si="48"/>
        <v>2400</v>
      </c>
      <c r="AK252" s="72">
        <f t="shared" si="49"/>
        <v>8000</v>
      </c>
    </row>
    <row r="253" spans="1:37" ht="15.95" customHeight="1">
      <c r="A253" s="25" t="s">
        <v>702</v>
      </c>
      <c r="B253" s="25" t="s">
        <v>252</v>
      </c>
      <c r="C253" s="26" t="s">
        <v>468</v>
      </c>
      <c r="D253" s="26" t="s">
        <v>213</v>
      </c>
      <c r="E253" s="26" t="s">
        <v>214</v>
      </c>
      <c r="F253" s="26" t="s">
        <v>871</v>
      </c>
      <c r="G253" s="36"/>
      <c r="H253" s="27" t="s">
        <v>707</v>
      </c>
      <c r="I253" s="26" t="s">
        <v>27</v>
      </c>
      <c r="J253" s="28" t="s">
        <v>340</v>
      </c>
      <c r="K253" s="123">
        <v>88</v>
      </c>
      <c r="L253" s="29">
        <v>14.620000000000001</v>
      </c>
      <c r="M253" s="110">
        <v>12</v>
      </c>
      <c r="N253" s="30">
        <v>0.16500000000000001</v>
      </c>
      <c r="O253" s="116">
        <v>1.98</v>
      </c>
      <c r="P253" s="30"/>
      <c r="Q253" s="116"/>
      <c r="R253" s="30">
        <v>7.0000000000000007E-2</v>
      </c>
      <c r="S253" s="116">
        <v>0.15</v>
      </c>
      <c r="T253" s="117">
        <v>0.49</v>
      </c>
      <c r="U253" s="31">
        <v>250</v>
      </c>
      <c r="V253" s="32">
        <v>250</v>
      </c>
      <c r="W253" s="33"/>
      <c r="X253" s="32"/>
      <c r="Y253" s="32"/>
      <c r="Z253" s="32"/>
      <c r="AA253" s="34"/>
      <c r="AB253" s="35">
        <f t="shared" si="40"/>
        <v>500</v>
      </c>
      <c r="AC253" s="75">
        <f t="shared" si="41"/>
        <v>22000</v>
      </c>
      <c r="AD253" s="78">
        <f t="shared" si="42"/>
        <v>22000</v>
      </c>
      <c r="AE253" s="72">
        <f t="shared" si="43"/>
        <v>44000</v>
      </c>
      <c r="AF253" s="75">
        <f t="shared" si="44"/>
        <v>3655.0000000000005</v>
      </c>
      <c r="AG253" s="78">
        <f t="shared" si="45"/>
        <v>3655.0000000000005</v>
      </c>
      <c r="AH253" s="72">
        <f t="shared" si="46"/>
        <v>7310.0000000000009</v>
      </c>
      <c r="AI253" s="75">
        <f t="shared" si="47"/>
        <v>3000</v>
      </c>
      <c r="AJ253" s="78">
        <f t="shared" si="48"/>
        <v>3000</v>
      </c>
      <c r="AK253" s="72">
        <f t="shared" si="49"/>
        <v>6000</v>
      </c>
    </row>
    <row r="254" spans="1:37" ht="15.95" customHeight="1">
      <c r="A254" s="25" t="s">
        <v>702</v>
      </c>
      <c r="B254" s="25" t="s">
        <v>252</v>
      </c>
      <c r="C254" s="26" t="s">
        <v>81</v>
      </c>
      <c r="D254" s="26" t="s">
        <v>213</v>
      </c>
      <c r="E254" s="26" t="s">
        <v>214</v>
      </c>
      <c r="F254" s="26" t="s">
        <v>872</v>
      </c>
      <c r="G254" s="36"/>
      <c r="H254" s="27" t="s">
        <v>705</v>
      </c>
      <c r="I254" s="26" t="s">
        <v>27</v>
      </c>
      <c r="J254" s="28" t="s">
        <v>349</v>
      </c>
      <c r="K254" s="123">
        <v>88</v>
      </c>
      <c r="L254" s="29">
        <v>16.658749999999998</v>
      </c>
      <c r="M254" s="110">
        <v>13.75</v>
      </c>
      <c r="N254" s="30">
        <v>0.16500000000000001</v>
      </c>
      <c r="O254" s="116">
        <v>2.2687500000000003</v>
      </c>
      <c r="P254" s="30"/>
      <c r="Q254" s="116"/>
      <c r="R254" s="30">
        <v>7.0000000000000007E-2</v>
      </c>
      <c r="S254" s="116">
        <v>0.15</v>
      </c>
      <c r="T254" s="117">
        <v>0.49</v>
      </c>
      <c r="U254" s="31">
        <v>250</v>
      </c>
      <c r="V254" s="32">
        <v>250</v>
      </c>
      <c r="W254" s="33"/>
      <c r="X254" s="32"/>
      <c r="Y254" s="32"/>
      <c r="Z254" s="32"/>
      <c r="AA254" s="34"/>
      <c r="AB254" s="35">
        <f t="shared" si="40"/>
        <v>500</v>
      </c>
      <c r="AC254" s="75">
        <f t="shared" si="41"/>
        <v>22000</v>
      </c>
      <c r="AD254" s="78">
        <f t="shared" si="42"/>
        <v>22000</v>
      </c>
      <c r="AE254" s="72">
        <f t="shared" si="43"/>
        <v>44000</v>
      </c>
      <c r="AF254" s="75">
        <f t="shared" si="44"/>
        <v>4164.6874999999991</v>
      </c>
      <c r="AG254" s="78">
        <f t="shared" si="45"/>
        <v>4164.6874999999991</v>
      </c>
      <c r="AH254" s="72">
        <f t="shared" si="46"/>
        <v>8329.3749999999982</v>
      </c>
      <c r="AI254" s="75">
        <f t="shared" si="47"/>
        <v>3437.5</v>
      </c>
      <c r="AJ254" s="78">
        <f t="shared" si="48"/>
        <v>3437.5</v>
      </c>
      <c r="AK254" s="72">
        <f t="shared" si="49"/>
        <v>6875</v>
      </c>
    </row>
    <row r="255" spans="1:37" ht="15.95" customHeight="1">
      <c r="A255" s="25" t="s">
        <v>702</v>
      </c>
      <c r="B255" s="25" t="s">
        <v>252</v>
      </c>
      <c r="C255" s="26" t="s">
        <v>468</v>
      </c>
      <c r="D255" s="26" t="s">
        <v>213</v>
      </c>
      <c r="E255" s="26" t="s">
        <v>214</v>
      </c>
      <c r="F255" s="26" t="s">
        <v>871</v>
      </c>
      <c r="G255" s="26"/>
      <c r="H255" s="27" t="s">
        <v>707</v>
      </c>
      <c r="I255" s="26" t="s">
        <v>27</v>
      </c>
      <c r="J255" s="37" t="s">
        <v>340</v>
      </c>
      <c r="K255" s="123">
        <v>88</v>
      </c>
      <c r="L255" s="29">
        <v>14.620000000000001</v>
      </c>
      <c r="M255" s="110">
        <v>12</v>
      </c>
      <c r="N255" s="30">
        <v>0.16500000000000001</v>
      </c>
      <c r="O255" s="116">
        <v>1.98</v>
      </c>
      <c r="P255" s="30"/>
      <c r="Q255" s="116"/>
      <c r="R255" s="30">
        <v>7.0000000000000007E-2</v>
      </c>
      <c r="S255" s="116">
        <v>0.15</v>
      </c>
      <c r="T255" s="117">
        <v>0.49</v>
      </c>
      <c r="U255" s="31">
        <v>250</v>
      </c>
      <c r="V255" s="32">
        <v>250</v>
      </c>
      <c r="W255" s="33"/>
      <c r="X255" s="32"/>
      <c r="Y255" s="32"/>
      <c r="Z255" s="32"/>
      <c r="AA255" s="34"/>
      <c r="AB255" s="35">
        <f t="shared" si="40"/>
        <v>500</v>
      </c>
      <c r="AC255" s="75">
        <f t="shared" si="41"/>
        <v>22000</v>
      </c>
      <c r="AD255" s="78">
        <f t="shared" si="42"/>
        <v>22000</v>
      </c>
      <c r="AE255" s="72">
        <f t="shared" si="43"/>
        <v>44000</v>
      </c>
      <c r="AF255" s="75">
        <f t="shared" si="44"/>
        <v>3655.0000000000005</v>
      </c>
      <c r="AG255" s="78">
        <f t="shared" si="45"/>
        <v>3655.0000000000005</v>
      </c>
      <c r="AH255" s="72">
        <f t="shared" si="46"/>
        <v>7310.0000000000009</v>
      </c>
      <c r="AI255" s="75">
        <f t="shared" si="47"/>
        <v>3000</v>
      </c>
      <c r="AJ255" s="78">
        <f t="shared" si="48"/>
        <v>3000</v>
      </c>
      <c r="AK255" s="72">
        <f t="shared" si="49"/>
        <v>6000</v>
      </c>
    </row>
    <row r="256" spans="1:37" ht="15.95" customHeight="1">
      <c r="A256" s="25" t="s">
        <v>702</v>
      </c>
      <c r="B256" s="25" t="s">
        <v>252</v>
      </c>
      <c r="C256" s="26" t="s">
        <v>81</v>
      </c>
      <c r="D256" s="26" t="s">
        <v>213</v>
      </c>
      <c r="E256" s="26" t="s">
        <v>214</v>
      </c>
      <c r="F256" s="26" t="s">
        <v>872</v>
      </c>
      <c r="G256" s="26"/>
      <c r="H256" s="27" t="s">
        <v>705</v>
      </c>
      <c r="I256" s="26" t="s">
        <v>27</v>
      </c>
      <c r="J256" s="37" t="s">
        <v>349</v>
      </c>
      <c r="K256" s="123">
        <v>88</v>
      </c>
      <c r="L256" s="29">
        <v>16.658749999999998</v>
      </c>
      <c r="M256" s="110">
        <v>13.75</v>
      </c>
      <c r="N256" s="30">
        <v>0.16500000000000001</v>
      </c>
      <c r="O256" s="116">
        <v>2.2687500000000003</v>
      </c>
      <c r="P256" s="30"/>
      <c r="Q256" s="116"/>
      <c r="R256" s="30">
        <v>7.0000000000000007E-2</v>
      </c>
      <c r="S256" s="116">
        <v>0.15</v>
      </c>
      <c r="T256" s="117">
        <v>0.49</v>
      </c>
      <c r="U256" s="31">
        <v>250</v>
      </c>
      <c r="V256" s="32">
        <v>250</v>
      </c>
      <c r="W256" s="33"/>
      <c r="X256" s="32"/>
      <c r="Y256" s="32"/>
      <c r="Z256" s="32"/>
      <c r="AA256" s="34"/>
      <c r="AB256" s="35">
        <f t="shared" si="40"/>
        <v>500</v>
      </c>
      <c r="AC256" s="75">
        <f t="shared" si="41"/>
        <v>22000</v>
      </c>
      <c r="AD256" s="78">
        <f t="shared" si="42"/>
        <v>22000</v>
      </c>
      <c r="AE256" s="72">
        <f t="shared" si="43"/>
        <v>44000</v>
      </c>
      <c r="AF256" s="75">
        <f t="shared" si="44"/>
        <v>4164.6874999999991</v>
      </c>
      <c r="AG256" s="78">
        <f t="shared" si="45"/>
        <v>4164.6874999999991</v>
      </c>
      <c r="AH256" s="72">
        <f t="shared" si="46"/>
        <v>8329.3749999999982</v>
      </c>
      <c r="AI256" s="75">
        <f t="shared" si="47"/>
        <v>3437.5</v>
      </c>
      <c r="AJ256" s="78">
        <f t="shared" si="48"/>
        <v>3437.5</v>
      </c>
      <c r="AK256" s="72">
        <f t="shared" si="49"/>
        <v>6875</v>
      </c>
    </row>
    <row r="257" spans="1:37" ht="15.95" customHeight="1">
      <c r="A257" s="25" t="s">
        <v>702</v>
      </c>
      <c r="B257" s="25" t="s">
        <v>252</v>
      </c>
      <c r="C257" s="26" t="s">
        <v>14</v>
      </c>
      <c r="D257" s="26" t="s">
        <v>375</v>
      </c>
      <c r="E257" s="26" t="s">
        <v>16</v>
      </c>
      <c r="F257" s="26" t="s">
        <v>873</v>
      </c>
      <c r="G257" s="26"/>
      <c r="H257" s="27" t="s">
        <v>874</v>
      </c>
      <c r="I257" s="26" t="s">
        <v>27</v>
      </c>
      <c r="J257" s="28" t="s">
        <v>875</v>
      </c>
      <c r="K257" s="123">
        <v>135</v>
      </c>
      <c r="L257" s="29">
        <v>22.751999999999999</v>
      </c>
      <c r="M257" s="110">
        <v>18</v>
      </c>
      <c r="N257" s="30">
        <v>0.14899999999999999</v>
      </c>
      <c r="O257" s="116">
        <v>2.6819999999999999</v>
      </c>
      <c r="P257" s="30">
        <v>7.4999999999999997E-2</v>
      </c>
      <c r="Q257" s="116">
        <v>1.3499999999999999</v>
      </c>
      <c r="R257" s="30">
        <v>7.0000000000000007E-2</v>
      </c>
      <c r="S257" s="116">
        <v>0.23</v>
      </c>
      <c r="T257" s="117">
        <v>0.49</v>
      </c>
      <c r="U257" s="31">
        <v>250</v>
      </c>
      <c r="V257" s="32">
        <v>250</v>
      </c>
      <c r="W257" s="33"/>
      <c r="X257" s="32"/>
      <c r="Y257" s="32"/>
      <c r="Z257" s="32"/>
      <c r="AA257" s="34"/>
      <c r="AB257" s="35">
        <f t="shared" si="40"/>
        <v>500</v>
      </c>
      <c r="AC257" s="75">
        <f t="shared" si="41"/>
        <v>33750</v>
      </c>
      <c r="AD257" s="78">
        <f t="shared" si="42"/>
        <v>33750</v>
      </c>
      <c r="AE257" s="72">
        <f t="shared" si="43"/>
        <v>67500</v>
      </c>
      <c r="AF257" s="75">
        <f t="shared" si="44"/>
        <v>5688</v>
      </c>
      <c r="AG257" s="78">
        <f t="shared" si="45"/>
        <v>5688</v>
      </c>
      <c r="AH257" s="72">
        <f t="shared" si="46"/>
        <v>11376</v>
      </c>
      <c r="AI257" s="75">
        <f t="shared" si="47"/>
        <v>4500</v>
      </c>
      <c r="AJ257" s="78">
        <f t="shared" si="48"/>
        <v>4500</v>
      </c>
      <c r="AK257" s="72">
        <f t="shared" si="49"/>
        <v>9000</v>
      </c>
    </row>
    <row r="258" spans="1:37" ht="15.95" customHeight="1">
      <c r="A258" s="25" t="s">
        <v>702</v>
      </c>
      <c r="B258" s="25" t="s">
        <v>252</v>
      </c>
      <c r="C258" s="26" t="s">
        <v>293</v>
      </c>
      <c r="D258" s="26" t="s">
        <v>375</v>
      </c>
      <c r="E258" s="26" t="s">
        <v>16</v>
      </c>
      <c r="F258" s="26" t="s">
        <v>876</v>
      </c>
      <c r="G258" s="36"/>
      <c r="H258" s="27" t="s">
        <v>877</v>
      </c>
      <c r="I258" s="26" t="s">
        <v>27</v>
      </c>
      <c r="J258" s="28" t="s">
        <v>295</v>
      </c>
      <c r="K258" s="123">
        <v>108</v>
      </c>
      <c r="L258" s="29">
        <v>17.320499999999999</v>
      </c>
      <c r="M258" s="110">
        <v>13.95</v>
      </c>
      <c r="N258" s="30">
        <v>0.115</v>
      </c>
      <c r="O258" s="116">
        <v>1.60425</v>
      </c>
      <c r="P258" s="30">
        <v>7.4999999999999997E-2</v>
      </c>
      <c r="Q258" s="116">
        <v>1.0462499999999999</v>
      </c>
      <c r="R258" s="30">
        <v>7.0000000000000007E-2</v>
      </c>
      <c r="S258" s="116">
        <v>0.23</v>
      </c>
      <c r="T258" s="117">
        <v>0.49</v>
      </c>
      <c r="U258" s="31">
        <v>250</v>
      </c>
      <c r="V258" s="32">
        <v>250</v>
      </c>
      <c r="W258" s="33"/>
      <c r="X258" s="32"/>
      <c r="Y258" s="32"/>
      <c r="Z258" s="32"/>
      <c r="AA258" s="34"/>
      <c r="AB258" s="35">
        <f t="shared" si="40"/>
        <v>500</v>
      </c>
      <c r="AC258" s="75">
        <f t="shared" si="41"/>
        <v>27000</v>
      </c>
      <c r="AD258" s="78">
        <f t="shared" si="42"/>
        <v>27000</v>
      </c>
      <c r="AE258" s="72">
        <f t="shared" si="43"/>
        <v>54000</v>
      </c>
      <c r="AF258" s="75">
        <f t="shared" si="44"/>
        <v>4330.125</v>
      </c>
      <c r="AG258" s="78">
        <f t="shared" si="45"/>
        <v>4330.125</v>
      </c>
      <c r="AH258" s="72">
        <f t="shared" si="46"/>
        <v>8660.25</v>
      </c>
      <c r="AI258" s="75">
        <f t="shared" si="47"/>
        <v>3487.5</v>
      </c>
      <c r="AJ258" s="78">
        <f t="shared" si="48"/>
        <v>3487.5</v>
      </c>
      <c r="AK258" s="72">
        <f t="shared" si="49"/>
        <v>6975</v>
      </c>
    </row>
    <row r="259" spans="1:37" ht="15.95" customHeight="1">
      <c r="A259" s="25" t="s">
        <v>702</v>
      </c>
      <c r="B259" s="25" t="s">
        <v>252</v>
      </c>
      <c r="C259" s="26" t="s">
        <v>262</v>
      </c>
      <c r="D259" s="26" t="s">
        <v>375</v>
      </c>
      <c r="E259" s="26" t="s">
        <v>16</v>
      </c>
      <c r="F259" s="26" t="s">
        <v>878</v>
      </c>
      <c r="G259" s="36"/>
      <c r="H259" s="27" t="s">
        <v>877</v>
      </c>
      <c r="I259" s="26" t="s">
        <v>27</v>
      </c>
      <c r="J259" s="28" t="s">
        <v>879</v>
      </c>
      <c r="K259" s="123">
        <v>68</v>
      </c>
      <c r="L259" s="29">
        <v>10.950000000000001</v>
      </c>
      <c r="M259" s="110">
        <v>8.25</v>
      </c>
      <c r="N259" s="30">
        <v>0.16500000000000001</v>
      </c>
      <c r="O259" s="116">
        <v>1.3612500000000001</v>
      </c>
      <c r="P259" s="30">
        <v>7.4999999999999997E-2</v>
      </c>
      <c r="Q259" s="116">
        <v>0.61875000000000002</v>
      </c>
      <c r="R259" s="30">
        <v>7.0000000000000007E-2</v>
      </c>
      <c r="S259" s="116">
        <v>0.23</v>
      </c>
      <c r="T259" s="117">
        <v>0.49</v>
      </c>
      <c r="U259" s="31">
        <v>250</v>
      </c>
      <c r="V259" s="32">
        <v>250</v>
      </c>
      <c r="W259" s="33"/>
      <c r="X259" s="32"/>
      <c r="Y259" s="32"/>
      <c r="Z259" s="32"/>
      <c r="AA259" s="34"/>
      <c r="AB259" s="35">
        <f t="shared" si="40"/>
        <v>500</v>
      </c>
      <c r="AC259" s="75">
        <f t="shared" si="41"/>
        <v>17000</v>
      </c>
      <c r="AD259" s="78">
        <f t="shared" si="42"/>
        <v>17000</v>
      </c>
      <c r="AE259" s="72">
        <f t="shared" si="43"/>
        <v>34000</v>
      </c>
      <c r="AF259" s="75">
        <f t="shared" si="44"/>
        <v>2737.5000000000005</v>
      </c>
      <c r="AG259" s="78">
        <f t="shared" si="45"/>
        <v>2737.5000000000005</v>
      </c>
      <c r="AH259" s="72">
        <f t="shared" si="46"/>
        <v>5475.0000000000009</v>
      </c>
      <c r="AI259" s="75">
        <f t="shared" si="47"/>
        <v>2062.5</v>
      </c>
      <c r="AJ259" s="78">
        <f t="shared" si="48"/>
        <v>2062.5</v>
      </c>
      <c r="AK259" s="72">
        <f t="shared" si="49"/>
        <v>4125</v>
      </c>
    </row>
    <row r="260" spans="1:37" ht="15.95" customHeight="1">
      <c r="A260" s="25" t="s">
        <v>702</v>
      </c>
      <c r="B260" s="25" t="s">
        <v>252</v>
      </c>
      <c r="C260" s="26" t="s">
        <v>267</v>
      </c>
      <c r="D260" s="26" t="s">
        <v>375</v>
      </c>
      <c r="E260" s="26" t="s">
        <v>16</v>
      </c>
      <c r="F260" s="26" t="s">
        <v>880</v>
      </c>
      <c r="G260" s="36"/>
      <c r="H260" s="27" t="s">
        <v>877</v>
      </c>
      <c r="I260" s="26" t="s">
        <v>27</v>
      </c>
      <c r="J260" s="28" t="s">
        <v>881</v>
      </c>
      <c r="K260" s="123">
        <v>78</v>
      </c>
      <c r="L260" s="29">
        <v>12.96</v>
      </c>
      <c r="M260" s="110">
        <v>10</v>
      </c>
      <c r="N260" s="30">
        <v>0.14899999999999999</v>
      </c>
      <c r="O260" s="116">
        <v>1.49</v>
      </c>
      <c r="P260" s="30">
        <v>7.4999999999999997E-2</v>
      </c>
      <c r="Q260" s="116">
        <v>0.75</v>
      </c>
      <c r="R260" s="30">
        <v>7.0000000000000007E-2</v>
      </c>
      <c r="S260" s="116">
        <v>0.23</v>
      </c>
      <c r="T260" s="117">
        <v>0.49</v>
      </c>
      <c r="U260" s="31">
        <v>250</v>
      </c>
      <c r="V260" s="32">
        <v>250</v>
      </c>
      <c r="W260" s="33"/>
      <c r="X260" s="32"/>
      <c r="Y260" s="32"/>
      <c r="Z260" s="32"/>
      <c r="AA260" s="34"/>
      <c r="AB260" s="35">
        <f t="shared" si="40"/>
        <v>500</v>
      </c>
      <c r="AC260" s="75">
        <f t="shared" si="41"/>
        <v>19500</v>
      </c>
      <c r="AD260" s="78">
        <f t="shared" si="42"/>
        <v>19500</v>
      </c>
      <c r="AE260" s="72">
        <f t="shared" si="43"/>
        <v>39000</v>
      </c>
      <c r="AF260" s="75">
        <f t="shared" si="44"/>
        <v>3240</v>
      </c>
      <c r="AG260" s="78">
        <f t="shared" si="45"/>
        <v>3240</v>
      </c>
      <c r="AH260" s="72">
        <f t="shared" si="46"/>
        <v>6480</v>
      </c>
      <c r="AI260" s="75">
        <f t="shared" si="47"/>
        <v>2500</v>
      </c>
      <c r="AJ260" s="78">
        <f t="shared" si="48"/>
        <v>2500</v>
      </c>
      <c r="AK260" s="72">
        <f t="shared" si="49"/>
        <v>5000</v>
      </c>
    </row>
    <row r="261" spans="1:37" ht="15.95" customHeight="1">
      <c r="A261" s="25" t="s">
        <v>702</v>
      </c>
      <c r="B261" s="25" t="s">
        <v>252</v>
      </c>
      <c r="C261" s="26" t="s">
        <v>14</v>
      </c>
      <c r="D261" s="26" t="s">
        <v>375</v>
      </c>
      <c r="E261" s="26" t="s">
        <v>16</v>
      </c>
      <c r="F261" s="26" t="s">
        <v>873</v>
      </c>
      <c r="G261" s="36"/>
      <c r="H261" s="27" t="s">
        <v>877</v>
      </c>
      <c r="I261" s="26" t="s">
        <v>27</v>
      </c>
      <c r="J261" s="28" t="s">
        <v>875</v>
      </c>
      <c r="K261" s="123">
        <v>135</v>
      </c>
      <c r="L261" s="29">
        <v>22.751999999999999</v>
      </c>
      <c r="M261" s="110">
        <v>18</v>
      </c>
      <c r="N261" s="30">
        <v>0.14899999999999999</v>
      </c>
      <c r="O261" s="116">
        <v>2.6819999999999999</v>
      </c>
      <c r="P261" s="30">
        <v>7.4999999999999997E-2</v>
      </c>
      <c r="Q261" s="116">
        <v>1.3499999999999999</v>
      </c>
      <c r="R261" s="30">
        <v>7.0000000000000007E-2</v>
      </c>
      <c r="S261" s="116">
        <v>0.23</v>
      </c>
      <c r="T261" s="117">
        <v>0.49</v>
      </c>
      <c r="U261" s="31">
        <v>250</v>
      </c>
      <c r="V261" s="32">
        <v>250</v>
      </c>
      <c r="W261" s="33"/>
      <c r="X261" s="32"/>
      <c r="Y261" s="32"/>
      <c r="Z261" s="32"/>
      <c r="AA261" s="34"/>
      <c r="AB261" s="35">
        <f t="shared" si="40"/>
        <v>500</v>
      </c>
      <c r="AC261" s="75">
        <f t="shared" si="41"/>
        <v>33750</v>
      </c>
      <c r="AD261" s="78">
        <f t="shared" si="42"/>
        <v>33750</v>
      </c>
      <c r="AE261" s="72">
        <f t="shared" si="43"/>
        <v>67500</v>
      </c>
      <c r="AF261" s="75">
        <f t="shared" si="44"/>
        <v>5688</v>
      </c>
      <c r="AG261" s="78">
        <f t="shared" si="45"/>
        <v>5688</v>
      </c>
      <c r="AH261" s="72">
        <f t="shared" si="46"/>
        <v>11376</v>
      </c>
      <c r="AI261" s="75">
        <f t="shared" si="47"/>
        <v>4500</v>
      </c>
      <c r="AJ261" s="78">
        <f t="shared" si="48"/>
        <v>4500</v>
      </c>
      <c r="AK261" s="72">
        <f t="shared" si="49"/>
        <v>9000</v>
      </c>
    </row>
    <row r="262" spans="1:37" ht="15.95" customHeight="1">
      <c r="A262" s="25" t="s">
        <v>702</v>
      </c>
      <c r="B262" s="25" t="s">
        <v>252</v>
      </c>
      <c r="C262" s="26" t="s">
        <v>293</v>
      </c>
      <c r="D262" s="26" t="s">
        <v>375</v>
      </c>
      <c r="E262" s="26" t="s">
        <v>16</v>
      </c>
      <c r="F262" s="26" t="s">
        <v>876</v>
      </c>
      <c r="G262" s="36"/>
      <c r="H262" s="27" t="s">
        <v>877</v>
      </c>
      <c r="I262" s="26" t="s">
        <v>27</v>
      </c>
      <c r="J262" s="28" t="s">
        <v>295</v>
      </c>
      <c r="K262" s="123">
        <v>108</v>
      </c>
      <c r="L262" s="29">
        <v>17.320499999999999</v>
      </c>
      <c r="M262" s="110">
        <v>13.95</v>
      </c>
      <c r="N262" s="30">
        <v>0.115</v>
      </c>
      <c r="O262" s="116">
        <v>1.60425</v>
      </c>
      <c r="P262" s="30">
        <v>7.4999999999999997E-2</v>
      </c>
      <c r="Q262" s="116">
        <v>1.0462499999999999</v>
      </c>
      <c r="R262" s="30">
        <v>7.0000000000000007E-2</v>
      </c>
      <c r="S262" s="116">
        <v>0.23</v>
      </c>
      <c r="T262" s="117">
        <v>0.49</v>
      </c>
      <c r="U262" s="31">
        <v>250</v>
      </c>
      <c r="V262" s="32">
        <v>250</v>
      </c>
      <c r="W262" s="33"/>
      <c r="X262" s="32"/>
      <c r="Y262" s="32"/>
      <c r="Z262" s="32"/>
      <c r="AA262" s="34"/>
      <c r="AB262" s="35">
        <f t="shared" si="40"/>
        <v>500</v>
      </c>
      <c r="AC262" s="75">
        <f t="shared" si="41"/>
        <v>27000</v>
      </c>
      <c r="AD262" s="78">
        <f t="shared" si="42"/>
        <v>27000</v>
      </c>
      <c r="AE262" s="72">
        <f t="shared" si="43"/>
        <v>54000</v>
      </c>
      <c r="AF262" s="75">
        <f t="shared" si="44"/>
        <v>4330.125</v>
      </c>
      <c r="AG262" s="78">
        <f t="shared" si="45"/>
        <v>4330.125</v>
      </c>
      <c r="AH262" s="72">
        <f t="shared" si="46"/>
        <v>8660.25</v>
      </c>
      <c r="AI262" s="75">
        <f t="shared" si="47"/>
        <v>3487.5</v>
      </c>
      <c r="AJ262" s="78">
        <f t="shared" si="48"/>
        <v>3487.5</v>
      </c>
      <c r="AK262" s="72">
        <f t="shared" si="49"/>
        <v>6975</v>
      </c>
    </row>
    <row r="263" spans="1:37" ht="15.95" customHeight="1">
      <c r="A263" s="25" t="s">
        <v>702</v>
      </c>
      <c r="B263" s="25" t="s">
        <v>252</v>
      </c>
      <c r="C263" s="26" t="s">
        <v>262</v>
      </c>
      <c r="D263" s="26" t="s">
        <v>375</v>
      </c>
      <c r="E263" s="26" t="s">
        <v>16</v>
      </c>
      <c r="F263" s="26" t="s">
        <v>878</v>
      </c>
      <c r="G263" s="26"/>
      <c r="H263" s="27" t="s">
        <v>877</v>
      </c>
      <c r="I263" s="26" t="s">
        <v>27</v>
      </c>
      <c r="J263" s="28" t="s">
        <v>879</v>
      </c>
      <c r="K263" s="123">
        <v>68</v>
      </c>
      <c r="L263" s="29">
        <v>10.950000000000001</v>
      </c>
      <c r="M263" s="110">
        <v>8.25</v>
      </c>
      <c r="N263" s="30">
        <v>0.16500000000000001</v>
      </c>
      <c r="O263" s="116">
        <v>1.3612500000000001</v>
      </c>
      <c r="P263" s="30">
        <v>7.4999999999999997E-2</v>
      </c>
      <c r="Q263" s="116">
        <v>0.61875000000000002</v>
      </c>
      <c r="R263" s="30">
        <v>7.0000000000000007E-2</v>
      </c>
      <c r="S263" s="116">
        <v>0.23</v>
      </c>
      <c r="T263" s="117">
        <v>0.49</v>
      </c>
      <c r="U263" s="31">
        <v>250</v>
      </c>
      <c r="V263" s="32">
        <v>250</v>
      </c>
      <c r="W263" s="38"/>
      <c r="X263" s="32"/>
      <c r="Y263" s="32"/>
      <c r="Z263" s="32"/>
      <c r="AA263" s="34"/>
      <c r="AB263" s="35">
        <f t="shared" si="40"/>
        <v>500</v>
      </c>
      <c r="AC263" s="75">
        <f t="shared" si="41"/>
        <v>17000</v>
      </c>
      <c r="AD263" s="78">
        <f t="shared" si="42"/>
        <v>17000</v>
      </c>
      <c r="AE263" s="72">
        <f t="shared" si="43"/>
        <v>34000</v>
      </c>
      <c r="AF263" s="75">
        <f t="shared" si="44"/>
        <v>2737.5000000000005</v>
      </c>
      <c r="AG263" s="78">
        <f t="shared" si="45"/>
        <v>2737.5000000000005</v>
      </c>
      <c r="AH263" s="72">
        <f t="shared" si="46"/>
        <v>5475.0000000000009</v>
      </c>
      <c r="AI263" s="75">
        <f t="shared" si="47"/>
        <v>2062.5</v>
      </c>
      <c r="AJ263" s="78">
        <f t="shared" si="48"/>
        <v>2062.5</v>
      </c>
      <c r="AK263" s="72">
        <f t="shared" si="49"/>
        <v>4125</v>
      </c>
    </row>
    <row r="264" spans="1:37" ht="15.95" customHeight="1">
      <c r="A264" s="25" t="s">
        <v>702</v>
      </c>
      <c r="B264" s="25" t="s">
        <v>252</v>
      </c>
      <c r="C264" s="26" t="s">
        <v>267</v>
      </c>
      <c r="D264" s="26" t="s">
        <v>375</v>
      </c>
      <c r="E264" s="26" t="s">
        <v>16</v>
      </c>
      <c r="F264" s="26" t="s">
        <v>880</v>
      </c>
      <c r="G264" s="26"/>
      <c r="H264" s="27" t="s">
        <v>877</v>
      </c>
      <c r="I264" s="26" t="s">
        <v>27</v>
      </c>
      <c r="J264" s="28" t="s">
        <v>881</v>
      </c>
      <c r="K264" s="123">
        <v>78</v>
      </c>
      <c r="L264" s="29">
        <v>12.96</v>
      </c>
      <c r="M264" s="110">
        <v>10</v>
      </c>
      <c r="N264" s="30">
        <v>0.14899999999999999</v>
      </c>
      <c r="O264" s="116">
        <v>1.49</v>
      </c>
      <c r="P264" s="30">
        <v>7.4999999999999997E-2</v>
      </c>
      <c r="Q264" s="116">
        <v>0.75</v>
      </c>
      <c r="R264" s="30">
        <v>7.0000000000000007E-2</v>
      </c>
      <c r="S264" s="116">
        <v>0.23</v>
      </c>
      <c r="T264" s="117">
        <v>0.49</v>
      </c>
      <c r="U264" s="31">
        <v>250</v>
      </c>
      <c r="V264" s="32">
        <v>250</v>
      </c>
      <c r="W264" s="38"/>
      <c r="X264" s="32"/>
      <c r="Y264" s="32"/>
      <c r="Z264" s="32"/>
      <c r="AA264" s="34"/>
      <c r="AB264" s="35">
        <f t="shared" si="40"/>
        <v>500</v>
      </c>
      <c r="AC264" s="75">
        <f t="shared" si="41"/>
        <v>19500</v>
      </c>
      <c r="AD264" s="78">
        <f t="shared" si="42"/>
        <v>19500</v>
      </c>
      <c r="AE264" s="72">
        <f t="shared" si="43"/>
        <v>39000</v>
      </c>
      <c r="AF264" s="75">
        <f t="shared" si="44"/>
        <v>3240</v>
      </c>
      <c r="AG264" s="78">
        <f t="shared" si="45"/>
        <v>3240</v>
      </c>
      <c r="AH264" s="72">
        <f t="shared" si="46"/>
        <v>6480</v>
      </c>
      <c r="AI264" s="75">
        <f t="shared" si="47"/>
        <v>2500</v>
      </c>
      <c r="AJ264" s="78">
        <f t="shared" si="48"/>
        <v>2500</v>
      </c>
      <c r="AK264" s="72">
        <f t="shared" si="49"/>
        <v>5000</v>
      </c>
    </row>
    <row r="265" spans="1:37" ht="15.95" customHeight="1">
      <c r="A265" s="25" t="s">
        <v>702</v>
      </c>
      <c r="B265" s="25" t="s">
        <v>252</v>
      </c>
      <c r="C265" s="26" t="s">
        <v>14</v>
      </c>
      <c r="D265" s="26" t="s">
        <v>375</v>
      </c>
      <c r="E265" s="26" t="s">
        <v>16</v>
      </c>
      <c r="F265" s="26" t="s">
        <v>882</v>
      </c>
      <c r="G265" s="26"/>
      <c r="H265" s="27" t="s">
        <v>739</v>
      </c>
      <c r="I265" s="26" t="s">
        <v>27</v>
      </c>
      <c r="J265" s="28" t="s">
        <v>261</v>
      </c>
      <c r="K265" s="123">
        <v>150</v>
      </c>
      <c r="L265" s="29">
        <v>28.538499999999999</v>
      </c>
      <c r="M265" s="110">
        <v>20.5</v>
      </c>
      <c r="N265" s="30">
        <v>0.28199999999999997</v>
      </c>
      <c r="O265" s="116">
        <v>5.7809999999999997</v>
      </c>
      <c r="P265" s="30">
        <v>7.4999999999999997E-2</v>
      </c>
      <c r="Q265" s="116">
        <v>1.5374999999999999</v>
      </c>
      <c r="R265" s="30">
        <v>7.0000000000000007E-2</v>
      </c>
      <c r="S265" s="116">
        <v>0.23</v>
      </c>
      <c r="T265" s="117">
        <v>0.49</v>
      </c>
      <c r="U265" s="31">
        <v>250</v>
      </c>
      <c r="V265" s="32">
        <v>250</v>
      </c>
      <c r="W265" s="33"/>
      <c r="X265" s="32"/>
      <c r="Y265" s="32"/>
      <c r="Z265" s="32"/>
      <c r="AA265" s="34"/>
      <c r="AB265" s="35">
        <f t="shared" si="40"/>
        <v>500</v>
      </c>
      <c r="AC265" s="75">
        <f t="shared" si="41"/>
        <v>37500</v>
      </c>
      <c r="AD265" s="78">
        <f t="shared" si="42"/>
        <v>37500</v>
      </c>
      <c r="AE265" s="72">
        <f t="shared" si="43"/>
        <v>75000</v>
      </c>
      <c r="AF265" s="75">
        <f t="shared" si="44"/>
        <v>7134.625</v>
      </c>
      <c r="AG265" s="78">
        <f t="shared" si="45"/>
        <v>7134.625</v>
      </c>
      <c r="AH265" s="72">
        <f t="shared" si="46"/>
        <v>14269.25</v>
      </c>
      <c r="AI265" s="75">
        <f t="shared" si="47"/>
        <v>5125</v>
      </c>
      <c r="AJ265" s="78">
        <f t="shared" si="48"/>
        <v>5125</v>
      </c>
      <c r="AK265" s="72">
        <f t="shared" si="49"/>
        <v>10250</v>
      </c>
    </row>
    <row r="266" spans="1:37" ht="15.95" customHeight="1">
      <c r="A266" s="25" t="s">
        <v>702</v>
      </c>
      <c r="B266" s="25" t="s">
        <v>252</v>
      </c>
      <c r="C266" s="26" t="s">
        <v>21</v>
      </c>
      <c r="D266" s="26" t="s">
        <v>375</v>
      </c>
      <c r="E266" s="26" t="s">
        <v>16</v>
      </c>
      <c r="F266" s="26" t="s">
        <v>883</v>
      </c>
      <c r="G266" s="26"/>
      <c r="H266" s="27" t="s">
        <v>739</v>
      </c>
      <c r="I266" s="26" t="s">
        <v>27</v>
      </c>
      <c r="J266" s="28" t="s">
        <v>265</v>
      </c>
      <c r="K266" s="123">
        <v>125</v>
      </c>
      <c r="L266" s="29">
        <v>24.263949999999998</v>
      </c>
      <c r="M266" s="110">
        <v>17.350000000000001</v>
      </c>
      <c r="N266" s="30">
        <v>0.28199999999999997</v>
      </c>
      <c r="O266" s="116">
        <v>4.8926999999999996</v>
      </c>
      <c r="P266" s="30">
        <v>7.4999999999999997E-2</v>
      </c>
      <c r="Q266" s="116">
        <v>1.30125</v>
      </c>
      <c r="R266" s="30">
        <v>7.0000000000000007E-2</v>
      </c>
      <c r="S266" s="116">
        <v>0.23</v>
      </c>
      <c r="T266" s="117">
        <v>0.49</v>
      </c>
      <c r="U266" s="39">
        <v>250</v>
      </c>
      <c r="V266" s="32">
        <v>250</v>
      </c>
      <c r="W266" s="33"/>
      <c r="X266" s="32"/>
      <c r="Y266" s="32"/>
      <c r="Z266" s="32"/>
      <c r="AA266" s="34"/>
      <c r="AB266" s="35">
        <f t="shared" si="40"/>
        <v>500</v>
      </c>
      <c r="AC266" s="75">
        <f t="shared" si="41"/>
        <v>31250</v>
      </c>
      <c r="AD266" s="78">
        <f t="shared" si="42"/>
        <v>31250</v>
      </c>
      <c r="AE266" s="72">
        <f t="shared" si="43"/>
        <v>62500</v>
      </c>
      <c r="AF266" s="75">
        <f t="shared" si="44"/>
        <v>6065.9874999999993</v>
      </c>
      <c r="AG266" s="78">
        <f t="shared" si="45"/>
        <v>6065.9874999999993</v>
      </c>
      <c r="AH266" s="72">
        <f t="shared" si="46"/>
        <v>12131.974999999999</v>
      </c>
      <c r="AI266" s="75">
        <f t="shared" si="47"/>
        <v>4337.5</v>
      </c>
      <c r="AJ266" s="78">
        <f t="shared" si="48"/>
        <v>4337.5</v>
      </c>
      <c r="AK266" s="72">
        <f t="shared" si="49"/>
        <v>8675</v>
      </c>
    </row>
    <row r="267" spans="1:37" ht="15.95" customHeight="1">
      <c r="A267" s="25" t="s">
        <v>702</v>
      </c>
      <c r="B267" s="25" t="s">
        <v>252</v>
      </c>
      <c r="C267" s="26" t="s">
        <v>44</v>
      </c>
      <c r="D267" s="26" t="s">
        <v>375</v>
      </c>
      <c r="E267" s="26" t="s">
        <v>16</v>
      </c>
      <c r="F267" s="26" t="s">
        <v>884</v>
      </c>
      <c r="G267" s="26"/>
      <c r="H267" s="27" t="s">
        <v>739</v>
      </c>
      <c r="I267" s="26" t="s">
        <v>27</v>
      </c>
      <c r="J267" s="28" t="s">
        <v>885</v>
      </c>
      <c r="K267" s="123">
        <v>125</v>
      </c>
      <c r="L267" s="29">
        <v>19.718</v>
      </c>
      <c r="M267" s="110">
        <v>14</v>
      </c>
      <c r="N267" s="30">
        <v>0.28199999999999997</v>
      </c>
      <c r="O267" s="116">
        <v>3.9479999999999995</v>
      </c>
      <c r="P267" s="30">
        <v>7.4999999999999997E-2</v>
      </c>
      <c r="Q267" s="116">
        <v>1.05</v>
      </c>
      <c r="R267" s="30">
        <v>7.0000000000000007E-2</v>
      </c>
      <c r="S267" s="116">
        <v>0.23</v>
      </c>
      <c r="T267" s="117">
        <v>0.49</v>
      </c>
      <c r="U267" s="39">
        <v>200</v>
      </c>
      <c r="V267" s="32">
        <v>200</v>
      </c>
      <c r="W267" s="33"/>
      <c r="X267" s="32">
        <v>150</v>
      </c>
      <c r="Y267" s="32"/>
      <c r="Z267" s="32"/>
      <c r="AA267" s="34"/>
      <c r="AB267" s="35">
        <f t="shared" si="40"/>
        <v>550</v>
      </c>
      <c r="AC267" s="75">
        <f t="shared" si="41"/>
        <v>25000</v>
      </c>
      <c r="AD267" s="78">
        <f t="shared" si="42"/>
        <v>43750</v>
      </c>
      <c r="AE267" s="72">
        <f t="shared" si="43"/>
        <v>68750</v>
      </c>
      <c r="AF267" s="75">
        <f t="shared" si="44"/>
        <v>3943.6</v>
      </c>
      <c r="AG267" s="78">
        <f t="shared" si="45"/>
        <v>6043.6</v>
      </c>
      <c r="AH267" s="72">
        <f t="shared" si="46"/>
        <v>9987.2000000000007</v>
      </c>
      <c r="AI267" s="75">
        <f t="shared" si="47"/>
        <v>2800</v>
      </c>
      <c r="AJ267" s="78">
        <f t="shared" si="48"/>
        <v>4900</v>
      </c>
      <c r="AK267" s="72">
        <f t="shared" si="49"/>
        <v>7700</v>
      </c>
    </row>
    <row r="268" spans="1:37" ht="15.95" customHeight="1">
      <c r="A268" s="25" t="s">
        <v>702</v>
      </c>
      <c r="B268" s="25" t="s">
        <v>252</v>
      </c>
      <c r="C268" s="26" t="s">
        <v>267</v>
      </c>
      <c r="D268" s="26" t="s">
        <v>375</v>
      </c>
      <c r="E268" s="26" t="s">
        <v>16</v>
      </c>
      <c r="F268" s="26" t="s">
        <v>886</v>
      </c>
      <c r="G268" s="26"/>
      <c r="H268" s="27" t="s">
        <v>739</v>
      </c>
      <c r="I268" s="26" t="s">
        <v>27</v>
      </c>
      <c r="J268" s="28" t="s">
        <v>682</v>
      </c>
      <c r="K268" s="123">
        <v>98</v>
      </c>
      <c r="L268" s="29">
        <v>19.4466</v>
      </c>
      <c r="M268" s="110">
        <v>13.8</v>
      </c>
      <c r="N268" s="30">
        <v>0.28199999999999997</v>
      </c>
      <c r="O268" s="116">
        <v>3.8915999999999999</v>
      </c>
      <c r="P268" s="30">
        <v>7.4999999999999997E-2</v>
      </c>
      <c r="Q268" s="116">
        <v>1.0349999999999999</v>
      </c>
      <c r="R268" s="30">
        <v>7.0000000000000007E-2</v>
      </c>
      <c r="S268" s="116">
        <v>0.23</v>
      </c>
      <c r="T268" s="117">
        <v>0.49</v>
      </c>
      <c r="U268" s="39">
        <v>200</v>
      </c>
      <c r="V268" s="32">
        <v>200</v>
      </c>
      <c r="W268" s="33"/>
      <c r="X268" s="32">
        <v>90</v>
      </c>
      <c r="Y268" s="32"/>
      <c r="Z268" s="32"/>
      <c r="AA268" s="34"/>
      <c r="AB268" s="35">
        <f t="shared" si="40"/>
        <v>490</v>
      </c>
      <c r="AC268" s="75">
        <f t="shared" si="41"/>
        <v>19600</v>
      </c>
      <c r="AD268" s="78">
        <f t="shared" si="42"/>
        <v>28420</v>
      </c>
      <c r="AE268" s="72">
        <f t="shared" si="43"/>
        <v>48020</v>
      </c>
      <c r="AF268" s="75">
        <f t="shared" si="44"/>
        <v>3889.32</v>
      </c>
      <c r="AG268" s="78">
        <f t="shared" si="45"/>
        <v>5131.32</v>
      </c>
      <c r="AH268" s="72">
        <f t="shared" si="46"/>
        <v>9020.64</v>
      </c>
      <c r="AI268" s="75">
        <f t="shared" si="47"/>
        <v>2760</v>
      </c>
      <c r="AJ268" s="78">
        <f t="shared" si="48"/>
        <v>4002</v>
      </c>
      <c r="AK268" s="72">
        <f t="shared" si="49"/>
        <v>6762</v>
      </c>
    </row>
    <row r="269" spans="1:37" ht="15.95" customHeight="1">
      <c r="A269" s="25" t="s">
        <v>702</v>
      </c>
      <c r="B269" s="25" t="s">
        <v>252</v>
      </c>
      <c r="C269" s="26" t="s">
        <v>14</v>
      </c>
      <c r="D269" s="26" t="s">
        <v>373</v>
      </c>
      <c r="E269" s="26" t="s">
        <v>16</v>
      </c>
      <c r="F269" s="26" t="s">
        <v>887</v>
      </c>
      <c r="G269" s="26"/>
      <c r="H269" s="27" t="s">
        <v>415</v>
      </c>
      <c r="I269" s="26" t="s">
        <v>27</v>
      </c>
      <c r="J269" s="28" t="s">
        <v>261</v>
      </c>
      <c r="K269" s="123">
        <v>135</v>
      </c>
      <c r="L269" s="29">
        <v>17.413249999999998</v>
      </c>
      <c r="M269" s="110">
        <v>12.25</v>
      </c>
      <c r="N269" s="30">
        <v>0.28199999999999997</v>
      </c>
      <c r="O269" s="116">
        <v>3.4544999999999995</v>
      </c>
      <c r="P269" s="30">
        <v>7.4999999999999997E-2</v>
      </c>
      <c r="Q269" s="116">
        <v>0.91874999999999996</v>
      </c>
      <c r="R269" s="30">
        <v>7.0000000000000007E-2</v>
      </c>
      <c r="S269" s="116">
        <v>0.3</v>
      </c>
      <c r="T269" s="117">
        <v>0.49</v>
      </c>
      <c r="U269" s="39">
        <v>250</v>
      </c>
      <c r="V269" s="32">
        <v>250</v>
      </c>
      <c r="W269" s="33"/>
      <c r="X269" s="32"/>
      <c r="Y269" s="32"/>
      <c r="Z269" s="32"/>
      <c r="AA269" s="34"/>
      <c r="AB269" s="35">
        <f t="shared" si="40"/>
        <v>500</v>
      </c>
      <c r="AC269" s="75">
        <f t="shared" si="41"/>
        <v>33750</v>
      </c>
      <c r="AD269" s="78">
        <f t="shared" si="42"/>
        <v>33750</v>
      </c>
      <c r="AE269" s="72">
        <f t="shared" si="43"/>
        <v>67500</v>
      </c>
      <c r="AF269" s="75">
        <f t="shared" si="44"/>
        <v>4353.3124999999991</v>
      </c>
      <c r="AG269" s="78">
        <f t="shared" si="45"/>
        <v>4353.3124999999991</v>
      </c>
      <c r="AH269" s="72">
        <f t="shared" si="46"/>
        <v>8706.6249999999982</v>
      </c>
      <c r="AI269" s="75">
        <f t="shared" si="47"/>
        <v>3062.5</v>
      </c>
      <c r="AJ269" s="78">
        <f t="shared" si="48"/>
        <v>3062.5</v>
      </c>
      <c r="AK269" s="72">
        <f t="shared" si="49"/>
        <v>6125</v>
      </c>
    </row>
    <row r="270" spans="1:37" ht="15.95" customHeight="1">
      <c r="A270" s="25" t="s">
        <v>702</v>
      </c>
      <c r="B270" s="25" t="s">
        <v>252</v>
      </c>
      <c r="C270" s="26" t="s">
        <v>21</v>
      </c>
      <c r="D270" s="26" t="s">
        <v>373</v>
      </c>
      <c r="E270" s="26" t="s">
        <v>16</v>
      </c>
      <c r="F270" s="26" t="s">
        <v>888</v>
      </c>
      <c r="G270" s="26"/>
      <c r="H270" s="27" t="s">
        <v>120</v>
      </c>
      <c r="I270" s="26" t="s">
        <v>27</v>
      </c>
      <c r="J270" s="28" t="s">
        <v>265</v>
      </c>
      <c r="K270" s="123">
        <v>105</v>
      </c>
      <c r="L270" s="29">
        <v>14.699250000000001</v>
      </c>
      <c r="M270" s="110">
        <v>10.25</v>
      </c>
      <c r="N270" s="30">
        <v>0.28199999999999997</v>
      </c>
      <c r="O270" s="116">
        <v>2.8904999999999998</v>
      </c>
      <c r="P270" s="30">
        <v>7.4999999999999997E-2</v>
      </c>
      <c r="Q270" s="116">
        <v>0.76874999999999993</v>
      </c>
      <c r="R270" s="30">
        <v>7.0000000000000007E-2</v>
      </c>
      <c r="S270" s="116">
        <v>0.3</v>
      </c>
      <c r="T270" s="117">
        <v>0.49</v>
      </c>
      <c r="U270" s="39">
        <v>250</v>
      </c>
      <c r="V270" s="32">
        <v>250</v>
      </c>
      <c r="W270" s="33"/>
      <c r="X270" s="32"/>
      <c r="Y270" s="32"/>
      <c r="Z270" s="32"/>
      <c r="AA270" s="34"/>
      <c r="AB270" s="35">
        <f t="shared" si="40"/>
        <v>500</v>
      </c>
      <c r="AC270" s="75">
        <f t="shared" si="41"/>
        <v>26250</v>
      </c>
      <c r="AD270" s="78">
        <f t="shared" si="42"/>
        <v>26250</v>
      </c>
      <c r="AE270" s="72">
        <f t="shared" si="43"/>
        <v>52500</v>
      </c>
      <c r="AF270" s="75">
        <f t="shared" si="44"/>
        <v>3674.8125000000005</v>
      </c>
      <c r="AG270" s="78">
        <f t="shared" si="45"/>
        <v>3674.8125000000005</v>
      </c>
      <c r="AH270" s="72">
        <f t="shared" si="46"/>
        <v>7349.6250000000009</v>
      </c>
      <c r="AI270" s="75">
        <f t="shared" si="47"/>
        <v>2562.5</v>
      </c>
      <c r="AJ270" s="78">
        <f t="shared" si="48"/>
        <v>2562.5</v>
      </c>
      <c r="AK270" s="72">
        <f t="shared" si="49"/>
        <v>5125</v>
      </c>
    </row>
    <row r="271" spans="1:37" ht="15.95" customHeight="1">
      <c r="A271" s="25" t="s">
        <v>702</v>
      </c>
      <c r="B271" s="25" t="s">
        <v>252</v>
      </c>
      <c r="C271" s="26" t="s">
        <v>14</v>
      </c>
      <c r="D271" s="26" t="s">
        <v>373</v>
      </c>
      <c r="E271" s="26" t="s">
        <v>16</v>
      </c>
      <c r="F271" s="26" t="s">
        <v>887</v>
      </c>
      <c r="G271" s="26"/>
      <c r="H271" s="27" t="s">
        <v>120</v>
      </c>
      <c r="I271" s="26" t="s">
        <v>27</v>
      </c>
      <c r="J271" s="28" t="s">
        <v>261</v>
      </c>
      <c r="K271" s="123">
        <v>135</v>
      </c>
      <c r="L271" s="29">
        <v>17.413249999999998</v>
      </c>
      <c r="M271" s="110">
        <v>12.25</v>
      </c>
      <c r="N271" s="30">
        <v>0.28199999999999997</v>
      </c>
      <c r="O271" s="116">
        <v>3.4544999999999995</v>
      </c>
      <c r="P271" s="30">
        <v>7.4999999999999997E-2</v>
      </c>
      <c r="Q271" s="116">
        <v>0.91874999999999996</v>
      </c>
      <c r="R271" s="30">
        <v>7.0000000000000007E-2</v>
      </c>
      <c r="S271" s="116">
        <v>0.3</v>
      </c>
      <c r="T271" s="117">
        <v>0.49</v>
      </c>
      <c r="U271" s="39">
        <v>250</v>
      </c>
      <c r="V271" s="32">
        <v>250</v>
      </c>
      <c r="W271" s="33"/>
      <c r="X271" s="32"/>
      <c r="Y271" s="32"/>
      <c r="Z271" s="32"/>
      <c r="AA271" s="34"/>
      <c r="AB271" s="35">
        <f t="shared" si="40"/>
        <v>500</v>
      </c>
      <c r="AC271" s="75">
        <f t="shared" si="41"/>
        <v>33750</v>
      </c>
      <c r="AD271" s="78">
        <f t="shared" si="42"/>
        <v>33750</v>
      </c>
      <c r="AE271" s="72">
        <f t="shared" si="43"/>
        <v>67500</v>
      </c>
      <c r="AF271" s="75">
        <f t="shared" si="44"/>
        <v>4353.3124999999991</v>
      </c>
      <c r="AG271" s="78">
        <f t="shared" si="45"/>
        <v>4353.3124999999991</v>
      </c>
      <c r="AH271" s="72">
        <f t="shared" si="46"/>
        <v>8706.6249999999982</v>
      </c>
      <c r="AI271" s="75">
        <f t="shared" si="47"/>
        <v>3062.5</v>
      </c>
      <c r="AJ271" s="78">
        <f t="shared" si="48"/>
        <v>3062.5</v>
      </c>
      <c r="AK271" s="72">
        <f t="shared" si="49"/>
        <v>6125</v>
      </c>
    </row>
    <row r="272" spans="1:37" ht="15.95" customHeight="1">
      <c r="A272" s="25" t="s">
        <v>702</v>
      </c>
      <c r="B272" s="25" t="s">
        <v>252</v>
      </c>
      <c r="C272" s="26" t="s">
        <v>21</v>
      </c>
      <c r="D272" s="26" t="s">
        <v>373</v>
      </c>
      <c r="E272" s="26" t="s">
        <v>16</v>
      </c>
      <c r="F272" s="26" t="s">
        <v>888</v>
      </c>
      <c r="G272" s="26"/>
      <c r="H272" s="27" t="s">
        <v>120</v>
      </c>
      <c r="I272" s="26" t="s">
        <v>27</v>
      </c>
      <c r="J272" s="28" t="s">
        <v>265</v>
      </c>
      <c r="K272" s="123">
        <v>105</v>
      </c>
      <c r="L272" s="29">
        <v>14.699250000000001</v>
      </c>
      <c r="M272" s="110">
        <v>10.25</v>
      </c>
      <c r="N272" s="30">
        <v>0.28199999999999997</v>
      </c>
      <c r="O272" s="116">
        <v>2.8904999999999998</v>
      </c>
      <c r="P272" s="30">
        <v>7.4999999999999997E-2</v>
      </c>
      <c r="Q272" s="116">
        <v>0.76874999999999993</v>
      </c>
      <c r="R272" s="30">
        <v>7.0000000000000007E-2</v>
      </c>
      <c r="S272" s="116">
        <v>0.3</v>
      </c>
      <c r="T272" s="117">
        <v>0.49</v>
      </c>
      <c r="U272" s="39">
        <v>250</v>
      </c>
      <c r="V272" s="32">
        <v>250</v>
      </c>
      <c r="W272" s="33"/>
      <c r="X272" s="32"/>
      <c r="Y272" s="32"/>
      <c r="Z272" s="32"/>
      <c r="AA272" s="34"/>
      <c r="AB272" s="35">
        <f t="shared" si="40"/>
        <v>500</v>
      </c>
      <c r="AC272" s="75">
        <f t="shared" si="41"/>
        <v>26250</v>
      </c>
      <c r="AD272" s="78">
        <f t="shared" si="42"/>
        <v>26250</v>
      </c>
      <c r="AE272" s="72">
        <f t="shared" si="43"/>
        <v>52500</v>
      </c>
      <c r="AF272" s="75">
        <f t="shared" si="44"/>
        <v>3674.8125000000005</v>
      </c>
      <c r="AG272" s="78">
        <f t="shared" si="45"/>
        <v>3674.8125000000005</v>
      </c>
      <c r="AH272" s="72">
        <f t="shared" si="46"/>
        <v>7349.6250000000009</v>
      </c>
      <c r="AI272" s="75">
        <f t="shared" si="47"/>
        <v>2562.5</v>
      </c>
      <c r="AJ272" s="78">
        <f t="shared" si="48"/>
        <v>2562.5</v>
      </c>
      <c r="AK272" s="72">
        <f t="shared" si="49"/>
        <v>5125</v>
      </c>
    </row>
    <row r="273" spans="1:37" ht="15.95" customHeight="1">
      <c r="A273" s="25" t="s">
        <v>702</v>
      </c>
      <c r="B273" s="25" t="s">
        <v>252</v>
      </c>
      <c r="C273" s="26" t="s">
        <v>14</v>
      </c>
      <c r="D273" s="26" t="s">
        <v>373</v>
      </c>
      <c r="E273" s="26" t="s">
        <v>16</v>
      </c>
      <c r="F273" s="26" t="s">
        <v>889</v>
      </c>
      <c r="G273" s="36"/>
      <c r="H273" s="27" t="s">
        <v>714</v>
      </c>
      <c r="I273" s="26" t="s">
        <v>19</v>
      </c>
      <c r="J273" s="28" t="s">
        <v>283</v>
      </c>
      <c r="K273" s="123">
        <v>125</v>
      </c>
      <c r="L273" s="29">
        <v>22.422000000000001</v>
      </c>
      <c r="M273" s="110">
        <v>16</v>
      </c>
      <c r="N273" s="30">
        <v>0.27700000000000002</v>
      </c>
      <c r="O273" s="116">
        <v>4.4320000000000004</v>
      </c>
      <c r="P273" s="30">
        <v>7.4999999999999997E-2</v>
      </c>
      <c r="Q273" s="116">
        <v>1.2</v>
      </c>
      <c r="R273" s="30">
        <v>7.0000000000000007E-2</v>
      </c>
      <c r="S273" s="116">
        <v>0.3</v>
      </c>
      <c r="T273" s="117">
        <v>0.49</v>
      </c>
      <c r="U273" s="39">
        <v>200</v>
      </c>
      <c r="V273" s="32">
        <v>200</v>
      </c>
      <c r="W273" s="33"/>
      <c r="X273" s="32"/>
      <c r="Y273" s="32"/>
      <c r="Z273" s="32"/>
      <c r="AA273" s="34"/>
      <c r="AB273" s="35">
        <f t="shared" si="40"/>
        <v>400</v>
      </c>
      <c r="AC273" s="75">
        <f t="shared" si="41"/>
        <v>25000</v>
      </c>
      <c r="AD273" s="78">
        <f t="shared" si="42"/>
        <v>25000</v>
      </c>
      <c r="AE273" s="72">
        <f t="shared" si="43"/>
        <v>50000</v>
      </c>
      <c r="AF273" s="75">
        <f t="shared" si="44"/>
        <v>4484.4000000000005</v>
      </c>
      <c r="AG273" s="78">
        <f t="shared" si="45"/>
        <v>4484.4000000000005</v>
      </c>
      <c r="AH273" s="72">
        <f t="shared" si="46"/>
        <v>8968.8000000000011</v>
      </c>
      <c r="AI273" s="75">
        <f t="shared" si="47"/>
        <v>3200</v>
      </c>
      <c r="AJ273" s="78">
        <f t="shared" si="48"/>
        <v>3200</v>
      </c>
      <c r="AK273" s="72">
        <f t="shared" si="49"/>
        <v>6400</v>
      </c>
    </row>
    <row r="274" spans="1:37" ht="15.95" customHeight="1">
      <c r="A274" s="25" t="s">
        <v>702</v>
      </c>
      <c r="B274" s="25" t="s">
        <v>252</v>
      </c>
      <c r="C274" s="26" t="s">
        <v>267</v>
      </c>
      <c r="D274" s="26" t="s">
        <v>373</v>
      </c>
      <c r="E274" s="26" t="s">
        <v>16</v>
      </c>
      <c r="F274" s="26" t="s">
        <v>890</v>
      </c>
      <c r="G274" s="36"/>
      <c r="H274" s="27" t="s">
        <v>713</v>
      </c>
      <c r="I274" s="26" t="s">
        <v>19</v>
      </c>
      <c r="J274" s="28" t="s">
        <v>269</v>
      </c>
      <c r="K274" s="123">
        <v>68</v>
      </c>
      <c r="L274" s="29">
        <v>12.766800000000002</v>
      </c>
      <c r="M274" s="110">
        <v>8.8000000000000007</v>
      </c>
      <c r="N274" s="30">
        <v>0.28599999999999998</v>
      </c>
      <c r="O274" s="116">
        <v>2.5167999999999999</v>
      </c>
      <c r="P274" s="30">
        <v>7.4999999999999997E-2</v>
      </c>
      <c r="Q274" s="116">
        <v>0.66</v>
      </c>
      <c r="R274" s="30">
        <v>7.0000000000000007E-2</v>
      </c>
      <c r="S274" s="116">
        <v>0.3</v>
      </c>
      <c r="T274" s="117">
        <v>0.49</v>
      </c>
      <c r="U274" s="39">
        <v>200</v>
      </c>
      <c r="V274" s="32">
        <v>200</v>
      </c>
      <c r="W274" s="33"/>
      <c r="X274" s="32"/>
      <c r="Y274" s="32"/>
      <c r="Z274" s="32"/>
      <c r="AA274" s="34"/>
      <c r="AB274" s="35">
        <f t="shared" si="40"/>
        <v>400</v>
      </c>
      <c r="AC274" s="75">
        <f t="shared" si="41"/>
        <v>13600</v>
      </c>
      <c r="AD274" s="78">
        <f t="shared" si="42"/>
        <v>13600</v>
      </c>
      <c r="AE274" s="72">
        <f t="shared" si="43"/>
        <v>27200</v>
      </c>
      <c r="AF274" s="75">
        <f t="shared" si="44"/>
        <v>2553.36</v>
      </c>
      <c r="AG274" s="78">
        <f t="shared" si="45"/>
        <v>2553.36</v>
      </c>
      <c r="AH274" s="72">
        <f t="shared" si="46"/>
        <v>5106.72</v>
      </c>
      <c r="AI274" s="75">
        <f t="shared" si="47"/>
        <v>1760.0000000000002</v>
      </c>
      <c r="AJ274" s="78">
        <f t="shared" si="48"/>
        <v>1760.0000000000002</v>
      </c>
      <c r="AK274" s="72">
        <f t="shared" si="49"/>
        <v>3520.0000000000005</v>
      </c>
    </row>
    <row r="275" spans="1:37" ht="15.95" customHeight="1">
      <c r="A275" s="25" t="s">
        <v>702</v>
      </c>
      <c r="B275" s="25" t="s">
        <v>252</v>
      </c>
      <c r="C275" s="26" t="s">
        <v>21</v>
      </c>
      <c r="D275" s="26" t="s">
        <v>373</v>
      </c>
      <c r="E275" s="26" t="s">
        <v>16</v>
      </c>
      <c r="F275" s="26" t="s">
        <v>891</v>
      </c>
      <c r="G275" s="26"/>
      <c r="H275" s="27" t="s">
        <v>488</v>
      </c>
      <c r="I275" s="26" t="s">
        <v>19</v>
      </c>
      <c r="J275" s="28" t="s">
        <v>892</v>
      </c>
      <c r="K275" s="123">
        <v>78</v>
      </c>
      <c r="L275" s="29">
        <v>17.345399999999998</v>
      </c>
      <c r="M275" s="110">
        <v>12.2</v>
      </c>
      <c r="N275" s="30">
        <v>0.28199999999999997</v>
      </c>
      <c r="O275" s="116">
        <v>3.4403999999999995</v>
      </c>
      <c r="P275" s="30">
        <v>7.4999999999999997E-2</v>
      </c>
      <c r="Q275" s="116">
        <v>0.91499999999999992</v>
      </c>
      <c r="R275" s="30">
        <v>7.0000000000000007E-2</v>
      </c>
      <c r="S275" s="116">
        <v>0.3</v>
      </c>
      <c r="T275" s="117">
        <v>0.49</v>
      </c>
      <c r="U275" s="39">
        <v>200</v>
      </c>
      <c r="V275" s="32">
        <v>200</v>
      </c>
      <c r="W275" s="33"/>
      <c r="X275" s="32"/>
      <c r="Y275" s="32"/>
      <c r="Z275" s="32"/>
      <c r="AA275" s="34"/>
      <c r="AB275" s="35">
        <f t="shared" si="40"/>
        <v>400</v>
      </c>
      <c r="AC275" s="75">
        <f t="shared" si="41"/>
        <v>15600</v>
      </c>
      <c r="AD275" s="78">
        <f t="shared" si="42"/>
        <v>15600</v>
      </c>
      <c r="AE275" s="72">
        <f t="shared" si="43"/>
        <v>31200</v>
      </c>
      <c r="AF275" s="75">
        <f t="shared" si="44"/>
        <v>3469.0799999999995</v>
      </c>
      <c r="AG275" s="78">
        <f t="shared" si="45"/>
        <v>3469.0799999999995</v>
      </c>
      <c r="AH275" s="72">
        <f t="shared" si="46"/>
        <v>6938.1599999999989</v>
      </c>
      <c r="AI275" s="75">
        <f t="shared" si="47"/>
        <v>2440</v>
      </c>
      <c r="AJ275" s="78">
        <f t="shared" si="48"/>
        <v>2440</v>
      </c>
      <c r="AK275" s="72">
        <f t="shared" si="49"/>
        <v>4880</v>
      </c>
    </row>
    <row r="276" spans="1:37" ht="15.95" customHeight="1">
      <c r="A276" s="25" t="s">
        <v>702</v>
      </c>
      <c r="B276" s="25" t="s">
        <v>252</v>
      </c>
      <c r="C276" s="26" t="s">
        <v>14</v>
      </c>
      <c r="D276" s="26" t="s">
        <v>464</v>
      </c>
      <c r="E276" s="26" t="s">
        <v>16</v>
      </c>
      <c r="F276" s="26" t="s">
        <v>893</v>
      </c>
      <c r="G276" s="26"/>
      <c r="H276" s="27" t="s">
        <v>894</v>
      </c>
      <c r="I276" s="26" t="s">
        <v>27</v>
      </c>
      <c r="J276" s="28" t="s">
        <v>261</v>
      </c>
      <c r="K276" s="123">
        <v>125</v>
      </c>
      <c r="L276" s="29">
        <v>15.758899999999999</v>
      </c>
      <c r="M276" s="110">
        <v>10.7</v>
      </c>
      <c r="N276" s="30">
        <v>0.28199999999999997</v>
      </c>
      <c r="O276" s="116">
        <v>3.0173999999999994</v>
      </c>
      <c r="P276" s="30">
        <v>7.4999999999999997E-2</v>
      </c>
      <c r="Q276" s="116">
        <v>0.80249999999999988</v>
      </c>
      <c r="R276" s="30">
        <v>7.0000000000000007E-2</v>
      </c>
      <c r="S276" s="116">
        <v>0.749</v>
      </c>
      <c r="T276" s="117">
        <v>0.49</v>
      </c>
      <c r="U276" s="39">
        <v>250</v>
      </c>
      <c r="V276" s="32">
        <v>250</v>
      </c>
      <c r="W276" s="33"/>
      <c r="X276" s="32"/>
      <c r="Y276" s="32"/>
      <c r="Z276" s="32"/>
      <c r="AA276" s="34"/>
      <c r="AB276" s="35">
        <f t="shared" si="40"/>
        <v>500</v>
      </c>
      <c r="AC276" s="75">
        <f t="shared" si="41"/>
        <v>31250</v>
      </c>
      <c r="AD276" s="78">
        <f t="shared" si="42"/>
        <v>31250</v>
      </c>
      <c r="AE276" s="72">
        <f t="shared" si="43"/>
        <v>62500</v>
      </c>
      <c r="AF276" s="75">
        <f t="shared" si="44"/>
        <v>3939.7249999999999</v>
      </c>
      <c r="AG276" s="78">
        <f t="shared" si="45"/>
        <v>3939.7249999999999</v>
      </c>
      <c r="AH276" s="72">
        <f t="shared" si="46"/>
        <v>7879.45</v>
      </c>
      <c r="AI276" s="75">
        <f t="shared" si="47"/>
        <v>2675</v>
      </c>
      <c r="AJ276" s="78">
        <f t="shared" si="48"/>
        <v>2675</v>
      </c>
      <c r="AK276" s="72">
        <f t="shared" si="49"/>
        <v>5350</v>
      </c>
    </row>
    <row r="277" spans="1:37" ht="15.95" customHeight="1">
      <c r="A277" s="25" t="s">
        <v>702</v>
      </c>
      <c r="B277" s="25" t="s">
        <v>252</v>
      </c>
      <c r="C277" s="26" t="s">
        <v>895</v>
      </c>
      <c r="D277" s="26" t="s">
        <v>464</v>
      </c>
      <c r="E277" s="26" t="s">
        <v>16</v>
      </c>
      <c r="F277" s="26" t="s">
        <v>896</v>
      </c>
      <c r="G277" s="26"/>
      <c r="H277" s="27" t="s">
        <v>894</v>
      </c>
      <c r="I277" s="26" t="s">
        <v>27</v>
      </c>
      <c r="J277" s="28" t="s">
        <v>259</v>
      </c>
      <c r="K277" s="123">
        <v>88</v>
      </c>
      <c r="L277" s="29">
        <v>15.4975</v>
      </c>
      <c r="M277" s="110">
        <v>11.5</v>
      </c>
      <c r="N277" s="30">
        <v>0.16</v>
      </c>
      <c r="O277" s="116">
        <v>1.84</v>
      </c>
      <c r="P277" s="30">
        <v>7.4999999999999997E-2</v>
      </c>
      <c r="Q277" s="116">
        <v>0.86249999999999993</v>
      </c>
      <c r="R277" s="30">
        <v>7.0000000000000007E-2</v>
      </c>
      <c r="S277" s="116">
        <v>0.80500000000000005</v>
      </c>
      <c r="T277" s="117">
        <v>0.49</v>
      </c>
      <c r="U277" s="39">
        <v>250</v>
      </c>
      <c r="V277" s="32">
        <v>250</v>
      </c>
      <c r="W277" s="33"/>
      <c r="X277" s="32"/>
      <c r="Y277" s="32"/>
      <c r="Z277" s="32"/>
      <c r="AA277" s="34"/>
      <c r="AB277" s="35">
        <f t="shared" si="40"/>
        <v>500</v>
      </c>
      <c r="AC277" s="75">
        <f t="shared" si="41"/>
        <v>22000</v>
      </c>
      <c r="AD277" s="78">
        <f t="shared" si="42"/>
        <v>22000</v>
      </c>
      <c r="AE277" s="72">
        <f t="shared" si="43"/>
        <v>44000</v>
      </c>
      <c r="AF277" s="75">
        <f t="shared" si="44"/>
        <v>3874.375</v>
      </c>
      <c r="AG277" s="78">
        <f t="shared" si="45"/>
        <v>3874.375</v>
      </c>
      <c r="AH277" s="72">
        <f t="shared" si="46"/>
        <v>7748.75</v>
      </c>
      <c r="AI277" s="75">
        <f t="shared" si="47"/>
        <v>2875</v>
      </c>
      <c r="AJ277" s="78">
        <f t="shared" si="48"/>
        <v>2875</v>
      </c>
      <c r="AK277" s="72">
        <f t="shared" si="49"/>
        <v>5750</v>
      </c>
    </row>
    <row r="278" spans="1:37" ht="15.95" customHeight="1">
      <c r="A278" s="25" t="s">
        <v>702</v>
      </c>
      <c r="B278" s="25" t="s">
        <v>252</v>
      </c>
      <c r="C278" s="26" t="s">
        <v>293</v>
      </c>
      <c r="D278" s="26" t="s">
        <v>464</v>
      </c>
      <c r="E278" s="26" t="s">
        <v>16</v>
      </c>
      <c r="F278" s="26" t="s">
        <v>897</v>
      </c>
      <c r="G278" s="26"/>
      <c r="H278" s="130" t="s">
        <v>898</v>
      </c>
      <c r="I278" s="26" t="s">
        <v>27</v>
      </c>
      <c r="J278" s="37" t="s">
        <v>301</v>
      </c>
      <c r="K278" s="123">
        <v>98</v>
      </c>
      <c r="L278" s="29">
        <v>18.107499999999998</v>
      </c>
      <c r="M278" s="110">
        <v>13.5</v>
      </c>
      <c r="N278" s="30">
        <v>0.16</v>
      </c>
      <c r="O278" s="116">
        <v>2.16</v>
      </c>
      <c r="P278" s="30">
        <v>7.4999999999999997E-2</v>
      </c>
      <c r="Q278" s="116">
        <v>1.0125</v>
      </c>
      <c r="R278" s="30">
        <v>7.0000000000000007E-2</v>
      </c>
      <c r="S278" s="116">
        <v>0.94500000000000006</v>
      </c>
      <c r="T278" s="117">
        <v>0.49</v>
      </c>
      <c r="U278" s="39">
        <v>250</v>
      </c>
      <c r="V278" s="32">
        <v>250</v>
      </c>
      <c r="W278" s="33"/>
      <c r="X278" s="32"/>
      <c r="Y278" s="32"/>
      <c r="Z278" s="32"/>
      <c r="AA278" s="34"/>
      <c r="AB278" s="35">
        <f t="shared" si="40"/>
        <v>500</v>
      </c>
      <c r="AC278" s="75">
        <f t="shared" si="41"/>
        <v>24500</v>
      </c>
      <c r="AD278" s="78">
        <f t="shared" si="42"/>
        <v>24500</v>
      </c>
      <c r="AE278" s="72">
        <f t="shared" si="43"/>
        <v>49000</v>
      </c>
      <c r="AF278" s="75">
        <f t="shared" si="44"/>
        <v>4526.8749999999991</v>
      </c>
      <c r="AG278" s="78">
        <f t="shared" si="45"/>
        <v>4526.8749999999991</v>
      </c>
      <c r="AH278" s="72">
        <f t="shared" si="46"/>
        <v>9053.7499999999982</v>
      </c>
      <c r="AI278" s="75">
        <f t="shared" si="47"/>
        <v>3375</v>
      </c>
      <c r="AJ278" s="78">
        <f t="shared" si="48"/>
        <v>3375</v>
      </c>
      <c r="AK278" s="72">
        <f t="shared" si="49"/>
        <v>6750</v>
      </c>
    </row>
    <row r="279" spans="1:37" ht="15.95" customHeight="1">
      <c r="A279" s="25" t="s">
        <v>702</v>
      </c>
      <c r="B279" s="25" t="s">
        <v>252</v>
      </c>
      <c r="C279" s="26" t="s">
        <v>44</v>
      </c>
      <c r="D279" s="26" t="s">
        <v>464</v>
      </c>
      <c r="E279" s="26" t="s">
        <v>16</v>
      </c>
      <c r="F279" s="26" t="s">
        <v>899</v>
      </c>
      <c r="G279" s="26"/>
      <c r="H279" s="27" t="s">
        <v>900</v>
      </c>
      <c r="I279" s="26" t="s">
        <v>27</v>
      </c>
      <c r="J279" s="28" t="s">
        <v>630</v>
      </c>
      <c r="K279" s="123">
        <v>78</v>
      </c>
      <c r="L279" s="29">
        <v>15.139999999999999</v>
      </c>
      <c r="M279" s="110">
        <v>10</v>
      </c>
      <c r="N279" s="30">
        <v>0.32</v>
      </c>
      <c r="O279" s="116">
        <v>3.2</v>
      </c>
      <c r="P279" s="30">
        <v>7.4999999999999997E-2</v>
      </c>
      <c r="Q279" s="116">
        <v>0.75</v>
      </c>
      <c r="R279" s="30">
        <v>7.0000000000000007E-2</v>
      </c>
      <c r="S279" s="116">
        <v>0.70000000000000007</v>
      </c>
      <c r="T279" s="117">
        <v>0.49</v>
      </c>
      <c r="U279" s="39">
        <v>200</v>
      </c>
      <c r="V279" s="32">
        <v>200</v>
      </c>
      <c r="W279" s="33"/>
      <c r="X279" s="32"/>
      <c r="Y279" s="32"/>
      <c r="Z279" s="32"/>
      <c r="AA279" s="34"/>
      <c r="AB279" s="35">
        <f t="shared" si="40"/>
        <v>400</v>
      </c>
      <c r="AC279" s="75">
        <f t="shared" si="41"/>
        <v>15600</v>
      </c>
      <c r="AD279" s="78">
        <f t="shared" si="42"/>
        <v>15600</v>
      </c>
      <c r="AE279" s="72">
        <f t="shared" si="43"/>
        <v>31200</v>
      </c>
      <c r="AF279" s="75">
        <f t="shared" si="44"/>
        <v>3027.9999999999995</v>
      </c>
      <c r="AG279" s="78">
        <f t="shared" si="45"/>
        <v>3027.9999999999995</v>
      </c>
      <c r="AH279" s="72">
        <f t="shared" si="46"/>
        <v>6055.9999999999991</v>
      </c>
      <c r="AI279" s="75">
        <f t="shared" si="47"/>
        <v>2000</v>
      </c>
      <c r="AJ279" s="78">
        <f t="shared" si="48"/>
        <v>2000</v>
      </c>
      <c r="AK279" s="72">
        <f t="shared" si="49"/>
        <v>4000</v>
      </c>
    </row>
    <row r="280" spans="1:37" ht="15.95" customHeight="1">
      <c r="A280" s="25" t="s">
        <v>702</v>
      </c>
      <c r="B280" s="25" t="s">
        <v>252</v>
      </c>
      <c r="C280" s="26" t="s">
        <v>257</v>
      </c>
      <c r="D280" s="26" t="s">
        <v>464</v>
      </c>
      <c r="E280" s="26" t="s">
        <v>16</v>
      </c>
      <c r="F280" s="26" t="s">
        <v>901</v>
      </c>
      <c r="G280" s="26"/>
      <c r="H280" s="27" t="s">
        <v>803</v>
      </c>
      <c r="I280" s="26" t="s">
        <v>19</v>
      </c>
      <c r="J280" s="37" t="s">
        <v>269</v>
      </c>
      <c r="K280" s="123">
        <v>78</v>
      </c>
      <c r="L280" s="29">
        <v>13.83245</v>
      </c>
      <c r="M280" s="110">
        <v>9.35</v>
      </c>
      <c r="N280" s="30">
        <v>0.28199999999999997</v>
      </c>
      <c r="O280" s="116">
        <v>2.6366999999999998</v>
      </c>
      <c r="P280" s="30">
        <v>7.4999999999999997E-2</v>
      </c>
      <c r="Q280" s="116">
        <v>0.70124999999999993</v>
      </c>
      <c r="R280" s="30">
        <v>7.0000000000000007E-2</v>
      </c>
      <c r="S280" s="116">
        <v>0.65450000000000008</v>
      </c>
      <c r="T280" s="117">
        <v>0.49</v>
      </c>
      <c r="U280" s="39">
        <v>200</v>
      </c>
      <c r="V280" s="32">
        <v>200</v>
      </c>
      <c r="W280" s="33"/>
      <c r="X280" s="32"/>
      <c r="Y280" s="32"/>
      <c r="Z280" s="32"/>
      <c r="AA280" s="34"/>
      <c r="AB280" s="35">
        <f t="shared" si="40"/>
        <v>400</v>
      </c>
      <c r="AC280" s="75">
        <f t="shared" si="41"/>
        <v>15600</v>
      </c>
      <c r="AD280" s="78">
        <f t="shared" si="42"/>
        <v>15600</v>
      </c>
      <c r="AE280" s="72">
        <f t="shared" si="43"/>
        <v>31200</v>
      </c>
      <c r="AF280" s="75">
        <f t="shared" si="44"/>
        <v>2766.49</v>
      </c>
      <c r="AG280" s="78">
        <f t="shared" si="45"/>
        <v>2766.49</v>
      </c>
      <c r="AH280" s="72">
        <f t="shared" si="46"/>
        <v>5532.98</v>
      </c>
      <c r="AI280" s="75">
        <f t="shared" si="47"/>
        <v>1870</v>
      </c>
      <c r="AJ280" s="78">
        <f t="shared" si="48"/>
        <v>1870</v>
      </c>
      <c r="AK280" s="72">
        <f t="shared" si="49"/>
        <v>3740</v>
      </c>
    </row>
    <row r="281" spans="1:37" ht="15.95" customHeight="1">
      <c r="A281" s="25" t="s">
        <v>702</v>
      </c>
      <c r="B281" s="25" t="s">
        <v>252</v>
      </c>
      <c r="C281" s="26" t="s">
        <v>262</v>
      </c>
      <c r="D281" s="26" t="s">
        <v>464</v>
      </c>
      <c r="E281" s="26" t="s">
        <v>16</v>
      </c>
      <c r="F281" s="26" t="s">
        <v>902</v>
      </c>
      <c r="G281" s="26"/>
      <c r="H281" s="27" t="s">
        <v>903</v>
      </c>
      <c r="I281" s="26" t="s">
        <v>27</v>
      </c>
      <c r="J281" s="28" t="s">
        <v>885</v>
      </c>
      <c r="K281" s="123">
        <v>78</v>
      </c>
      <c r="L281" s="29">
        <v>12.6195</v>
      </c>
      <c r="M281" s="110">
        <v>8.5</v>
      </c>
      <c r="N281" s="30">
        <v>0.28199999999999997</v>
      </c>
      <c r="O281" s="116">
        <v>2.3969999999999998</v>
      </c>
      <c r="P281" s="30">
        <v>7.4999999999999997E-2</v>
      </c>
      <c r="Q281" s="116">
        <v>0.63749999999999996</v>
      </c>
      <c r="R281" s="30">
        <v>7.0000000000000007E-2</v>
      </c>
      <c r="S281" s="116">
        <v>0.59500000000000008</v>
      </c>
      <c r="T281" s="117">
        <v>0.49</v>
      </c>
      <c r="U281" s="39">
        <v>200</v>
      </c>
      <c r="V281" s="32">
        <v>200</v>
      </c>
      <c r="W281" s="33"/>
      <c r="X281" s="32"/>
      <c r="Y281" s="32"/>
      <c r="Z281" s="32"/>
      <c r="AA281" s="34"/>
      <c r="AB281" s="35">
        <f t="shared" si="40"/>
        <v>400</v>
      </c>
      <c r="AC281" s="75">
        <f t="shared" si="41"/>
        <v>15600</v>
      </c>
      <c r="AD281" s="78">
        <f t="shared" si="42"/>
        <v>15600</v>
      </c>
      <c r="AE281" s="72">
        <f t="shared" si="43"/>
        <v>31200</v>
      </c>
      <c r="AF281" s="75">
        <f t="shared" si="44"/>
        <v>2523.9</v>
      </c>
      <c r="AG281" s="78">
        <f t="shared" si="45"/>
        <v>2523.9</v>
      </c>
      <c r="AH281" s="72">
        <f t="shared" si="46"/>
        <v>5047.8</v>
      </c>
      <c r="AI281" s="75">
        <f t="shared" si="47"/>
        <v>1700</v>
      </c>
      <c r="AJ281" s="78">
        <f t="shared" si="48"/>
        <v>1700</v>
      </c>
      <c r="AK281" s="72">
        <f t="shared" si="49"/>
        <v>3400</v>
      </c>
    </row>
    <row r="282" spans="1:37" ht="15.95" customHeight="1">
      <c r="A282" s="25" t="s">
        <v>702</v>
      </c>
      <c r="B282" s="25" t="s">
        <v>252</v>
      </c>
      <c r="C282" s="26" t="s">
        <v>257</v>
      </c>
      <c r="D282" s="26" t="s">
        <v>904</v>
      </c>
      <c r="E282" s="26" t="s">
        <v>16</v>
      </c>
      <c r="F282" s="26" t="s">
        <v>905</v>
      </c>
      <c r="G282" s="26"/>
      <c r="H282" s="27" t="s">
        <v>906</v>
      </c>
      <c r="I282" s="26" t="s">
        <v>19</v>
      </c>
      <c r="J282" s="28" t="s">
        <v>269</v>
      </c>
      <c r="K282" s="123">
        <v>78</v>
      </c>
      <c r="L282" s="29">
        <v>12.904899999999998</v>
      </c>
      <c r="M282" s="110">
        <v>8.6999999999999993</v>
      </c>
      <c r="N282" s="30">
        <v>0.28199999999999997</v>
      </c>
      <c r="O282" s="116">
        <v>2.4533999999999994</v>
      </c>
      <c r="P282" s="30">
        <v>7.4999999999999997E-2</v>
      </c>
      <c r="Q282" s="116">
        <v>0.65249999999999997</v>
      </c>
      <c r="R282" s="30">
        <v>7.0000000000000007E-2</v>
      </c>
      <c r="S282" s="116">
        <v>0.60899999999999999</v>
      </c>
      <c r="T282" s="117">
        <v>0.49</v>
      </c>
      <c r="U282" s="39">
        <v>200</v>
      </c>
      <c r="V282" s="32">
        <v>200</v>
      </c>
      <c r="W282" s="33"/>
      <c r="X282" s="32"/>
      <c r="Y282" s="32"/>
      <c r="Z282" s="32"/>
      <c r="AA282" s="34"/>
      <c r="AB282" s="35">
        <f t="shared" si="40"/>
        <v>400</v>
      </c>
      <c r="AC282" s="75">
        <f t="shared" si="41"/>
        <v>15600</v>
      </c>
      <c r="AD282" s="78">
        <f t="shared" si="42"/>
        <v>15600</v>
      </c>
      <c r="AE282" s="72">
        <f t="shared" si="43"/>
        <v>31200</v>
      </c>
      <c r="AF282" s="75">
        <f t="shared" si="44"/>
        <v>2580.9799999999996</v>
      </c>
      <c r="AG282" s="78">
        <f t="shared" si="45"/>
        <v>2580.9799999999996</v>
      </c>
      <c r="AH282" s="72">
        <f t="shared" si="46"/>
        <v>5161.9599999999991</v>
      </c>
      <c r="AI282" s="75">
        <f t="shared" si="47"/>
        <v>1739.9999999999998</v>
      </c>
      <c r="AJ282" s="78">
        <f t="shared" si="48"/>
        <v>1739.9999999999998</v>
      </c>
      <c r="AK282" s="72">
        <f t="shared" si="49"/>
        <v>3479.9999999999995</v>
      </c>
    </row>
    <row r="283" spans="1:37" ht="15.95" customHeight="1">
      <c r="A283" s="25" t="s">
        <v>702</v>
      </c>
      <c r="B283" s="25" t="s">
        <v>252</v>
      </c>
      <c r="C283" s="26" t="s">
        <v>907</v>
      </c>
      <c r="D283" s="26" t="s">
        <v>464</v>
      </c>
      <c r="E283" s="26" t="s">
        <v>16</v>
      </c>
      <c r="F283" s="26" t="s">
        <v>908</v>
      </c>
      <c r="G283" s="26"/>
      <c r="H283" s="27" t="s">
        <v>909</v>
      </c>
      <c r="I283" s="26" t="s">
        <v>27</v>
      </c>
      <c r="J283" s="28" t="s">
        <v>311</v>
      </c>
      <c r="K283" s="123">
        <v>64</v>
      </c>
      <c r="L283" s="29">
        <v>16.1266</v>
      </c>
      <c r="M283" s="110">
        <v>11.9</v>
      </c>
      <c r="N283" s="30">
        <v>0.16900000000000001</v>
      </c>
      <c r="O283" s="116">
        <v>2.0111000000000003</v>
      </c>
      <c r="P283" s="30">
        <v>7.4999999999999997E-2</v>
      </c>
      <c r="Q283" s="116">
        <v>0.89249999999999996</v>
      </c>
      <c r="R283" s="30">
        <v>7.0000000000000007E-2</v>
      </c>
      <c r="S283" s="116">
        <v>0.83300000000000007</v>
      </c>
      <c r="T283" s="117">
        <v>0.49</v>
      </c>
      <c r="U283" s="39">
        <v>200</v>
      </c>
      <c r="V283" s="32"/>
      <c r="W283" s="33"/>
      <c r="X283" s="32"/>
      <c r="Y283" s="32"/>
      <c r="Z283" s="32"/>
      <c r="AA283" s="34"/>
      <c r="AB283" s="35">
        <f t="shared" si="40"/>
        <v>200</v>
      </c>
      <c r="AC283" s="75">
        <f t="shared" si="41"/>
        <v>12800</v>
      </c>
      <c r="AD283" s="78">
        <f t="shared" si="42"/>
        <v>0</v>
      </c>
      <c r="AE283" s="72">
        <f t="shared" si="43"/>
        <v>12800</v>
      </c>
      <c r="AF283" s="75">
        <f t="shared" si="44"/>
        <v>3225.32</v>
      </c>
      <c r="AG283" s="78">
        <f t="shared" si="45"/>
        <v>0</v>
      </c>
      <c r="AH283" s="72">
        <f t="shared" si="46"/>
        <v>3225.32</v>
      </c>
      <c r="AI283" s="75">
        <f t="shared" si="47"/>
        <v>2380</v>
      </c>
      <c r="AJ283" s="78">
        <f t="shared" si="48"/>
        <v>0</v>
      </c>
      <c r="AK283" s="72">
        <f t="shared" si="49"/>
        <v>2380</v>
      </c>
    </row>
    <row r="284" spans="1:37" ht="15.95" customHeight="1">
      <c r="A284" s="25" t="s">
        <v>702</v>
      </c>
      <c r="B284" s="25" t="s">
        <v>252</v>
      </c>
      <c r="C284" s="26" t="s">
        <v>267</v>
      </c>
      <c r="D284" s="26" t="s">
        <v>464</v>
      </c>
      <c r="E284" s="26" t="s">
        <v>16</v>
      </c>
      <c r="F284" s="26" t="s">
        <v>910</v>
      </c>
      <c r="G284" s="26"/>
      <c r="H284" s="27" t="s">
        <v>909</v>
      </c>
      <c r="I284" s="26" t="s">
        <v>27</v>
      </c>
      <c r="J284" s="37" t="s">
        <v>682</v>
      </c>
      <c r="K284" s="123">
        <v>74</v>
      </c>
      <c r="L284" s="29">
        <v>17.613999999999997</v>
      </c>
      <c r="M284" s="110">
        <v>12</v>
      </c>
      <c r="N284" s="30">
        <v>0.28199999999999997</v>
      </c>
      <c r="O284" s="116">
        <v>3.3839999999999995</v>
      </c>
      <c r="P284" s="30">
        <v>7.4999999999999997E-2</v>
      </c>
      <c r="Q284" s="116">
        <v>0.89999999999999991</v>
      </c>
      <c r="R284" s="30">
        <v>7.0000000000000007E-2</v>
      </c>
      <c r="S284" s="116">
        <v>0.84000000000000008</v>
      </c>
      <c r="T284" s="117">
        <v>0.49</v>
      </c>
      <c r="U284" s="39">
        <v>200</v>
      </c>
      <c r="V284" s="32"/>
      <c r="W284" s="33"/>
      <c r="X284" s="32"/>
      <c r="Y284" s="32"/>
      <c r="Z284" s="32"/>
      <c r="AA284" s="34"/>
      <c r="AB284" s="35">
        <f t="shared" si="40"/>
        <v>200</v>
      </c>
      <c r="AC284" s="75">
        <f t="shared" si="41"/>
        <v>14800</v>
      </c>
      <c r="AD284" s="78">
        <f t="shared" si="42"/>
        <v>0</v>
      </c>
      <c r="AE284" s="72">
        <f t="shared" si="43"/>
        <v>14800</v>
      </c>
      <c r="AF284" s="75">
        <f t="shared" si="44"/>
        <v>3522.7999999999993</v>
      </c>
      <c r="AG284" s="78">
        <f t="shared" si="45"/>
        <v>0</v>
      </c>
      <c r="AH284" s="72">
        <f t="shared" si="46"/>
        <v>3522.7999999999993</v>
      </c>
      <c r="AI284" s="75">
        <f t="shared" si="47"/>
        <v>2400</v>
      </c>
      <c r="AJ284" s="78">
        <f t="shared" si="48"/>
        <v>0</v>
      </c>
      <c r="AK284" s="72">
        <f t="shared" si="49"/>
        <v>2400</v>
      </c>
    </row>
    <row r="285" spans="1:37" ht="15.95" customHeight="1">
      <c r="A285" s="25" t="s">
        <v>702</v>
      </c>
      <c r="B285" s="25" t="s">
        <v>252</v>
      </c>
      <c r="C285" s="26" t="s">
        <v>907</v>
      </c>
      <c r="D285" s="26" t="s">
        <v>464</v>
      </c>
      <c r="E285" s="26" t="s">
        <v>16</v>
      </c>
      <c r="F285" s="26" t="s">
        <v>911</v>
      </c>
      <c r="G285" s="26"/>
      <c r="H285" s="27" t="s">
        <v>909</v>
      </c>
      <c r="I285" s="26" t="s">
        <v>27</v>
      </c>
      <c r="J285" s="37" t="s">
        <v>311</v>
      </c>
      <c r="K285" s="123">
        <v>78</v>
      </c>
      <c r="L285" s="29">
        <v>16.914999999999999</v>
      </c>
      <c r="M285" s="110">
        <v>12.5</v>
      </c>
      <c r="N285" s="30">
        <v>0.16900000000000001</v>
      </c>
      <c r="O285" s="116">
        <v>2.1125000000000003</v>
      </c>
      <c r="P285" s="30">
        <v>7.4999999999999997E-2</v>
      </c>
      <c r="Q285" s="116">
        <v>0.9375</v>
      </c>
      <c r="R285" s="30">
        <v>7.0000000000000007E-2</v>
      </c>
      <c r="S285" s="116">
        <v>0.87500000000000011</v>
      </c>
      <c r="T285" s="117">
        <v>0.49</v>
      </c>
      <c r="U285" s="39">
        <v>300</v>
      </c>
      <c r="V285" s="32"/>
      <c r="W285" s="33"/>
      <c r="X285" s="32"/>
      <c r="Y285" s="32"/>
      <c r="Z285" s="32"/>
      <c r="AA285" s="34"/>
      <c r="AB285" s="35">
        <f t="shared" si="40"/>
        <v>300</v>
      </c>
      <c r="AC285" s="75">
        <f t="shared" si="41"/>
        <v>23400</v>
      </c>
      <c r="AD285" s="78">
        <f t="shared" si="42"/>
        <v>0</v>
      </c>
      <c r="AE285" s="72">
        <f t="shared" si="43"/>
        <v>23400</v>
      </c>
      <c r="AF285" s="75">
        <f t="shared" si="44"/>
        <v>5074.5</v>
      </c>
      <c r="AG285" s="78">
        <f t="shared" si="45"/>
        <v>0</v>
      </c>
      <c r="AH285" s="72">
        <f t="shared" si="46"/>
        <v>5074.5</v>
      </c>
      <c r="AI285" s="75">
        <f t="shared" si="47"/>
        <v>3750</v>
      </c>
      <c r="AJ285" s="78">
        <f t="shared" si="48"/>
        <v>0</v>
      </c>
      <c r="AK285" s="72">
        <f t="shared" si="49"/>
        <v>3750</v>
      </c>
    </row>
    <row r="286" spans="1:37" ht="15.95" customHeight="1">
      <c r="A286" s="25" t="s">
        <v>702</v>
      </c>
      <c r="B286" s="25" t="s">
        <v>252</v>
      </c>
      <c r="C286" s="26" t="s">
        <v>907</v>
      </c>
      <c r="D286" s="26" t="s">
        <v>464</v>
      </c>
      <c r="E286" s="26" t="s">
        <v>16</v>
      </c>
      <c r="F286" s="26" t="s">
        <v>911</v>
      </c>
      <c r="G286" s="26"/>
      <c r="H286" s="27" t="s">
        <v>909</v>
      </c>
      <c r="I286" s="26" t="s">
        <v>27</v>
      </c>
      <c r="J286" s="28" t="s">
        <v>311</v>
      </c>
      <c r="K286" s="123">
        <v>78</v>
      </c>
      <c r="L286" s="29">
        <v>16.914999999999999</v>
      </c>
      <c r="M286" s="110">
        <v>12.5</v>
      </c>
      <c r="N286" s="30">
        <v>0.16900000000000001</v>
      </c>
      <c r="O286" s="116">
        <v>2.1125000000000003</v>
      </c>
      <c r="P286" s="30">
        <v>7.4999999999999997E-2</v>
      </c>
      <c r="Q286" s="116">
        <v>0.9375</v>
      </c>
      <c r="R286" s="30">
        <v>7.0000000000000007E-2</v>
      </c>
      <c r="S286" s="116">
        <v>0.87500000000000011</v>
      </c>
      <c r="T286" s="117">
        <v>0.49</v>
      </c>
      <c r="U286" s="39">
        <v>250</v>
      </c>
      <c r="V286" s="32"/>
      <c r="W286" s="33"/>
      <c r="X286" s="32"/>
      <c r="Y286" s="32"/>
      <c r="Z286" s="32"/>
      <c r="AA286" s="34"/>
      <c r="AB286" s="35">
        <f t="shared" si="40"/>
        <v>250</v>
      </c>
      <c r="AC286" s="75">
        <f t="shared" si="41"/>
        <v>19500</v>
      </c>
      <c r="AD286" s="78">
        <f t="shared" si="42"/>
        <v>0</v>
      </c>
      <c r="AE286" s="72">
        <f t="shared" si="43"/>
        <v>19500</v>
      </c>
      <c r="AF286" s="75">
        <f t="shared" si="44"/>
        <v>4228.75</v>
      </c>
      <c r="AG286" s="78">
        <f t="shared" si="45"/>
        <v>0</v>
      </c>
      <c r="AH286" s="72">
        <f t="shared" si="46"/>
        <v>4228.75</v>
      </c>
      <c r="AI286" s="75">
        <f t="shared" si="47"/>
        <v>3125</v>
      </c>
      <c r="AJ286" s="78">
        <f t="shared" si="48"/>
        <v>0</v>
      </c>
      <c r="AK286" s="72">
        <f t="shared" si="49"/>
        <v>3125</v>
      </c>
    </row>
    <row r="287" spans="1:37" ht="15.95" customHeight="1">
      <c r="A287" s="25" t="s">
        <v>702</v>
      </c>
      <c r="B287" s="25" t="s">
        <v>252</v>
      </c>
      <c r="C287" s="26" t="s">
        <v>907</v>
      </c>
      <c r="D287" s="26" t="s">
        <v>464</v>
      </c>
      <c r="E287" s="26" t="s">
        <v>16</v>
      </c>
      <c r="F287" s="26" t="s">
        <v>911</v>
      </c>
      <c r="G287" s="26"/>
      <c r="H287" s="27" t="s">
        <v>909</v>
      </c>
      <c r="I287" s="26" t="s">
        <v>27</v>
      </c>
      <c r="J287" s="28" t="s">
        <v>311</v>
      </c>
      <c r="K287" s="123">
        <v>78</v>
      </c>
      <c r="L287" s="29">
        <v>16.914999999999999</v>
      </c>
      <c r="M287" s="110">
        <v>12.5</v>
      </c>
      <c r="N287" s="30">
        <v>0.16900000000000001</v>
      </c>
      <c r="O287" s="116">
        <v>2.1125000000000003</v>
      </c>
      <c r="P287" s="30">
        <v>7.4999999999999997E-2</v>
      </c>
      <c r="Q287" s="116">
        <v>0.9375</v>
      </c>
      <c r="R287" s="30">
        <v>7.0000000000000007E-2</v>
      </c>
      <c r="S287" s="116">
        <v>0.87500000000000011</v>
      </c>
      <c r="T287" s="117">
        <v>0.49</v>
      </c>
      <c r="U287" s="39">
        <v>300</v>
      </c>
      <c r="V287" s="32"/>
      <c r="W287" s="33"/>
      <c r="X287" s="32"/>
      <c r="Y287" s="32"/>
      <c r="Z287" s="32"/>
      <c r="AA287" s="34"/>
      <c r="AB287" s="35">
        <f t="shared" si="40"/>
        <v>300</v>
      </c>
      <c r="AC287" s="75">
        <f t="shared" si="41"/>
        <v>23400</v>
      </c>
      <c r="AD287" s="78">
        <f t="shared" si="42"/>
        <v>0</v>
      </c>
      <c r="AE287" s="72">
        <f t="shared" si="43"/>
        <v>23400</v>
      </c>
      <c r="AF287" s="75">
        <f t="shared" si="44"/>
        <v>5074.5</v>
      </c>
      <c r="AG287" s="78">
        <f t="shared" si="45"/>
        <v>0</v>
      </c>
      <c r="AH287" s="72">
        <f t="shared" si="46"/>
        <v>5074.5</v>
      </c>
      <c r="AI287" s="75">
        <f t="shared" si="47"/>
        <v>3750</v>
      </c>
      <c r="AJ287" s="78">
        <f t="shared" si="48"/>
        <v>0</v>
      </c>
      <c r="AK287" s="72">
        <f t="shared" si="49"/>
        <v>3750</v>
      </c>
    </row>
    <row r="288" spans="1:37" ht="15.95" customHeight="1">
      <c r="A288" s="25" t="s">
        <v>702</v>
      </c>
      <c r="B288" s="25" t="s">
        <v>252</v>
      </c>
      <c r="C288" s="26" t="s">
        <v>257</v>
      </c>
      <c r="D288" s="26" t="s">
        <v>464</v>
      </c>
      <c r="E288" s="26" t="s">
        <v>16</v>
      </c>
      <c r="F288" s="26" t="s">
        <v>912</v>
      </c>
      <c r="G288" s="26"/>
      <c r="H288" s="27" t="s">
        <v>909</v>
      </c>
      <c r="I288" s="26" t="s">
        <v>27</v>
      </c>
      <c r="J288" s="28" t="s">
        <v>269</v>
      </c>
      <c r="K288" s="123">
        <v>88</v>
      </c>
      <c r="L288" s="29">
        <v>19.754499999999997</v>
      </c>
      <c r="M288" s="110">
        <v>13.5</v>
      </c>
      <c r="N288" s="30">
        <v>0.28199999999999997</v>
      </c>
      <c r="O288" s="116">
        <v>3.8069999999999995</v>
      </c>
      <c r="P288" s="30">
        <v>7.4999999999999997E-2</v>
      </c>
      <c r="Q288" s="116">
        <v>1.0125</v>
      </c>
      <c r="R288" s="30">
        <v>7.0000000000000007E-2</v>
      </c>
      <c r="S288" s="116">
        <v>0.94500000000000006</v>
      </c>
      <c r="T288" s="117">
        <v>0.49</v>
      </c>
      <c r="U288" s="39">
        <v>300</v>
      </c>
      <c r="V288" s="32"/>
      <c r="W288" s="33"/>
      <c r="X288" s="32"/>
      <c r="Y288" s="32"/>
      <c r="Z288" s="32"/>
      <c r="AA288" s="34"/>
      <c r="AB288" s="35">
        <f t="shared" si="40"/>
        <v>300</v>
      </c>
      <c r="AC288" s="75">
        <f t="shared" si="41"/>
        <v>26400</v>
      </c>
      <c r="AD288" s="78">
        <f t="shared" si="42"/>
        <v>0</v>
      </c>
      <c r="AE288" s="72">
        <f t="shared" si="43"/>
        <v>26400</v>
      </c>
      <c r="AF288" s="75">
        <f t="shared" si="44"/>
        <v>5926.3499999999985</v>
      </c>
      <c r="AG288" s="78">
        <f t="shared" si="45"/>
        <v>0</v>
      </c>
      <c r="AH288" s="72">
        <f t="shared" si="46"/>
        <v>5926.3499999999985</v>
      </c>
      <c r="AI288" s="75">
        <f t="shared" si="47"/>
        <v>4050</v>
      </c>
      <c r="AJ288" s="78">
        <f t="shared" si="48"/>
        <v>0</v>
      </c>
      <c r="AK288" s="72">
        <f t="shared" si="49"/>
        <v>4050</v>
      </c>
    </row>
    <row r="289" spans="1:37" ht="15.95" customHeight="1">
      <c r="A289" s="25" t="s">
        <v>702</v>
      </c>
      <c r="B289" s="25" t="s">
        <v>252</v>
      </c>
      <c r="C289" s="26" t="s">
        <v>257</v>
      </c>
      <c r="D289" s="26" t="s">
        <v>464</v>
      </c>
      <c r="E289" s="26" t="s">
        <v>16</v>
      </c>
      <c r="F289" s="26" t="s">
        <v>912</v>
      </c>
      <c r="G289" s="26"/>
      <c r="H289" s="27" t="s">
        <v>909</v>
      </c>
      <c r="I289" s="26" t="s">
        <v>27</v>
      </c>
      <c r="J289" s="28" t="s">
        <v>269</v>
      </c>
      <c r="K289" s="123">
        <v>88</v>
      </c>
      <c r="L289" s="29">
        <v>19.754499999999997</v>
      </c>
      <c r="M289" s="110">
        <v>13.5</v>
      </c>
      <c r="N289" s="30">
        <v>0.28199999999999997</v>
      </c>
      <c r="O289" s="116">
        <v>3.8069999999999995</v>
      </c>
      <c r="P289" s="30">
        <v>7.4999999999999997E-2</v>
      </c>
      <c r="Q289" s="116">
        <v>1.0125</v>
      </c>
      <c r="R289" s="30">
        <v>7.0000000000000007E-2</v>
      </c>
      <c r="S289" s="116">
        <v>0.94500000000000006</v>
      </c>
      <c r="T289" s="117">
        <v>0.49</v>
      </c>
      <c r="U289" s="39">
        <v>250</v>
      </c>
      <c r="V289" s="32"/>
      <c r="W289" s="33"/>
      <c r="X289" s="32"/>
      <c r="Y289" s="32"/>
      <c r="Z289" s="32"/>
      <c r="AA289" s="34"/>
      <c r="AB289" s="35">
        <f t="shared" si="40"/>
        <v>250</v>
      </c>
      <c r="AC289" s="75">
        <f t="shared" si="41"/>
        <v>22000</v>
      </c>
      <c r="AD289" s="78">
        <f t="shared" si="42"/>
        <v>0</v>
      </c>
      <c r="AE289" s="72">
        <f t="shared" si="43"/>
        <v>22000</v>
      </c>
      <c r="AF289" s="75">
        <f t="shared" si="44"/>
        <v>4938.6249999999991</v>
      </c>
      <c r="AG289" s="78">
        <f t="shared" si="45"/>
        <v>0</v>
      </c>
      <c r="AH289" s="72">
        <f t="shared" si="46"/>
        <v>4938.6249999999991</v>
      </c>
      <c r="AI289" s="75">
        <f t="shared" si="47"/>
        <v>3375</v>
      </c>
      <c r="AJ289" s="78">
        <f t="shared" si="48"/>
        <v>0</v>
      </c>
      <c r="AK289" s="72">
        <f t="shared" si="49"/>
        <v>3375</v>
      </c>
    </row>
    <row r="290" spans="1:37" ht="15.95" customHeight="1">
      <c r="A290" s="25" t="s">
        <v>702</v>
      </c>
      <c r="B290" s="25" t="s">
        <v>252</v>
      </c>
      <c r="C290" s="26" t="s">
        <v>257</v>
      </c>
      <c r="D290" s="26" t="s">
        <v>464</v>
      </c>
      <c r="E290" s="26" t="s">
        <v>16</v>
      </c>
      <c r="F290" s="26" t="s">
        <v>912</v>
      </c>
      <c r="G290" s="26"/>
      <c r="H290" s="27" t="s">
        <v>909</v>
      </c>
      <c r="I290" s="26" t="s">
        <v>27</v>
      </c>
      <c r="J290" s="28" t="s">
        <v>269</v>
      </c>
      <c r="K290" s="123">
        <v>88</v>
      </c>
      <c r="L290" s="29">
        <v>19.754499999999997</v>
      </c>
      <c r="M290" s="110">
        <v>13.5</v>
      </c>
      <c r="N290" s="30">
        <v>0.28199999999999997</v>
      </c>
      <c r="O290" s="116">
        <v>3.8069999999999995</v>
      </c>
      <c r="P290" s="30">
        <v>7.4999999999999997E-2</v>
      </c>
      <c r="Q290" s="116">
        <v>1.0125</v>
      </c>
      <c r="R290" s="30">
        <v>7.0000000000000007E-2</v>
      </c>
      <c r="S290" s="116">
        <v>0.94500000000000006</v>
      </c>
      <c r="T290" s="117">
        <v>0.49</v>
      </c>
      <c r="U290" s="39">
        <v>300</v>
      </c>
      <c r="V290" s="32"/>
      <c r="W290" s="33"/>
      <c r="X290" s="32"/>
      <c r="Y290" s="32"/>
      <c r="Z290" s="32"/>
      <c r="AA290" s="34"/>
      <c r="AB290" s="35">
        <f t="shared" si="40"/>
        <v>300</v>
      </c>
      <c r="AC290" s="75">
        <f t="shared" si="41"/>
        <v>26400</v>
      </c>
      <c r="AD290" s="78">
        <f t="shared" si="42"/>
        <v>0</v>
      </c>
      <c r="AE290" s="72">
        <f t="shared" si="43"/>
        <v>26400</v>
      </c>
      <c r="AF290" s="75">
        <f t="shared" si="44"/>
        <v>5926.3499999999985</v>
      </c>
      <c r="AG290" s="78">
        <f t="shared" si="45"/>
        <v>0</v>
      </c>
      <c r="AH290" s="72">
        <f t="shared" si="46"/>
        <v>5926.3499999999985</v>
      </c>
      <c r="AI290" s="75">
        <f t="shared" si="47"/>
        <v>4050</v>
      </c>
      <c r="AJ290" s="78">
        <f t="shared" si="48"/>
        <v>0</v>
      </c>
      <c r="AK290" s="72">
        <f t="shared" si="49"/>
        <v>4050</v>
      </c>
    </row>
    <row r="291" spans="1:37" ht="15.95" customHeight="1">
      <c r="A291" s="25" t="s">
        <v>702</v>
      </c>
      <c r="B291" s="25" t="s">
        <v>252</v>
      </c>
      <c r="C291" s="26" t="s">
        <v>293</v>
      </c>
      <c r="D291" s="26" t="s">
        <v>464</v>
      </c>
      <c r="E291" s="26" t="s">
        <v>16</v>
      </c>
      <c r="F291" s="26" t="s">
        <v>913</v>
      </c>
      <c r="G291" s="26"/>
      <c r="H291" s="27" t="s">
        <v>909</v>
      </c>
      <c r="I291" s="26" t="s">
        <v>27</v>
      </c>
      <c r="J291" s="28" t="s">
        <v>301</v>
      </c>
      <c r="K291" s="123">
        <v>88</v>
      </c>
      <c r="L291" s="29">
        <v>20.064999999999998</v>
      </c>
      <c r="M291" s="110">
        <v>15</v>
      </c>
      <c r="N291" s="30">
        <v>0.16</v>
      </c>
      <c r="O291" s="116">
        <v>2.4</v>
      </c>
      <c r="P291" s="30">
        <v>7.4999999999999997E-2</v>
      </c>
      <c r="Q291" s="116">
        <v>1.125</v>
      </c>
      <c r="R291" s="30">
        <v>7.0000000000000007E-2</v>
      </c>
      <c r="S291" s="116">
        <v>1.05</v>
      </c>
      <c r="T291" s="117">
        <v>0.49</v>
      </c>
      <c r="U291" s="39">
        <v>250</v>
      </c>
      <c r="V291" s="32"/>
      <c r="W291" s="33"/>
      <c r="X291" s="32"/>
      <c r="Y291" s="32"/>
      <c r="Z291" s="32"/>
      <c r="AA291" s="34"/>
      <c r="AB291" s="35">
        <f t="shared" si="40"/>
        <v>250</v>
      </c>
      <c r="AC291" s="75">
        <f t="shared" si="41"/>
        <v>22000</v>
      </c>
      <c r="AD291" s="78">
        <f t="shared" si="42"/>
        <v>0</v>
      </c>
      <c r="AE291" s="72">
        <f t="shared" si="43"/>
        <v>22000</v>
      </c>
      <c r="AF291" s="75">
        <f t="shared" si="44"/>
        <v>5016.2499999999991</v>
      </c>
      <c r="AG291" s="78">
        <f t="shared" si="45"/>
        <v>0</v>
      </c>
      <c r="AH291" s="72">
        <f t="shared" si="46"/>
        <v>5016.2499999999991</v>
      </c>
      <c r="AI291" s="75">
        <f t="shared" si="47"/>
        <v>3750</v>
      </c>
      <c r="AJ291" s="78">
        <f t="shared" si="48"/>
        <v>0</v>
      </c>
      <c r="AK291" s="72">
        <f t="shared" si="49"/>
        <v>3750</v>
      </c>
    </row>
    <row r="292" spans="1:37" ht="15.95" customHeight="1">
      <c r="A292" s="25" t="s">
        <v>702</v>
      </c>
      <c r="B292" s="25" t="s">
        <v>252</v>
      </c>
      <c r="C292" s="26" t="s">
        <v>293</v>
      </c>
      <c r="D292" s="26" t="s">
        <v>464</v>
      </c>
      <c r="E292" s="26" t="s">
        <v>16</v>
      </c>
      <c r="F292" s="26" t="s">
        <v>913</v>
      </c>
      <c r="G292" s="26"/>
      <c r="H292" s="27" t="s">
        <v>909</v>
      </c>
      <c r="I292" s="26" t="s">
        <v>27</v>
      </c>
      <c r="J292" s="28" t="s">
        <v>301</v>
      </c>
      <c r="K292" s="123">
        <v>88</v>
      </c>
      <c r="L292" s="29">
        <v>20.064999999999998</v>
      </c>
      <c r="M292" s="110">
        <v>15</v>
      </c>
      <c r="N292" s="30">
        <v>0.16</v>
      </c>
      <c r="O292" s="116">
        <v>2.4</v>
      </c>
      <c r="P292" s="30">
        <v>7.4999999999999997E-2</v>
      </c>
      <c r="Q292" s="116">
        <v>1.125</v>
      </c>
      <c r="R292" s="30">
        <v>7.0000000000000007E-2</v>
      </c>
      <c r="S292" s="116">
        <v>1.05</v>
      </c>
      <c r="T292" s="117">
        <v>0.49</v>
      </c>
      <c r="U292" s="39">
        <v>250</v>
      </c>
      <c r="V292" s="32"/>
      <c r="W292" s="33"/>
      <c r="X292" s="32"/>
      <c r="Y292" s="32"/>
      <c r="Z292" s="32"/>
      <c r="AA292" s="34"/>
      <c r="AB292" s="35">
        <f t="shared" si="40"/>
        <v>250</v>
      </c>
      <c r="AC292" s="75">
        <f t="shared" si="41"/>
        <v>22000</v>
      </c>
      <c r="AD292" s="78">
        <f t="shared" si="42"/>
        <v>0</v>
      </c>
      <c r="AE292" s="72">
        <f t="shared" si="43"/>
        <v>22000</v>
      </c>
      <c r="AF292" s="75">
        <f t="shared" si="44"/>
        <v>5016.2499999999991</v>
      </c>
      <c r="AG292" s="78">
        <f t="shared" si="45"/>
        <v>0</v>
      </c>
      <c r="AH292" s="72">
        <f t="shared" si="46"/>
        <v>5016.2499999999991</v>
      </c>
      <c r="AI292" s="75">
        <f t="shared" si="47"/>
        <v>3750</v>
      </c>
      <c r="AJ292" s="78">
        <f t="shared" si="48"/>
        <v>0</v>
      </c>
      <c r="AK292" s="72">
        <f t="shared" si="49"/>
        <v>3750</v>
      </c>
    </row>
    <row r="293" spans="1:37" ht="15.95" customHeight="1">
      <c r="A293" s="25" t="s">
        <v>702</v>
      </c>
      <c r="B293" s="25" t="s">
        <v>252</v>
      </c>
      <c r="C293" s="26" t="s">
        <v>293</v>
      </c>
      <c r="D293" s="26" t="s">
        <v>464</v>
      </c>
      <c r="E293" s="26" t="s">
        <v>16</v>
      </c>
      <c r="F293" s="26" t="s">
        <v>913</v>
      </c>
      <c r="G293" s="26"/>
      <c r="H293" s="27" t="s">
        <v>909</v>
      </c>
      <c r="I293" s="26" t="s">
        <v>27</v>
      </c>
      <c r="J293" s="28" t="s">
        <v>301</v>
      </c>
      <c r="K293" s="124">
        <v>88</v>
      </c>
      <c r="L293" s="29">
        <v>20.064999999999998</v>
      </c>
      <c r="M293" s="110">
        <v>15</v>
      </c>
      <c r="N293" s="30">
        <v>0.16</v>
      </c>
      <c r="O293" s="116">
        <v>2.4</v>
      </c>
      <c r="P293" s="30">
        <v>7.4999999999999997E-2</v>
      </c>
      <c r="Q293" s="116">
        <v>1.125</v>
      </c>
      <c r="R293" s="30">
        <v>7.0000000000000007E-2</v>
      </c>
      <c r="S293" s="116">
        <v>1.05</v>
      </c>
      <c r="T293" s="117">
        <v>0.49</v>
      </c>
      <c r="U293" s="39">
        <v>300</v>
      </c>
      <c r="V293" s="32"/>
      <c r="W293" s="33"/>
      <c r="X293" s="32"/>
      <c r="Y293" s="32"/>
      <c r="Z293" s="32"/>
      <c r="AA293" s="34"/>
      <c r="AB293" s="35">
        <f t="shared" si="40"/>
        <v>300</v>
      </c>
      <c r="AC293" s="75">
        <f t="shared" si="41"/>
        <v>26400</v>
      </c>
      <c r="AD293" s="78">
        <f t="shared" si="42"/>
        <v>0</v>
      </c>
      <c r="AE293" s="72">
        <f t="shared" si="43"/>
        <v>26400</v>
      </c>
      <c r="AF293" s="75">
        <f t="shared" si="44"/>
        <v>6019.4999999999991</v>
      </c>
      <c r="AG293" s="78">
        <f t="shared" si="45"/>
        <v>0</v>
      </c>
      <c r="AH293" s="72">
        <f t="shared" si="46"/>
        <v>6019.4999999999991</v>
      </c>
      <c r="AI293" s="75">
        <f t="shared" si="47"/>
        <v>4500</v>
      </c>
      <c r="AJ293" s="78">
        <f t="shared" si="48"/>
        <v>0</v>
      </c>
      <c r="AK293" s="72">
        <f t="shared" si="49"/>
        <v>4500</v>
      </c>
    </row>
    <row r="294" spans="1:37" ht="15.95" customHeight="1">
      <c r="A294" s="25" t="s">
        <v>702</v>
      </c>
      <c r="B294" s="25" t="s">
        <v>252</v>
      </c>
      <c r="C294" s="26" t="s">
        <v>267</v>
      </c>
      <c r="D294" s="26" t="s">
        <v>464</v>
      </c>
      <c r="E294" s="26" t="s">
        <v>16</v>
      </c>
      <c r="F294" s="26" t="s">
        <v>914</v>
      </c>
      <c r="G294" s="26"/>
      <c r="H294" s="27" t="s">
        <v>909</v>
      </c>
      <c r="I294" s="26" t="s">
        <v>27</v>
      </c>
      <c r="J294" s="28" t="s">
        <v>682</v>
      </c>
      <c r="K294" s="123">
        <v>54</v>
      </c>
      <c r="L294" s="29">
        <v>15.830249999999999</v>
      </c>
      <c r="M294" s="110">
        <v>10.75</v>
      </c>
      <c r="N294" s="30">
        <v>0.28199999999999997</v>
      </c>
      <c r="O294" s="116">
        <v>3.0314999999999999</v>
      </c>
      <c r="P294" s="30">
        <v>7.4999999999999997E-2</v>
      </c>
      <c r="Q294" s="116">
        <v>0.80625000000000002</v>
      </c>
      <c r="R294" s="30">
        <v>7.0000000000000007E-2</v>
      </c>
      <c r="S294" s="116">
        <v>0.75250000000000006</v>
      </c>
      <c r="T294" s="117">
        <v>0.49</v>
      </c>
      <c r="U294" s="39">
        <v>250</v>
      </c>
      <c r="V294" s="32"/>
      <c r="W294" s="33"/>
      <c r="X294" s="32"/>
      <c r="Y294" s="32"/>
      <c r="Z294" s="32"/>
      <c r="AA294" s="34"/>
      <c r="AB294" s="35">
        <f t="shared" si="40"/>
        <v>250</v>
      </c>
      <c r="AC294" s="75">
        <f t="shared" si="41"/>
        <v>13500</v>
      </c>
      <c r="AD294" s="78">
        <f t="shared" si="42"/>
        <v>0</v>
      </c>
      <c r="AE294" s="72">
        <f t="shared" si="43"/>
        <v>13500</v>
      </c>
      <c r="AF294" s="75">
        <f t="shared" si="44"/>
        <v>3957.5625</v>
      </c>
      <c r="AG294" s="78">
        <f t="shared" si="45"/>
        <v>0</v>
      </c>
      <c r="AH294" s="72">
        <f t="shared" si="46"/>
        <v>3957.5625</v>
      </c>
      <c r="AI294" s="75">
        <f t="shared" si="47"/>
        <v>2687.5</v>
      </c>
      <c r="AJ294" s="78">
        <f t="shared" si="48"/>
        <v>0</v>
      </c>
      <c r="AK294" s="72">
        <f t="shared" si="49"/>
        <v>2687.5</v>
      </c>
    </row>
    <row r="295" spans="1:37" ht="15.95" customHeight="1">
      <c r="A295" s="25" t="s">
        <v>702</v>
      </c>
      <c r="B295" s="25" t="s">
        <v>252</v>
      </c>
      <c r="C295" s="26" t="s">
        <v>267</v>
      </c>
      <c r="D295" s="26" t="s">
        <v>464</v>
      </c>
      <c r="E295" s="26" t="s">
        <v>16</v>
      </c>
      <c r="F295" s="26" t="s">
        <v>914</v>
      </c>
      <c r="G295" s="26"/>
      <c r="H295" s="27" t="s">
        <v>909</v>
      </c>
      <c r="I295" s="26" t="s">
        <v>27</v>
      </c>
      <c r="J295" s="28" t="s">
        <v>682</v>
      </c>
      <c r="K295" s="123">
        <v>54</v>
      </c>
      <c r="L295" s="29">
        <v>15.830249999999999</v>
      </c>
      <c r="M295" s="110">
        <v>10.75</v>
      </c>
      <c r="N295" s="30">
        <v>0.28199999999999997</v>
      </c>
      <c r="O295" s="116">
        <v>3.0314999999999999</v>
      </c>
      <c r="P295" s="30">
        <v>7.4999999999999997E-2</v>
      </c>
      <c r="Q295" s="116">
        <v>0.80625000000000002</v>
      </c>
      <c r="R295" s="30">
        <v>7.0000000000000007E-2</v>
      </c>
      <c r="S295" s="116">
        <v>0.75250000000000006</v>
      </c>
      <c r="T295" s="117">
        <v>0.49</v>
      </c>
      <c r="U295" s="39">
        <v>250</v>
      </c>
      <c r="V295" s="32"/>
      <c r="W295" s="33"/>
      <c r="X295" s="32"/>
      <c r="Y295" s="32"/>
      <c r="Z295" s="32"/>
      <c r="AA295" s="34"/>
      <c r="AB295" s="35">
        <f t="shared" si="40"/>
        <v>250</v>
      </c>
      <c r="AC295" s="75">
        <f t="shared" si="41"/>
        <v>13500</v>
      </c>
      <c r="AD295" s="78">
        <f t="shared" si="42"/>
        <v>0</v>
      </c>
      <c r="AE295" s="72">
        <f t="shared" si="43"/>
        <v>13500</v>
      </c>
      <c r="AF295" s="75">
        <f t="shared" si="44"/>
        <v>3957.5625</v>
      </c>
      <c r="AG295" s="78">
        <f t="shared" si="45"/>
        <v>0</v>
      </c>
      <c r="AH295" s="72">
        <f t="shared" si="46"/>
        <v>3957.5625</v>
      </c>
      <c r="AI295" s="75">
        <f t="shared" si="47"/>
        <v>2687.5</v>
      </c>
      <c r="AJ295" s="78">
        <f t="shared" si="48"/>
        <v>0</v>
      </c>
      <c r="AK295" s="72">
        <f t="shared" si="49"/>
        <v>2687.5</v>
      </c>
    </row>
    <row r="296" spans="1:37" ht="15.95" customHeight="1">
      <c r="A296" s="25" t="s">
        <v>702</v>
      </c>
      <c r="B296" s="25" t="s">
        <v>252</v>
      </c>
      <c r="C296" s="26" t="s">
        <v>267</v>
      </c>
      <c r="D296" s="26" t="s">
        <v>464</v>
      </c>
      <c r="E296" s="26" t="s">
        <v>16</v>
      </c>
      <c r="F296" s="26" t="s">
        <v>914</v>
      </c>
      <c r="G296" s="26"/>
      <c r="H296" s="27" t="s">
        <v>909</v>
      </c>
      <c r="I296" s="26" t="s">
        <v>27</v>
      </c>
      <c r="J296" s="28" t="s">
        <v>682</v>
      </c>
      <c r="K296" s="123">
        <v>54</v>
      </c>
      <c r="L296" s="29">
        <v>15.830249999999999</v>
      </c>
      <c r="M296" s="110">
        <v>10.75</v>
      </c>
      <c r="N296" s="30">
        <v>0.28199999999999997</v>
      </c>
      <c r="O296" s="116">
        <v>3.0314999999999999</v>
      </c>
      <c r="P296" s="30">
        <v>7.4999999999999997E-2</v>
      </c>
      <c r="Q296" s="116">
        <v>0.80625000000000002</v>
      </c>
      <c r="R296" s="30">
        <v>7.0000000000000007E-2</v>
      </c>
      <c r="S296" s="116">
        <v>0.75250000000000006</v>
      </c>
      <c r="T296" s="117">
        <v>0.49</v>
      </c>
      <c r="U296" s="39">
        <v>300</v>
      </c>
      <c r="V296" s="32"/>
      <c r="W296" s="33"/>
      <c r="X296" s="32"/>
      <c r="Y296" s="32"/>
      <c r="Z296" s="32"/>
      <c r="AA296" s="34"/>
      <c r="AB296" s="35">
        <f t="shared" si="40"/>
        <v>300</v>
      </c>
      <c r="AC296" s="75">
        <f t="shared" si="41"/>
        <v>16200</v>
      </c>
      <c r="AD296" s="78">
        <f t="shared" si="42"/>
        <v>0</v>
      </c>
      <c r="AE296" s="72">
        <f t="shared" si="43"/>
        <v>16200</v>
      </c>
      <c r="AF296" s="75">
        <f t="shared" si="44"/>
        <v>4749.0749999999998</v>
      </c>
      <c r="AG296" s="78">
        <f t="shared" si="45"/>
        <v>0</v>
      </c>
      <c r="AH296" s="72">
        <f t="shared" si="46"/>
        <v>4749.0749999999998</v>
      </c>
      <c r="AI296" s="75">
        <f t="shared" si="47"/>
        <v>3225</v>
      </c>
      <c r="AJ296" s="78">
        <f t="shared" si="48"/>
        <v>0</v>
      </c>
      <c r="AK296" s="72">
        <f t="shared" si="49"/>
        <v>3225</v>
      </c>
    </row>
    <row r="297" spans="1:37" ht="15.95" customHeight="1">
      <c r="A297" s="25" t="s">
        <v>702</v>
      </c>
      <c r="B297" s="25" t="s">
        <v>252</v>
      </c>
      <c r="C297" s="26" t="s">
        <v>14</v>
      </c>
      <c r="D297" s="26" t="s">
        <v>10</v>
      </c>
      <c r="E297" s="26" t="s">
        <v>16</v>
      </c>
      <c r="F297" s="26" t="s">
        <v>915</v>
      </c>
      <c r="G297" s="26"/>
      <c r="H297" s="27" t="s">
        <v>916</v>
      </c>
      <c r="I297" s="26" t="s">
        <v>27</v>
      </c>
      <c r="J297" s="28" t="s">
        <v>261</v>
      </c>
      <c r="K297" s="123">
        <v>135</v>
      </c>
      <c r="L297" s="29">
        <v>20.499499999999998</v>
      </c>
      <c r="M297" s="110">
        <v>13.5</v>
      </c>
      <c r="N297" s="30">
        <v>0.28199999999999997</v>
      </c>
      <c r="O297" s="116">
        <v>3.8069999999999995</v>
      </c>
      <c r="P297" s="30">
        <v>7.4999999999999997E-2</v>
      </c>
      <c r="Q297" s="116">
        <v>1.0125</v>
      </c>
      <c r="R297" s="30">
        <v>7.0000000000000007E-2</v>
      </c>
      <c r="S297" s="116">
        <v>1.69</v>
      </c>
      <c r="T297" s="117">
        <v>0.49</v>
      </c>
      <c r="U297" s="39">
        <v>300</v>
      </c>
      <c r="V297" s="32">
        <v>300</v>
      </c>
      <c r="W297" s="33"/>
      <c r="X297" s="32"/>
      <c r="Y297" s="32"/>
      <c r="Z297" s="32"/>
      <c r="AA297" s="34"/>
      <c r="AB297" s="35">
        <f t="shared" si="40"/>
        <v>600</v>
      </c>
      <c r="AC297" s="75">
        <f t="shared" si="41"/>
        <v>40500</v>
      </c>
      <c r="AD297" s="78">
        <f t="shared" si="42"/>
        <v>40500</v>
      </c>
      <c r="AE297" s="72">
        <f t="shared" si="43"/>
        <v>81000</v>
      </c>
      <c r="AF297" s="75">
        <f t="shared" si="44"/>
        <v>6149.8499999999995</v>
      </c>
      <c r="AG297" s="78">
        <f t="shared" si="45"/>
        <v>6149.8499999999995</v>
      </c>
      <c r="AH297" s="72">
        <f t="shared" si="46"/>
        <v>12299.699999999999</v>
      </c>
      <c r="AI297" s="75">
        <f t="shared" si="47"/>
        <v>4050</v>
      </c>
      <c r="AJ297" s="78">
        <f t="shared" si="48"/>
        <v>4050</v>
      </c>
      <c r="AK297" s="72">
        <f t="shared" si="49"/>
        <v>8100</v>
      </c>
    </row>
    <row r="298" spans="1:37" ht="15.95" customHeight="1">
      <c r="A298" s="25" t="s">
        <v>702</v>
      </c>
      <c r="B298" s="25" t="s">
        <v>252</v>
      </c>
      <c r="C298" s="26" t="s">
        <v>21</v>
      </c>
      <c r="D298" s="26" t="s">
        <v>10</v>
      </c>
      <c r="E298" s="26" t="s">
        <v>16</v>
      </c>
      <c r="F298" s="26" t="s">
        <v>917</v>
      </c>
      <c r="G298" s="26"/>
      <c r="H298" s="27" t="s">
        <v>918</v>
      </c>
      <c r="I298" s="26" t="s">
        <v>27</v>
      </c>
      <c r="J298" s="37" t="s">
        <v>265</v>
      </c>
      <c r="K298" s="123">
        <v>125</v>
      </c>
      <c r="L298" s="29">
        <v>17.446249999999999</v>
      </c>
      <c r="M298" s="110">
        <v>11.25</v>
      </c>
      <c r="N298" s="30">
        <v>0.28199999999999997</v>
      </c>
      <c r="O298" s="116">
        <v>3.1724999999999999</v>
      </c>
      <c r="P298" s="30">
        <v>7.4999999999999997E-2</v>
      </c>
      <c r="Q298" s="116">
        <v>0.84375</v>
      </c>
      <c r="R298" s="30">
        <v>7.0000000000000007E-2</v>
      </c>
      <c r="S298" s="116">
        <v>1.69</v>
      </c>
      <c r="T298" s="117">
        <v>0.49</v>
      </c>
      <c r="U298" s="39">
        <v>300</v>
      </c>
      <c r="V298" s="32">
        <v>300</v>
      </c>
      <c r="W298" s="33"/>
      <c r="X298" s="32"/>
      <c r="Y298" s="32"/>
      <c r="Z298" s="32"/>
      <c r="AA298" s="34"/>
      <c r="AB298" s="35">
        <f t="shared" si="40"/>
        <v>600</v>
      </c>
      <c r="AC298" s="75">
        <f t="shared" si="41"/>
        <v>37500</v>
      </c>
      <c r="AD298" s="78">
        <f t="shared" si="42"/>
        <v>37500</v>
      </c>
      <c r="AE298" s="72">
        <f t="shared" si="43"/>
        <v>75000</v>
      </c>
      <c r="AF298" s="75">
        <f t="shared" si="44"/>
        <v>5233.875</v>
      </c>
      <c r="AG298" s="78">
        <f t="shared" si="45"/>
        <v>5233.875</v>
      </c>
      <c r="AH298" s="72">
        <f t="shared" si="46"/>
        <v>10467.75</v>
      </c>
      <c r="AI298" s="75">
        <f t="shared" si="47"/>
        <v>3375</v>
      </c>
      <c r="AJ298" s="78">
        <f t="shared" si="48"/>
        <v>3375</v>
      </c>
      <c r="AK298" s="72">
        <f t="shared" si="49"/>
        <v>6750</v>
      </c>
    </row>
    <row r="299" spans="1:37" ht="15.95" customHeight="1">
      <c r="A299" s="25" t="s">
        <v>702</v>
      </c>
      <c r="B299" s="25" t="s">
        <v>252</v>
      </c>
      <c r="C299" s="26" t="s">
        <v>14</v>
      </c>
      <c r="D299" s="26" t="s">
        <v>10</v>
      </c>
      <c r="E299" s="26" t="s">
        <v>16</v>
      </c>
      <c r="F299" s="26" t="s">
        <v>915</v>
      </c>
      <c r="G299" s="26"/>
      <c r="H299" s="27" t="s">
        <v>918</v>
      </c>
      <c r="I299" s="26" t="s">
        <v>27</v>
      </c>
      <c r="J299" s="28" t="s">
        <v>261</v>
      </c>
      <c r="K299" s="123">
        <v>135</v>
      </c>
      <c r="L299" s="29">
        <v>19.754499999999997</v>
      </c>
      <c r="M299" s="110">
        <v>13.5</v>
      </c>
      <c r="N299" s="30">
        <v>0.28199999999999997</v>
      </c>
      <c r="O299" s="116">
        <v>3.8069999999999995</v>
      </c>
      <c r="P299" s="30">
        <v>7.4999999999999997E-2</v>
      </c>
      <c r="Q299" s="116">
        <v>1.0125</v>
      </c>
      <c r="R299" s="30">
        <v>7.0000000000000007E-2</v>
      </c>
      <c r="S299" s="116">
        <v>0.94500000000000006</v>
      </c>
      <c r="T299" s="117">
        <v>0.49</v>
      </c>
      <c r="U299" s="39">
        <v>300</v>
      </c>
      <c r="V299" s="32">
        <v>300</v>
      </c>
      <c r="W299" s="33"/>
      <c r="X299" s="32"/>
      <c r="Y299" s="32"/>
      <c r="Z299" s="32"/>
      <c r="AA299" s="34"/>
      <c r="AB299" s="35">
        <f t="shared" si="40"/>
        <v>600</v>
      </c>
      <c r="AC299" s="75">
        <f t="shared" si="41"/>
        <v>40500</v>
      </c>
      <c r="AD299" s="78">
        <f t="shared" si="42"/>
        <v>40500</v>
      </c>
      <c r="AE299" s="72">
        <f t="shared" si="43"/>
        <v>81000</v>
      </c>
      <c r="AF299" s="75">
        <f t="shared" si="44"/>
        <v>5926.3499999999985</v>
      </c>
      <c r="AG299" s="78">
        <f t="shared" si="45"/>
        <v>5926.3499999999985</v>
      </c>
      <c r="AH299" s="72">
        <f t="shared" si="46"/>
        <v>11852.699999999997</v>
      </c>
      <c r="AI299" s="75">
        <f t="shared" si="47"/>
        <v>4050</v>
      </c>
      <c r="AJ299" s="78">
        <f t="shared" si="48"/>
        <v>4050</v>
      </c>
      <c r="AK299" s="72">
        <f t="shared" si="49"/>
        <v>8100</v>
      </c>
    </row>
    <row r="300" spans="1:37" ht="15.95" customHeight="1">
      <c r="A300" s="25" t="s">
        <v>702</v>
      </c>
      <c r="B300" s="25" t="s">
        <v>252</v>
      </c>
      <c r="C300" s="26" t="s">
        <v>21</v>
      </c>
      <c r="D300" s="26" t="s">
        <v>10</v>
      </c>
      <c r="E300" s="26" t="s">
        <v>16</v>
      </c>
      <c r="F300" s="26" t="s">
        <v>917</v>
      </c>
      <c r="G300" s="26"/>
      <c r="H300" s="27" t="s">
        <v>918</v>
      </c>
      <c r="I300" s="26" t="s">
        <v>27</v>
      </c>
      <c r="J300" s="37" t="s">
        <v>265</v>
      </c>
      <c r="K300" s="123">
        <v>125</v>
      </c>
      <c r="L300" s="29">
        <v>16.543749999999999</v>
      </c>
      <c r="M300" s="110">
        <v>11.25</v>
      </c>
      <c r="N300" s="30">
        <v>0.28199999999999997</v>
      </c>
      <c r="O300" s="116">
        <v>3.1724999999999999</v>
      </c>
      <c r="P300" s="30">
        <v>7.4999999999999997E-2</v>
      </c>
      <c r="Q300" s="116">
        <v>0.84375</v>
      </c>
      <c r="R300" s="30">
        <v>7.0000000000000007E-2</v>
      </c>
      <c r="S300" s="116">
        <v>0.78750000000000009</v>
      </c>
      <c r="T300" s="117">
        <v>0.49</v>
      </c>
      <c r="U300" s="39">
        <v>300</v>
      </c>
      <c r="V300" s="32">
        <v>300</v>
      </c>
      <c r="W300" s="33"/>
      <c r="X300" s="32"/>
      <c r="Y300" s="32"/>
      <c r="Z300" s="32"/>
      <c r="AA300" s="34"/>
      <c r="AB300" s="35">
        <f t="shared" si="40"/>
        <v>600</v>
      </c>
      <c r="AC300" s="75">
        <f t="shared" si="41"/>
        <v>37500</v>
      </c>
      <c r="AD300" s="78">
        <f t="shared" si="42"/>
        <v>37500</v>
      </c>
      <c r="AE300" s="72">
        <f t="shared" si="43"/>
        <v>75000</v>
      </c>
      <c r="AF300" s="75">
        <f t="shared" si="44"/>
        <v>4963.125</v>
      </c>
      <c r="AG300" s="78">
        <f t="shared" si="45"/>
        <v>4963.125</v>
      </c>
      <c r="AH300" s="72">
        <f t="shared" si="46"/>
        <v>9926.25</v>
      </c>
      <c r="AI300" s="75">
        <f t="shared" si="47"/>
        <v>3375</v>
      </c>
      <c r="AJ300" s="78">
        <f t="shared" si="48"/>
        <v>3375</v>
      </c>
      <c r="AK300" s="72">
        <f t="shared" si="49"/>
        <v>6750</v>
      </c>
    </row>
    <row r="301" spans="1:37" ht="15.95" customHeight="1">
      <c r="A301" s="25" t="s">
        <v>702</v>
      </c>
      <c r="B301" s="25" t="s">
        <v>252</v>
      </c>
      <c r="C301" s="26" t="s">
        <v>14</v>
      </c>
      <c r="D301" s="26" t="s">
        <v>10</v>
      </c>
      <c r="E301" s="26" t="s">
        <v>16</v>
      </c>
      <c r="F301" s="26" t="s">
        <v>915</v>
      </c>
      <c r="G301" s="26"/>
      <c r="H301" s="27" t="s">
        <v>918</v>
      </c>
      <c r="I301" s="26" t="s">
        <v>27</v>
      </c>
      <c r="J301" s="28" t="s">
        <v>261</v>
      </c>
      <c r="K301" s="123">
        <v>135</v>
      </c>
      <c r="L301" s="29">
        <v>19.754499999999997</v>
      </c>
      <c r="M301" s="110">
        <v>13.5</v>
      </c>
      <c r="N301" s="30">
        <v>0.28199999999999997</v>
      </c>
      <c r="O301" s="116">
        <v>3.8069999999999995</v>
      </c>
      <c r="P301" s="30">
        <v>7.4999999999999997E-2</v>
      </c>
      <c r="Q301" s="116">
        <v>1.0125</v>
      </c>
      <c r="R301" s="30">
        <v>7.0000000000000007E-2</v>
      </c>
      <c r="S301" s="116">
        <v>0.94500000000000006</v>
      </c>
      <c r="T301" s="117">
        <v>0.49</v>
      </c>
      <c r="U301" s="39">
        <v>300</v>
      </c>
      <c r="V301" s="32">
        <v>300</v>
      </c>
      <c r="W301" s="33"/>
      <c r="X301" s="32"/>
      <c r="Y301" s="32"/>
      <c r="Z301" s="32"/>
      <c r="AA301" s="34"/>
      <c r="AB301" s="35">
        <f t="shared" si="40"/>
        <v>600</v>
      </c>
      <c r="AC301" s="75">
        <f t="shared" si="41"/>
        <v>40500</v>
      </c>
      <c r="AD301" s="78">
        <f t="shared" si="42"/>
        <v>40500</v>
      </c>
      <c r="AE301" s="72">
        <f t="shared" si="43"/>
        <v>81000</v>
      </c>
      <c r="AF301" s="75">
        <f t="shared" si="44"/>
        <v>5926.3499999999985</v>
      </c>
      <c r="AG301" s="78">
        <f t="shared" si="45"/>
        <v>5926.3499999999985</v>
      </c>
      <c r="AH301" s="72">
        <f t="shared" si="46"/>
        <v>11852.699999999997</v>
      </c>
      <c r="AI301" s="75">
        <f t="shared" si="47"/>
        <v>4050</v>
      </c>
      <c r="AJ301" s="78">
        <f t="shared" si="48"/>
        <v>4050</v>
      </c>
      <c r="AK301" s="72">
        <f t="shared" si="49"/>
        <v>8100</v>
      </c>
    </row>
    <row r="302" spans="1:37" ht="15.95" customHeight="1">
      <c r="A302" s="25" t="s">
        <v>702</v>
      </c>
      <c r="B302" s="25" t="s">
        <v>252</v>
      </c>
      <c r="C302" s="26" t="s">
        <v>21</v>
      </c>
      <c r="D302" s="26" t="s">
        <v>10</v>
      </c>
      <c r="E302" s="26" t="s">
        <v>16</v>
      </c>
      <c r="F302" s="26" t="s">
        <v>917</v>
      </c>
      <c r="G302" s="26"/>
      <c r="H302" s="27" t="s">
        <v>916</v>
      </c>
      <c r="I302" s="26" t="s">
        <v>27</v>
      </c>
      <c r="J302" s="28" t="s">
        <v>265</v>
      </c>
      <c r="K302" s="123">
        <v>125</v>
      </c>
      <c r="L302" s="29">
        <v>16.543749999999999</v>
      </c>
      <c r="M302" s="110">
        <v>11.25</v>
      </c>
      <c r="N302" s="30">
        <v>0.28199999999999997</v>
      </c>
      <c r="O302" s="116">
        <v>3.1724999999999999</v>
      </c>
      <c r="P302" s="30">
        <v>7.4999999999999997E-2</v>
      </c>
      <c r="Q302" s="116">
        <v>0.84375</v>
      </c>
      <c r="R302" s="30">
        <v>7.0000000000000007E-2</v>
      </c>
      <c r="S302" s="116">
        <v>0.78750000000000009</v>
      </c>
      <c r="T302" s="117">
        <v>0.49</v>
      </c>
      <c r="U302" s="39">
        <v>300</v>
      </c>
      <c r="V302" s="32">
        <v>300</v>
      </c>
      <c r="W302" s="33"/>
      <c r="X302" s="32"/>
      <c r="Y302" s="32"/>
      <c r="Z302" s="32"/>
      <c r="AA302" s="34"/>
      <c r="AB302" s="35">
        <f t="shared" si="40"/>
        <v>600</v>
      </c>
      <c r="AC302" s="75">
        <f t="shared" si="41"/>
        <v>37500</v>
      </c>
      <c r="AD302" s="78">
        <f t="shared" si="42"/>
        <v>37500</v>
      </c>
      <c r="AE302" s="72">
        <f t="shared" si="43"/>
        <v>75000</v>
      </c>
      <c r="AF302" s="75">
        <f t="shared" si="44"/>
        <v>4963.125</v>
      </c>
      <c r="AG302" s="78">
        <f t="shared" si="45"/>
        <v>4963.125</v>
      </c>
      <c r="AH302" s="72">
        <f t="shared" si="46"/>
        <v>9926.25</v>
      </c>
      <c r="AI302" s="75">
        <f t="shared" si="47"/>
        <v>3375</v>
      </c>
      <c r="AJ302" s="78">
        <f t="shared" si="48"/>
        <v>3375</v>
      </c>
      <c r="AK302" s="72">
        <f t="shared" si="49"/>
        <v>6750</v>
      </c>
    </row>
    <row r="303" spans="1:37" ht="15.95" customHeight="1">
      <c r="A303" s="25" t="s">
        <v>702</v>
      </c>
      <c r="B303" s="25" t="s">
        <v>252</v>
      </c>
      <c r="C303" s="26" t="s">
        <v>907</v>
      </c>
      <c r="D303" s="26" t="s">
        <v>10</v>
      </c>
      <c r="E303" s="26" t="s">
        <v>16</v>
      </c>
      <c r="F303" s="26" t="s">
        <v>919</v>
      </c>
      <c r="G303" s="26"/>
      <c r="H303" s="27" t="s">
        <v>916</v>
      </c>
      <c r="I303" s="26" t="s">
        <v>27</v>
      </c>
      <c r="J303" s="28" t="s">
        <v>311</v>
      </c>
      <c r="K303" s="123">
        <v>48</v>
      </c>
      <c r="L303" s="29">
        <v>7.4542000000000002</v>
      </c>
      <c r="M303" s="110">
        <v>5.3</v>
      </c>
      <c r="N303" s="30">
        <v>0.16900000000000001</v>
      </c>
      <c r="O303" s="116">
        <v>0.89570000000000005</v>
      </c>
      <c r="P303" s="30">
        <v>7.4999999999999997E-2</v>
      </c>
      <c r="Q303" s="116">
        <v>0.39749999999999996</v>
      </c>
      <c r="R303" s="30">
        <v>7.0000000000000007E-2</v>
      </c>
      <c r="S303" s="116">
        <v>0.371</v>
      </c>
      <c r="T303" s="117">
        <v>0.49</v>
      </c>
      <c r="U303" s="39">
        <v>250</v>
      </c>
      <c r="V303" s="32">
        <v>250</v>
      </c>
      <c r="W303" s="33"/>
      <c r="X303" s="32"/>
      <c r="Y303" s="32"/>
      <c r="Z303" s="32"/>
      <c r="AA303" s="34"/>
      <c r="AB303" s="35">
        <f t="shared" si="40"/>
        <v>500</v>
      </c>
      <c r="AC303" s="75">
        <f t="shared" si="41"/>
        <v>12000</v>
      </c>
      <c r="AD303" s="78">
        <f t="shared" si="42"/>
        <v>12000</v>
      </c>
      <c r="AE303" s="72">
        <f t="shared" si="43"/>
        <v>24000</v>
      </c>
      <c r="AF303" s="75">
        <f t="shared" si="44"/>
        <v>1863.55</v>
      </c>
      <c r="AG303" s="78">
        <f t="shared" si="45"/>
        <v>1863.55</v>
      </c>
      <c r="AH303" s="72">
        <f t="shared" si="46"/>
        <v>3727.1</v>
      </c>
      <c r="AI303" s="75">
        <f t="shared" si="47"/>
        <v>1325</v>
      </c>
      <c r="AJ303" s="78">
        <f t="shared" si="48"/>
        <v>1325</v>
      </c>
      <c r="AK303" s="72">
        <f t="shared" si="49"/>
        <v>2650</v>
      </c>
    </row>
    <row r="304" spans="1:37" ht="15.95" customHeight="1">
      <c r="A304" s="25" t="s">
        <v>702</v>
      </c>
      <c r="B304" s="25" t="s">
        <v>252</v>
      </c>
      <c r="C304" s="40" t="s">
        <v>275</v>
      </c>
      <c r="D304" s="26" t="s">
        <v>10</v>
      </c>
      <c r="E304" s="26" t="s">
        <v>16</v>
      </c>
      <c r="F304" s="26" t="s">
        <v>920</v>
      </c>
      <c r="G304" s="41"/>
      <c r="H304" s="27" t="s">
        <v>916</v>
      </c>
      <c r="I304" s="26" t="s">
        <v>27</v>
      </c>
      <c r="J304" s="28" t="s">
        <v>259</v>
      </c>
      <c r="K304" s="123">
        <v>68</v>
      </c>
      <c r="L304" s="29">
        <v>9.7554999999999996</v>
      </c>
      <c r="M304" s="110">
        <v>7.1</v>
      </c>
      <c r="N304" s="30">
        <v>0.16</v>
      </c>
      <c r="O304" s="116">
        <v>1.1359999999999999</v>
      </c>
      <c r="P304" s="30">
        <v>7.4999999999999997E-2</v>
      </c>
      <c r="Q304" s="116">
        <v>0.53249999999999997</v>
      </c>
      <c r="R304" s="30">
        <v>7.0000000000000007E-2</v>
      </c>
      <c r="S304" s="116">
        <v>0.497</v>
      </c>
      <c r="T304" s="117">
        <v>0.49</v>
      </c>
      <c r="U304" s="39">
        <v>250</v>
      </c>
      <c r="V304" s="32">
        <v>250</v>
      </c>
      <c r="W304" s="33"/>
      <c r="X304" s="32"/>
      <c r="Y304" s="32"/>
      <c r="Z304" s="32"/>
      <c r="AA304" s="34"/>
      <c r="AB304" s="35">
        <f t="shared" si="40"/>
        <v>500</v>
      </c>
      <c r="AC304" s="75">
        <f t="shared" si="41"/>
        <v>17000</v>
      </c>
      <c r="AD304" s="78">
        <f t="shared" si="42"/>
        <v>17000</v>
      </c>
      <c r="AE304" s="72">
        <f t="shared" si="43"/>
        <v>34000</v>
      </c>
      <c r="AF304" s="75">
        <f t="shared" si="44"/>
        <v>2438.875</v>
      </c>
      <c r="AG304" s="78">
        <f t="shared" si="45"/>
        <v>2438.875</v>
      </c>
      <c r="AH304" s="72">
        <f t="shared" si="46"/>
        <v>4877.75</v>
      </c>
      <c r="AI304" s="75">
        <f t="shared" si="47"/>
        <v>1775</v>
      </c>
      <c r="AJ304" s="78">
        <f t="shared" si="48"/>
        <v>1775</v>
      </c>
      <c r="AK304" s="72">
        <f t="shared" si="49"/>
        <v>3550</v>
      </c>
    </row>
    <row r="305" spans="1:37" ht="15.95" customHeight="1">
      <c r="A305" s="25" t="s">
        <v>702</v>
      </c>
      <c r="B305" s="25" t="s">
        <v>252</v>
      </c>
      <c r="C305" s="26" t="s">
        <v>907</v>
      </c>
      <c r="D305" s="26" t="s">
        <v>10</v>
      </c>
      <c r="E305" s="26" t="s">
        <v>16</v>
      </c>
      <c r="F305" s="26" t="s">
        <v>919</v>
      </c>
      <c r="G305" s="41"/>
      <c r="H305" s="27" t="s">
        <v>916</v>
      </c>
      <c r="I305" s="26" t="s">
        <v>27</v>
      </c>
      <c r="J305" s="37" t="s">
        <v>311</v>
      </c>
      <c r="K305" s="123">
        <v>48</v>
      </c>
      <c r="L305" s="29">
        <v>7.4542000000000002</v>
      </c>
      <c r="M305" s="110">
        <v>5.3</v>
      </c>
      <c r="N305" s="30">
        <v>0.16900000000000001</v>
      </c>
      <c r="O305" s="116">
        <v>0.89570000000000005</v>
      </c>
      <c r="P305" s="30">
        <v>7.4999999999999997E-2</v>
      </c>
      <c r="Q305" s="116">
        <v>0.39749999999999996</v>
      </c>
      <c r="R305" s="30">
        <v>7.0000000000000007E-2</v>
      </c>
      <c r="S305" s="116">
        <v>0.371</v>
      </c>
      <c r="T305" s="117">
        <v>0.49</v>
      </c>
      <c r="U305" s="39">
        <v>250</v>
      </c>
      <c r="V305" s="32">
        <v>250</v>
      </c>
      <c r="W305" s="33"/>
      <c r="X305" s="32"/>
      <c r="Y305" s="32"/>
      <c r="Z305" s="32"/>
      <c r="AA305" s="34"/>
      <c r="AB305" s="35">
        <f t="shared" si="40"/>
        <v>500</v>
      </c>
      <c r="AC305" s="75">
        <f t="shared" si="41"/>
        <v>12000</v>
      </c>
      <c r="AD305" s="78">
        <f t="shared" si="42"/>
        <v>12000</v>
      </c>
      <c r="AE305" s="72">
        <f t="shared" si="43"/>
        <v>24000</v>
      </c>
      <c r="AF305" s="75">
        <f t="shared" si="44"/>
        <v>1863.55</v>
      </c>
      <c r="AG305" s="78">
        <f t="shared" si="45"/>
        <v>1863.55</v>
      </c>
      <c r="AH305" s="72">
        <f t="shared" si="46"/>
        <v>3727.1</v>
      </c>
      <c r="AI305" s="75">
        <f t="shared" si="47"/>
        <v>1325</v>
      </c>
      <c r="AJ305" s="78">
        <f t="shared" si="48"/>
        <v>1325</v>
      </c>
      <c r="AK305" s="72">
        <f t="shared" si="49"/>
        <v>2650</v>
      </c>
    </row>
    <row r="306" spans="1:37" ht="15.95" customHeight="1">
      <c r="A306" s="25" t="s">
        <v>702</v>
      </c>
      <c r="B306" s="25" t="s">
        <v>252</v>
      </c>
      <c r="C306" s="40" t="s">
        <v>275</v>
      </c>
      <c r="D306" s="26" t="s">
        <v>10</v>
      </c>
      <c r="E306" s="26" t="s">
        <v>16</v>
      </c>
      <c r="F306" s="26" t="s">
        <v>920</v>
      </c>
      <c r="G306" s="41"/>
      <c r="H306" s="27" t="s">
        <v>916</v>
      </c>
      <c r="I306" s="26" t="s">
        <v>27</v>
      </c>
      <c r="J306" s="28" t="s">
        <v>259</v>
      </c>
      <c r="K306" s="123">
        <v>68</v>
      </c>
      <c r="L306" s="29">
        <v>9.7554999999999996</v>
      </c>
      <c r="M306" s="110">
        <v>7.1</v>
      </c>
      <c r="N306" s="30">
        <v>0.16</v>
      </c>
      <c r="O306" s="116">
        <v>1.1359999999999999</v>
      </c>
      <c r="P306" s="30">
        <v>7.4999999999999997E-2</v>
      </c>
      <c r="Q306" s="116">
        <v>0.53249999999999997</v>
      </c>
      <c r="R306" s="30">
        <v>7.0000000000000007E-2</v>
      </c>
      <c r="S306" s="116">
        <v>0.497</v>
      </c>
      <c r="T306" s="117">
        <v>0.49</v>
      </c>
      <c r="U306" s="39">
        <v>250</v>
      </c>
      <c r="V306" s="32">
        <v>250</v>
      </c>
      <c r="W306" s="33"/>
      <c r="X306" s="32"/>
      <c r="Y306" s="32"/>
      <c r="Z306" s="32"/>
      <c r="AA306" s="34"/>
      <c r="AB306" s="35">
        <f t="shared" si="40"/>
        <v>500</v>
      </c>
      <c r="AC306" s="75">
        <f t="shared" si="41"/>
        <v>17000</v>
      </c>
      <c r="AD306" s="78">
        <f t="shared" si="42"/>
        <v>17000</v>
      </c>
      <c r="AE306" s="72">
        <f t="shared" si="43"/>
        <v>34000</v>
      </c>
      <c r="AF306" s="75">
        <f t="shared" si="44"/>
        <v>2438.875</v>
      </c>
      <c r="AG306" s="78">
        <f t="shared" si="45"/>
        <v>2438.875</v>
      </c>
      <c r="AH306" s="72">
        <f t="shared" si="46"/>
        <v>4877.75</v>
      </c>
      <c r="AI306" s="75">
        <f t="shared" si="47"/>
        <v>1775</v>
      </c>
      <c r="AJ306" s="78">
        <f t="shared" si="48"/>
        <v>1775</v>
      </c>
      <c r="AK306" s="72">
        <f t="shared" si="49"/>
        <v>3550</v>
      </c>
    </row>
    <row r="307" spans="1:37" ht="15.95" customHeight="1">
      <c r="A307" s="25" t="s">
        <v>702</v>
      </c>
      <c r="B307" s="25" t="s">
        <v>252</v>
      </c>
      <c r="C307" s="26" t="s">
        <v>907</v>
      </c>
      <c r="D307" s="26" t="s">
        <v>10</v>
      </c>
      <c r="E307" s="26" t="s">
        <v>16</v>
      </c>
      <c r="F307" s="26" t="s">
        <v>919</v>
      </c>
      <c r="G307" s="41"/>
      <c r="H307" s="27" t="s">
        <v>916</v>
      </c>
      <c r="I307" s="26" t="s">
        <v>27</v>
      </c>
      <c r="J307" s="37" t="s">
        <v>311</v>
      </c>
      <c r="K307" s="123">
        <v>48</v>
      </c>
      <c r="L307" s="29">
        <v>7.4542000000000002</v>
      </c>
      <c r="M307" s="110">
        <v>5.3</v>
      </c>
      <c r="N307" s="30">
        <v>0.16900000000000001</v>
      </c>
      <c r="O307" s="116">
        <v>0.89570000000000005</v>
      </c>
      <c r="P307" s="30">
        <v>7.4999999999999997E-2</v>
      </c>
      <c r="Q307" s="116">
        <v>0.39749999999999996</v>
      </c>
      <c r="R307" s="30">
        <v>7.0000000000000007E-2</v>
      </c>
      <c r="S307" s="116">
        <v>0.371</v>
      </c>
      <c r="T307" s="117">
        <v>0.49</v>
      </c>
      <c r="U307" s="39">
        <v>250</v>
      </c>
      <c r="V307" s="32">
        <v>250</v>
      </c>
      <c r="W307" s="33"/>
      <c r="X307" s="32"/>
      <c r="Y307" s="32"/>
      <c r="Z307" s="32"/>
      <c r="AA307" s="34"/>
      <c r="AB307" s="35">
        <f t="shared" si="40"/>
        <v>500</v>
      </c>
      <c r="AC307" s="75">
        <f t="shared" si="41"/>
        <v>12000</v>
      </c>
      <c r="AD307" s="78">
        <f t="shared" si="42"/>
        <v>12000</v>
      </c>
      <c r="AE307" s="72">
        <f t="shared" si="43"/>
        <v>24000</v>
      </c>
      <c r="AF307" s="75">
        <f t="shared" si="44"/>
        <v>1863.55</v>
      </c>
      <c r="AG307" s="78">
        <f t="shared" si="45"/>
        <v>1863.55</v>
      </c>
      <c r="AH307" s="72">
        <f t="shared" si="46"/>
        <v>3727.1</v>
      </c>
      <c r="AI307" s="75">
        <f t="shared" si="47"/>
        <v>1325</v>
      </c>
      <c r="AJ307" s="78">
        <f t="shared" si="48"/>
        <v>1325</v>
      </c>
      <c r="AK307" s="72">
        <f t="shared" si="49"/>
        <v>2650</v>
      </c>
    </row>
    <row r="308" spans="1:37" ht="15.95" customHeight="1">
      <c r="A308" s="25" t="s">
        <v>702</v>
      </c>
      <c r="B308" s="25" t="s">
        <v>252</v>
      </c>
      <c r="C308" s="40" t="s">
        <v>275</v>
      </c>
      <c r="D308" s="26" t="s">
        <v>10</v>
      </c>
      <c r="E308" s="26" t="s">
        <v>16</v>
      </c>
      <c r="F308" s="26" t="s">
        <v>920</v>
      </c>
      <c r="G308" s="41"/>
      <c r="H308" s="27" t="s">
        <v>916</v>
      </c>
      <c r="I308" s="26" t="s">
        <v>27</v>
      </c>
      <c r="J308" s="28" t="s">
        <v>259</v>
      </c>
      <c r="K308" s="123">
        <v>68</v>
      </c>
      <c r="L308" s="29">
        <v>9.7554999999999996</v>
      </c>
      <c r="M308" s="110">
        <v>7.1</v>
      </c>
      <c r="N308" s="30">
        <v>0.16</v>
      </c>
      <c r="O308" s="116">
        <v>1.1359999999999999</v>
      </c>
      <c r="P308" s="30">
        <v>7.4999999999999997E-2</v>
      </c>
      <c r="Q308" s="116">
        <v>0.53249999999999997</v>
      </c>
      <c r="R308" s="30">
        <v>7.0000000000000007E-2</v>
      </c>
      <c r="S308" s="116">
        <v>0.497</v>
      </c>
      <c r="T308" s="117">
        <v>0.49</v>
      </c>
      <c r="U308" s="39">
        <v>250</v>
      </c>
      <c r="V308" s="32">
        <v>250</v>
      </c>
      <c r="W308" s="33"/>
      <c r="X308" s="32"/>
      <c r="Y308" s="32"/>
      <c r="Z308" s="32"/>
      <c r="AA308" s="34"/>
      <c r="AB308" s="35">
        <f t="shared" si="40"/>
        <v>500</v>
      </c>
      <c r="AC308" s="75">
        <f t="shared" si="41"/>
        <v>17000</v>
      </c>
      <c r="AD308" s="78">
        <f t="shared" si="42"/>
        <v>17000</v>
      </c>
      <c r="AE308" s="72">
        <f t="shared" si="43"/>
        <v>34000</v>
      </c>
      <c r="AF308" s="75">
        <f t="shared" si="44"/>
        <v>2438.875</v>
      </c>
      <c r="AG308" s="78">
        <f t="shared" si="45"/>
        <v>2438.875</v>
      </c>
      <c r="AH308" s="72">
        <f t="shared" si="46"/>
        <v>4877.75</v>
      </c>
      <c r="AI308" s="75">
        <f t="shared" si="47"/>
        <v>1775</v>
      </c>
      <c r="AJ308" s="78">
        <f t="shared" si="48"/>
        <v>1775</v>
      </c>
      <c r="AK308" s="72">
        <f t="shared" si="49"/>
        <v>3550</v>
      </c>
    </row>
    <row r="309" spans="1:37" ht="15.95" customHeight="1">
      <c r="A309" s="25" t="s">
        <v>702</v>
      </c>
      <c r="B309" s="25" t="s">
        <v>252</v>
      </c>
      <c r="C309" s="26" t="s">
        <v>921</v>
      </c>
      <c r="D309" s="26" t="s">
        <v>10</v>
      </c>
      <c r="E309" s="26" t="s">
        <v>16</v>
      </c>
      <c r="F309" s="26" t="s">
        <v>922</v>
      </c>
      <c r="G309" s="41"/>
      <c r="H309" s="27" t="s">
        <v>923</v>
      </c>
      <c r="I309" s="26" t="s">
        <v>27</v>
      </c>
      <c r="J309" s="37" t="s">
        <v>924</v>
      </c>
      <c r="K309" s="123">
        <v>48</v>
      </c>
      <c r="L309" s="29">
        <v>9.0104000000000006</v>
      </c>
      <c r="M309" s="110">
        <v>6.8</v>
      </c>
      <c r="N309" s="30">
        <v>0.108</v>
      </c>
      <c r="O309" s="116">
        <v>0.73439999999999994</v>
      </c>
      <c r="P309" s="30">
        <v>7.4999999999999997E-2</v>
      </c>
      <c r="Q309" s="116">
        <v>0.51</v>
      </c>
      <c r="R309" s="30">
        <v>7.0000000000000007E-2</v>
      </c>
      <c r="S309" s="116">
        <v>0.47600000000000003</v>
      </c>
      <c r="T309" s="117">
        <v>0.49</v>
      </c>
      <c r="U309" s="39">
        <v>250</v>
      </c>
      <c r="V309" s="32">
        <v>250</v>
      </c>
      <c r="W309" s="33"/>
      <c r="X309" s="32"/>
      <c r="Y309" s="32"/>
      <c r="Z309" s="32"/>
      <c r="AA309" s="34"/>
      <c r="AB309" s="35">
        <f t="shared" si="40"/>
        <v>500</v>
      </c>
      <c r="AC309" s="75">
        <f t="shared" si="41"/>
        <v>12000</v>
      </c>
      <c r="AD309" s="78">
        <f t="shared" si="42"/>
        <v>12000</v>
      </c>
      <c r="AE309" s="72">
        <f t="shared" si="43"/>
        <v>24000</v>
      </c>
      <c r="AF309" s="75">
        <f t="shared" si="44"/>
        <v>2252.6000000000004</v>
      </c>
      <c r="AG309" s="78">
        <f t="shared" si="45"/>
        <v>2252.6000000000004</v>
      </c>
      <c r="AH309" s="72">
        <f t="shared" si="46"/>
        <v>4505.2000000000007</v>
      </c>
      <c r="AI309" s="75">
        <f t="shared" si="47"/>
        <v>1700</v>
      </c>
      <c r="AJ309" s="78">
        <f t="shared" si="48"/>
        <v>1700</v>
      </c>
      <c r="AK309" s="72">
        <f t="shared" si="49"/>
        <v>3400</v>
      </c>
    </row>
    <row r="310" spans="1:37" ht="15.95" customHeight="1">
      <c r="A310" s="25" t="s">
        <v>702</v>
      </c>
      <c r="B310" s="25" t="s">
        <v>252</v>
      </c>
      <c r="C310" s="26" t="s">
        <v>267</v>
      </c>
      <c r="D310" s="26" t="s">
        <v>10</v>
      </c>
      <c r="E310" s="26" t="s">
        <v>16</v>
      </c>
      <c r="F310" s="26" t="s">
        <v>925</v>
      </c>
      <c r="G310" s="26"/>
      <c r="H310" s="27" t="s">
        <v>923</v>
      </c>
      <c r="I310" s="26" t="s">
        <v>27</v>
      </c>
      <c r="J310" s="28" t="s">
        <v>881</v>
      </c>
      <c r="K310" s="123">
        <v>78</v>
      </c>
      <c r="L310" s="29">
        <v>14.982799999999999</v>
      </c>
      <c r="M310" s="110">
        <v>11.2</v>
      </c>
      <c r="N310" s="30">
        <v>0.14899999999999999</v>
      </c>
      <c r="O310" s="116">
        <v>1.6687999999999998</v>
      </c>
      <c r="P310" s="30">
        <v>7.4999999999999997E-2</v>
      </c>
      <c r="Q310" s="116">
        <v>0.84</v>
      </c>
      <c r="R310" s="30">
        <v>7.0000000000000007E-2</v>
      </c>
      <c r="S310" s="116">
        <v>0.78400000000000003</v>
      </c>
      <c r="T310" s="117">
        <v>0.49</v>
      </c>
      <c r="U310" s="39">
        <v>250</v>
      </c>
      <c r="V310" s="32">
        <v>250</v>
      </c>
      <c r="W310" s="33"/>
      <c r="X310" s="32"/>
      <c r="Y310" s="32"/>
      <c r="Z310" s="32"/>
      <c r="AA310" s="34"/>
      <c r="AB310" s="35">
        <f t="shared" si="40"/>
        <v>500</v>
      </c>
      <c r="AC310" s="75">
        <f t="shared" si="41"/>
        <v>19500</v>
      </c>
      <c r="AD310" s="78">
        <f t="shared" si="42"/>
        <v>19500</v>
      </c>
      <c r="AE310" s="72">
        <f t="shared" si="43"/>
        <v>39000</v>
      </c>
      <c r="AF310" s="75">
        <f t="shared" si="44"/>
        <v>3745.7</v>
      </c>
      <c r="AG310" s="78">
        <f t="shared" si="45"/>
        <v>3745.7</v>
      </c>
      <c r="AH310" s="72">
        <f t="shared" si="46"/>
        <v>7491.4</v>
      </c>
      <c r="AI310" s="75">
        <f t="shared" si="47"/>
        <v>2800</v>
      </c>
      <c r="AJ310" s="78">
        <f t="shared" si="48"/>
        <v>2800</v>
      </c>
      <c r="AK310" s="72">
        <f t="shared" si="49"/>
        <v>5600</v>
      </c>
    </row>
    <row r="311" spans="1:37" ht="15.95" customHeight="1">
      <c r="A311" s="25" t="s">
        <v>702</v>
      </c>
      <c r="B311" s="25" t="s">
        <v>252</v>
      </c>
      <c r="C311" s="26" t="s">
        <v>921</v>
      </c>
      <c r="D311" s="26" t="s">
        <v>10</v>
      </c>
      <c r="E311" s="26" t="s">
        <v>16</v>
      </c>
      <c r="F311" s="26" t="s">
        <v>922</v>
      </c>
      <c r="G311" s="26"/>
      <c r="H311" s="27" t="s">
        <v>923</v>
      </c>
      <c r="I311" s="26" t="s">
        <v>27</v>
      </c>
      <c r="J311" s="28" t="s">
        <v>924</v>
      </c>
      <c r="K311" s="123">
        <v>48</v>
      </c>
      <c r="L311" s="29">
        <v>9.0104000000000006</v>
      </c>
      <c r="M311" s="110">
        <v>6.8</v>
      </c>
      <c r="N311" s="30">
        <v>0.108</v>
      </c>
      <c r="O311" s="116">
        <v>0.73439999999999994</v>
      </c>
      <c r="P311" s="30">
        <v>7.4999999999999997E-2</v>
      </c>
      <c r="Q311" s="116">
        <v>0.51</v>
      </c>
      <c r="R311" s="30">
        <v>7.0000000000000007E-2</v>
      </c>
      <c r="S311" s="116">
        <v>0.47600000000000003</v>
      </c>
      <c r="T311" s="117">
        <v>0.49</v>
      </c>
      <c r="U311" s="39">
        <v>250</v>
      </c>
      <c r="V311" s="32">
        <v>250</v>
      </c>
      <c r="W311" s="33"/>
      <c r="X311" s="32"/>
      <c r="Y311" s="32"/>
      <c r="Z311" s="32"/>
      <c r="AA311" s="34"/>
      <c r="AB311" s="35">
        <f t="shared" si="40"/>
        <v>500</v>
      </c>
      <c r="AC311" s="75">
        <f t="shared" si="41"/>
        <v>12000</v>
      </c>
      <c r="AD311" s="78">
        <f t="shared" si="42"/>
        <v>12000</v>
      </c>
      <c r="AE311" s="72">
        <f t="shared" si="43"/>
        <v>24000</v>
      </c>
      <c r="AF311" s="75">
        <f t="shared" si="44"/>
        <v>2252.6000000000004</v>
      </c>
      <c r="AG311" s="78">
        <f t="shared" si="45"/>
        <v>2252.6000000000004</v>
      </c>
      <c r="AH311" s="72">
        <f t="shared" si="46"/>
        <v>4505.2000000000007</v>
      </c>
      <c r="AI311" s="75">
        <f t="shared" si="47"/>
        <v>1700</v>
      </c>
      <c r="AJ311" s="78">
        <f t="shared" si="48"/>
        <v>1700</v>
      </c>
      <c r="AK311" s="72">
        <f t="shared" si="49"/>
        <v>3400</v>
      </c>
    </row>
    <row r="312" spans="1:37" ht="15.95" customHeight="1">
      <c r="A312" s="25" t="s">
        <v>702</v>
      </c>
      <c r="B312" s="25" t="s">
        <v>252</v>
      </c>
      <c r="C312" s="26" t="s">
        <v>267</v>
      </c>
      <c r="D312" s="26" t="s">
        <v>10</v>
      </c>
      <c r="E312" s="26" t="s">
        <v>16</v>
      </c>
      <c r="F312" s="26" t="s">
        <v>925</v>
      </c>
      <c r="G312" s="26"/>
      <c r="H312" s="27" t="s">
        <v>923</v>
      </c>
      <c r="I312" s="26" t="s">
        <v>27</v>
      </c>
      <c r="J312" s="28" t="s">
        <v>881</v>
      </c>
      <c r="K312" s="123">
        <v>78</v>
      </c>
      <c r="L312" s="29">
        <v>14.982799999999999</v>
      </c>
      <c r="M312" s="110">
        <v>11.2</v>
      </c>
      <c r="N312" s="30">
        <v>0.14899999999999999</v>
      </c>
      <c r="O312" s="116">
        <v>1.6687999999999998</v>
      </c>
      <c r="P312" s="30">
        <v>7.4999999999999997E-2</v>
      </c>
      <c r="Q312" s="116">
        <v>0.84</v>
      </c>
      <c r="R312" s="30">
        <v>7.0000000000000007E-2</v>
      </c>
      <c r="S312" s="116">
        <v>0.78400000000000003</v>
      </c>
      <c r="T312" s="117">
        <v>0.49</v>
      </c>
      <c r="U312" s="39">
        <v>250</v>
      </c>
      <c r="V312" s="32">
        <v>250</v>
      </c>
      <c r="W312" s="33"/>
      <c r="X312" s="32"/>
      <c r="Y312" s="32"/>
      <c r="Z312" s="32"/>
      <c r="AA312" s="34"/>
      <c r="AB312" s="35">
        <f t="shared" si="40"/>
        <v>500</v>
      </c>
      <c r="AC312" s="75">
        <f t="shared" si="41"/>
        <v>19500</v>
      </c>
      <c r="AD312" s="78">
        <f t="shared" si="42"/>
        <v>19500</v>
      </c>
      <c r="AE312" s="72">
        <f t="shared" si="43"/>
        <v>39000</v>
      </c>
      <c r="AF312" s="75">
        <f t="shared" si="44"/>
        <v>3745.7</v>
      </c>
      <c r="AG312" s="78">
        <f t="shared" si="45"/>
        <v>3745.7</v>
      </c>
      <c r="AH312" s="72">
        <f t="shared" si="46"/>
        <v>7491.4</v>
      </c>
      <c r="AI312" s="75">
        <f t="shared" si="47"/>
        <v>2800</v>
      </c>
      <c r="AJ312" s="78">
        <f t="shared" si="48"/>
        <v>2800</v>
      </c>
      <c r="AK312" s="72">
        <f t="shared" si="49"/>
        <v>5600</v>
      </c>
    </row>
    <row r="313" spans="1:37" ht="15.95" customHeight="1">
      <c r="A313" s="25" t="s">
        <v>702</v>
      </c>
      <c r="B313" s="25" t="s">
        <v>252</v>
      </c>
      <c r="C313" s="26" t="s">
        <v>44</v>
      </c>
      <c r="D313" s="26" t="s">
        <v>10</v>
      </c>
      <c r="E313" s="26" t="s">
        <v>444</v>
      </c>
      <c r="F313" s="26" t="s">
        <v>926</v>
      </c>
      <c r="G313" s="26"/>
      <c r="H313" s="27" t="s">
        <v>927</v>
      </c>
      <c r="I313" s="26" t="s">
        <v>167</v>
      </c>
      <c r="J313" s="28" t="s">
        <v>928</v>
      </c>
      <c r="K313" s="123">
        <v>88</v>
      </c>
      <c r="L313" s="29">
        <v>16.860099999999999</v>
      </c>
      <c r="M313" s="110">
        <v>13.3</v>
      </c>
      <c r="N313" s="30">
        <v>0.19700000000000001</v>
      </c>
      <c r="O313" s="116">
        <v>2.6201000000000003</v>
      </c>
      <c r="P313" s="30"/>
      <c r="Q313" s="116"/>
      <c r="R313" s="30">
        <v>7.0000000000000007E-2</v>
      </c>
      <c r="S313" s="116">
        <v>0.45</v>
      </c>
      <c r="T313" s="117">
        <v>0.49</v>
      </c>
      <c r="U313" s="39">
        <v>250</v>
      </c>
      <c r="V313" s="32">
        <v>250</v>
      </c>
      <c r="W313" s="33"/>
      <c r="X313" s="32"/>
      <c r="Y313" s="32"/>
      <c r="Z313" s="32"/>
      <c r="AA313" s="34"/>
      <c r="AB313" s="35">
        <f t="shared" si="40"/>
        <v>500</v>
      </c>
      <c r="AC313" s="75">
        <f t="shared" si="41"/>
        <v>22000</v>
      </c>
      <c r="AD313" s="78">
        <f t="shared" si="42"/>
        <v>22000</v>
      </c>
      <c r="AE313" s="72">
        <f t="shared" si="43"/>
        <v>44000</v>
      </c>
      <c r="AF313" s="75">
        <f t="shared" si="44"/>
        <v>4215.0249999999996</v>
      </c>
      <c r="AG313" s="78">
        <f t="shared" si="45"/>
        <v>4215.0249999999996</v>
      </c>
      <c r="AH313" s="72">
        <f t="shared" si="46"/>
        <v>8430.0499999999993</v>
      </c>
      <c r="AI313" s="75">
        <f t="shared" si="47"/>
        <v>3325</v>
      </c>
      <c r="AJ313" s="78">
        <f t="shared" si="48"/>
        <v>3325</v>
      </c>
      <c r="AK313" s="72">
        <f t="shared" si="49"/>
        <v>6650</v>
      </c>
    </row>
    <row r="314" spans="1:37" ht="15.95" customHeight="1">
      <c r="A314" s="25" t="s">
        <v>702</v>
      </c>
      <c r="B314" s="25" t="s">
        <v>252</v>
      </c>
      <c r="C314" s="26" t="s">
        <v>275</v>
      </c>
      <c r="D314" s="26" t="s">
        <v>10</v>
      </c>
      <c r="E314" s="26" t="s">
        <v>16</v>
      </c>
      <c r="F314" s="26" t="s">
        <v>929</v>
      </c>
      <c r="G314" s="26"/>
      <c r="H314" s="27" t="s">
        <v>930</v>
      </c>
      <c r="I314" s="26" t="s">
        <v>27</v>
      </c>
      <c r="J314" s="28" t="s">
        <v>259</v>
      </c>
      <c r="K314" s="123">
        <v>78</v>
      </c>
      <c r="L314" s="29">
        <v>17.12875</v>
      </c>
      <c r="M314" s="110">
        <v>12.75</v>
      </c>
      <c r="N314" s="30">
        <v>0.16</v>
      </c>
      <c r="O314" s="116">
        <v>2.04</v>
      </c>
      <c r="P314" s="30">
        <v>7.4999999999999997E-2</v>
      </c>
      <c r="Q314" s="116">
        <v>0.95624999999999993</v>
      </c>
      <c r="R314" s="30">
        <v>7.0000000000000007E-2</v>
      </c>
      <c r="S314" s="116">
        <v>0.89250000000000007</v>
      </c>
      <c r="T314" s="117">
        <v>0.49</v>
      </c>
      <c r="U314" s="39">
        <v>250</v>
      </c>
      <c r="V314" s="32">
        <v>250</v>
      </c>
      <c r="W314" s="33"/>
      <c r="X314" s="32"/>
      <c r="Y314" s="32"/>
      <c r="Z314" s="32"/>
      <c r="AA314" s="34"/>
      <c r="AB314" s="35">
        <f t="shared" ref="AB314:AB324" si="50">SUM(U314:AA314)</f>
        <v>500</v>
      </c>
      <c r="AC314" s="75">
        <f t="shared" ref="AC314:AC324" si="51">$K314*U314</f>
        <v>19500</v>
      </c>
      <c r="AD314" s="78">
        <f t="shared" ref="AD314:AD324" si="52">$K314*SUM(V314:AA314)</f>
        <v>19500</v>
      </c>
      <c r="AE314" s="72">
        <f t="shared" ref="AE314:AE324" si="53">SUM(AC314:AD314)</f>
        <v>39000</v>
      </c>
      <c r="AF314" s="75">
        <f t="shared" ref="AF314:AF324" si="54">$L314*U314</f>
        <v>4282.1875</v>
      </c>
      <c r="AG314" s="78">
        <f t="shared" ref="AG314:AG324" si="55">$L314*SUM(V314:W314)+M314*SUM(X314:AA314)</f>
        <v>4282.1875</v>
      </c>
      <c r="AH314" s="72">
        <f t="shared" ref="AH314:AH324" si="56">SUM(AF314:AG314)</f>
        <v>8564.375</v>
      </c>
      <c r="AI314" s="75">
        <f t="shared" ref="AI314:AI324" si="57">$M314*U314</f>
        <v>3187.5</v>
      </c>
      <c r="AJ314" s="78">
        <f t="shared" ref="AJ314:AJ324" si="58">$M314*SUM(V314:AA314)</f>
        <v>3187.5</v>
      </c>
      <c r="AK314" s="72">
        <f t="shared" ref="AK314:AK324" si="59">SUM(AI314:AJ314)</f>
        <v>6375</v>
      </c>
    </row>
    <row r="315" spans="1:37" ht="15.95" customHeight="1">
      <c r="A315" s="25" t="s">
        <v>702</v>
      </c>
      <c r="B315" s="25" t="s">
        <v>252</v>
      </c>
      <c r="C315" s="26" t="s">
        <v>44</v>
      </c>
      <c r="D315" s="26" t="s">
        <v>10</v>
      </c>
      <c r="E315" s="26" t="s">
        <v>444</v>
      </c>
      <c r="F315" s="26" t="s">
        <v>926</v>
      </c>
      <c r="G315" s="26"/>
      <c r="H315" s="27" t="s">
        <v>927</v>
      </c>
      <c r="I315" s="26" t="s">
        <v>167</v>
      </c>
      <c r="J315" s="28" t="s">
        <v>928</v>
      </c>
      <c r="K315" s="123">
        <v>88</v>
      </c>
      <c r="L315" s="29">
        <v>16.860099999999999</v>
      </c>
      <c r="M315" s="110">
        <v>13.3</v>
      </c>
      <c r="N315" s="30">
        <v>0.19700000000000001</v>
      </c>
      <c r="O315" s="116">
        <v>2.6201000000000003</v>
      </c>
      <c r="P315" s="30"/>
      <c r="Q315" s="116"/>
      <c r="R315" s="30">
        <v>7.0000000000000007E-2</v>
      </c>
      <c r="S315" s="116">
        <v>0.45</v>
      </c>
      <c r="T315" s="117">
        <v>0.49</v>
      </c>
      <c r="U315" s="39">
        <v>250</v>
      </c>
      <c r="V315" s="32">
        <v>250</v>
      </c>
      <c r="W315" s="33"/>
      <c r="X315" s="32"/>
      <c r="Y315" s="32"/>
      <c r="Z315" s="32"/>
      <c r="AA315" s="34"/>
      <c r="AB315" s="35">
        <f t="shared" si="50"/>
        <v>500</v>
      </c>
      <c r="AC315" s="75">
        <f t="shared" si="51"/>
        <v>22000</v>
      </c>
      <c r="AD315" s="78">
        <f t="shared" si="52"/>
        <v>22000</v>
      </c>
      <c r="AE315" s="72">
        <f t="shared" si="53"/>
        <v>44000</v>
      </c>
      <c r="AF315" s="75">
        <f t="shared" si="54"/>
        <v>4215.0249999999996</v>
      </c>
      <c r="AG315" s="78">
        <f t="shared" si="55"/>
        <v>4215.0249999999996</v>
      </c>
      <c r="AH315" s="72">
        <f t="shared" si="56"/>
        <v>8430.0499999999993</v>
      </c>
      <c r="AI315" s="75">
        <f t="shared" si="57"/>
        <v>3325</v>
      </c>
      <c r="AJ315" s="78">
        <f t="shared" si="58"/>
        <v>3325</v>
      </c>
      <c r="AK315" s="72">
        <f t="shared" si="59"/>
        <v>6650</v>
      </c>
    </row>
    <row r="316" spans="1:37" ht="15.95" customHeight="1">
      <c r="A316" s="25" t="s">
        <v>702</v>
      </c>
      <c r="B316" s="25" t="s">
        <v>252</v>
      </c>
      <c r="C316" s="26" t="s">
        <v>275</v>
      </c>
      <c r="D316" s="26" t="s">
        <v>10</v>
      </c>
      <c r="E316" s="26" t="s">
        <v>16</v>
      </c>
      <c r="F316" s="26" t="s">
        <v>929</v>
      </c>
      <c r="G316" s="26"/>
      <c r="H316" s="27" t="s">
        <v>930</v>
      </c>
      <c r="I316" s="26" t="s">
        <v>27</v>
      </c>
      <c r="J316" s="28" t="s">
        <v>259</v>
      </c>
      <c r="K316" s="123">
        <v>78</v>
      </c>
      <c r="L316" s="29">
        <v>17.12875</v>
      </c>
      <c r="M316" s="110">
        <v>12.75</v>
      </c>
      <c r="N316" s="30">
        <v>0.16</v>
      </c>
      <c r="O316" s="116">
        <v>2.04</v>
      </c>
      <c r="P316" s="30">
        <v>7.4999999999999997E-2</v>
      </c>
      <c r="Q316" s="116">
        <v>0.95624999999999993</v>
      </c>
      <c r="R316" s="30">
        <v>7.0000000000000007E-2</v>
      </c>
      <c r="S316" s="116">
        <v>0.89250000000000007</v>
      </c>
      <c r="T316" s="117">
        <v>0.49</v>
      </c>
      <c r="U316" s="39">
        <v>250</v>
      </c>
      <c r="V316" s="32">
        <v>250</v>
      </c>
      <c r="W316" s="33"/>
      <c r="X316" s="32"/>
      <c r="Y316" s="32"/>
      <c r="Z316" s="32"/>
      <c r="AA316" s="34"/>
      <c r="AB316" s="35">
        <f t="shared" si="50"/>
        <v>500</v>
      </c>
      <c r="AC316" s="75">
        <f t="shared" si="51"/>
        <v>19500</v>
      </c>
      <c r="AD316" s="78">
        <f t="shared" si="52"/>
        <v>19500</v>
      </c>
      <c r="AE316" s="72">
        <f t="shared" si="53"/>
        <v>39000</v>
      </c>
      <c r="AF316" s="75">
        <f t="shared" si="54"/>
        <v>4282.1875</v>
      </c>
      <c r="AG316" s="78">
        <f t="shared" si="55"/>
        <v>4282.1875</v>
      </c>
      <c r="AH316" s="72">
        <f t="shared" si="56"/>
        <v>8564.375</v>
      </c>
      <c r="AI316" s="75">
        <f t="shared" si="57"/>
        <v>3187.5</v>
      </c>
      <c r="AJ316" s="78">
        <f t="shared" si="58"/>
        <v>3187.5</v>
      </c>
      <c r="AK316" s="72">
        <f t="shared" si="59"/>
        <v>6375</v>
      </c>
    </row>
    <row r="317" spans="1:37" ht="15.95" customHeight="1">
      <c r="A317" s="25" t="s">
        <v>702</v>
      </c>
      <c r="B317" s="25" t="s">
        <v>252</v>
      </c>
      <c r="C317" s="26" t="s">
        <v>24</v>
      </c>
      <c r="D317" s="26" t="s">
        <v>10</v>
      </c>
      <c r="E317" s="26" t="s">
        <v>444</v>
      </c>
      <c r="F317" s="26" t="s">
        <v>931</v>
      </c>
      <c r="G317" s="26"/>
      <c r="H317" s="27" t="s">
        <v>847</v>
      </c>
      <c r="I317" s="26" t="s">
        <v>167</v>
      </c>
      <c r="J317" s="28" t="s">
        <v>227</v>
      </c>
      <c r="K317" s="123">
        <v>38</v>
      </c>
      <c r="L317" s="29">
        <v>5.6770000000000014</v>
      </c>
      <c r="M317" s="110">
        <v>4.2</v>
      </c>
      <c r="N317" s="30">
        <v>0.16500000000000001</v>
      </c>
      <c r="O317" s="116">
        <v>0.69300000000000006</v>
      </c>
      <c r="P317" s="30"/>
      <c r="Q317" s="116"/>
      <c r="R317" s="30">
        <v>7.0000000000000007E-2</v>
      </c>
      <c r="S317" s="116">
        <v>0.29400000000000004</v>
      </c>
      <c r="T317" s="117">
        <v>0.49</v>
      </c>
      <c r="U317" s="39">
        <v>500</v>
      </c>
      <c r="V317" s="32"/>
      <c r="W317" s="33"/>
      <c r="X317" s="32"/>
      <c r="Y317" s="32"/>
      <c r="Z317" s="32"/>
      <c r="AA317" s="34"/>
      <c r="AB317" s="35">
        <f t="shared" si="50"/>
        <v>500</v>
      </c>
      <c r="AC317" s="75">
        <f t="shared" si="51"/>
        <v>19000</v>
      </c>
      <c r="AD317" s="78">
        <f t="shared" si="52"/>
        <v>0</v>
      </c>
      <c r="AE317" s="72">
        <f t="shared" si="53"/>
        <v>19000</v>
      </c>
      <c r="AF317" s="75">
        <f t="shared" si="54"/>
        <v>2838.5000000000009</v>
      </c>
      <c r="AG317" s="78">
        <f t="shared" si="55"/>
        <v>0</v>
      </c>
      <c r="AH317" s="72">
        <f t="shared" si="56"/>
        <v>2838.5000000000009</v>
      </c>
      <c r="AI317" s="75">
        <f t="shared" si="57"/>
        <v>2100</v>
      </c>
      <c r="AJ317" s="78">
        <f t="shared" si="58"/>
        <v>0</v>
      </c>
      <c r="AK317" s="72">
        <f t="shared" si="59"/>
        <v>2100</v>
      </c>
    </row>
    <row r="318" spans="1:37" ht="15.95" customHeight="1">
      <c r="A318" s="25" t="s">
        <v>702</v>
      </c>
      <c r="B318" s="25" t="s">
        <v>252</v>
      </c>
      <c r="C318" s="26" t="s">
        <v>24</v>
      </c>
      <c r="D318" s="26" t="s">
        <v>10</v>
      </c>
      <c r="E318" s="26" t="s">
        <v>444</v>
      </c>
      <c r="F318" s="26" t="s">
        <v>931</v>
      </c>
      <c r="G318" s="26"/>
      <c r="H318" s="27" t="s">
        <v>847</v>
      </c>
      <c r="I318" s="26" t="s">
        <v>167</v>
      </c>
      <c r="J318" s="28" t="s">
        <v>227</v>
      </c>
      <c r="K318" s="123">
        <v>38</v>
      </c>
      <c r="L318" s="29">
        <v>5.6770000000000014</v>
      </c>
      <c r="M318" s="110">
        <v>4.2</v>
      </c>
      <c r="N318" s="30">
        <v>0.16500000000000001</v>
      </c>
      <c r="O318" s="116">
        <v>0.69300000000000006</v>
      </c>
      <c r="P318" s="30"/>
      <c r="Q318" s="116"/>
      <c r="R318" s="30">
        <v>7.0000000000000007E-2</v>
      </c>
      <c r="S318" s="116">
        <v>0.29400000000000004</v>
      </c>
      <c r="T318" s="117">
        <v>0.49</v>
      </c>
      <c r="U318" s="39">
        <v>500</v>
      </c>
      <c r="V318" s="32"/>
      <c r="W318" s="33"/>
      <c r="X318" s="32"/>
      <c r="Y318" s="32"/>
      <c r="Z318" s="32"/>
      <c r="AA318" s="34"/>
      <c r="AB318" s="35">
        <f t="shared" si="50"/>
        <v>500</v>
      </c>
      <c r="AC318" s="75">
        <f t="shared" si="51"/>
        <v>19000</v>
      </c>
      <c r="AD318" s="78">
        <f t="shared" si="52"/>
        <v>0</v>
      </c>
      <c r="AE318" s="72">
        <f t="shared" si="53"/>
        <v>19000</v>
      </c>
      <c r="AF318" s="75">
        <f t="shared" si="54"/>
        <v>2838.5000000000009</v>
      </c>
      <c r="AG318" s="78">
        <f t="shared" si="55"/>
        <v>0</v>
      </c>
      <c r="AH318" s="72">
        <f t="shared" si="56"/>
        <v>2838.5000000000009</v>
      </c>
      <c r="AI318" s="75">
        <f t="shared" si="57"/>
        <v>2100</v>
      </c>
      <c r="AJ318" s="78">
        <f t="shared" si="58"/>
        <v>0</v>
      </c>
      <c r="AK318" s="72">
        <f t="shared" si="59"/>
        <v>2100</v>
      </c>
    </row>
    <row r="319" spans="1:37" ht="15.95" customHeight="1">
      <c r="A319" s="25" t="s">
        <v>702</v>
      </c>
      <c r="B319" s="25" t="s">
        <v>252</v>
      </c>
      <c r="C319" s="26" t="s">
        <v>44</v>
      </c>
      <c r="D319" s="26" t="s">
        <v>10</v>
      </c>
      <c r="E319" s="26" t="s">
        <v>444</v>
      </c>
      <c r="F319" s="26" t="s">
        <v>932</v>
      </c>
      <c r="G319" s="26"/>
      <c r="H319" s="27" t="s">
        <v>933</v>
      </c>
      <c r="I319" s="26" t="s">
        <v>27</v>
      </c>
      <c r="J319" s="28" t="s">
        <v>928</v>
      </c>
      <c r="K319" s="123">
        <v>68</v>
      </c>
      <c r="L319" s="29">
        <v>10.752699999999999</v>
      </c>
      <c r="M319" s="110">
        <v>8.1</v>
      </c>
      <c r="N319" s="30">
        <v>0.19700000000000001</v>
      </c>
      <c r="O319" s="116">
        <v>1.5956999999999999</v>
      </c>
      <c r="P319" s="30"/>
      <c r="Q319" s="116"/>
      <c r="R319" s="30">
        <v>7.0000000000000007E-2</v>
      </c>
      <c r="S319" s="116">
        <v>0.56700000000000006</v>
      </c>
      <c r="T319" s="117">
        <v>0.49</v>
      </c>
      <c r="U319" s="39">
        <v>250</v>
      </c>
      <c r="V319" s="32">
        <v>250</v>
      </c>
      <c r="W319" s="33"/>
      <c r="X319" s="32"/>
      <c r="Y319" s="32"/>
      <c r="Z319" s="32"/>
      <c r="AA319" s="34"/>
      <c r="AB319" s="35">
        <f t="shared" si="50"/>
        <v>500</v>
      </c>
      <c r="AC319" s="75">
        <f t="shared" si="51"/>
        <v>17000</v>
      </c>
      <c r="AD319" s="78">
        <f t="shared" si="52"/>
        <v>17000</v>
      </c>
      <c r="AE319" s="72">
        <f t="shared" si="53"/>
        <v>34000</v>
      </c>
      <c r="AF319" s="75">
        <f t="shared" si="54"/>
        <v>2688.1749999999997</v>
      </c>
      <c r="AG319" s="78">
        <f t="shared" si="55"/>
        <v>2688.1749999999997</v>
      </c>
      <c r="AH319" s="72">
        <f t="shared" si="56"/>
        <v>5376.3499999999995</v>
      </c>
      <c r="AI319" s="75">
        <f t="shared" si="57"/>
        <v>2025</v>
      </c>
      <c r="AJ319" s="78">
        <f t="shared" si="58"/>
        <v>2025</v>
      </c>
      <c r="AK319" s="72">
        <f t="shared" si="59"/>
        <v>4050</v>
      </c>
    </row>
    <row r="320" spans="1:37" ht="15.95" customHeight="1">
      <c r="A320" s="25" t="s">
        <v>702</v>
      </c>
      <c r="B320" s="25" t="s">
        <v>252</v>
      </c>
      <c r="C320" s="26" t="s">
        <v>275</v>
      </c>
      <c r="D320" s="26" t="s">
        <v>10</v>
      </c>
      <c r="E320" s="26" t="s">
        <v>16</v>
      </c>
      <c r="F320" s="26" t="s">
        <v>934</v>
      </c>
      <c r="G320" s="26"/>
      <c r="H320" s="27" t="s">
        <v>935</v>
      </c>
      <c r="I320" s="26" t="s">
        <v>27</v>
      </c>
      <c r="J320" s="28" t="s">
        <v>259</v>
      </c>
      <c r="K320" s="123">
        <v>78</v>
      </c>
      <c r="L320" s="29">
        <v>15.4975</v>
      </c>
      <c r="M320" s="110">
        <v>11.5</v>
      </c>
      <c r="N320" s="30">
        <v>0.16</v>
      </c>
      <c r="O320" s="116">
        <v>1.84</v>
      </c>
      <c r="P320" s="30">
        <v>7.4999999999999997E-2</v>
      </c>
      <c r="Q320" s="116">
        <v>0.86249999999999993</v>
      </c>
      <c r="R320" s="30">
        <v>7.0000000000000007E-2</v>
      </c>
      <c r="S320" s="116">
        <v>0.80500000000000005</v>
      </c>
      <c r="T320" s="117">
        <v>0.49</v>
      </c>
      <c r="U320" s="39">
        <v>250</v>
      </c>
      <c r="V320" s="32">
        <v>250</v>
      </c>
      <c r="W320" s="33"/>
      <c r="X320" s="32"/>
      <c r="Y320" s="32"/>
      <c r="Z320" s="32"/>
      <c r="AA320" s="34"/>
      <c r="AB320" s="35">
        <f t="shared" si="50"/>
        <v>500</v>
      </c>
      <c r="AC320" s="75">
        <f t="shared" si="51"/>
        <v>19500</v>
      </c>
      <c r="AD320" s="78">
        <f t="shared" si="52"/>
        <v>19500</v>
      </c>
      <c r="AE320" s="72">
        <f t="shared" si="53"/>
        <v>39000</v>
      </c>
      <c r="AF320" s="75">
        <f t="shared" si="54"/>
        <v>3874.375</v>
      </c>
      <c r="AG320" s="78">
        <f t="shared" si="55"/>
        <v>3874.375</v>
      </c>
      <c r="AH320" s="72">
        <f t="shared" si="56"/>
        <v>7748.75</v>
      </c>
      <c r="AI320" s="75">
        <f t="shared" si="57"/>
        <v>2875</v>
      </c>
      <c r="AJ320" s="78">
        <f t="shared" si="58"/>
        <v>2875</v>
      </c>
      <c r="AK320" s="72">
        <f t="shared" si="59"/>
        <v>5750</v>
      </c>
    </row>
    <row r="321" spans="1:37" ht="15.95" customHeight="1">
      <c r="A321" s="25" t="s">
        <v>702</v>
      </c>
      <c r="B321" s="25" t="s">
        <v>252</v>
      </c>
      <c r="C321" s="26" t="s">
        <v>44</v>
      </c>
      <c r="D321" s="26" t="s">
        <v>10</v>
      </c>
      <c r="E321" s="26" t="s">
        <v>444</v>
      </c>
      <c r="F321" s="26" t="s">
        <v>932</v>
      </c>
      <c r="G321" s="26"/>
      <c r="H321" s="27" t="s">
        <v>933</v>
      </c>
      <c r="I321" s="26" t="s">
        <v>27</v>
      </c>
      <c r="J321" s="28" t="s">
        <v>928</v>
      </c>
      <c r="K321" s="123">
        <v>68</v>
      </c>
      <c r="L321" s="29">
        <v>10.752699999999999</v>
      </c>
      <c r="M321" s="110">
        <v>8.1</v>
      </c>
      <c r="N321" s="30">
        <v>0.19700000000000001</v>
      </c>
      <c r="O321" s="116">
        <v>1.5956999999999999</v>
      </c>
      <c r="P321" s="30"/>
      <c r="Q321" s="116"/>
      <c r="R321" s="30">
        <v>7.0000000000000007E-2</v>
      </c>
      <c r="S321" s="116">
        <v>0.56700000000000006</v>
      </c>
      <c r="T321" s="117">
        <v>0.49</v>
      </c>
      <c r="U321" s="39">
        <v>250</v>
      </c>
      <c r="V321" s="32">
        <v>250</v>
      </c>
      <c r="W321" s="33"/>
      <c r="X321" s="32"/>
      <c r="Y321" s="32"/>
      <c r="Z321" s="32"/>
      <c r="AA321" s="34"/>
      <c r="AB321" s="35">
        <f t="shared" si="50"/>
        <v>500</v>
      </c>
      <c r="AC321" s="75">
        <f t="shared" si="51"/>
        <v>17000</v>
      </c>
      <c r="AD321" s="78">
        <f t="shared" si="52"/>
        <v>17000</v>
      </c>
      <c r="AE321" s="72">
        <f t="shared" si="53"/>
        <v>34000</v>
      </c>
      <c r="AF321" s="75">
        <f t="shared" si="54"/>
        <v>2688.1749999999997</v>
      </c>
      <c r="AG321" s="78">
        <f t="shared" si="55"/>
        <v>2688.1749999999997</v>
      </c>
      <c r="AH321" s="72">
        <f t="shared" si="56"/>
        <v>5376.3499999999995</v>
      </c>
      <c r="AI321" s="75">
        <f t="shared" si="57"/>
        <v>2025</v>
      </c>
      <c r="AJ321" s="78">
        <f t="shared" si="58"/>
        <v>2025</v>
      </c>
      <c r="AK321" s="72">
        <f t="shared" si="59"/>
        <v>4050</v>
      </c>
    </row>
    <row r="322" spans="1:37" ht="15.95" customHeight="1">
      <c r="A322" s="25" t="s">
        <v>702</v>
      </c>
      <c r="B322" s="25" t="s">
        <v>252</v>
      </c>
      <c r="C322" s="26" t="s">
        <v>275</v>
      </c>
      <c r="D322" s="26" t="s">
        <v>10</v>
      </c>
      <c r="E322" s="26" t="s">
        <v>16</v>
      </c>
      <c r="F322" s="26" t="s">
        <v>934</v>
      </c>
      <c r="G322" s="25"/>
      <c r="H322" s="42" t="s">
        <v>935</v>
      </c>
      <c r="I322" s="43" t="s">
        <v>27</v>
      </c>
      <c r="J322" s="28" t="s">
        <v>259</v>
      </c>
      <c r="K322" s="123">
        <v>78</v>
      </c>
      <c r="L322" s="29">
        <v>15.4975</v>
      </c>
      <c r="M322" s="110">
        <v>11.5</v>
      </c>
      <c r="N322" s="30">
        <v>0.16</v>
      </c>
      <c r="O322" s="116">
        <v>1.84</v>
      </c>
      <c r="P322" s="30">
        <v>7.4999999999999997E-2</v>
      </c>
      <c r="Q322" s="116">
        <v>0.86249999999999993</v>
      </c>
      <c r="R322" s="30">
        <v>7.0000000000000007E-2</v>
      </c>
      <c r="S322" s="116">
        <v>0.80500000000000005</v>
      </c>
      <c r="T322" s="117">
        <v>0.49</v>
      </c>
      <c r="U322" s="39">
        <v>250</v>
      </c>
      <c r="V322" s="32">
        <v>250</v>
      </c>
      <c r="W322" s="33"/>
      <c r="X322" s="32"/>
      <c r="Y322" s="32"/>
      <c r="Z322" s="32"/>
      <c r="AA322" s="34"/>
      <c r="AB322" s="35">
        <f t="shared" si="50"/>
        <v>500</v>
      </c>
      <c r="AC322" s="75">
        <f t="shared" si="51"/>
        <v>19500</v>
      </c>
      <c r="AD322" s="78">
        <f t="shared" si="52"/>
        <v>19500</v>
      </c>
      <c r="AE322" s="72">
        <f t="shared" si="53"/>
        <v>39000</v>
      </c>
      <c r="AF322" s="75">
        <f t="shared" si="54"/>
        <v>3874.375</v>
      </c>
      <c r="AG322" s="78">
        <f t="shared" si="55"/>
        <v>3874.375</v>
      </c>
      <c r="AH322" s="72">
        <f t="shared" si="56"/>
        <v>7748.75</v>
      </c>
      <c r="AI322" s="75">
        <f t="shared" si="57"/>
        <v>2875</v>
      </c>
      <c r="AJ322" s="78">
        <f t="shared" si="58"/>
        <v>2875</v>
      </c>
      <c r="AK322" s="72">
        <f t="shared" si="59"/>
        <v>5750</v>
      </c>
    </row>
    <row r="323" spans="1:37" ht="15.95" customHeight="1">
      <c r="A323" s="25" t="s">
        <v>702</v>
      </c>
      <c r="B323" s="25" t="s">
        <v>252</v>
      </c>
      <c r="C323" s="26" t="s">
        <v>936</v>
      </c>
      <c r="D323" s="26" t="s">
        <v>10</v>
      </c>
      <c r="E323" s="26" t="s">
        <v>444</v>
      </c>
      <c r="F323" s="26" t="s">
        <v>937</v>
      </c>
      <c r="G323" s="25"/>
      <c r="H323" s="42" t="s">
        <v>927</v>
      </c>
      <c r="I323" s="43" t="s">
        <v>167</v>
      </c>
      <c r="J323" s="28" t="s">
        <v>924</v>
      </c>
      <c r="K323" s="123">
        <v>108</v>
      </c>
      <c r="L323" s="29">
        <v>18.667999999999999</v>
      </c>
      <c r="M323" s="110">
        <v>16</v>
      </c>
      <c r="N323" s="30">
        <v>0.108</v>
      </c>
      <c r="O323" s="116">
        <v>1.728</v>
      </c>
      <c r="P323" s="30"/>
      <c r="Q323" s="116"/>
      <c r="R323" s="30">
        <v>7.0000000000000007E-2</v>
      </c>
      <c r="S323" s="116">
        <v>0.45</v>
      </c>
      <c r="T323" s="117">
        <v>0.49</v>
      </c>
      <c r="U323" s="39">
        <v>250</v>
      </c>
      <c r="V323" s="32">
        <v>250</v>
      </c>
      <c r="W323" s="33"/>
      <c r="X323" s="32"/>
      <c r="Y323" s="32"/>
      <c r="Z323" s="32"/>
      <c r="AA323" s="34"/>
      <c r="AB323" s="35">
        <f t="shared" si="50"/>
        <v>500</v>
      </c>
      <c r="AC323" s="75">
        <f t="shared" si="51"/>
        <v>27000</v>
      </c>
      <c r="AD323" s="78">
        <f t="shared" si="52"/>
        <v>27000</v>
      </c>
      <c r="AE323" s="72">
        <f t="shared" si="53"/>
        <v>54000</v>
      </c>
      <c r="AF323" s="75">
        <f t="shared" si="54"/>
        <v>4667</v>
      </c>
      <c r="AG323" s="78">
        <f t="shared" si="55"/>
        <v>4667</v>
      </c>
      <c r="AH323" s="72">
        <f t="shared" si="56"/>
        <v>9334</v>
      </c>
      <c r="AI323" s="75">
        <f t="shared" si="57"/>
        <v>4000</v>
      </c>
      <c r="AJ323" s="78">
        <f t="shared" si="58"/>
        <v>4000</v>
      </c>
      <c r="AK323" s="72">
        <f t="shared" si="59"/>
        <v>8000</v>
      </c>
    </row>
    <row r="324" spans="1:37" ht="15.95" customHeight="1">
      <c r="A324" s="25" t="s">
        <v>702</v>
      </c>
      <c r="B324" s="25" t="s">
        <v>252</v>
      </c>
      <c r="C324" s="26" t="s">
        <v>936</v>
      </c>
      <c r="D324" s="26" t="s">
        <v>10</v>
      </c>
      <c r="E324" s="26" t="s">
        <v>444</v>
      </c>
      <c r="F324" s="26" t="s">
        <v>937</v>
      </c>
      <c r="G324" s="26"/>
      <c r="H324" s="27" t="s">
        <v>938</v>
      </c>
      <c r="I324" s="26" t="s">
        <v>167</v>
      </c>
      <c r="J324" s="28" t="s">
        <v>924</v>
      </c>
      <c r="K324" s="123">
        <v>108</v>
      </c>
      <c r="L324" s="29">
        <v>18.667999999999999</v>
      </c>
      <c r="M324" s="110">
        <v>16</v>
      </c>
      <c r="N324" s="30">
        <v>0.108</v>
      </c>
      <c r="O324" s="116">
        <v>1.728</v>
      </c>
      <c r="P324" s="30"/>
      <c r="Q324" s="116"/>
      <c r="R324" s="30">
        <v>7.0000000000000007E-2</v>
      </c>
      <c r="S324" s="116">
        <v>0.45</v>
      </c>
      <c r="T324" s="117">
        <v>0.49</v>
      </c>
      <c r="U324" s="39">
        <v>250</v>
      </c>
      <c r="V324" s="32">
        <v>250</v>
      </c>
      <c r="W324" s="33"/>
      <c r="X324" s="32"/>
      <c r="Y324" s="32"/>
      <c r="Z324" s="32"/>
      <c r="AA324" s="34"/>
      <c r="AB324" s="35">
        <f t="shared" si="50"/>
        <v>500</v>
      </c>
      <c r="AC324" s="75">
        <f t="shared" si="51"/>
        <v>27000</v>
      </c>
      <c r="AD324" s="78">
        <f t="shared" si="52"/>
        <v>27000</v>
      </c>
      <c r="AE324" s="72">
        <f t="shared" si="53"/>
        <v>54000</v>
      </c>
      <c r="AF324" s="75">
        <f t="shared" si="54"/>
        <v>4667</v>
      </c>
      <c r="AG324" s="78">
        <f t="shared" si="55"/>
        <v>4667</v>
      </c>
      <c r="AH324" s="72">
        <f t="shared" si="56"/>
        <v>9334</v>
      </c>
      <c r="AI324" s="75">
        <f t="shared" si="57"/>
        <v>4000</v>
      </c>
      <c r="AJ324" s="78">
        <f t="shared" si="58"/>
        <v>4000</v>
      </c>
      <c r="AK324" s="72">
        <f t="shared" si="59"/>
        <v>8000</v>
      </c>
    </row>
    <row r="325" spans="1:37" ht="15.95" customHeight="1">
      <c r="A325" s="141" t="s">
        <v>399</v>
      </c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3"/>
      <c r="U325" s="105">
        <f>SUM(U4:U324)</f>
        <v>88534</v>
      </c>
      <c r="V325" s="106">
        <f t="shared" ref="V325:AK325" si="60">SUM(V4:V324)</f>
        <v>72861</v>
      </c>
      <c r="W325" s="107">
        <f t="shared" si="60"/>
        <v>2790</v>
      </c>
      <c r="X325" s="106">
        <f t="shared" si="60"/>
        <v>240</v>
      </c>
      <c r="Y325" s="106">
        <f t="shared" si="60"/>
        <v>335</v>
      </c>
      <c r="Z325" s="106">
        <f t="shared" si="60"/>
        <v>3603</v>
      </c>
      <c r="AA325" s="108">
        <f t="shared" si="60"/>
        <v>0</v>
      </c>
      <c r="AB325" s="69">
        <f t="shared" si="60"/>
        <v>168363</v>
      </c>
      <c r="AC325" s="76">
        <f t="shared" si="60"/>
        <v>9326950</v>
      </c>
      <c r="AD325" s="79">
        <f t="shared" si="60"/>
        <v>7917110</v>
      </c>
      <c r="AE325" s="70">
        <f t="shared" si="60"/>
        <v>17244060</v>
      </c>
      <c r="AF325" s="76">
        <f t="shared" si="60"/>
        <v>1712920.9805000015</v>
      </c>
      <c r="AG325" s="79">
        <f t="shared" si="60"/>
        <v>1463590.0365500008</v>
      </c>
      <c r="AH325" s="70">
        <f t="shared" si="60"/>
        <v>3176511.0170500018</v>
      </c>
      <c r="AI325" s="76">
        <f t="shared" si="60"/>
        <v>1251774.5</v>
      </c>
      <c r="AJ325" s="79">
        <f t="shared" si="60"/>
        <v>1086062.29</v>
      </c>
      <c r="AK325" s="70">
        <f t="shared" si="60"/>
        <v>2337836.79</v>
      </c>
    </row>
    <row r="326" spans="1:37" s="10" customFormat="1" ht="12" customHeight="1">
      <c r="A326" s="2"/>
      <c r="B326" s="6"/>
      <c r="C326" s="6"/>
      <c r="D326" s="7"/>
      <c r="E326" s="6"/>
      <c r="F326" s="3"/>
      <c r="G326" s="4"/>
      <c r="H326" s="7"/>
      <c r="I326" s="6"/>
      <c r="J326" s="5"/>
      <c r="K326" s="11"/>
      <c r="L326" s="11"/>
      <c r="M326" s="11"/>
      <c r="N326" s="12"/>
      <c r="O326" s="13"/>
      <c r="P326" s="12"/>
      <c r="Q326" s="13"/>
      <c r="R326" s="12"/>
      <c r="S326" s="13"/>
      <c r="T326" s="13"/>
      <c r="U326" s="1"/>
      <c r="V326" s="1"/>
      <c r="W326" s="8"/>
      <c r="X326" s="1"/>
      <c r="Y326" s="9"/>
      <c r="Z326" s="9"/>
      <c r="AA326" s="9"/>
      <c r="AB326" s="2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s="10" customFormat="1" ht="12" customHeight="1">
      <c r="A327" s="2"/>
      <c r="B327" s="6"/>
      <c r="C327" s="6"/>
      <c r="D327" s="7"/>
      <c r="E327" s="6"/>
      <c r="F327" s="3"/>
      <c r="G327" s="4"/>
      <c r="H327" s="7"/>
      <c r="I327" s="6"/>
      <c r="J327" s="5"/>
      <c r="K327" s="11"/>
      <c r="L327" s="11"/>
      <c r="M327" s="11"/>
      <c r="N327" s="12"/>
      <c r="O327" s="13"/>
      <c r="P327" s="12"/>
      <c r="Q327" s="13"/>
      <c r="R327" s="12"/>
      <c r="S327" s="13"/>
      <c r="T327" s="13"/>
      <c r="U327" s="1"/>
      <c r="V327" s="1"/>
      <c r="W327" s="8"/>
      <c r="X327" s="1"/>
      <c r="Y327" s="9"/>
      <c r="Z327" s="9"/>
      <c r="AA327" s="9"/>
      <c r="AB327" s="2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s="10" customFormat="1" ht="12" customHeight="1">
      <c r="A328" s="2"/>
      <c r="B328" s="6"/>
      <c r="C328" s="6"/>
      <c r="D328" s="7"/>
      <c r="E328" s="6"/>
      <c r="F328" s="3"/>
      <c r="G328" s="4"/>
      <c r="H328" s="7"/>
      <c r="I328" s="6"/>
      <c r="J328" s="5"/>
      <c r="K328" s="11"/>
      <c r="L328" s="11"/>
      <c r="M328" s="11"/>
      <c r="N328" s="12"/>
      <c r="O328" s="13"/>
      <c r="P328" s="12"/>
      <c r="Q328" s="13"/>
      <c r="R328" s="12"/>
      <c r="S328" s="13"/>
      <c r="T328" s="13"/>
      <c r="U328" s="1"/>
      <c r="V328" s="1"/>
      <c r="W328" s="8"/>
      <c r="X328" s="1"/>
      <c r="Y328" s="9"/>
      <c r="Z328" s="9"/>
      <c r="AA328" s="9"/>
      <c r="AB328" s="2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s="10" customFormat="1" ht="12" customHeight="1">
      <c r="A329" s="2"/>
      <c r="B329" s="6"/>
      <c r="C329" s="6"/>
      <c r="D329" s="7"/>
      <c r="E329" s="6"/>
      <c r="F329" s="3"/>
      <c r="G329" s="4"/>
      <c r="H329" s="7"/>
      <c r="I329" s="6"/>
      <c r="J329" s="5"/>
      <c r="K329" s="11"/>
      <c r="L329" s="11"/>
      <c r="M329" s="11"/>
      <c r="N329" s="12"/>
      <c r="O329" s="13"/>
      <c r="P329" s="12"/>
      <c r="Q329" s="13"/>
      <c r="R329" s="12"/>
      <c r="S329" s="13"/>
      <c r="T329" s="13"/>
      <c r="U329" s="1"/>
      <c r="V329" s="1"/>
      <c r="W329" s="8"/>
      <c r="X329" s="1"/>
      <c r="Y329" s="9"/>
      <c r="Z329" s="9"/>
      <c r="AA329" s="9"/>
      <c r="AB329" s="2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s="10" customFormat="1" ht="12" customHeight="1">
      <c r="A330" s="2"/>
      <c r="B330" s="6"/>
      <c r="C330" s="6"/>
      <c r="D330" s="7"/>
      <c r="E330" s="6"/>
      <c r="F330" s="3"/>
      <c r="G330" s="4"/>
      <c r="H330" s="7"/>
      <c r="I330" s="6"/>
      <c r="J330" s="5"/>
      <c r="K330" s="11"/>
      <c r="L330" s="11"/>
      <c r="M330" s="11"/>
      <c r="N330" s="12"/>
      <c r="O330" s="13"/>
      <c r="P330" s="12"/>
      <c r="Q330" s="13"/>
      <c r="R330" s="12"/>
      <c r="S330" s="13"/>
      <c r="T330" s="13"/>
      <c r="U330" s="1"/>
      <c r="V330" s="1"/>
      <c r="W330" s="8"/>
      <c r="X330" s="1"/>
      <c r="Y330" s="9"/>
      <c r="Z330" s="9"/>
      <c r="AA330" s="9"/>
      <c r="AB330" s="2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s="10" customFormat="1" ht="12" customHeight="1">
      <c r="A331" s="2"/>
      <c r="B331" s="6"/>
      <c r="C331" s="6"/>
      <c r="D331" s="7"/>
      <c r="E331" s="6"/>
      <c r="F331" s="3"/>
      <c r="G331" s="4"/>
      <c r="H331" s="7"/>
      <c r="I331" s="6"/>
      <c r="J331" s="5"/>
      <c r="K331" s="11"/>
      <c r="L331" s="11"/>
      <c r="M331" s="11"/>
      <c r="N331" s="12"/>
      <c r="O331" s="13"/>
      <c r="P331" s="12"/>
      <c r="Q331" s="13"/>
      <c r="R331" s="12"/>
      <c r="S331" s="13"/>
      <c r="T331" s="13"/>
      <c r="U331" s="1"/>
      <c r="V331" s="1"/>
      <c r="W331" s="8"/>
      <c r="X331" s="1"/>
      <c r="Y331" s="9"/>
      <c r="Z331" s="9"/>
      <c r="AA331" s="9"/>
      <c r="AB331" s="2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s="10" customFormat="1" ht="12" customHeight="1">
      <c r="A332" s="2"/>
      <c r="B332" s="6"/>
      <c r="C332" s="6"/>
      <c r="D332" s="7"/>
      <c r="E332" s="6"/>
      <c r="F332" s="3"/>
      <c r="G332" s="4"/>
      <c r="H332" s="7"/>
      <c r="I332" s="6"/>
      <c r="J332" s="5"/>
      <c r="K332" s="11"/>
      <c r="L332" s="11"/>
      <c r="M332" s="11"/>
      <c r="N332" s="12"/>
      <c r="O332" s="13"/>
      <c r="P332" s="12"/>
      <c r="Q332" s="13"/>
      <c r="R332" s="12"/>
      <c r="S332" s="13"/>
      <c r="T332" s="13"/>
      <c r="U332" s="1"/>
      <c r="V332" s="1"/>
      <c r="W332" s="8"/>
      <c r="X332" s="1"/>
      <c r="Y332" s="9"/>
      <c r="Z332" s="9"/>
      <c r="AA332" s="9"/>
      <c r="AB332" s="2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s="10" customFormat="1" ht="12" customHeight="1">
      <c r="A333" s="2"/>
      <c r="B333" s="6"/>
      <c r="C333" s="6"/>
      <c r="D333" s="7"/>
      <c r="E333" s="6"/>
      <c r="F333" s="3"/>
      <c r="G333" s="4"/>
      <c r="H333" s="7"/>
      <c r="I333" s="6"/>
      <c r="J333" s="5"/>
      <c r="K333" s="11"/>
      <c r="L333" s="11"/>
      <c r="M333" s="11"/>
      <c r="N333" s="12"/>
      <c r="O333" s="13"/>
      <c r="P333" s="12"/>
      <c r="Q333" s="13"/>
      <c r="R333" s="12"/>
      <c r="S333" s="13"/>
      <c r="T333" s="13"/>
      <c r="U333" s="1"/>
      <c r="V333" s="1"/>
      <c r="W333" s="8"/>
      <c r="X333" s="1"/>
      <c r="Y333" s="9"/>
      <c r="Z333" s="9"/>
      <c r="AA333" s="9"/>
      <c r="AB333" s="2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s="10" customFormat="1" ht="12" customHeight="1">
      <c r="A334" s="2"/>
      <c r="B334" s="6"/>
      <c r="C334" s="6"/>
      <c r="D334" s="7"/>
      <c r="E334" s="6"/>
      <c r="F334" s="3"/>
      <c r="G334" s="4"/>
      <c r="H334" s="7"/>
      <c r="I334" s="6"/>
      <c r="J334" s="5"/>
      <c r="K334" s="11"/>
      <c r="L334" s="11"/>
      <c r="M334" s="11"/>
      <c r="N334" s="12"/>
      <c r="O334" s="13"/>
      <c r="P334" s="12"/>
      <c r="Q334" s="13"/>
      <c r="R334" s="12"/>
      <c r="S334" s="13"/>
      <c r="T334" s="13"/>
      <c r="U334" s="1"/>
      <c r="V334" s="1"/>
      <c r="W334" s="8"/>
      <c r="X334" s="1"/>
      <c r="Y334" s="9"/>
      <c r="Z334" s="9"/>
      <c r="AA334" s="9"/>
      <c r="AB334" s="2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s="10" customFormat="1" ht="12" customHeight="1">
      <c r="A335" s="2"/>
      <c r="B335" s="6"/>
      <c r="C335" s="6"/>
      <c r="D335" s="7"/>
      <c r="E335" s="6"/>
      <c r="F335" s="3"/>
      <c r="G335" s="4"/>
      <c r="H335" s="7"/>
      <c r="I335" s="6"/>
      <c r="J335" s="5"/>
      <c r="K335" s="11"/>
      <c r="L335" s="11"/>
      <c r="M335" s="11"/>
      <c r="N335" s="12"/>
      <c r="O335" s="13"/>
      <c r="P335" s="12"/>
      <c r="Q335" s="13"/>
      <c r="R335" s="12"/>
      <c r="S335" s="13"/>
      <c r="T335" s="13"/>
      <c r="U335" s="1"/>
      <c r="V335" s="1"/>
      <c r="W335" s="8"/>
      <c r="X335" s="1"/>
      <c r="Y335" s="9"/>
      <c r="Z335" s="9"/>
      <c r="AA335" s="9"/>
      <c r="AB335" s="2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s="10" customFormat="1" ht="12" customHeight="1">
      <c r="A336" s="2"/>
      <c r="B336" s="6"/>
      <c r="C336" s="6"/>
      <c r="D336" s="7"/>
      <c r="E336" s="6"/>
      <c r="F336" s="3"/>
      <c r="G336" s="4"/>
      <c r="H336" s="7"/>
      <c r="I336" s="6"/>
      <c r="J336" s="5"/>
      <c r="K336" s="11"/>
      <c r="L336" s="11"/>
      <c r="M336" s="11"/>
      <c r="N336" s="12"/>
      <c r="O336" s="13"/>
      <c r="P336" s="12"/>
      <c r="Q336" s="13"/>
      <c r="R336" s="12"/>
      <c r="S336" s="13"/>
      <c r="T336" s="13"/>
      <c r="U336" s="1"/>
      <c r="V336" s="1"/>
      <c r="W336" s="8"/>
      <c r="X336" s="1"/>
      <c r="Y336" s="9"/>
      <c r="Z336" s="9"/>
      <c r="AA336" s="9"/>
      <c r="AB336" s="2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s="10" customFormat="1" ht="12" customHeight="1">
      <c r="A337" s="2"/>
      <c r="B337" s="6"/>
      <c r="C337" s="6"/>
      <c r="D337" s="7"/>
      <c r="E337" s="6"/>
      <c r="F337" s="3"/>
      <c r="G337" s="4"/>
      <c r="H337" s="7"/>
      <c r="I337" s="6"/>
      <c r="J337" s="5"/>
      <c r="K337" s="11"/>
      <c r="L337" s="11"/>
      <c r="M337" s="11"/>
      <c r="N337" s="12"/>
      <c r="O337" s="13"/>
      <c r="P337" s="12"/>
      <c r="Q337" s="13"/>
      <c r="R337" s="12"/>
      <c r="S337" s="13"/>
      <c r="T337" s="13"/>
      <c r="U337" s="1"/>
      <c r="V337" s="1"/>
      <c r="W337" s="8"/>
      <c r="X337" s="1"/>
      <c r="Y337" s="9"/>
      <c r="Z337" s="9"/>
      <c r="AA337" s="9"/>
      <c r="AB337" s="2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s="10" customFormat="1" ht="12" customHeight="1">
      <c r="A338" s="2"/>
      <c r="B338" s="6"/>
      <c r="C338" s="6"/>
      <c r="D338" s="7"/>
      <c r="E338" s="6"/>
      <c r="F338" s="3"/>
      <c r="G338" s="4"/>
      <c r="H338" s="7"/>
      <c r="I338" s="6"/>
      <c r="J338" s="5"/>
      <c r="K338" s="11"/>
      <c r="L338" s="11"/>
      <c r="M338" s="11"/>
      <c r="N338" s="12"/>
      <c r="O338" s="13"/>
      <c r="P338" s="12"/>
      <c r="Q338" s="13"/>
      <c r="R338" s="12"/>
      <c r="S338" s="13"/>
      <c r="T338" s="13"/>
      <c r="U338" s="1"/>
      <c r="V338" s="1"/>
      <c r="W338" s="8"/>
      <c r="X338" s="1"/>
      <c r="Y338" s="9"/>
      <c r="Z338" s="9"/>
      <c r="AA338" s="9"/>
      <c r="AB338" s="2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s="10" customFormat="1" ht="12" customHeight="1">
      <c r="A339" s="2"/>
      <c r="B339" s="6"/>
      <c r="C339" s="6"/>
      <c r="D339" s="7"/>
      <c r="E339" s="6"/>
      <c r="F339" s="3"/>
      <c r="G339" s="4"/>
      <c r="H339" s="7"/>
      <c r="I339" s="6"/>
      <c r="J339" s="5"/>
      <c r="K339" s="11"/>
      <c r="L339" s="11"/>
      <c r="M339" s="11"/>
      <c r="N339" s="12"/>
      <c r="O339" s="13"/>
      <c r="P339" s="12"/>
      <c r="Q339" s="13"/>
      <c r="R339" s="12"/>
      <c r="S339" s="13"/>
      <c r="T339" s="13"/>
      <c r="U339" s="1"/>
      <c r="V339" s="1"/>
      <c r="W339" s="8"/>
      <c r="X339" s="1"/>
      <c r="Y339" s="9"/>
      <c r="Z339" s="9"/>
      <c r="AA339" s="9"/>
      <c r="AB339" s="2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s="10" customFormat="1" ht="12" customHeight="1">
      <c r="A340" s="2"/>
      <c r="B340" s="6"/>
      <c r="C340" s="6"/>
      <c r="D340" s="7"/>
      <c r="E340" s="6"/>
      <c r="F340" s="3"/>
      <c r="G340" s="4"/>
      <c r="H340" s="7"/>
      <c r="I340" s="6"/>
      <c r="J340" s="5"/>
      <c r="K340" s="11"/>
      <c r="L340" s="11"/>
      <c r="M340" s="11"/>
      <c r="N340" s="12"/>
      <c r="O340" s="13"/>
      <c r="P340" s="12"/>
      <c r="Q340" s="13"/>
      <c r="R340" s="12"/>
      <c r="S340" s="13"/>
      <c r="T340" s="13"/>
      <c r="U340" s="1"/>
      <c r="V340" s="1"/>
      <c r="W340" s="8"/>
      <c r="X340" s="1"/>
      <c r="Y340" s="9"/>
      <c r="Z340" s="9"/>
      <c r="AA340" s="9"/>
      <c r="AB340" s="2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s="10" customFormat="1" ht="12" customHeight="1">
      <c r="A341" s="2"/>
      <c r="B341" s="6"/>
      <c r="C341" s="6"/>
      <c r="D341" s="7"/>
      <c r="E341" s="6"/>
      <c r="F341" s="3"/>
      <c r="G341" s="4"/>
      <c r="H341" s="7"/>
      <c r="I341" s="6"/>
      <c r="J341" s="5"/>
      <c r="K341" s="11"/>
      <c r="L341" s="11"/>
      <c r="M341" s="11"/>
      <c r="N341" s="12"/>
      <c r="O341" s="13"/>
      <c r="P341" s="12"/>
      <c r="Q341" s="13"/>
      <c r="R341" s="12"/>
      <c r="S341" s="13"/>
      <c r="T341" s="13"/>
      <c r="U341" s="1"/>
      <c r="V341" s="1"/>
      <c r="W341" s="8"/>
      <c r="X341" s="1"/>
      <c r="Y341" s="9"/>
      <c r="Z341" s="9"/>
      <c r="AA341" s="9"/>
      <c r="AB341" s="2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s="10" customFormat="1" ht="12" customHeight="1">
      <c r="A342" s="2"/>
      <c r="B342" s="6"/>
      <c r="C342" s="6"/>
      <c r="D342" s="7"/>
      <c r="E342" s="6"/>
      <c r="F342" s="3"/>
      <c r="G342" s="4"/>
      <c r="H342" s="7"/>
      <c r="I342" s="6"/>
      <c r="J342" s="5"/>
      <c r="K342" s="11"/>
      <c r="L342" s="11"/>
      <c r="M342" s="11"/>
      <c r="N342" s="12"/>
      <c r="O342" s="13"/>
      <c r="P342" s="12"/>
      <c r="Q342" s="13"/>
      <c r="R342" s="12"/>
      <c r="S342" s="13"/>
      <c r="T342" s="13"/>
      <c r="U342" s="1"/>
      <c r="V342" s="1"/>
      <c r="W342" s="8"/>
      <c r="X342" s="1"/>
      <c r="Y342" s="9"/>
      <c r="Z342" s="9"/>
      <c r="AA342" s="9"/>
      <c r="AB342" s="2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s="10" customFormat="1" ht="12" customHeight="1">
      <c r="A343" s="2"/>
      <c r="B343" s="6"/>
      <c r="C343" s="6"/>
      <c r="D343" s="7"/>
      <c r="E343" s="6"/>
      <c r="F343" s="3"/>
      <c r="G343" s="4"/>
      <c r="H343" s="7"/>
      <c r="I343" s="6"/>
      <c r="J343" s="5"/>
      <c r="K343" s="11"/>
      <c r="L343" s="11"/>
      <c r="M343" s="11"/>
      <c r="N343" s="12"/>
      <c r="O343" s="13"/>
      <c r="P343" s="12"/>
      <c r="Q343" s="13"/>
      <c r="R343" s="12"/>
      <c r="S343" s="13"/>
      <c r="T343" s="13"/>
      <c r="U343" s="1"/>
      <c r="V343" s="1"/>
      <c r="W343" s="8"/>
      <c r="X343" s="1"/>
      <c r="Y343" s="9"/>
      <c r="Z343" s="9"/>
      <c r="AA343" s="9"/>
      <c r="AB343" s="2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s="10" customFormat="1" ht="12" customHeight="1">
      <c r="A344" s="2"/>
      <c r="B344" s="6"/>
      <c r="C344" s="6"/>
      <c r="D344" s="7"/>
      <c r="E344" s="6"/>
      <c r="F344" s="3"/>
      <c r="G344" s="4"/>
      <c r="H344" s="7"/>
      <c r="I344" s="6"/>
      <c r="J344" s="5"/>
      <c r="K344" s="11"/>
      <c r="L344" s="11"/>
      <c r="M344" s="11"/>
      <c r="N344" s="12"/>
      <c r="O344" s="13"/>
      <c r="P344" s="12"/>
      <c r="Q344" s="13"/>
      <c r="R344" s="12"/>
      <c r="S344" s="13"/>
      <c r="T344" s="13"/>
      <c r="U344" s="1"/>
      <c r="V344" s="1"/>
      <c r="W344" s="8"/>
      <c r="X344" s="1"/>
      <c r="Y344" s="9"/>
      <c r="Z344" s="9"/>
      <c r="AA344" s="9"/>
      <c r="AB344" s="2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s="10" customFormat="1" ht="12" customHeight="1">
      <c r="A345" s="2"/>
      <c r="B345" s="6"/>
      <c r="C345" s="6"/>
      <c r="D345" s="7"/>
      <c r="E345" s="6"/>
      <c r="F345" s="3"/>
      <c r="G345" s="4"/>
      <c r="H345" s="7"/>
      <c r="I345" s="6"/>
      <c r="J345" s="5"/>
      <c r="K345" s="11"/>
      <c r="L345" s="11"/>
      <c r="M345" s="11"/>
      <c r="N345" s="12"/>
      <c r="O345" s="13"/>
      <c r="P345" s="12"/>
      <c r="Q345" s="13"/>
      <c r="R345" s="12"/>
      <c r="S345" s="13"/>
      <c r="T345" s="13"/>
      <c r="U345" s="1"/>
      <c r="V345" s="1"/>
      <c r="W345" s="8"/>
      <c r="X345" s="1"/>
      <c r="Y345" s="9"/>
      <c r="Z345" s="9"/>
      <c r="AA345" s="9"/>
      <c r="AB345" s="2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s="10" customFormat="1" ht="12" customHeight="1">
      <c r="A346" s="2"/>
      <c r="B346" s="6"/>
      <c r="C346" s="6"/>
      <c r="D346" s="7"/>
      <c r="E346" s="6"/>
      <c r="F346" s="3"/>
      <c r="G346" s="4"/>
      <c r="H346" s="7"/>
      <c r="I346" s="6"/>
      <c r="J346" s="5"/>
      <c r="K346" s="11"/>
      <c r="L346" s="11"/>
      <c r="M346" s="11"/>
      <c r="N346" s="12"/>
      <c r="O346" s="13"/>
      <c r="P346" s="12"/>
      <c r="Q346" s="13"/>
      <c r="R346" s="12"/>
      <c r="S346" s="13"/>
      <c r="T346" s="13"/>
      <c r="U346" s="1"/>
      <c r="V346" s="1"/>
      <c r="W346" s="8"/>
      <c r="X346" s="1"/>
      <c r="Y346" s="9"/>
      <c r="Z346" s="9"/>
      <c r="AA346" s="9"/>
      <c r="AB346" s="2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s="10" customFormat="1" ht="12" customHeight="1">
      <c r="A347" s="2"/>
      <c r="B347" s="6"/>
      <c r="C347" s="6"/>
      <c r="D347" s="7"/>
      <c r="E347" s="6"/>
      <c r="F347" s="3"/>
      <c r="G347" s="4"/>
      <c r="H347" s="7"/>
      <c r="I347" s="6"/>
      <c r="J347" s="5"/>
      <c r="K347" s="11"/>
      <c r="L347" s="11"/>
      <c r="M347" s="11"/>
      <c r="N347" s="12"/>
      <c r="O347" s="13"/>
      <c r="P347" s="12"/>
      <c r="Q347" s="13"/>
      <c r="R347" s="12"/>
      <c r="S347" s="13"/>
      <c r="T347" s="13"/>
      <c r="U347" s="1"/>
      <c r="V347" s="1"/>
      <c r="W347" s="8"/>
      <c r="X347" s="1"/>
      <c r="Y347" s="9"/>
      <c r="Z347" s="9"/>
      <c r="AA347" s="9"/>
      <c r="AB347" s="2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s="10" customFormat="1" ht="12" customHeight="1">
      <c r="A348" s="2"/>
      <c r="B348" s="6"/>
      <c r="C348" s="6"/>
      <c r="D348" s="7"/>
      <c r="E348" s="6"/>
      <c r="F348" s="3"/>
      <c r="G348" s="4"/>
      <c r="H348" s="7"/>
      <c r="I348" s="6"/>
      <c r="J348" s="5"/>
      <c r="K348" s="11"/>
      <c r="L348" s="11"/>
      <c r="M348" s="11"/>
      <c r="N348" s="12"/>
      <c r="O348" s="13"/>
      <c r="P348" s="12"/>
      <c r="Q348" s="13"/>
      <c r="R348" s="12"/>
      <c r="S348" s="13"/>
      <c r="T348" s="13"/>
      <c r="U348" s="1"/>
      <c r="V348" s="1"/>
      <c r="W348" s="8"/>
      <c r="X348" s="1"/>
      <c r="Y348" s="9"/>
      <c r="Z348" s="9"/>
      <c r="AA348" s="9"/>
      <c r="AB348" s="2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s="10" customFormat="1" ht="12" customHeight="1">
      <c r="A349" s="2"/>
      <c r="B349" s="6"/>
      <c r="C349" s="6"/>
      <c r="D349" s="7"/>
      <c r="E349" s="6"/>
      <c r="F349" s="3"/>
      <c r="G349" s="4"/>
      <c r="H349" s="7"/>
      <c r="I349" s="6"/>
      <c r="J349" s="5"/>
      <c r="K349" s="11"/>
      <c r="L349" s="11"/>
      <c r="M349" s="11"/>
      <c r="N349" s="12"/>
      <c r="O349" s="13"/>
      <c r="P349" s="12"/>
      <c r="Q349" s="13"/>
      <c r="R349" s="12"/>
      <c r="S349" s="13"/>
      <c r="T349" s="13"/>
      <c r="U349" s="1"/>
      <c r="V349" s="1"/>
      <c r="W349" s="8"/>
      <c r="X349" s="1"/>
      <c r="Y349" s="9"/>
      <c r="Z349" s="9"/>
      <c r="AA349" s="9"/>
      <c r="AB349" s="2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s="10" customFormat="1" ht="12" customHeight="1">
      <c r="A350" s="2"/>
      <c r="B350" s="6"/>
      <c r="C350" s="6"/>
      <c r="D350" s="7"/>
      <c r="E350" s="6"/>
      <c r="F350" s="3"/>
      <c r="G350" s="4"/>
      <c r="H350" s="7"/>
      <c r="I350" s="6"/>
      <c r="J350" s="5"/>
      <c r="K350" s="11"/>
      <c r="L350" s="11"/>
      <c r="M350" s="11"/>
      <c r="N350" s="12"/>
      <c r="O350" s="13"/>
      <c r="P350" s="12"/>
      <c r="Q350" s="13"/>
      <c r="R350" s="12"/>
      <c r="S350" s="13"/>
      <c r="T350" s="13"/>
      <c r="U350" s="1"/>
      <c r="V350" s="1"/>
      <c r="W350" s="8"/>
      <c r="X350" s="1"/>
      <c r="Y350" s="9"/>
      <c r="Z350" s="9"/>
      <c r="AA350" s="9"/>
      <c r="AB350" s="2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s="10" customFormat="1" ht="12" customHeight="1">
      <c r="A351" s="2"/>
      <c r="B351" s="6"/>
      <c r="C351" s="6"/>
      <c r="D351" s="7"/>
      <c r="E351" s="6"/>
      <c r="F351" s="3"/>
      <c r="G351" s="4"/>
      <c r="H351" s="7"/>
      <c r="I351" s="6"/>
      <c r="J351" s="5"/>
      <c r="K351" s="11"/>
      <c r="L351" s="11"/>
      <c r="M351" s="11"/>
      <c r="N351" s="12"/>
      <c r="O351" s="13"/>
      <c r="P351" s="12"/>
      <c r="Q351" s="13"/>
      <c r="R351" s="12"/>
      <c r="S351" s="13"/>
      <c r="T351" s="13"/>
      <c r="U351" s="1"/>
      <c r="V351" s="1"/>
      <c r="W351" s="8"/>
      <c r="X351" s="1"/>
      <c r="Y351" s="9"/>
      <c r="Z351" s="9"/>
      <c r="AA351" s="9"/>
      <c r="AB351" s="2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s="10" customFormat="1" ht="12" customHeight="1">
      <c r="A352" s="2"/>
      <c r="B352" s="6"/>
      <c r="C352" s="6"/>
      <c r="D352" s="7"/>
      <c r="E352" s="6"/>
      <c r="F352" s="3"/>
      <c r="G352" s="4"/>
      <c r="H352" s="7"/>
      <c r="I352" s="6"/>
      <c r="J352" s="5"/>
      <c r="K352" s="11"/>
      <c r="L352" s="11"/>
      <c r="M352" s="11"/>
      <c r="N352" s="12"/>
      <c r="O352" s="13"/>
      <c r="P352" s="12"/>
      <c r="Q352" s="13"/>
      <c r="R352" s="12"/>
      <c r="S352" s="13"/>
      <c r="T352" s="13"/>
      <c r="U352" s="1"/>
      <c r="V352" s="1"/>
      <c r="W352" s="8"/>
      <c r="X352" s="1"/>
      <c r="Y352" s="9"/>
      <c r="Z352" s="9"/>
      <c r="AA352" s="9"/>
      <c r="AB352" s="2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s="10" customFormat="1" ht="12" customHeight="1">
      <c r="A353" s="2"/>
      <c r="B353" s="6"/>
      <c r="C353" s="6"/>
      <c r="D353" s="7"/>
      <c r="E353" s="6"/>
      <c r="F353" s="3"/>
      <c r="G353" s="4"/>
      <c r="H353" s="7"/>
      <c r="I353" s="6"/>
      <c r="J353" s="5"/>
      <c r="K353" s="11"/>
      <c r="L353" s="11"/>
      <c r="M353" s="11"/>
      <c r="N353" s="12"/>
      <c r="O353" s="13"/>
      <c r="P353" s="12"/>
      <c r="Q353" s="13"/>
      <c r="R353" s="12"/>
      <c r="S353" s="13"/>
      <c r="T353" s="13"/>
      <c r="U353" s="1"/>
      <c r="V353" s="1"/>
      <c r="W353" s="8"/>
      <c r="X353" s="1"/>
      <c r="Y353" s="9"/>
      <c r="Z353" s="9"/>
      <c r="AA353" s="9"/>
      <c r="AB353" s="2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s="10" customFormat="1" ht="12" customHeight="1">
      <c r="A354" s="2"/>
      <c r="B354" s="6"/>
      <c r="C354" s="6"/>
      <c r="D354" s="7"/>
      <c r="E354" s="6"/>
      <c r="F354" s="3"/>
      <c r="G354" s="4"/>
      <c r="H354" s="7"/>
      <c r="I354" s="6"/>
      <c r="J354" s="5"/>
      <c r="K354" s="11"/>
      <c r="L354" s="11"/>
      <c r="M354" s="11"/>
      <c r="N354" s="12"/>
      <c r="O354" s="13"/>
      <c r="P354" s="12"/>
      <c r="Q354" s="13"/>
      <c r="R354" s="12"/>
      <c r="S354" s="13"/>
      <c r="T354" s="13"/>
      <c r="U354" s="1"/>
      <c r="V354" s="1"/>
      <c r="W354" s="8"/>
      <c r="X354" s="1"/>
      <c r="Y354" s="9"/>
      <c r="Z354" s="9"/>
      <c r="AA354" s="9"/>
      <c r="AB354" s="2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s="10" customFormat="1" ht="12" customHeight="1">
      <c r="A355" s="2"/>
      <c r="B355" s="6"/>
      <c r="C355" s="6"/>
      <c r="D355" s="7"/>
      <c r="E355" s="6"/>
      <c r="F355" s="3"/>
      <c r="G355" s="4"/>
      <c r="H355" s="7"/>
      <c r="I355" s="6"/>
      <c r="J355" s="5"/>
      <c r="K355" s="11"/>
      <c r="L355" s="11"/>
      <c r="M355" s="11"/>
      <c r="N355" s="12"/>
      <c r="O355" s="13"/>
      <c r="P355" s="12"/>
      <c r="Q355" s="13"/>
      <c r="R355" s="12"/>
      <c r="S355" s="13"/>
      <c r="T355" s="13"/>
      <c r="U355" s="1"/>
      <c r="V355" s="1"/>
      <c r="W355" s="8"/>
      <c r="X355" s="1"/>
      <c r="Y355" s="9"/>
      <c r="Z355" s="9"/>
      <c r="AA355" s="9"/>
      <c r="AB355" s="2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s="10" customFormat="1" ht="12" customHeight="1">
      <c r="A356" s="2"/>
      <c r="B356" s="6"/>
      <c r="C356" s="6"/>
      <c r="D356" s="7"/>
      <c r="E356" s="6"/>
      <c r="F356" s="3"/>
      <c r="G356" s="4"/>
      <c r="H356" s="7"/>
      <c r="I356" s="6"/>
      <c r="J356" s="5"/>
      <c r="K356" s="11"/>
      <c r="L356" s="11"/>
      <c r="M356" s="11"/>
      <c r="N356" s="12"/>
      <c r="O356" s="13"/>
      <c r="P356" s="12"/>
      <c r="Q356" s="13"/>
      <c r="R356" s="12"/>
      <c r="S356" s="13"/>
      <c r="T356" s="13"/>
      <c r="U356" s="1"/>
      <c r="V356" s="1"/>
      <c r="W356" s="8"/>
      <c r="X356" s="1"/>
      <c r="Y356" s="9"/>
      <c r="Z356" s="9"/>
      <c r="AA356" s="9"/>
      <c r="AB356" s="2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s="10" customFormat="1" ht="12" customHeight="1">
      <c r="A357" s="2"/>
      <c r="B357" s="6"/>
      <c r="C357" s="6"/>
      <c r="D357" s="7"/>
      <c r="E357" s="6"/>
      <c r="F357" s="3"/>
      <c r="G357" s="4"/>
      <c r="H357" s="7"/>
      <c r="I357" s="6"/>
      <c r="J357" s="5"/>
      <c r="K357" s="11"/>
      <c r="L357" s="11"/>
      <c r="M357" s="11"/>
      <c r="N357" s="12"/>
      <c r="O357" s="13"/>
      <c r="P357" s="12"/>
      <c r="Q357" s="13"/>
      <c r="R357" s="12"/>
      <c r="S357" s="13"/>
      <c r="T357" s="13"/>
      <c r="U357" s="1"/>
      <c r="V357" s="1"/>
      <c r="W357" s="8"/>
      <c r="X357" s="1"/>
      <c r="Y357" s="9"/>
      <c r="Z357" s="9"/>
      <c r="AA357" s="9"/>
      <c r="AB357" s="2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s="10" customFormat="1" ht="12" customHeight="1">
      <c r="A358" s="2"/>
      <c r="B358" s="6"/>
      <c r="C358" s="6"/>
      <c r="D358" s="7"/>
      <c r="E358" s="6"/>
      <c r="F358" s="3"/>
      <c r="G358" s="4"/>
      <c r="H358" s="7"/>
      <c r="I358" s="6"/>
      <c r="J358" s="5"/>
      <c r="K358" s="11"/>
      <c r="L358" s="11"/>
      <c r="M358" s="11"/>
      <c r="N358" s="12"/>
      <c r="O358" s="13"/>
      <c r="P358" s="12"/>
      <c r="Q358" s="13"/>
      <c r="R358" s="12"/>
      <c r="S358" s="13"/>
      <c r="T358" s="13"/>
      <c r="U358" s="1"/>
      <c r="V358" s="1"/>
      <c r="W358" s="8"/>
      <c r="X358" s="1"/>
      <c r="Y358" s="9"/>
      <c r="Z358" s="9"/>
      <c r="AA358" s="9"/>
      <c r="AB358" s="2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s="10" customFormat="1" ht="12" customHeight="1">
      <c r="A359" s="2"/>
      <c r="B359" s="6"/>
      <c r="C359" s="6"/>
      <c r="D359" s="7"/>
      <c r="E359" s="6"/>
      <c r="F359" s="3"/>
      <c r="G359" s="4"/>
      <c r="H359" s="7"/>
      <c r="I359" s="6"/>
      <c r="J359" s="5"/>
      <c r="K359" s="11"/>
      <c r="L359" s="11"/>
      <c r="M359" s="11"/>
      <c r="N359" s="12"/>
      <c r="O359" s="13"/>
      <c r="P359" s="12"/>
      <c r="Q359" s="13"/>
      <c r="R359" s="12"/>
      <c r="S359" s="13"/>
      <c r="T359" s="13"/>
      <c r="U359" s="1"/>
      <c r="V359" s="1"/>
      <c r="W359" s="8"/>
      <c r="X359" s="1"/>
      <c r="Y359" s="9"/>
      <c r="Z359" s="9"/>
      <c r="AA359" s="9"/>
      <c r="AB359" s="2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s="10" customFormat="1" ht="12" customHeight="1">
      <c r="A360" s="2"/>
      <c r="B360" s="6"/>
      <c r="C360" s="6"/>
      <c r="D360" s="7"/>
      <c r="E360" s="6"/>
      <c r="F360" s="3"/>
      <c r="G360" s="4"/>
      <c r="H360" s="7"/>
      <c r="I360" s="6"/>
      <c r="J360" s="5"/>
      <c r="K360" s="11"/>
      <c r="L360" s="11"/>
      <c r="M360" s="11"/>
      <c r="N360" s="12"/>
      <c r="O360" s="13"/>
      <c r="P360" s="12"/>
      <c r="Q360" s="13"/>
      <c r="R360" s="12"/>
      <c r="S360" s="13"/>
      <c r="T360" s="13"/>
      <c r="U360" s="1"/>
      <c r="V360" s="1"/>
      <c r="W360" s="8"/>
      <c r="X360" s="1"/>
      <c r="Y360" s="9"/>
      <c r="Z360" s="9"/>
      <c r="AA360" s="9"/>
      <c r="AB360" s="2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s="10" customFormat="1" ht="12" customHeight="1">
      <c r="A361" s="2"/>
      <c r="B361" s="6"/>
      <c r="C361" s="6"/>
      <c r="D361" s="7"/>
      <c r="E361" s="6"/>
      <c r="F361" s="3"/>
      <c r="G361" s="4"/>
      <c r="H361" s="7"/>
      <c r="I361" s="6"/>
      <c r="J361" s="5"/>
      <c r="K361" s="11"/>
      <c r="L361" s="11"/>
      <c r="M361" s="11"/>
      <c r="N361" s="12"/>
      <c r="O361" s="13"/>
      <c r="P361" s="12"/>
      <c r="Q361" s="13"/>
      <c r="R361" s="12"/>
      <c r="S361" s="13"/>
      <c r="T361" s="13"/>
      <c r="U361" s="1"/>
      <c r="V361" s="1"/>
      <c r="W361" s="8"/>
      <c r="X361" s="1"/>
      <c r="Y361" s="9"/>
      <c r="Z361" s="9"/>
      <c r="AA361" s="9"/>
      <c r="AB361" s="2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s="10" customFormat="1" ht="12" customHeight="1">
      <c r="A362" s="2"/>
      <c r="B362" s="6"/>
      <c r="C362" s="6"/>
      <c r="D362" s="7"/>
      <c r="E362" s="6"/>
      <c r="F362" s="3"/>
      <c r="G362" s="4"/>
      <c r="H362" s="7"/>
      <c r="I362" s="6"/>
      <c r="J362" s="5"/>
      <c r="K362" s="11"/>
      <c r="L362" s="11"/>
      <c r="M362" s="11"/>
      <c r="N362" s="12"/>
      <c r="O362" s="13"/>
      <c r="P362" s="12"/>
      <c r="Q362" s="13"/>
      <c r="R362" s="12"/>
      <c r="S362" s="13"/>
      <c r="T362" s="13"/>
      <c r="U362" s="1"/>
      <c r="V362" s="1"/>
      <c r="W362" s="8"/>
      <c r="X362" s="1"/>
      <c r="Y362" s="9"/>
      <c r="Z362" s="9"/>
      <c r="AA362" s="9"/>
      <c r="AB362" s="2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s="10" customFormat="1" ht="12" customHeight="1">
      <c r="A363" s="2"/>
      <c r="B363" s="6"/>
      <c r="C363" s="6"/>
      <c r="D363" s="7"/>
      <c r="E363" s="6"/>
      <c r="F363" s="3"/>
      <c r="G363" s="4"/>
      <c r="H363" s="7"/>
      <c r="I363" s="6"/>
      <c r="J363" s="5"/>
      <c r="K363" s="11"/>
      <c r="L363" s="11"/>
      <c r="M363" s="11"/>
      <c r="N363" s="12"/>
      <c r="O363" s="13"/>
      <c r="P363" s="12"/>
      <c r="Q363" s="13"/>
      <c r="R363" s="12"/>
      <c r="S363" s="13"/>
      <c r="T363" s="13"/>
      <c r="U363" s="1"/>
      <c r="V363" s="1"/>
      <c r="W363" s="8"/>
      <c r="X363" s="1"/>
      <c r="Y363" s="9"/>
      <c r="Z363" s="9"/>
      <c r="AA363" s="9"/>
      <c r="AB363" s="2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s="10" customFormat="1" ht="12" customHeight="1">
      <c r="A364" s="2"/>
      <c r="B364" s="6"/>
      <c r="C364" s="6"/>
      <c r="D364" s="7"/>
      <c r="E364" s="6"/>
      <c r="F364" s="3"/>
      <c r="G364" s="4"/>
      <c r="H364" s="7"/>
      <c r="I364" s="6"/>
      <c r="J364" s="5"/>
      <c r="K364" s="11"/>
      <c r="L364" s="11"/>
      <c r="M364" s="11"/>
      <c r="N364" s="12"/>
      <c r="O364" s="13"/>
      <c r="P364" s="12"/>
      <c r="Q364" s="13"/>
      <c r="R364" s="12"/>
      <c r="S364" s="13"/>
      <c r="T364" s="13"/>
      <c r="U364" s="1"/>
      <c r="V364" s="1"/>
      <c r="W364" s="8"/>
      <c r="X364" s="1"/>
      <c r="Y364" s="9"/>
      <c r="Z364" s="9"/>
      <c r="AA364" s="9"/>
      <c r="AB364" s="2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s="10" customFormat="1" ht="12" customHeight="1">
      <c r="A365" s="2"/>
      <c r="B365" s="6"/>
      <c r="C365" s="6"/>
      <c r="D365" s="7"/>
      <c r="E365" s="6"/>
      <c r="F365" s="3"/>
      <c r="G365" s="4"/>
      <c r="H365" s="7"/>
      <c r="I365" s="6"/>
      <c r="J365" s="5"/>
      <c r="K365" s="11"/>
      <c r="L365" s="11"/>
      <c r="M365" s="11"/>
      <c r="N365" s="12"/>
      <c r="O365" s="13"/>
      <c r="P365" s="12"/>
      <c r="Q365" s="13"/>
      <c r="R365" s="12"/>
      <c r="S365" s="13"/>
      <c r="T365" s="13"/>
      <c r="U365" s="1"/>
      <c r="V365" s="1"/>
      <c r="W365" s="8"/>
      <c r="X365" s="1"/>
      <c r="Y365" s="9"/>
      <c r="Z365" s="9"/>
      <c r="AA365" s="9"/>
      <c r="AB365" s="2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s="10" customFormat="1" ht="12" customHeight="1">
      <c r="A366" s="2"/>
      <c r="B366" s="6"/>
      <c r="C366" s="6"/>
      <c r="D366" s="7"/>
      <c r="E366" s="6"/>
      <c r="F366" s="3"/>
      <c r="G366" s="4"/>
      <c r="H366" s="7"/>
      <c r="I366" s="6"/>
      <c r="J366" s="5"/>
      <c r="K366" s="11"/>
      <c r="L366" s="11"/>
      <c r="M366" s="11"/>
      <c r="N366" s="12"/>
      <c r="O366" s="13"/>
      <c r="P366" s="12"/>
      <c r="Q366" s="13"/>
      <c r="R366" s="12"/>
      <c r="S366" s="13"/>
      <c r="T366" s="13"/>
      <c r="U366" s="1"/>
      <c r="V366" s="1"/>
      <c r="W366" s="8"/>
      <c r="X366" s="1"/>
      <c r="Y366" s="9"/>
      <c r="Z366" s="9"/>
      <c r="AA366" s="9"/>
      <c r="AB366" s="2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s="10" customFormat="1" ht="12" customHeight="1">
      <c r="A367" s="2"/>
      <c r="B367" s="6"/>
      <c r="C367" s="6"/>
      <c r="D367" s="7"/>
      <c r="E367" s="6"/>
      <c r="F367" s="3"/>
      <c r="G367" s="4"/>
      <c r="H367" s="7"/>
      <c r="I367" s="6"/>
      <c r="J367" s="5"/>
      <c r="K367" s="11"/>
      <c r="L367" s="11"/>
      <c r="M367" s="11"/>
      <c r="N367" s="12"/>
      <c r="O367" s="13"/>
      <c r="P367" s="12"/>
      <c r="Q367" s="13"/>
      <c r="R367" s="12"/>
      <c r="S367" s="13"/>
      <c r="T367" s="13"/>
      <c r="U367" s="1"/>
      <c r="V367" s="1"/>
      <c r="W367" s="8"/>
      <c r="X367" s="1"/>
      <c r="Y367" s="9"/>
      <c r="Z367" s="9"/>
      <c r="AA367" s="9"/>
      <c r="AB367" s="2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s="10" customFormat="1" ht="12" customHeight="1">
      <c r="A368" s="2"/>
      <c r="B368" s="6"/>
      <c r="C368" s="6"/>
      <c r="D368" s="7"/>
      <c r="E368" s="6"/>
      <c r="F368" s="3"/>
      <c r="G368" s="4"/>
      <c r="H368" s="7"/>
      <c r="I368" s="6"/>
      <c r="J368" s="5"/>
      <c r="K368" s="11"/>
      <c r="L368" s="11"/>
      <c r="M368" s="11"/>
      <c r="N368" s="12"/>
      <c r="O368" s="13"/>
      <c r="P368" s="12"/>
      <c r="Q368" s="13"/>
      <c r="R368" s="12"/>
      <c r="S368" s="13"/>
      <c r="T368" s="13"/>
      <c r="U368" s="1"/>
      <c r="V368" s="1"/>
      <c r="W368" s="8"/>
      <c r="X368" s="1"/>
      <c r="Y368" s="9"/>
      <c r="Z368" s="9"/>
      <c r="AA368" s="9"/>
      <c r="AB368" s="2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2" customHeight="1"/>
  </sheetData>
  <mergeCells count="5">
    <mergeCell ref="U2:AB2"/>
    <mergeCell ref="AC2:AE2"/>
    <mergeCell ref="AF2:AH2"/>
    <mergeCell ref="AI2:AK2"/>
    <mergeCell ref="A325:T32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25FW Pivot</vt:lpstr>
      <vt:lpstr>24FW Pivot</vt:lpstr>
      <vt:lpstr>SS정리</vt:lpstr>
      <vt:lpstr>FW정리</vt:lpstr>
      <vt:lpstr>25FW</vt:lpstr>
      <vt:lpstr>25SS</vt:lpstr>
      <vt:lpstr>Sheet3</vt:lpstr>
      <vt:lpstr>24FW</vt:lpstr>
      <vt:lpstr>Sheet5</vt:lpstr>
      <vt:lpstr>24SS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David_Park(박대운) F/KR/MGP/MGP</dc:creator>
  <cp:lastModifiedBy>kspark(박경수) F/KR/MGT/FPA</cp:lastModifiedBy>
  <dcterms:created xsi:type="dcterms:W3CDTF">2025-01-07T20:11:52Z</dcterms:created>
  <dcterms:modified xsi:type="dcterms:W3CDTF">2025-12-09T07:28:25Z</dcterms:modified>
</cp:coreProperties>
</file>