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0401\Documents\업무인수인계\6.실적보고\2025년\stodashboard\"/>
    </mc:Choice>
  </mc:AlternateContent>
  <xr:revisionPtr revIDLastSave="0" documentId="8_{16197FE7-9C3C-4D4A-AE10-6FB5B477FA24}" xr6:coauthVersionLast="47" xr6:coauthVersionMax="47" xr10:uidLastSave="{00000000-0000-0000-0000-000000000000}"/>
  <bookViews>
    <workbookView xWindow="-120" yWindow="-120" windowWidth="29040" windowHeight="15720" activeTab="4" xr2:uid="{F282CC45-AA3A-445C-84E7-737DBB0ACFBD}"/>
    <workbookView minimized="1" xWindow="1875" yWindow="1035" windowWidth="21600" windowHeight="10545" activeTab="1" xr2:uid="{AB217ABB-50CD-45D2-B182-1624B274F974}"/>
  </bookViews>
  <sheets>
    <sheet name="최종값" sheetId="8" r:id="rId1"/>
    <sheet name="STO BS" sheetId="2" r:id="rId2"/>
    <sheet name="Sheet4" sheetId="4" r:id="rId3"/>
    <sheet name="Sheet5" sheetId="5" r:id="rId4"/>
    <sheet name="Sheet6" sheetId="6" r:id="rId5"/>
    <sheet name="Sheet3" sheetId="3" r:id="rId6"/>
    <sheet name="최종" sheetId="1" r:id="rId7"/>
  </sheets>
  <externalReferences>
    <externalReference r:id="rId8"/>
  </externalReferences>
  <definedNames>
    <definedName name="_" hidden="1">#REF!</definedName>
    <definedName name="_?">#REF!</definedName>
    <definedName name="_?0_F" hidden="1">#REF!</definedName>
    <definedName name="_?춑_TOTAL">#REF!</definedName>
    <definedName name="_?춮t2">#REF!</definedName>
    <definedName name="_?춮ta">#REF!</definedName>
    <definedName name="_?춮tb">#REF!</definedName>
    <definedName name="__">#REF!</definedName>
    <definedName name="__?">#REF!</definedName>
    <definedName name="__?춑_TOTAL">#REF!</definedName>
    <definedName name="__?춮t2">#REF!</definedName>
    <definedName name="__?춮ta">#REF!</definedName>
    <definedName name="__?춮tb">#REF!</definedName>
    <definedName name="___">#REF!</definedName>
    <definedName name="___?">#REF!</definedName>
    <definedName name="___?춑_TOTAL">#REF!</definedName>
    <definedName name="____">#REF!</definedName>
    <definedName name="____?">#REF!</definedName>
    <definedName name="____?춑_TOTAL">#REF!</definedName>
    <definedName name="____?춮t2">#REF!</definedName>
    <definedName name="____?춮ta">#REF!</definedName>
    <definedName name="____?춮tb">#REF!</definedName>
    <definedName name="_____">#REF!</definedName>
    <definedName name="_____?">#REF!</definedName>
    <definedName name="_____?춑_TOTAL">#REF!</definedName>
    <definedName name="______">#REF!</definedName>
    <definedName name="______?">#REF!</definedName>
    <definedName name="______?춑_TOTAL">#REF!</definedName>
    <definedName name="_______">#REF!</definedName>
    <definedName name="_______?">#REF!</definedName>
    <definedName name="_______?춑_TOTAL">#REF!</definedName>
    <definedName name="________">#REF!</definedName>
    <definedName name="________?">#REF!</definedName>
    <definedName name="________?춑_TOTAL">#REF!</definedName>
    <definedName name="_________">#REF!</definedName>
    <definedName name="_________?">#REF!</definedName>
    <definedName name="_________?춑_TOTAL">#REF!</definedName>
    <definedName name="__________">#REF!</definedName>
    <definedName name="__________?">#REF!</definedName>
    <definedName name="__________?춑_TOTAL">#REF!</definedName>
    <definedName name="___________">#REF!</definedName>
    <definedName name="___________?">#REF!</definedName>
    <definedName name="___________?춑_TOTAL">#REF!</definedName>
    <definedName name="____________?">#REF!</definedName>
    <definedName name="____________?춑_TOTAL">#REF!</definedName>
    <definedName name="_____________?">#REF!</definedName>
    <definedName name="__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C332897">#REF!</definedName>
    <definedName name="____________________E65954">#REF!</definedName>
    <definedName name="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C332897">#REF!</definedName>
    <definedName name="___________________E65954">#REF!</definedName>
    <definedName name="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C332897">#REF!</definedName>
    <definedName name="__________________E65954">#REF!</definedName>
    <definedName name="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C332897">#REF!</definedName>
    <definedName name="_________________E65954">#REF!</definedName>
    <definedName name="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C332897">#REF!</definedName>
    <definedName name="________________E65954">#REF!</definedName>
    <definedName name="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C332897">#REF!</definedName>
    <definedName name="_______________E65954">#REF!</definedName>
    <definedName name="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C332897">#REF!</definedName>
    <definedName name="______________E65954">#REF!</definedName>
    <definedName name="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Ａ４">#REF!</definedName>
    <definedName name="_____________C1244ㅁ1430">#REF!</definedName>
    <definedName name="_____________C332897">#REF!</definedName>
    <definedName name="_____________E65954">#REF!</definedName>
    <definedName name="_____________KD1">#REF!</definedName>
    <definedName name="_____________kz1" hidden="1">#REF!</definedName>
    <definedName name="_____________kz2" hidden="1">#REF!</definedName>
    <definedName name="_____________kz3" hidden="1">#REF!</definedName>
    <definedName name="_____________kz4" hidden="1">#REF!</definedName>
    <definedName name="_____________kz5" hidden="1">#REF!</definedName>
    <definedName name="_____________kz6" hidden="1">#REF!</definedName>
    <definedName name="_____________kz7" hidden="1">#REF!</definedName>
    <definedName name="_____________kz8" hidden="1">#REF!</definedName>
    <definedName name="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Ａ４">#REF!</definedName>
    <definedName name="____________C1244ㅁ1430">#REF!</definedName>
    <definedName name="____________C332897">#REF!</definedName>
    <definedName name="____________E65954">#REF!</definedName>
    <definedName name="____________KD1">#REF!</definedName>
    <definedName name="____________kz1" hidden="1">#REF!</definedName>
    <definedName name="____________kz2" hidden="1">#REF!</definedName>
    <definedName name="____________kz3" hidden="1">#REF!</definedName>
    <definedName name="____________kz4" hidden="1">#REF!</definedName>
    <definedName name="____________kz5" hidden="1">#REF!</definedName>
    <definedName name="____________kz6" hidden="1">#REF!</definedName>
    <definedName name="____________kz7" hidden="1">#REF!</definedName>
    <definedName name="____________kz8" hidden="1">#REF!</definedName>
    <definedName name="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Ａ４">#REF!</definedName>
    <definedName name="___________C1244ㅁ1430">#REF!</definedName>
    <definedName name="___________C332897">#REF!</definedName>
    <definedName name="___________E65954">#REF!</definedName>
    <definedName name="___________KD1">#REF!</definedName>
    <definedName name="___________kz1" hidden="1">#REF!</definedName>
    <definedName name="___________kz2" hidden="1">#REF!</definedName>
    <definedName name="___________kz3" hidden="1">#REF!</definedName>
    <definedName name="___________kz4" hidden="1">#REF!</definedName>
    <definedName name="___________kz5" hidden="1">#REF!</definedName>
    <definedName name="___________kz6" hidden="1">#REF!</definedName>
    <definedName name="___________kz7" hidden="1">#REF!</definedName>
    <definedName name="___________kz8" hidden="1">#REF!</definedName>
    <definedName name="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Ａ４">#REF!</definedName>
    <definedName name="__________C1244ㅁ1430">#REF!</definedName>
    <definedName name="__________C332897">#REF!</definedName>
    <definedName name="__________E65954">#REF!</definedName>
    <definedName name="__________KD1">#REF!</definedName>
    <definedName name="__________kz1" hidden="1">#REF!</definedName>
    <definedName name="__________kz2" hidden="1">#REF!</definedName>
    <definedName name="__________kz3" hidden="1">#REF!</definedName>
    <definedName name="__________kz4" hidden="1">#REF!</definedName>
    <definedName name="__________kz5" hidden="1">#REF!</definedName>
    <definedName name="__________kz6" hidden="1">#REF!</definedName>
    <definedName name="__________kz7" hidden="1">#REF!</definedName>
    <definedName name="__________kz8" hidden="1">#REF!</definedName>
    <definedName name="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Ａ４">#REF!</definedName>
    <definedName name="_________C1244ㅁ1430">#REF!</definedName>
    <definedName name="_________C332897">#REF!</definedName>
    <definedName name="_________E65954">#REF!</definedName>
    <definedName name="_________KD1">#REF!</definedName>
    <definedName name="_________kz1" hidden="1">#REF!</definedName>
    <definedName name="_________kz2" hidden="1">#REF!</definedName>
    <definedName name="_________kz3" hidden="1">#REF!</definedName>
    <definedName name="_________kz4" hidden="1">#REF!</definedName>
    <definedName name="_________kz5" hidden="1">#REF!</definedName>
    <definedName name="_________kz6" hidden="1">#REF!</definedName>
    <definedName name="_________kz7" hidden="1">#REF!</definedName>
    <definedName name="_________kz8" hidden="1">#REF!</definedName>
    <definedName name="_________TRT11" hidden="1">{#N/A,#N/A,FALSE,"표지";#N/A,#N/A,FALSE,"전제";#N/A,#N/A,FALSE,"손익-자 (2)";#N/A,#N/A,FALSE,"손익-자";#N/A,#N/A,FALSE,"손익-마 (2)";#N/A,#N/A,FALSE,"손익-마";#N/A,#N/A,FALSE,"총손최종"}</definedName>
    <definedName name="________Ａ４">#REF!</definedName>
    <definedName name="________C1244ㅁ1430">#REF!</definedName>
    <definedName name="________C332897">#REF!</definedName>
    <definedName name="________E65954">#REF!</definedName>
    <definedName name="________KD1">#REF!</definedName>
    <definedName name="________kz1" hidden="1">#REF!</definedName>
    <definedName name="________kz2" hidden="1">#REF!</definedName>
    <definedName name="________kz3" hidden="1">#REF!</definedName>
    <definedName name="________kz4" hidden="1">#REF!</definedName>
    <definedName name="________kz5" hidden="1">#REF!</definedName>
    <definedName name="________kz6" hidden="1">#REF!</definedName>
    <definedName name="________kz7" hidden="1">#REF!</definedName>
    <definedName name="________kz8" hidden="1">#REF!</definedName>
    <definedName name="________TRT11" hidden="1">{#N/A,#N/A,FALSE,"표지";#N/A,#N/A,FALSE,"전제";#N/A,#N/A,FALSE,"손익-자 (2)";#N/A,#N/A,FALSE,"손익-자";#N/A,#N/A,FALSE,"손익-마 (2)";#N/A,#N/A,FALSE,"손익-마";#N/A,#N/A,FALSE,"총손최종"}</definedName>
    <definedName name="_______A19999">#REF!</definedName>
    <definedName name="_______A20000">#REF!</definedName>
    <definedName name="_______Ａ４">#REF!</definedName>
    <definedName name="_______A99999">#REF!</definedName>
    <definedName name="_______C1244ㅁ1430">#REF!</definedName>
    <definedName name="_______C332897">#REF!</definedName>
    <definedName name="_______E65954">#REF!</definedName>
    <definedName name="_______KD1">#REF!</definedName>
    <definedName name="_______kz1" hidden="1">#REF!</definedName>
    <definedName name="_______kz2" hidden="1">#REF!</definedName>
    <definedName name="_______kz3" hidden="1">#REF!</definedName>
    <definedName name="_______kz4" hidden="1">#REF!</definedName>
    <definedName name="_______kz5" hidden="1">#REF!</definedName>
    <definedName name="_______kz6" hidden="1">#REF!</definedName>
    <definedName name="_______kz7" hidden="1">#REF!</definedName>
    <definedName name="_______kz8" hidden="1">#REF!</definedName>
    <definedName name="_______TRT11" hidden="1">{#N/A,#N/A,FALSE,"표지";#N/A,#N/A,FALSE,"전제";#N/A,#N/A,FALSE,"손익-자 (2)";#N/A,#N/A,FALSE,"손익-자";#N/A,#N/A,FALSE,"손익-마 (2)";#N/A,#N/A,FALSE,"손익-마";#N/A,#N/A,FALSE,"총손최종"}</definedName>
    <definedName name="_______ZZ16384">#REF!</definedName>
    <definedName name="______Ａ４">#REF!</definedName>
    <definedName name="______C1244ㅁ1430">#REF!</definedName>
    <definedName name="______C332897">#REF!</definedName>
    <definedName name="______E65954">#REF!</definedName>
    <definedName name="______KD1">#REF!</definedName>
    <definedName name="______kz1" hidden="1">#REF!</definedName>
    <definedName name="______kz2" hidden="1">#REF!</definedName>
    <definedName name="______kz3" hidden="1">#REF!</definedName>
    <definedName name="______kz4" hidden="1">#REF!</definedName>
    <definedName name="______kz5" hidden="1">#REF!</definedName>
    <definedName name="______kz6" hidden="1">#REF!</definedName>
    <definedName name="______kz7" hidden="1">#REF!</definedName>
    <definedName name="______kz8" hidden="1">#REF!</definedName>
    <definedName name="______R3_t">#N/A</definedName>
    <definedName name="______R3_t1">#N/A</definedName>
    <definedName name="______TRT11" hidden="1">{#N/A,#N/A,FALSE,"표지";#N/A,#N/A,FALSE,"전제";#N/A,#N/A,FALSE,"손익-자 (2)";#N/A,#N/A,FALSE,"손익-자";#N/A,#N/A,FALSE,"손익-마 (2)";#N/A,#N/A,FALSE,"손익-마";#N/A,#N/A,FALSE,"총손최종"}</definedName>
    <definedName name="_____Ａ４">#REF!</definedName>
    <definedName name="_____A99999">#REF!</definedName>
    <definedName name="_____C1244ㅁ1430">#REF!</definedName>
    <definedName name="_____C332897">#REF!</definedName>
    <definedName name="_____E65954">#REF!</definedName>
    <definedName name="_____KD1">#REF!</definedName>
    <definedName name="_____kz1" hidden="1">#REF!</definedName>
    <definedName name="_____kz2" hidden="1">#REF!</definedName>
    <definedName name="_____kz3" hidden="1">#REF!</definedName>
    <definedName name="_____kz4" hidden="1">#REF!</definedName>
    <definedName name="_____kz5" hidden="1">#REF!</definedName>
    <definedName name="_____kz6" hidden="1">#REF!</definedName>
    <definedName name="_____kz7" hidden="1">#REF!</definedName>
    <definedName name="_____kz8" hidden="1">#REF!</definedName>
    <definedName name="_____TRT11" hidden="1">{#N/A,#N/A,FALSE,"표지";#N/A,#N/A,FALSE,"전제";#N/A,#N/A,FALSE,"손익-자 (2)";#N/A,#N/A,FALSE,"손익-자";#N/A,#N/A,FALSE,"손익-마 (2)";#N/A,#N/A,FALSE,"손익-마";#N/A,#N/A,FALSE,"총손최종"}</definedName>
    <definedName name="_____ZZ16384">#REF!</definedName>
    <definedName name="____A19999">#REF!</definedName>
    <definedName name="____A20000">#REF!</definedName>
    <definedName name="____Ａ４">#REF!</definedName>
    <definedName name="____A99999">#REF!</definedName>
    <definedName name="____C1244ㅁ1430">#REF!</definedName>
    <definedName name="____C332897">#REF!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E65954">#REF!</definedName>
    <definedName name="____GEL10">#REF!</definedName>
    <definedName name="____GG1">#REF!</definedName>
    <definedName name="____GTE10">#REF!</definedName>
    <definedName name="____INT2" hidden="1">{#N/A,#N/A,TRUE,"일정"}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D1">#REF!</definedName>
    <definedName name="____kz1" hidden="1">#REF!</definedName>
    <definedName name="____kz2" hidden="1">#REF!</definedName>
    <definedName name="____kz3" hidden="1">#REF!</definedName>
    <definedName name="____kz4" hidden="1">#REF!</definedName>
    <definedName name="____kz5" hidden="1">#REF!</definedName>
    <definedName name="____kz6" hidden="1">#REF!</definedName>
    <definedName name="____kz7" hidden="1">#REF!</definedName>
    <definedName name="____kz8" hidden="1">#REF!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hidden="1">{#N/A,#N/A,TRUE,"일정"}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RT11" hidden="1">{#N/A,#N/A,FALSE,"표지";#N/A,#N/A,FALSE,"전제";#N/A,#N/A,FALSE,"손익-자 (2)";#N/A,#N/A,FALSE,"손익-자";#N/A,#N/A,FALSE,"손익-마 (2)";#N/A,#N/A,FALSE,"손익-마";#N/A,#N/A,FALSE,"총손최종"}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ZZ16384">#REF!</definedName>
    <definedName name="___A19999">#REF!</definedName>
    <definedName name="___A20000">#REF!</definedName>
    <definedName name="___A3" hidden="1">{#N/A,#N/A,FALSE,"단축1";#N/A,#N/A,FALSE,"단축2";#N/A,#N/A,FALSE,"단축3";#N/A,#N/A,FALSE,"장축";#N/A,#N/A,FALSE,"4WD"}</definedName>
    <definedName name="___Ａ４">#REF!</definedName>
    <definedName name="___A99999">#REF!</definedName>
    <definedName name="___C1244ㅁ1430">#REF!</definedName>
    <definedName name="___C332897">#REF!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E65954">#REF!</definedName>
    <definedName name="___gap1">#REF!,#REF!</definedName>
    <definedName name="___GEL10">#REF!</definedName>
    <definedName name="___GTE10">#REF!</definedName>
    <definedName name="___INT2" hidden="1">{#N/A,#N/A,TRUE,"일정"}</definedName>
    <definedName name="___IRR2" hidden="1">#REF!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D1">#REF!</definedName>
    <definedName name="___kz1" hidden="1">#REF!</definedName>
    <definedName name="___kz2" hidden="1">#REF!</definedName>
    <definedName name="___kz3" hidden="1">#REF!</definedName>
    <definedName name="___kz4" hidden="1">#REF!</definedName>
    <definedName name="___kz5" hidden="1">#REF!</definedName>
    <definedName name="___kz6" hidden="1">#REF!</definedName>
    <definedName name="___kz7" hidden="1">#REF!</definedName>
    <definedName name="___kz8" hidden="1">#REF!</definedName>
    <definedName name="___P2" hidden="1">{#N/A,#N/A,FALSE,"단축1";#N/A,#N/A,FALSE,"단축2";#N/A,#N/A,FALSE,"단축3";#N/A,#N/A,FALSE,"장축";#N/A,#N/A,FALSE,"4WD"}</definedName>
    <definedName name="___PL7" hidden="1">{#N/A,#N/A,TRUE,"대 차 대 조 표"}</definedName>
    <definedName name="_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UM1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ir1" hidden="1">{#N/A,#N/A,TRUE,"일정"}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RT11" hidden="1">{#N/A,#N/A,FALSE,"표지";#N/A,#N/A,FALSE,"전제";#N/A,#N/A,FALSE,"손익-자 (2)";#N/A,#N/A,FALSE,"손익-자";#N/A,#N/A,FALSE,"손익-마 (2)";#N/A,#N/A,FALSE,"손익-마";#N/A,#N/A,FALSE,"총손최종"}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ZZ16384">#REF!</definedName>
    <definedName name="__0">#REF!</definedName>
    <definedName name="__01">#REF!</definedName>
    <definedName name="__02">#REF!</definedName>
    <definedName name="__03">#REF!</definedName>
    <definedName name="__04">#REF!</definedName>
    <definedName name="__05">#REF!</definedName>
    <definedName name="__06">#REF!</definedName>
    <definedName name="__1_?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2_?춑_TOTAL">#REF!</definedName>
    <definedName name="__3_0_0SANGD">#REF!</definedName>
    <definedName name="__4Ａ４_">#REF!</definedName>
    <definedName name="__5SANGD">#REF!</definedName>
    <definedName name="__A19999">#N/A</definedName>
    <definedName name="__A20000">#N/A</definedName>
    <definedName name="__A3" hidden="1">{#N/A,#N/A,FALSE,"단축1";#N/A,#N/A,FALSE,"단축2";#N/A,#N/A,FALSE,"단축3";#N/A,#N/A,FALSE,"장축";#N/A,#N/A,FALSE,"4WD"}</definedName>
    <definedName name="__Ａ４">#REF!</definedName>
    <definedName name="__A99999">#REF!</definedName>
    <definedName name="__aaa2" hidden="1">{#N/A,#N/A,FALSE,"Aging Summary";#N/A,#N/A,FALSE,"Ratio Analysis";#N/A,#N/A,FALSE,"Test 120 Day Accts";#N/A,#N/A,FALSE,"Tickmarks"}</definedName>
    <definedName name="__Bp2" hidden="1">{#N/A,#N/A,FALSE,"BS";#N/A,#N/A,FALSE,"PL";#N/A,#N/A,FALSE,"처분";#N/A,#N/A,FALSE,"현금";#N/A,#N/A,FALSE,"매출";#N/A,#N/A,FALSE,"원가";#N/A,#N/A,FALSE,"경영"}</definedName>
    <definedName name="__C1244ㅁ1430">#REF!</definedName>
    <definedName name="__C332897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mandLoad">TRUE</definedName>
    <definedName name="__DIR1">#REF!</definedName>
    <definedName name="__DIR2">#REF!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E65954">#REF!</definedName>
    <definedName name="__Exp97">#REF!</definedName>
    <definedName name="__FDS_HYPERLINK_TOGGLE_STATE__" hidden="1">"ON"</definedName>
    <definedName name="__FDS_UNIQUE_RANGE_ID_GENERATOR_COUNTER" hidden="1">3</definedName>
    <definedName name="__gap1">#REF!,#REF!</definedName>
    <definedName name="__GEL10">#REF!</definedName>
    <definedName name="__GG1">#REF!</definedName>
    <definedName name="__GTE10">#REF!</definedName>
    <definedName name="__INT2" hidden="1">{#N/A,#N/A,TRUE,"일정"}</definedName>
    <definedName name="__IntlFixup" hidden="1">TRUE</definedName>
    <definedName name="__IRR2" hidden="1">#REF!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D1">#REF!</definedName>
    <definedName name="__kz4" hidden="1">#REF!</definedName>
    <definedName name="__kz5" hidden="1">#REF!</definedName>
    <definedName name="__kz6" hidden="1">#REF!</definedName>
    <definedName name="__kz7" hidden="1">#REF!</definedName>
    <definedName name="__kz8" hidden="1">#REF!</definedName>
    <definedName name="_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p1">#REF!</definedName>
    <definedName name="__P2" hidden="1">{#N/A,#N/A,FALSE,"단축1";#N/A,#N/A,FALSE,"단축2";#N/A,#N/A,FALSE,"단축3";#N/A,#N/A,FALSE,"장축";#N/A,#N/A,FALSE,"4WD"}</definedName>
    <definedName name="__pl0201">#REF!</definedName>
    <definedName name="__pl0202">#REF!</definedName>
    <definedName name="__pl0203">#REF!</definedName>
    <definedName name="__pl0204">#REF!</definedName>
    <definedName name="__pl0205">#REF!</definedName>
    <definedName name="__pl0206">#REF!</definedName>
    <definedName name="__pl0207">#REF!</definedName>
    <definedName name="__pl0208">#REF!</definedName>
    <definedName name="__pl0209">#REF!</definedName>
    <definedName name="__pl0210">#REF!</definedName>
    <definedName name="__PL7" hidden="1">{#N/A,#N/A,TRUE,"대 차 대 조 표"}</definedName>
    <definedName name="__SA1">#REF!</definedName>
    <definedName name="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HR1">#REF!</definedName>
    <definedName name="__SHR2">#REF!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UM1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B111">#REF!</definedName>
    <definedName name="__TB112">#REF!</definedName>
    <definedName name="__TB113">#REF!</definedName>
    <definedName name="__TB114">#REF!</definedName>
    <definedName name="__TB115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124">#REF!</definedName>
    <definedName name="__TB125">#REF!</definedName>
    <definedName name="__TB126">#REF!</definedName>
    <definedName name="__TB131">#REF!</definedName>
    <definedName name="__TB132">#REF!</definedName>
    <definedName name="__TB211">#REF!</definedName>
    <definedName name="__TB212">#REF!</definedName>
    <definedName name="__TB213">#REF!</definedName>
    <definedName name="__TB214">#REF!</definedName>
    <definedName name="__TB215">#REF!</definedName>
    <definedName name="__TB221">#REF!</definedName>
    <definedName name="__TB2210">#REF!</definedName>
    <definedName name="__TB222">#REF!</definedName>
    <definedName name="__TB223">#REF!</definedName>
    <definedName name="__TB224">#REF!</definedName>
    <definedName name="__TB225">#REF!</definedName>
    <definedName name="__TB226">#REF!</definedName>
    <definedName name="__TB227">#REF!</definedName>
    <definedName name="__TB228">#REF!</definedName>
    <definedName name="__TB229">#REF!</definedName>
    <definedName name="__TB311">#REF!</definedName>
    <definedName name="__TB312">#REF!</definedName>
    <definedName name="__TB313">#REF!</definedName>
    <definedName name="__TB314">#REF!</definedName>
    <definedName name="__TB315">#REF!</definedName>
    <definedName name="__TB316">#REF!</definedName>
    <definedName name="__TB317">#REF!</definedName>
    <definedName name="__TB318">#REF!</definedName>
    <definedName name="__TB319">#REF!</definedName>
    <definedName name="__TB321">#REF!</definedName>
    <definedName name="__TB322">#REF!</definedName>
    <definedName name="__TB323">#REF!</definedName>
    <definedName name="__TB324">#REF!</definedName>
    <definedName name="__TB325">#REF!</definedName>
    <definedName name="__TB401">#REF!</definedName>
    <definedName name="__TB402">#REF!</definedName>
    <definedName name="__TB403">#REF!</definedName>
    <definedName name="__TB404">#REF!</definedName>
    <definedName name="__TB405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0">#REF!</definedName>
    <definedName name="__TB511">#REF!</definedName>
    <definedName name="__TB512">#REF!</definedName>
    <definedName name="__TB513">#REF!</definedName>
    <definedName name="__TB601">#REF!</definedName>
    <definedName name="__TB602">#REF!</definedName>
    <definedName name="__TB603">#REF!</definedName>
    <definedName name="__TB604">#REF!</definedName>
    <definedName name="__TB605">#REF!</definedName>
    <definedName name="__TB701">#REF!</definedName>
    <definedName name="__TB811">#REF!</definedName>
    <definedName name="__TB812">#REF!</definedName>
    <definedName name="__TB813">#REF!</definedName>
    <definedName name="__TB814">#REF!</definedName>
    <definedName name="__TB820">#REF!</definedName>
    <definedName name="__TB902">#REF!</definedName>
    <definedName name="__TB903">#REF!</definedName>
    <definedName name="__TB904">#REF!</definedName>
    <definedName name="__TBI1001">#REF!</definedName>
    <definedName name="__TBI1002">#REF!</definedName>
    <definedName name="__TBI1003">#REF!</definedName>
    <definedName name="__TBI1004">#REF!</definedName>
    <definedName name="__TBI1005">#REF!</definedName>
    <definedName name="__TBI101">#REF!</definedName>
    <definedName name="__TBI102">#REF!</definedName>
    <definedName name="__TBI1100">#REF!</definedName>
    <definedName name="__TBI12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3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425">#REF!</definedName>
    <definedName name="__TBI601">#REF!</definedName>
    <definedName name="__TBI602">#REF!</definedName>
    <definedName name="__TBI603">#REF!</definedName>
    <definedName name="__TBI604">#REF!</definedName>
    <definedName name="__TBI605">#REF!</definedName>
    <definedName name="__TBI606">#REF!</definedName>
    <definedName name="__TBI607">#REF!</definedName>
    <definedName name="__TBI608">#REF!</definedName>
    <definedName name="__TBI609">#REF!</definedName>
    <definedName name="__TBI610">#REF!</definedName>
    <definedName name="__TBI611">#REF!</definedName>
    <definedName name="__TBI612">#REF!</definedName>
    <definedName name="__TBI613">#REF!</definedName>
    <definedName name="__TBI614">#REF!</definedName>
    <definedName name="__TBI701">#REF!</definedName>
    <definedName name="__TBI702">#REF!</definedName>
    <definedName name="__TBI703">#REF!</definedName>
    <definedName name="__TBI704">#REF!</definedName>
    <definedName name="__TBI705">#REF!</definedName>
    <definedName name="__TBI706">#REF!</definedName>
    <definedName name="__TBI707">#REF!</definedName>
    <definedName name="__TBI708">#REF!</definedName>
    <definedName name="__TBI709">#REF!</definedName>
    <definedName name="__TBI710">#REF!</definedName>
    <definedName name="__TBI711">#REF!</definedName>
    <definedName name="__TBI712">#REF!</definedName>
    <definedName name="__TBI713">#REF!</definedName>
    <definedName name="__TBI714">#REF!</definedName>
    <definedName name="__TBI715">#REF!</definedName>
    <definedName name="__TBI716">#REF!</definedName>
    <definedName name="__TBI717">#REF!</definedName>
    <definedName name="__TBI718">#REF!</definedName>
    <definedName name="__TBI719">#REF!</definedName>
    <definedName name="__TBI901">#REF!</definedName>
    <definedName name="__TBI902">#REF!</definedName>
    <definedName name="__TBI903">#REF!</definedName>
    <definedName name="__TBI904">#REF!</definedName>
    <definedName name="__TBI905">#REF!</definedName>
    <definedName name="__TBI906">#REF!</definedName>
    <definedName name="__TBI907">#REF!</definedName>
    <definedName name="__Tir1" hidden="1">{#N/A,#N/A,TRUE,"일정"}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wpl2" hidden="1">{#N/A,#N/A,FALSE,"Aging Summary";#N/A,#N/A,FALSE,"Ratio Analysis";#N/A,#N/A,FALSE,"Test 120 Day Accts";#N/A,#N/A,FALSE,"Tickmarks"}</definedName>
    <definedName name="__ZZ16384">#REF!</definedName>
    <definedName name="_1">#REF!</definedName>
    <definedName name="_1_">#REF!</definedName>
    <definedName name="_1_?">#REF!</definedName>
    <definedName name="_1__FDSAUDITLINK__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">#REF!</definedName>
    <definedName name="_10">#REF!</definedName>
    <definedName name="_10_05">#REF!</definedName>
    <definedName name="_101600">#REF!</definedName>
    <definedName name="_101601">#REF!</definedName>
    <definedName name="_10A20000_">#REF!</definedName>
    <definedName name="_10SANGD">#REF!</definedName>
    <definedName name="_10T3_" hidden="1">{#N/A,#N/A,FALSE,"단축1";#N/A,#N/A,FALSE,"단축2";#N/A,#N/A,FALSE,"단축3";#N/A,#N/A,FALSE,"장축";#N/A,#N/A,FALSE,"4WD"}</definedName>
    <definedName name="_11">#REF!</definedName>
    <definedName name="_11_06">#REF!</definedName>
    <definedName name="_11T5_" hidden="1">{#N/A,#N/A,FALSE,"단축1";#N/A,#N/A,FALSE,"단축2";#N/A,#N/A,FALSE,"단축3";#N/A,#N/A,FALSE,"장축";#N/A,#N/A,FALSE,"4WD"}</definedName>
    <definedName name="_12">#REF!</definedName>
    <definedName name="_12_0ㅁ">#REF!</definedName>
    <definedName name="_12_7_0__123Graph_LB" hidden="1">#REF!</definedName>
    <definedName name="_13_0_0SANGD">#REF!</definedName>
    <definedName name="_13_0bcrclcl100rtr">#REF!</definedName>
    <definedName name="_13____S" hidden="1">#REF!</definedName>
    <definedName name="_135_0Crite">#REF!</definedName>
    <definedName name="_14_0Crite">#REF!</definedName>
    <definedName name="_147_0계기">#REF!</definedName>
    <definedName name="_149_0계기en">#REF!</definedName>
    <definedName name="_15_0Extr">#REF!</definedName>
    <definedName name="_15__0_S" hidden="1">#REF!</definedName>
    <definedName name="_151_0누계기">#REF!</definedName>
    <definedName name="_153_0누계생">#REF!</definedName>
    <definedName name="_155_0누실마">#REF!</definedName>
    <definedName name="_15672asdf">#REF!</definedName>
    <definedName name="_157_0누실적">#REF!</definedName>
    <definedName name="_159_0실기버">#REF!</definedName>
    <definedName name="_16_?춑_TOTAL">#REF!</definedName>
    <definedName name="_16_9_0__123Grap" hidden="1">#REF!</definedName>
    <definedName name="_161_0실적마">#REF!</definedName>
    <definedName name="_163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5F_0Datab">#REF!</definedName>
    <definedName name="_167n_0Extr">#REF!</definedName>
    <definedName name="_16A1_">#REF!</definedName>
    <definedName name="_17A100_">#REF!</definedName>
    <definedName name="_18A101_">#REF!</definedName>
    <definedName name="_1999_01_29">#REF!</definedName>
    <definedName name="_19A20000_">#REF!</definedName>
    <definedName name="_1A19999_">#REF!</definedName>
    <definedName name="_1Bp2_" hidden="1">{#N/A,#N/A,FALSE,"BS";#N/A,#N/A,FALSE,"PL";#N/A,#N/A,FALSE,"처분";#N/A,#N/A,FALSE,"현금";#N/A,#N/A,FALSE,"매출";#N/A,#N/A,FALSE,"원가";#N/A,#N/A,FALSE,"경영"}</definedName>
    <definedName name="_1st_Yr_Turn_over_rate">#REF!</definedName>
    <definedName name="_1st_Yr_V">#REF!</definedName>
    <definedName name="_1st_Yr_Vacancy">#REF!</definedName>
    <definedName name="_2">#REF!</definedName>
    <definedName name="_2_">#REF!</definedName>
    <definedName name="_2_?">#REF!</definedName>
    <definedName name="_2_?춑_TOTAL">#REF!</definedName>
    <definedName name="_2__FDSAUDITLINK__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bcrclcl10">#REF!</definedName>
    <definedName name="_20_9_0__123Graph_LB" hidden="1">#REF!</definedName>
    <definedName name="_20A25000_">#REF!</definedName>
    <definedName name="_21Ａ４_">#REF!</definedName>
    <definedName name="_2311">#REF!</definedName>
    <definedName name="_2331">#REF!</definedName>
    <definedName name="_23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4_0_0SANGD">#REF!</definedName>
    <definedName name="_24p1_">#REF!</definedName>
    <definedName name="_2512">#REF!</definedName>
    <definedName name="_25120">#REF!</definedName>
    <definedName name="_25160">#REF!</definedName>
    <definedName name="_26A3_" hidden="1">{#N/A,#N/A,FALSE,"단축1";#N/A,#N/A,FALSE,"단축2";#N/A,#N/A,FALSE,"단축3";#N/A,#N/A,FALSE,"장축";#N/A,#N/A,FALSE,"4WD"}</definedName>
    <definedName name="_26T2_" hidden="1">{#N/A,#N/A,FALSE,"단축1";#N/A,#N/A,FALSE,"단축2";#N/A,#N/A,FALSE,"단축3";#N/A,#N/A,FALSE,"장축";#N/A,#N/A,FALSE,"4WD"}</definedName>
    <definedName name="_28aa1_" hidden="1">{#N/A,#N/A,FALSE,"Aging Summary";#N/A,#N/A,FALSE,"Ratio Analysis";#N/A,#N/A,FALSE,"Test 120 Day Accts";#N/A,#N/A,FALSE,"Tickmarks"}</definedName>
    <definedName name="_28T3_" hidden="1">{#N/A,#N/A,FALSE,"단축1";#N/A,#N/A,FALSE,"단축2";#N/A,#N/A,FALSE,"단축3";#N/A,#N/A,FALSE,"장축";#N/A,#N/A,FALSE,"4WD"}</definedName>
    <definedName name="_29Bp2_" hidden="1">{#N/A,#N/A,FALSE,"BS";#N/A,#N/A,FALSE,"PL";#N/A,#N/A,FALSE,"처분";#N/A,#N/A,FALSE,"현금";#N/A,#N/A,FALSE,"매출";#N/A,#N/A,FALSE,"원가";#N/A,#N/A,FALSE,"경영"}</definedName>
    <definedName name="_29uÞOUðuueßAÞAIee_YA">#REF!</definedName>
    <definedName name="_2A20000_">#REF!</definedName>
    <definedName name="_2FM2_" localSheetId="1">BlankMacro1</definedName>
    <definedName name="_2FM2_" localSheetId="0">BlankMacro1</definedName>
    <definedName name="_2FM2_">BlankMacro1</definedName>
    <definedName name="_2MatInverse" hidden="1">#REF!</definedName>
    <definedName name="_3">#REF!</definedName>
    <definedName name="_3_">#REF!</definedName>
    <definedName name="_3_?">#REF!</definedName>
    <definedName name="_3_?춮tb">#REF!</definedName>
    <definedName name="_3_0_0SANGD">#REF!</definedName>
    <definedName name="_30__0_S">#REF!</definedName>
    <definedName name="_32Ａ４_">#REF!</definedName>
    <definedName name="_3311">#REF!</definedName>
    <definedName name="_3331">#REF!</definedName>
    <definedName name="_33310">#REF!</definedName>
    <definedName name="_35P2_" hidden="1">{#N/A,#N/A,FALSE,"단축1";#N/A,#N/A,FALSE,"단축2";#N/A,#N/A,FALSE,"단축3";#N/A,#N/A,FALSE,"장축";#N/A,#N/A,FALSE,"4WD"}</definedName>
    <definedName name="_3Ａ４_">#REF!</definedName>
    <definedName name="_4">#REF!</definedName>
    <definedName name="_4_">#REF!</definedName>
    <definedName name="_4_?춑_TOTAL">#REF!</definedName>
    <definedName name="_4_0">#REF!</definedName>
    <definedName name="_4_0_0_MatInverse" hidden="1">#REF!</definedName>
    <definedName name="_4_0_0SANGD">#REF!</definedName>
    <definedName name="_4_0실마">#REF!</definedName>
    <definedName name="_4_5_0__123Grap" hidden="1">#REF!</definedName>
    <definedName name="_40SANGD">#REF!</definedName>
    <definedName name="_43T2_" hidden="1">{#N/A,#N/A,FALSE,"단축1";#N/A,#N/A,FALSE,"단축2";#N/A,#N/A,FALSE,"단축3";#N/A,#N/A,FALSE,"장축";#N/A,#N/A,FALSE,"4WD"}</definedName>
    <definedName name="_44">#REF!</definedName>
    <definedName name="_44T3_" hidden="1">{#N/A,#N/A,FALSE,"단축1";#N/A,#N/A,FALSE,"단축2";#N/A,#N/A,FALSE,"단축3";#N/A,#N/A,FALSE,"장축";#N/A,#N/A,FALSE,"4WD"}</definedName>
    <definedName name="_45T5_" hidden="1">{#N/A,#N/A,FALSE,"단축1";#N/A,#N/A,FALSE,"단축2";#N/A,#N/A,FALSE,"단축3";#N/A,#N/A,FALSE,"장축";#N/A,#N/A,FALSE,"4WD"}</definedName>
    <definedName name="_47____S" hidden="1">#REF!</definedName>
    <definedName name="_48__0_S" hidden="1">#REF!</definedName>
    <definedName name="_4Ａ４_">#REF!</definedName>
    <definedName name="_4SANGD">#REF!</definedName>
    <definedName name="_5">#REF!</definedName>
    <definedName name="_5_">#REF!</definedName>
    <definedName name="_5__123Graph_A차트_1" hidden="1">#REF!</definedName>
    <definedName name="_5_0">#REF!</definedName>
    <definedName name="_5A19999_">#REF!</definedName>
    <definedName name="_5A3_" hidden="1">{#N/A,#N/A,FALSE,"단축1";#N/A,#N/A,FALSE,"단축2";#N/A,#N/A,FALSE,"단축3";#N/A,#N/A,FALSE,"장축";#N/A,#N/A,FALSE,"4WD"}</definedName>
    <definedName name="_5Ａ４_">#REF!</definedName>
    <definedName name="_5SANGD">#REF!</definedName>
    <definedName name="_6">#REF!</definedName>
    <definedName name="_6_">#REF!</definedName>
    <definedName name="_6_?춑_TOTAL">#REF!</definedName>
    <definedName name="_6__123Graph_B차트_1" hidden="1">#REF!</definedName>
    <definedName name="_6_0_0SANGD">#REF!</definedName>
    <definedName name="_6_01">#REF!</definedName>
    <definedName name="_6_0실적">#REF!</definedName>
    <definedName name="_6Ａ４_">#REF!</definedName>
    <definedName name="_6aa1_" hidden="1">{#N/A,#N/A,FALSE,"Aging Summary";#N/A,#N/A,FALSE,"Ratio Analysis";#N/A,#N/A,FALSE,"Test 120 Day Accts";#N/A,#N/A,FALSE,"Tickmarks"}</definedName>
    <definedName name="_6SANGD">#REF!</definedName>
    <definedName name="_7">#REF!</definedName>
    <definedName name="_7__123Graph_C차트_1" hidden="1">#REF!</definedName>
    <definedName name="_7_02">#REF!</definedName>
    <definedName name="_77">#REF!</definedName>
    <definedName name="_7Bp2_" hidden="1">{#N/A,#N/A,FALSE,"BS";#N/A,#N/A,FALSE,"PL";#N/A,#N/A,FALSE,"처분";#N/A,#N/A,FALSE,"현금";#N/A,#N/A,FALSE,"매출";#N/A,#N/A,FALSE,"원가";#N/A,#N/A,FALSE,"경영"}</definedName>
    <definedName name="_8">#REF!</definedName>
    <definedName name="_8_?">#REF!</definedName>
    <definedName name="_8__123Graph_X차트_1" hidden="1">#REF!</definedName>
    <definedName name="_8_03">#REF!</definedName>
    <definedName name="_8_7_0__123Grap" hidden="1">#REF!</definedName>
    <definedName name="_8Ａ４_">#REF!</definedName>
    <definedName name="_8P2_" hidden="1">{#N/A,#N/A,FALSE,"단축1";#N/A,#N/A,FALSE,"단축2";#N/A,#N/A,FALSE,"단축3";#N/A,#N/A,FALSE,"장축";#N/A,#N/A,FALSE,"4WD"}</definedName>
    <definedName name="_8SANGD">#REF!</definedName>
    <definedName name="_9">#REF!</definedName>
    <definedName name="_9_04">#REF!</definedName>
    <definedName name="_90045769">#REF!</definedName>
    <definedName name="_96BUD">#REF!</definedName>
    <definedName name="_9T2_" hidden="1">{#N/A,#N/A,FALSE,"단축1";#N/A,#N/A,FALSE,"단축2";#N/A,#N/A,FALSE,"단축3";#N/A,#N/A,FALSE,"장축";#N/A,#N/A,FALSE,"4WD"}</definedName>
    <definedName name="_A">#REF!</definedName>
    <definedName name="_A1">#REF!</definedName>
    <definedName name="_A100">#REF!</definedName>
    <definedName name="_A101">#REF!</definedName>
    <definedName name="_A19999">#REF!</definedName>
    <definedName name="_A20000">#REF!</definedName>
    <definedName name="_A25000">#REF!</definedName>
    <definedName name="_A3" hidden="1">{#N/A,#N/A,FALSE,"단축1";#N/A,#N/A,FALSE,"단축2";#N/A,#N/A,FALSE,"단축3";#N/A,#N/A,FALSE,"장축";#N/A,#N/A,FALSE,"4WD"}</definedName>
    <definedName name="_Ａ４">#REF!</definedName>
    <definedName name="_Ａ４1">#N/A</definedName>
    <definedName name="_Ａ４2">#REF!</definedName>
    <definedName name="_Ａ４3">#REF!</definedName>
    <definedName name="_A99999">#REF!</definedName>
    <definedName name="_aa1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active_nylon_satin">#REF!</definedName>
    <definedName name="_active_nylon_taffeta__">#REF!</definedName>
    <definedName name="_active_poplin">#REF!</definedName>
    <definedName name="_AU100000">#REF!</definedName>
    <definedName name="_AU66000">#REF!</definedName>
    <definedName name="_AU69999">#REF!</definedName>
    <definedName name="_AU70000">#REF!</definedName>
    <definedName name="_aZ">#N/A</definedName>
    <definedName name="_basic_ctn_twill">#REF!</definedName>
    <definedName name="_bdm.394f88709a624112bb885dcdf9bb9c89.edm" hidden="1">#REF!</definedName>
    <definedName name="_bdm.395863AB53644336B2056A5F6DA9A188.edm" hidden="1">#REF!</definedName>
    <definedName name="_bdm.4CDCAF1D094941E5A339B526095ADADE.edm" hidden="1">#REF!</definedName>
    <definedName name="_bdm.6015505EF38F4EA9A7A64CA91A7AC823.edm" hidden="1">#REF!</definedName>
    <definedName name="_bdm.65A2DF797C9F439DA6CD915BD1D09038.edm" hidden="1">#REF!</definedName>
    <definedName name="_bdm.672ED8E030734C3691D809C0CF43A024.edm" hidden="1">#REF!</definedName>
    <definedName name="_bdm.75DBE4F245204851BA3A62A106421643.edm" hidden="1">#REF!</definedName>
    <definedName name="_bdm.D23A8C01A3644FD396E2171ACDAE427A.edm" hidden="1">#REF!</definedName>
    <definedName name="_Bondex_Stretch">#REF!</definedName>
    <definedName name="_Bp2" hidden="1">{#N/A,#N/A,FALSE,"BS";#N/A,#N/A,FALSE,"PL";#N/A,#N/A,FALSE,"처분";#N/A,#N/A,FALSE,"현금";#N/A,#N/A,FALSE,"매출";#N/A,#N/A,FALSE,"원가";#N/A,#N/A,FALSE,"경영"}</definedName>
    <definedName name="_C1244ㅁ1430">#REF!</definedName>
    <definedName name="_C332897">#REF!</definedName>
    <definedName name="_clean_denim">#REF!</definedName>
    <definedName name="_color_denim">#REF!</definedName>
    <definedName name="_Commander">#REF!</definedName>
    <definedName name="_compact_wool_blend_o_w">#REF!</definedName>
    <definedName name="_cracked___distressed_leather">#REF!</definedName>
    <definedName name="_Crossroads">#REF!</definedName>
    <definedName name="_ctn_sateen">#REF!</definedName>
    <definedName name="_Dark_blue_denim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R1">#REF!</definedName>
    <definedName name="_DIR2">#REF!</definedName>
    <definedName name="_Dist_Bin" hidden="1">#REF!</definedName>
    <definedName name="_Dist_Bin2" hidden="1">#REF!</definedName>
    <definedName name="_Dist_Values" hidden="1">#REF!</definedName>
    <definedName name="_Dist_Values2" hidden="1">#REF!</definedName>
    <definedName name="_dressy_satin">#REF!</definedName>
    <definedName name="_E65954">#REF!</definedName>
    <definedName name="_Exp97">#REF!</definedName>
    <definedName name="_Fill" hidden="1">#REF!</definedName>
    <definedName name="_Fill2" hidden="1">#REF!</definedName>
    <definedName name="_Fill3" hidden="1">#REF!</definedName>
    <definedName name="_xlnm._FilterDatabase" hidden="1">#REF!</definedName>
    <definedName name="_fine_nylon_faille">#REF!</definedName>
    <definedName name="_flower_print_cord">#REF!</definedName>
    <definedName name="_gap1">#REF!,#REF!</definedName>
    <definedName name="_GEL10">#REF!</definedName>
    <definedName name="_GG1">#REF!</definedName>
    <definedName name="_gold_stnd_ctn_poplin">#REF!</definedName>
    <definedName name="_GTE10">#REF!</definedName>
    <definedName name="_Harrison">#REF!</definedName>
    <definedName name="_heavy_poly_microfiber_">#REF!</definedName>
    <definedName name="_Huh?" hidden="1">#REF!</definedName>
    <definedName name="_indigo__yarn_dyed_stripe">#REF!</definedName>
    <definedName name="_INT2" hidden="1">{#N/A,#N/A,TRUE,"일정"}</definedName>
    <definedName name="_IRR2" hidden="1">#REF!</definedName>
    <definedName name="_je2">#REF!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D1">#REF!</definedName>
    <definedName name="_Key1" hidden="1">#REF!</definedName>
    <definedName name="_Key11" hidden="1">#REF!</definedName>
    <definedName name="_Key2" hidden="1">#REF!</definedName>
    <definedName name="_Key22" hidden="1">#REF!</definedName>
    <definedName name="_Key3" hidden="1">#REF!</definedName>
    <definedName name="_kz4" hidden="1">#REF!</definedName>
    <definedName name="_kz5" hidden="1">#REF!</definedName>
    <definedName name="_kz6" hidden="1">#REF!</definedName>
    <definedName name="_kz7" hidden="1">#REF!</definedName>
    <definedName name="_kz8" hidden="1">#REF!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ight_ripstop">#REF!</definedName>
    <definedName name="_LNF1">OFFSET(#REF!,0,0,COUNTA(#REF!)-1,1)</definedName>
    <definedName name="_loose_outerwear_poplin">#REF!</definedName>
    <definedName name="_lskfj" hidden="1">#REF!</definedName>
    <definedName name="_lt_wt_ctn_moleskin">#REF!</definedName>
    <definedName name="_MatInverse_In" hidden="1">#REF!</definedName>
    <definedName name="_MatInverse_Out" hidden="1">#REF!</definedName>
    <definedName name="_multi_count_warp_denim">#REF!</definedName>
    <definedName name="_multicount_warp_denim">#REF!</definedName>
    <definedName name="_novelty_ctn_twill">#REF!</definedName>
    <definedName name="_nylon_faille___coated">#REF!</definedName>
    <definedName name="_nylon_taffeta">#REF!</definedName>
    <definedName name="_opt1">#REF!</definedName>
    <definedName name="_opt10">#REF!</definedName>
    <definedName name="_opt11">#REF!</definedName>
    <definedName name="_opt12">#REF!</definedName>
    <definedName name="_opt13">#REF!</definedName>
    <definedName name="_opt14">#REF!</definedName>
    <definedName name="_opt15">#REF!</definedName>
    <definedName name="_opt16">#REF!</definedName>
    <definedName name="_opt17">#REF!</definedName>
    <definedName name="_opt18">#REF!</definedName>
    <definedName name="_opt19">#REF!</definedName>
    <definedName name="_opt2">#REF!</definedName>
    <definedName name="_opt20">#REF!</definedName>
    <definedName name="_opt21">#REF!</definedName>
    <definedName name="_OPT22">#REF!</definedName>
    <definedName name="_opt23">#REF!</definedName>
    <definedName name="_opt3">#REF!</definedName>
    <definedName name="_opt4">#REF!</definedName>
    <definedName name="_opt5">#REF!</definedName>
    <definedName name="_opt6">#REF!</definedName>
    <definedName name="_opt7">#REF!</definedName>
    <definedName name="_opt8">#REF!</definedName>
    <definedName name="_opt9">#REF!</definedName>
    <definedName name="_Order1" hidden="1">#REF!</definedName>
    <definedName name="_Order1_1" hidden="1">0</definedName>
    <definedName name="_Order2" hidden="1">255</definedName>
    <definedName name="_Order2_1" hidden="1">0</definedName>
    <definedName name="_P2" hidden="1">{#N/A,#N/A,FALSE,"단축1";#N/A,#N/A,FALSE,"단축2";#N/A,#N/A,FALSE,"단축3";#N/A,#N/A,FALSE,"장축";#N/A,#N/A,FALSE,"4WD"}</definedName>
    <definedName name="_Parse_In" hidden="1">#REF!</definedName>
    <definedName name="_Parse_Out" hidden="1">#REF!</definedName>
    <definedName name="_peach_ctn_satin_shirting">#REF!</definedName>
    <definedName name="_pigment_coated_face_nylon_oxford">#REF!</definedName>
    <definedName name="_pl0201">#REF!</definedName>
    <definedName name="_pl0202">#REF!</definedName>
    <definedName name="_pl0203">#REF!</definedName>
    <definedName name="_pl0204">#REF!</definedName>
    <definedName name="_pl0205">#REF!</definedName>
    <definedName name="_pl0206">#REF!</definedName>
    <definedName name="_pl0207">#REF!</definedName>
    <definedName name="_pl0208">#REF!</definedName>
    <definedName name="_pl0209">#REF!</definedName>
    <definedName name="_pl0210">#REF!</definedName>
    <definedName name="_PL7" hidden="1">{#N/A,#N/A,TRUE,"대 차 대 조 표"}</definedName>
    <definedName name="_PL7_1" hidden="1">{#N/A,#N/A,TRUE,"대 차 대 조 표"}</definedName>
    <definedName name="_PM1">#REF!</definedName>
    <definedName name="_PnP1">#REF!</definedName>
    <definedName name="_PNT1">#REF!</definedName>
    <definedName name="_PNT2">#REF!</definedName>
    <definedName name="_PNT3">#N/A</definedName>
    <definedName name="_PNT4">#N/A</definedName>
    <definedName name="_q1" hidden="1">#REF!</definedName>
    <definedName name="_q2" hidden="1">#REF!</definedName>
    <definedName name="_q3" hidden="1">#REF!</definedName>
    <definedName name="_q4" hidden="1">#REF!</definedName>
    <definedName name="_real_suede">#REF!</definedName>
    <definedName name="_Regression_Int" hidden="1">1</definedName>
    <definedName name="_Regression_Y" hidden="1">#REF!</definedName>
    <definedName name="_SA1">#REF!</definedName>
    <definedName name="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M02">#REF!</definedName>
    <definedName name="_shiney_taffeta__core_">#REF!</definedName>
    <definedName name="_SHR1">#REF!</definedName>
    <definedName name="_SHR2">#REF!</definedName>
    <definedName name="_solid_ctn_poplin">#REF!</definedName>
    <definedName name="_Sort" hidden="1">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TJ2">#REF!</definedName>
    <definedName name="_stretch_cotton_cord">#REF!</definedName>
    <definedName name="_stretch_rht">#REF!</definedName>
    <definedName name="_SUM1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a_tined_chambray">#REF!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TXD1">#REF!</definedName>
    <definedName name="_uncut_cord">#REF!</definedName>
    <definedName name="_VOC2" hidden="1">255</definedName>
    <definedName name="_wide_wale_cord">#REF!</definedName>
    <definedName name="_wool_blend_skirt">#REF!</definedName>
    <definedName name="_wool_coating___solid">#REF!</definedName>
    <definedName name="_wpl2" hidden="1">{#N/A,#N/A,FALSE,"Aging Summary";#N/A,#N/A,FALSE,"Ratio Analysis";#N/A,#N/A,FALSE,"Test 120 Day Accts";#N/A,#N/A,FALSE,"Tickmarks"}</definedName>
    <definedName name="_y_d_wool_twill_coating">#REF!</definedName>
    <definedName name="_y_dye_cording_multi_stripe">#REF!</definedName>
    <definedName name="_YEAR">#REF!</definedName>
    <definedName name="_z123">#REF!</definedName>
    <definedName name="_ZZ16384">#REF!</definedName>
    <definedName name="_첨부">#REF!</definedName>
    <definedName name="´cAE°eE¹" hidden="1">#REF!</definedName>
    <definedName name="￠￥cAE¡ÆeEⓒo" hidden="1">#REF!</definedName>
    <definedName name="¤A¤A">#REF!</definedName>
    <definedName name="¤μ¤μ">#REF!</definedName>
    <definedName name="￥">#REF!</definedName>
    <definedName name="\">#REF!</definedName>
    <definedName name="\0">#N/A</definedName>
    <definedName name="\1">#N/A</definedName>
    <definedName name="\2">#N/A</definedName>
    <definedName name="\a">#N/A</definedName>
    <definedName name="\b">#N/A</definedName>
    <definedName name="\c">#REF!</definedName>
    <definedName name="\d">#REF!</definedName>
    <definedName name="\E">#REF!</definedName>
    <definedName name="\f">#N/A</definedName>
    <definedName name="\g">#REF!</definedName>
    <definedName name="\h">#REF!</definedName>
    <definedName name="\i">#N/A</definedName>
    <definedName name="\j">#N/A</definedName>
    <definedName name="\k">#N/A</definedName>
    <definedName name="\L">#REF!</definedName>
    <definedName name="\m">#N/A</definedName>
    <definedName name="\n">#REF!</definedName>
    <definedName name="\o">#N/A</definedName>
    <definedName name="\P">#REF!</definedName>
    <definedName name="\q">#REF!</definedName>
    <definedName name="\r">#REF!</definedName>
    <definedName name="\S">#REF!</definedName>
    <definedName name="\t">#N/A</definedName>
    <definedName name="\u">#REF!</definedName>
    <definedName name="\v">#N/A</definedName>
    <definedName name="\W">#REF!</definedName>
    <definedName name="\X">#REF!</definedName>
    <definedName name="\Y">#REF!</definedName>
    <definedName name="\z">#REF!</definedName>
    <definedName name="√">"SQRT"</definedName>
    <definedName name="●_기존_체계">#REF!</definedName>
    <definedName name="●_판매관리비_및_영업이익_2002년">#REF!</definedName>
    <definedName name="↑">#REF!</definedName>
    <definedName name="°a°u">#REF!</definedName>
    <definedName name="※_BGA_직접재료비_변동추이">#REF!</definedName>
    <definedName name="※_추후_NAVA__PROJECT는__부품_">#REF!</definedName>
    <definedName name="¹ß">#REF!</definedName>
    <definedName name="¹Uº¸">#REF!</definedName>
    <definedName name="³²¼R">#REF!</definedName>
    <definedName name="A">#REF!</definedName>
    <definedName name="a_1" hidden="1">{"MonthlyRentRoll",#N/A,FALSE,"RentRoll"}</definedName>
    <definedName name="A_123">#REF!,#REF!,#REF!</definedName>
    <definedName name="a_123_error_10">#REF!</definedName>
    <definedName name="a_123_error_2">#REF!</definedName>
    <definedName name="a_123_error_4">#REF!,#REF!,#REF!,#REF!</definedName>
    <definedName name="a_123_error_5">#REF!</definedName>
    <definedName name="a_123_error_7">#REF!</definedName>
    <definedName name="a_123_error_8">#REF!</definedName>
    <definedName name="a_123_error_9">#REF!</definedName>
    <definedName name="A_I">#REF!</definedName>
    <definedName name="A_I1">#REF!</definedName>
    <definedName name="A_I2">#REF!</definedName>
    <definedName name="A_P">#REF!</definedName>
    <definedName name="a_z_error_1">#REF!,#REF!,#REF!,#REF!,#REF!,#REF!</definedName>
    <definedName name="a_z_error_10">#REF!,#REF!,#REF!,#REF!,#REF!,#REF!</definedName>
    <definedName name="a_z_error_2">#REF!</definedName>
    <definedName name="a_z_error_5">#REF!,#REF!,#REF!,#REF!,#REF!,#REF!,#REF!,#REF!,#REF!,#REF!,#REF!,#REF!,#REF!,#REF!,#REF!,#REF!,#REF!,#REF!,#REF!,#REF!,#REF!,#REF!,#REF!,#REF!,#REF!,#REF!,#REF!,#REF!,#REF!,#REF!,#REF!,#REF!,#REF!</definedName>
    <definedName name="a_z_error_7">#REF!</definedName>
    <definedName name="a_z_error_8">#REF!</definedName>
    <definedName name="a_z_error_9">#REF!,#REF!,#REF!,#REF!,#REF!,#REF!</definedName>
    <definedName name="A¶E¸AOE­¸e">#REF!</definedName>
    <definedName name="A1_00근거" hidden="1">{#N/A,#N/A,FALSE,"단축1";#N/A,#N/A,FALSE,"단축2";#N/A,#N/A,FALSE,"단축3";#N/A,#N/A,FALSE,"장축";#N/A,#N/A,FALSE,"4WD"}</definedName>
    <definedName name="a2_">#REF!</definedName>
    <definedName name="AA">#REF!</definedName>
    <definedName name="AAA">#REF!</definedName>
    <definedName name="aaa_1" hidden="1">{"MonthlyRentRoll",#N/A,FALSE,"RentRoll"}</definedName>
    <definedName name="AAA_DOCTOPS" hidden="1">"AAA_SET"</definedName>
    <definedName name="AAA_duser" hidden="1">"OFF"</definedName>
    <definedName name="AAAA" hidden="1">{#N/A,#N/A,FALSE,"단축1";#N/A,#N/A,FALSE,"단축2";#N/A,#N/A,FALSE,"단축3";#N/A,#N/A,FALSE,"장축";#N/A,#N/A,FALSE,"4WD"}</definedName>
    <definedName name="AAAAA">#REF!</definedName>
    <definedName name="aaaaa_1" hidden="1">{"p",#N/A,FALSE,"Sheet1";"p 2",#N/A,FALSE,"Sheet1";"p 3",#N/A,FALSE,"Sheet1"}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>#REF!</definedName>
    <definedName name="AAAAAAAA">#REF!</definedName>
    <definedName name="AAAAAAAAAA">#REF!</definedName>
    <definedName name="aaaaaaaaaaa" hidden="1">{#N/A,#N/A,FALSE,"Aging Summary";#N/A,#N/A,FALSE,"Ratio Analysis";#N/A,#N/A,FALSE,"Test 120 Day Accts";#N/A,#N/A,FALSE,"Tickmarks"}</definedName>
    <definedName name="aaaaaaaaaaaaa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AAAAAAAAAAAAAAAAAAAAAAAA" hidden="1">#REF!</definedName>
    <definedName name="aaaaaaaaaaaaaaaaaaaaaaaaaaaaaaaaaaaaaaaaaaaaaa">#REF!</definedName>
    <definedName name="AAB_Addin5" hidden="1">"AAB_Description for addin 5,Description for addin 5,Description for addin 5,Description for addin 5,Description for addin 5,Description for addin 5"</definedName>
    <definedName name="AAL">#REF!</definedName>
    <definedName name="AAP">#REF!</definedName>
    <definedName name="AASSQQ" hidden="1">#REF!</definedName>
    <definedName name="aassss">#REF!</definedName>
    <definedName name="AB">#REF!</definedName>
    <definedName name="abbreviations" hidden="1">{"'매출'!$A$1:$I$22"}</definedName>
    <definedName name="ABC" hidden="1">{#N/A,#N/A,FALSE,"3가";#N/A,#N/A,FALSE,"3나";#N/A,#N/A,FALSE,"3다"}</definedName>
    <definedName name="abcc" hidden="1">{#N/A,#N/A,FALSE,"1.CRITERIA";#N/A,#N/A,FALSE,"2.IS";#N/A,#N/A,FALSE,"3.BS";#N/A,#N/A,FALSE,"4.PER PL";#N/A,#N/A,FALSE,"5.INVESTMENT";#N/A,#N/A,FALSE,"6.공문";#N/A,#N/A,FALSE,"7.netinvest"}</definedName>
    <definedName name="abcd">#REF!</definedName>
    <definedName name="ABJ">#N/A</definedName>
    <definedName name="ABL">#REF!</definedName>
    <definedName name="ABP">#REF!</definedName>
    <definedName name="abs">#REF!</definedName>
    <definedName name="AC">#REF!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n1">#REF!</definedName>
    <definedName name="ACCR1">#REF!</definedName>
    <definedName name="accruals">#REF!</definedName>
    <definedName name="ACL">#REF!</definedName>
    <definedName name="ACON" hidden="1">{#N/A,#N/A,TRUE,"일정"}</definedName>
    <definedName name="ACP">#REF!</definedName>
    <definedName name="Acquiror">#REF!</definedName>
    <definedName name="Acquisition_Cost">#REF!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SPEC">#REF!</definedName>
    <definedName name="ACTWK">#REF!</definedName>
    <definedName name="ACY_M1">#REF!</definedName>
    <definedName name="ACY_M2">#REF!</definedName>
    <definedName name="ACY_P1">#REF!</definedName>
    <definedName name="ACY_P10">#REF!</definedName>
    <definedName name="ACY_P2">#REF!</definedName>
    <definedName name="ACY_P3">#REF!</definedName>
    <definedName name="ACY_P4">#REF!</definedName>
    <definedName name="ACY_P5">#REF!</definedName>
    <definedName name="ACY_P6">#REF!</definedName>
    <definedName name="ACY_P7">#REF!</definedName>
    <definedName name="ACY_P8">#REF!</definedName>
    <definedName name="ACY_P9">#REF!</definedName>
    <definedName name="AD">#REF!</definedName>
    <definedName name="Add_AcqCost">#REF!</definedName>
    <definedName name="Add_ExitCost">#REF!</definedName>
    <definedName name="Add_HedgeCost">#REF!</definedName>
    <definedName name="Add_OperatingExp">#REF!</definedName>
    <definedName name="Add_OtherInc">#REF!</definedName>
    <definedName name="Add_RentalInc">#REF!</definedName>
    <definedName name="adf">#REF!</definedName>
    <definedName name="adf_1" hidden="1">{"MonthlyRentRoll",#N/A,FALSE,"RentRoll"}</definedName>
    <definedName name="adf3qrqer" hidden="1">{#N/A,#N/A,FALSE,"Aging Summary";#N/A,#N/A,FALSE,"Ratio Analysis";#N/A,#N/A,FALSE,"Test 120 Day Accts";#N/A,#N/A,FALSE,"Tickmarks"}</definedName>
    <definedName name="adj">#REF!</definedName>
    <definedName name="ADJ_SHARE">#REF!</definedName>
    <definedName name="ADL">#REF!</definedName>
    <definedName name="ADLJFJDJ" hidden="1">{#N/A,#N/A,TRUE,"일정"}</definedName>
    <definedName name="ADP">#REF!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DSF" hidden="1">{#N/A,#N/A,TRUE,"매출진척-1";#N/A,#N/A,TRUE,"매출진척-2";#N/A,#N/A,TRUE,"제품실적";#N/A,#N/A,TRUE,"RAC";#N/A,#N/A,TRUE,"PAC ";#N/A,#N/A,TRUE,"재고현황";#N/A,#N/A,TRUE,"공지사항"}</definedName>
    <definedName name="ADVANCE">#REF!</definedName>
    <definedName name="aer">#REF!</definedName>
    <definedName name="afdasfa" hidden="1">{#N/A,#N/A,TRUE,"Assumptions";#N/A,#N/A,TRUE,"Sources of Revenue";#N/A,#N/A,TRUE,"P&amp;L";#N/A,#N/A,TRUE,"Bal. Sheet";#N/A,#N/A,TRUE,"Rights Issue &amp; X Adjustment";#N/A,#N/A,TRUE,"Transaction Model"}</definedName>
    <definedName name="afdsasfafd" hidden="1">{#N/A,#N/A,TRUE,"Assumptions";#N/A,#N/A,TRUE,"Sources of Revenue";#N/A,#N/A,TRUE,"P&amp;L";#N/A,#N/A,TRUE,"Bal. Sheet";#N/A,#N/A,TRUE,"Rights Issue &amp; X Adjustment";#N/A,#N/A,TRUE,"Transaction Model"}</definedName>
    <definedName name="afdsdsfdsads" hidden="1">{#N/A,#N/A,TRUE,"Assumptions";#N/A,#N/A,TRUE,"Sources of Revenue";#N/A,#N/A,TRUE,"P&amp;L";#N/A,#N/A,TRUE,"Bal. Sheet";#N/A,#N/A,TRUE,"Rights Issue &amp; X Adjustment";#N/A,#N/A,TRUE,"Transaction Model"}</definedName>
    <definedName name="affdsafsaf" hidden="1">{#N/A,#N/A,TRUE,"Assumptions";#N/A,#N/A,TRUE,"Sources of Revenue";#N/A,#N/A,TRUE,"P&amp;L";#N/A,#N/A,TRUE,"Bal. Sheet";#N/A,#N/A,TRUE,"Rights Issue &amp; X Adjustment";#N/A,#N/A,TRUE,"Transaction Model"}</definedName>
    <definedName name="afsafadsf" hidden="1">{#N/A,#N/A,TRUE,"Assumptions";#N/A,#N/A,TRUE,"Sources of Revenue";#N/A,#N/A,TRUE,"P&amp;L";#N/A,#N/A,TRUE,"Bal. Sheet";#N/A,#N/A,TRUE,"Rights Issue &amp; X Adjustment";#N/A,#N/A,TRUE,"Transaction Model"}</definedName>
    <definedName name="afsasfdasdf" hidden="1">#REF!</definedName>
    <definedName name="Ag">#REF!</definedName>
    <definedName name="ahffk" hidden="1">"AS2DocumentBrowse"</definedName>
    <definedName name="AI">#REF!</definedName>
    <definedName name="aldkjflasdjgladg">#REF!</definedName>
    <definedName name="all">#REF!</definedName>
    <definedName name="AllTables">{5}</definedName>
    <definedName name="alpha1">#REF!</definedName>
    <definedName name="alpha2">#REF!</definedName>
    <definedName name="alpha3">#REF!</definedName>
    <definedName name="Alt">#REF!</definedName>
    <definedName name="ALY_M1">#REF!</definedName>
    <definedName name="ALY_M2">#REF!</definedName>
    <definedName name="ALY_P1">#REF!</definedName>
    <definedName name="ALY_P10">#REF!</definedName>
    <definedName name="ALY_P2">#REF!</definedName>
    <definedName name="ALY_P3">#REF!</definedName>
    <definedName name="ALY_P4">#REF!</definedName>
    <definedName name="ALY_P5">#REF!</definedName>
    <definedName name="ALY_P6">#REF!</definedName>
    <definedName name="ALY_P7">#REF!</definedName>
    <definedName name="ALY_P8">#REF!</definedName>
    <definedName name="ALY_P9">#REF!</definedName>
    <definedName name="am_fee">#REF!</definedName>
    <definedName name="AMC_Fee">#REF!</definedName>
    <definedName name="AMC_Promote_Fee">#REF!</definedName>
    <definedName name="AMMORT">#REF!:#REF!</definedName>
    <definedName name="Ammortamenti">#REF!:#REF!</definedName>
    <definedName name="Amounts">#REF!</definedName>
    <definedName name="Annual_Allowance">#REF!</definedName>
    <definedName name="anscount" hidden="1">2</definedName>
    <definedName name="Ao¿￢">#REF!</definedName>
    <definedName name="AOP">#REF!</definedName>
    <definedName name="aoqtmwktksdnsdyd">#REF!</definedName>
    <definedName name="APCBF_Codes">#REF!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oved_Gross_Area">#REF!</definedName>
    <definedName name="ARA_Threshold">#REF!</definedName>
    <definedName name="ARC">#REF!</definedName>
    <definedName name="are" hidden="1">{#N/A,#N/A,FALSE,"신규dep";#N/A,#N/A,FALSE,"신규dep-금형상각후";#N/A,#N/A,FALSE,"신규dep-연구비상각후";#N/A,#N/A,FALSE,"신규dep-기계,공구상각후"}</definedName>
    <definedName name="AREA">#REF!</definedName>
    <definedName name="Area_Chonsei">#REF!</definedName>
    <definedName name="Area_Office">#REF!</definedName>
    <definedName name="Area_Residential">#REF!</definedName>
    <definedName name="Area_Retail">#REF!</definedName>
    <definedName name="Area_Western">#REF!</definedName>
    <definedName name="areaunit">#REF!</definedName>
    <definedName name="areaunitname">#REF!</definedName>
    <definedName name="ARP_Threshold">#REF!</definedName>
    <definedName name="as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cxf" hidden="1">{#N/A,#N/A,FALSE,"Aging Summary";#N/A,#N/A,FALSE,"Ratio Analysis";#N/A,#N/A,FALSE,"Test 120 Day Accts";#N/A,#N/A,FALSE,"Tickmarks"}</definedName>
    <definedName name="asd">#REF!</definedName>
    <definedName name="asda">#REF!</definedName>
    <definedName name="asdasdasdad" hidden="1">{#N/A,#N/A,FALSE,"95FW"}</definedName>
    <definedName name="asdf">#REF!</definedName>
    <definedName name="asdfasdf" hidden="1">{#N/A,#N/A,TRUE,"Assumptions";#N/A,#N/A,TRUE,"Sources of Revenue";#N/A,#N/A,TRUE,"P&amp;L";#N/A,#N/A,TRUE,"Bal. Sheet";#N/A,#N/A,TRUE,"Rights Issue &amp; X Adjustment";#N/A,#N/A,TRUE,"Transaction Model"}</definedName>
    <definedName name="asdfasdfsdfa" hidden="1">#REF!</definedName>
    <definedName name="asdfasfgasdf" hidden="1">#REF!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df" hidden="1">#REF!</definedName>
    <definedName name="asdgasdg" hidden="1">{#N/A,#N/A,TRUE,"Assumptions";#N/A,#N/A,TRUE,"Sources of Revenue";#N/A,#N/A,TRUE,"P&amp;L";#N/A,#N/A,TRUE,"Bal. Sheet";#N/A,#N/A,TRUE,"Rights Issue &amp; X Adjustment";#N/A,#N/A,TRUE,"Transaction Model"}</definedName>
    <definedName name="ased">#REF!</definedName>
    <definedName name="asfasfasf" hidden="1">#REF!</definedName>
    <definedName name="asfasfasff" hidden="1">#REF!</definedName>
    <definedName name="asfasgasdg" hidden="1">#REF!</definedName>
    <definedName name="asfgasdgas" hidden="1">#REF!</definedName>
    <definedName name="asfsa" hidden="1">#REF!</definedName>
    <definedName name="asgf" hidden="1">#REF!</definedName>
    <definedName name="asr">+#REF!</definedName>
    <definedName name="assda">#REF!</definedName>
    <definedName name="Asset">#REF!</definedName>
    <definedName name="Asset_MgmtFee">#REF!</definedName>
    <definedName name="assetdebt">#REF!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TA">#REF!</definedName>
    <definedName name="ASTL">#REF!</definedName>
    <definedName name="ASTR">#REF!</definedName>
    <definedName name="ASTX">#REF!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ut">#REF!</definedName>
    <definedName name="autoexec">#REF!</definedName>
    <definedName name="avrest">#REF!</definedName>
    <definedName name="awc">#REF!</definedName>
    <definedName name="AZ">#REF!</definedName>
    <definedName name="B">#REF!</definedName>
    <definedName name="b_t2">#REF!</definedName>
    <definedName name="BA">#REF!</definedName>
    <definedName name="BACK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_AGENCY_COFEE">#REF!</definedName>
    <definedName name="BAck_AGENCY_EEFEE">#REF!</definedName>
    <definedName name="Back_ANN_BASE">#REF!</definedName>
    <definedName name="Back_ANN_EC_GIVEN">#REF!</definedName>
    <definedName name="Back_AREA_ALW">#REF!</definedName>
    <definedName name="Back_BON_ACT2">#REF!</definedName>
    <definedName name="Back_BON_TGT2">#REF!</definedName>
    <definedName name="Back_BURN_ALW">#REF!</definedName>
    <definedName name="Back_CAR_PLAN">#REF!</definedName>
    <definedName name="Back_CAR_PRK">#REF!</definedName>
    <definedName name="Back_Class_of_Lawyer">#REF!</definedName>
    <definedName name="Back_CLEAN_ALW">#REF!</definedName>
    <definedName name="Back_CLOTH_ALW">#REF!</definedName>
    <definedName name="Back_DEEMOT_ALW">#REF!</definedName>
    <definedName name="Back_DEEMOT_PRO">#REF!</definedName>
    <definedName name="Back_DRIVER_SAL">#REF!</definedName>
    <definedName name="Back_EPI_RATE">#REF!</definedName>
    <definedName name="Back_FAMILY_ALW">#REF!</definedName>
    <definedName name="Back_FBT_ITEMS">#REF!</definedName>
    <definedName name="Back_FEST_BON">#REF!</definedName>
    <definedName name="Back_FIXED_BON">#REF!</definedName>
    <definedName name="Back_FIXEMP_TEC">#REF!</definedName>
    <definedName name="Back_FLEX_ALW">#REF!</definedName>
    <definedName name="Back_GRATUITY">#REF!</definedName>
    <definedName name="Back_HI_RATE">#REF!</definedName>
    <definedName name="Back_HLTH_PREM">#REF!</definedName>
    <definedName name="Back_HRD_BEN">#REF!</definedName>
    <definedName name="Back_INCENT_ACT2">#REF!</definedName>
    <definedName name="Back_INCENT_TGT2">#REF!</definedName>
    <definedName name="Back_KIWI_CONVAL">#REF!</definedName>
    <definedName name="Back_KIWI_FUND">#REF!</definedName>
    <definedName name="Back_KIWI_OTHER">#REF!</definedName>
    <definedName name="Back_KIWI_TEC">#REF!</definedName>
    <definedName name="Back_KR_Actual_Title">#REF!</definedName>
    <definedName name="Back_KR_Code_Title">#REF!</definedName>
    <definedName name="Back_LEASEPRICE2">#REF!</definedName>
    <definedName name="Back_LEASEPRICEFBT">#REF!</definedName>
    <definedName name="Back_LEAVE_LOAD">#REF!</definedName>
    <definedName name="Back_MED_ALW">#REF!</definedName>
    <definedName name="BAck_MEDCARE_BEN">#REF!</definedName>
    <definedName name="Back_MSU_INSURE">#REF!</definedName>
    <definedName name="Back_NFBT_ITEMS">#REF!</definedName>
    <definedName name="Back_NUM_MTH2">#REF!</definedName>
    <definedName name="Back_OTH_BEN">#REF!</definedName>
    <definedName name="Back_OTHBON_ACT2">#REF!</definedName>
    <definedName name="Back_OTHBON_TGT2">#REF!</definedName>
    <definedName name="Back_OTHSUP_TEC">#REF!</definedName>
    <definedName name="Back_PAG_IBIG">#REF!</definedName>
    <definedName name="Back_PERSONALUSE">#REF!</definedName>
    <definedName name="Back_PREVENT_HLTH">#REF!</definedName>
    <definedName name="Back_PRICE2">#REF!</definedName>
    <definedName name="Back_PURCHASEDISCOUNT">#REF!</definedName>
    <definedName name="Back_RET_BENVAL">#REF!</definedName>
    <definedName name="Back_RET_CONVAL">#REF!</definedName>
    <definedName name="Back_SCOPE_ALW">#REF!</definedName>
    <definedName name="Back_SITEOFF_ALW">#REF!</definedName>
    <definedName name="Back_SLSMAN_ALW">#REF!</definedName>
    <definedName name="Back_SS_BEN">#REF!</definedName>
    <definedName name="Back_SS_RATE">#REF!</definedName>
    <definedName name="Back_Store_Type">#REF!</definedName>
    <definedName name="Back_TRAVEL_ALW">#REF!</definedName>
    <definedName name="Back_Type_of_Empl">#REF!</definedName>
    <definedName name="Back_UNION_COFEE">#REF!</definedName>
    <definedName name="Back_UNION_EEFEE">#REF!</definedName>
    <definedName name="BadLink" hidden="1">#REF!</definedName>
    <definedName name="BAL">#REF!</definedName>
    <definedName name="BalanceSheet">#REF!</definedName>
    <definedName name="BalanceSheet97">#REF!</definedName>
    <definedName name="BalanceSheetDates">#REF!</definedName>
    <definedName name="BANCA1">#REF!</definedName>
    <definedName name="banka">#REF!</definedName>
    <definedName name="bankb">#REF!</definedName>
    <definedName name="BAP">#REF!</definedName>
    <definedName name="BASE">#REF!</definedName>
    <definedName name="basebalance">#REF!</definedName>
    <definedName name="BASECARR">#N/A</definedName>
    <definedName name="BASEDOC">#N/A</definedName>
    <definedName name="Basic">#REF!</definedName>
    <definedName name="BatchName">#REF!</definedName>
    <definedName name="BB">#REF!</definedName>
    <definedName name="BBB" hidden="1">#REF!</definedName>
    <definedName name="BBBB" hidden="1">{"'호선별현황(방식)'!$K$22:$P$22","'호선별현황(방식)'!$K$22:$P$22"}</definedName>
    <definedName name="bbbbb" hidden="1">{#N/A,#N/A,FALSE,"Aging Summary";#N/A,#N/A,FALSE,"Ratio Analysis";#N/A,#N/A,FALSE,"Test 120 Day Accts";#N/A,#N/A,FALSE,"Tickmarks"}</definedName>
    <definedName name="bbbbbbbbb">#REF!</definedName>
    <definedName name="bbbbbbbbbbbbbbb" hidden="1">{#N/A,#N/A,FALSE,"Aging Summary";#N/A,#N/A,FALSE,"Ratio Analysis";#N/A,#N/A,FALSE,"Test 120 Day Accts";#N/A,#N/A,FALSE,"Tickmarks"}</definedName>
    <definedName name="BBL">#REF!</definedName>
    <definedName name="BBP">#REF!</definedName>
    <definedName name="bc">#REF!</definedName>
    <definedName name="BCL">#REF!</definedName>
    <definedName name="BCP">#REF!</definedName>
    <definedName name="bcrclcl100rt">#REF!</definedName>
    <definedName name="bcrclcl100rtrkrk">#REF!</definedName>
    <definedName name="BCY_M1">#REF!</definedName>
    <definedName name="BCY_M2">#REF!</definedName>
    <definedName name="BCY_P1">#REF!</definedName>
    <definedName name="BCY_P10">#REF!</definedName>
    <definedName name="BCY_P2">#REF!</definedName>
    <definedName name="BCY_P3">#REF!</definedName>
    <definedName name="BCY_P4">#REF!</definedName>
    <definedName name="BCY_P5">#REF!</definedName>
    <definedName name="BCY_P6">#REF!</definedName>
    <definedName name="BCY_P7">#REF!</definedName>
    <definedName name="BCY_P8">#REF!</definedName>
    <definedName name="BCY_P9">#REF!</definedName>
    <definedName name="BD">#REF!</definedName>
    <definedName name="BDL">#REF!</definedName>
    <definedName name="BDP">#REF!</definedName>
    <definedName name="Beachwood" hidden="1">{"p",#N/A,FALSE,"Sheet1";"p 2",#N/A,FALSE,"Sheet1";"p 3",#N/A,FALSE,"Sheet1"}</definedName>
    <definedName name="Beachwood_1" hidden="1">{"p",#N/A,FALSE,"Sheet1";"p 2",#N/A,FALSE,"Sheet1";"p 3",#N/A,FALSE,"Sheet1"}</definedName>
    <definedName name="BEG_MISC">#REF!</definedName>
    <definedName name="Ben_LA2">#REF!</definedName>
    <definedName name="Ben_PM2">#REF!</definedName>
    <definedName name="Benchmark">#REF!</definedName>
    <definedName name="beta">#REF!</definedName>
    <definedName name="BG_Del" hidden="1">15</definedName>
    <definedName name="BG_Ins" hidden="1">4</definedName>
    <definedName name="BG_Mod" hidden="1">6</definedName>
    <definedName name="bn" hidden="1">{#N/A,#N/A,FALSE,"Aging Summary";#N/A,#N/A,FALSE,"Ratio Analysis";#N/A,#N/A,FALSE,"Test 120 Day Accts";#N/A,#N/A,FALSE,"Tickmarks"}</definedName>
    <definedName name="BNY_M1">#REF!</definedName>
    <definedName name="BNY_M2">#REF!</definedName>
    <definedName name="BNY_P1">#REF!</definedName>
    <definedName name="BNY_P10">#REF!</definedName>
    <definedName name="BNY_P2">#REF!</definedName>
    <definedName name="BNY_P3">#REF!</definedName>
    <definedName name="BNY_P4">#REF!</definedName>
    <definedName name="BNY_P5">#REF!</definedName>
    <definedName name="BNY_P6">#REF!</definedName>
    <definedName name="BNY_P7">#REF!</definedName>
    <definedName name="BNY_P8">#REF!</definedName>
    <definedName name="BNY_P9">#REF!</definedName>
    <definedName name="BODY">#REF!</definedName>
    <definedName name="Book_2002">#REF!</definedName>
    <definedName name="book1" hidden="1">{#N/A,#N/A,TRUE,"Y생산";#N/A,#N/A,TRUE,"Y판매";#N/A,#N/A,TRUE,"Y총물량";#N/A,#N/A,TRUE,"Y능력";#N/A,#N/A,TRUE,"YKD"}</definedName>
    <definedName name="Borrow_Cost">#REF!</definedName>
    <definedName name="BPR_01" hidden="1">{#N/A,#N/A,FALSE,"BS";#N/A,#N/A,FALSE,"PL";#N/A,#N/A,FALSE,"처분";#N/A,#N/A,FALSE,"현금";#N/A,#N/A,FALSE,"매출";#N/A,#N/A,FALSE,"원가";#N/A,#N/A,FALSE,"경영"}</definedName>
    <definedName name="Branch">#REF!</definedName>
    <definedName name="BRCOD">#REF!</definedName>
    <definedName name="bridge">#REF!</definedName>
    <definedName name="BRK">#REF!</definedName>
    <definedName name="brougham">#REF!</definedName>
    <definedName name="bs" hidden="1">{#N/A,#N/A,FALSE,"Aging Summary";#N/A,#N/A,FALSE,"Ratio Analysis";#N/A,#N/A,FALSE,"Test 120 Day Accts";#N/A,#N/A,FALSE,"Tickmarks"}</definedName>
    <definedName name="BS_Co">#REF!</definedName>
    <definedName name="bsbalance">#REF!</definedName>
    <definedName name="bsNote">#N/A</definedName>
    <definedName name="BSTA">#REF!</definedName>
    <definedName name="BSTL">#REF!</definedName>
    <definedName name="BSTR">#REF!</definedName>
    <definedName name="BSTX">#REF!</definedName>
    <definedName name="BTC_List1_100">#REF!</definedName>
    <definedName name="BTC_List1_110">#REF!</definedName>
    <definedName name="BTC_List1_120">#REF!</definedName>
    <definedName name="BTC_List1_123">#REF!</definedName>
    <definedName name="BTC_List1_130">#REF!</definedName>
    <definedName name="BTC_List1_140">#REF!</definedName>
    <definedName name="BTC_List1_150">#REF!</definedName>
    <definedName name="BTC_List1_155">#REF!</definedName>
    <definedName name="BTC_List1_160">#REF!</definedName>
    <definedName name="BTC_List1_162">#REF!</definedName>
    <definedName name="BTC_List1_166">#REF!</definedName>
    <definedName name="BTC_List1_170">#REF!</definedName>
    <definedName name="BTC_List1_180">#REF!</definedName>
    <definedName name="BTC_List1_187">#REF!</definedName>
    <definedName name="BTC_List1_190">#REF!</definedName>
    <definedName name="BTC_List1_200">#REF!</definedName>
    <definedName name="BTC_List1_210">#REF!</definedName>
    <definedName name="BTC_List1_220">#REF!</definedName>
    <definedName name="BTC_List1_501">#REF!</definedName>
    <definedName name="BTC_List1_510">#REF!</definedName>
    <definedName name="BTC_List1_520">#REF!</definedName>
    <definedName name="BTC_List1_530">#REF!</definedName>
    <definedName name="BTC_List1_541">#REF!</definedName>
    <definedName name="BTC_List1_542">#REF!</definedName>
    <definedName name="BTC_List1_543">#REF!</definedName>
    <definedName name="BTC_List1_560">#REF!</definedName>
    <definedName name="BTC_List1_570">#REF!</definedName>
    <definedName name="BTC_List1_600">#REF!</definedName>
    <definedName name="BTC_List1_610">#REF!</definedName>
    <definedName name="BTC_List1_642">#REF!</definedName>
    <definedName name="BTC_List1_671">#REF!</definedName>
    <definedName name="BTC_List1_672">#REF!</definedName>
    <definedName name="BTC_List1_690">#REF!</definedName>
    <definedName name="BTC_List1_701">#REF!</definedName>
    <definedName name="BTC_List1_702">#REF!</definedName>
    <definedName name="BTC_List1_All">#REF!</definedName>
    <definedName name="BTC_List2">#REF!</definedName>
    <definedName name="BTCs_Generic">#REF!</definedName>
    <definedName name="btnClose">#N/A</definedName>
    <definedName name="btnFootNoting">#N/A</definedName>
    <definedName name="btnNext">#N/A</definedName>
    <definedName name="btnOK">#N/A</definedName>
    <definedName name="btnPrevious">#N/A</definedName>
    <definedName name="btnReturn">#N/A</definedName>
    <definedName name="BuiltIn_Print_Area___1">NA()</definedName>
    <definedName name="BuiltIn_Print_Area___1___0">NA()</definedName>
    <definedName name="BuiltIn_Print_Area___2">NA()</definedName>
    <definedName name="BuiltIn_Print_Area___2___0">NA()</definedName>
    <definedName name="BuiltIn_Print_Area___3">NA()</definedName>
    <definedName name="BuiltIn_Print_Area___3___0">NA()</definedName>
    <definedName name="bumwi">#REF!</definedName>
    <definedName name="BUTTON_N">#REF!</definedName>
    <definedName name="BUTTON_T">#REF!</definedName>
    <definedName name="Buy_Price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">#REF!</definedName>
    <definedName name="CAE해석" hidden="1">{#N/A,#N/A,FALSE,"단축1";#N/A,#N/A,FALSE,"단축2";#N/A,#N/A,FALSE,"단축3";#N/A,#N/A,FALSE,"장축";#N/A,#N/A,FALSE,"4WD"}</definedName>
    <definedName name="CAL">#REF!</definedName>
    <definedName name="can">#REF!</definedName>
    <definedName name="canestr">#REF!:#REF!</definedName>
    <definedName name="CAP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Ex_A">#REF!</definedName>
    <definedName name="CapEx_B">#REF!</definedName>
    <definedName name="CapEx_C">#REF!</definedName>
    <definedName name="CapEx_D">#REF!</definedName>
    <definedName name="CapEx_E">#REF!</definedName>
    <definedName name="CapEx_F">#REF!</definedName>
    <definedName name="CapEx_G">#REF!</definedName>
    <definedName name="CapEx_H">#REF!</definedName>
    <definedName name="Capital_Reserve">#REF!</definedName>
    <definedName name="Car_List">#REF!</definedName>
    <definedName name="CARCODE">#REF!</definedName>
    <definedName name="Carpark_Revenue">#REF!</definedName>
    <definedName name="Case_Rev">#REF!</definedName>
    <definedName name="CASE1">#REF!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3">#REF!</definedName>
    <definedName name="CASE4">#REF!</definedName>
    <definedName name="cash">#N/A</definedName>
    <definedName name="Cashflow">#REF!</definedName>
    <definedName name="CashFlow_Button1_Click">#N/A</definedName>
    <definedName name="CashFlow97">#REF!</definedName>
    <definedName name="CashflowStt">#REF!</definedName>
    <definedName name="cashIndex">#N/A</definedName>
    <definedName name="CB">#REF!</definedName>
    <definedName name="CBL">#REF!</definedName>
    <definedName name="CBP">#REF!</definedName>
    <definedName name="cc">#REF!</definedName>
    <definedName name="CC.QQ">#REF!</definedName>
    <definedName name="CCC">#REF!</definedName>
    <definedName name="cccccccㅊㅊㅊㅊㅊㅊㅊㅊㅊㅊㅊㅊㅊ">#REF!</definedName>
    <definedName name="CCL">#REF!</definedName>
    <definedName name="CCP">#REF!</definedName>
    <definedName name="ccr">#REF!</definedName>
    <definedName name="Ccy">#REF!</definedName>
    <definedName name="CD">#REF!</definedName>
    <definedName name="Cday">#REF!</definedName>
    <definedName name="CDE" hidden="1">{#N/A,#N/A,TRUE,"일정"}</definedName>
    <definedName name="cdhbkjbkjnkjnlmmn" hidden="1">{#N/A,#N/A,TRUE,"일정"}</definedName>
    <definedName name="CDL">#REF!</definedName>
    <definedName name="CDP">#REF!</definedName>
    <definedName name="CELLNOTE10">#REF!</definedName>
    <definedName name="CELLNOTE4">#REF!</definedName>
    <definedName name="CELLNOTE5">#REF!</definedName>
    <definedName name="CELLNOTE6">#REF!</definedName>
    <definedName name="CellSize">#REF!</definedName>
    <definedName name="CF">#REF!</definedName>
    <definedName name="cf1fc1s4" hidden="1">{#N/A,#N/A,FALSE,"Aging Summary";#N/A,#N/A,FALSE,"Ratio Analysis";#N/A,#N/A,FALSE,"Test 120 Day Accts";#N/A,#N/A,FALSE,"Tickmarks"}</definedName>
    <definedName name="cfclear" hidden="1">{#N/A,#N/A,FALSE,"BS";#N/A,#N/A,FALSE,"PL";#N/A,#N/A,FALSE,"처분";#N/A,#N/A,FALSE,"현금";#N/A,#N/A,FALSE,"매출";#N/A,#N/A,FALSE,"원가";#N/A,#N/A,FALSE,"경영"}</definedName>
    <definedName name="CFP">#REF!</definedName>
    <definedName name="CHECK">#REF!:#REF!</definedName>
    <definedName name="chobae">#N/A</definedName>
    <definedName name="chobu">#N/A</definedName>
    <definedName name="chobub">#N/A</definedName>
    <definedName name="chogu">#N/A</definedName>
    <definedName name="Chonsei_Interest_Rate">#REF!</definedName>
    <definedName name="Chonsei_Unit">#REF!</definedName>
    <definedName name="chopo">#N/A</definedName>
    <definedName name="choto">#N/A</definedName>
    <definedName name="ci" hidden="1">{#N/A,#N/A,FALSE,"단축1";#N/A,#N/A,FALSE,"단축2";#N/A,#N/A,FALSE,"단축3";#N/A,#N/A,FALSE,"장축";#N/A,#N/A,FALSE,"4WD"}</definedName>
    <definedName name="CIQWBGuid" hidden="1">"476f5d56-2f49-456f-b2f9-cd2c53c26ccd"</definedName>
    <definedName name="Circ">#REF!</definedName>
    <definedName name="Citi_Rent_Growth">#REF!</definedName>
    <definedName name="ckc">#REF!</definedName>
    <definedName name="closing">#REF!</definedName>
    <definedName name="Closing_Date">#REF!</definedName>
    <definedName name="Cmonth">#REF!</definedName>
    <definedName name="CoData_Link1">#REF!</definedName>
    <definedName name="Ｃｏｄｅ">#REF!</definedName>
    <definedName name="code1">#REF!</definedName>
    <definedName name="code2">#REF!</definedName>
    <definedName name="ColorNames">#REF!</definedName>
    <definedName name="Com">#REF!</definedName>
    <definedName name="comp">#REF!</definedName>
    <definedName name="Company_Code">#REF!</definedName>
    <definedName name="Company_Name">#REF!</definedName>
    <definedName name="Composite_Land_Tax">#REF!</definedName>
    <definedName name="con">#REF!</definedName>
    <definedName name="CoName1">#REF!</definedName>
    <definedName name="conb1">#REF!</definedName>
    <definedName name="conb10">#REF!</definedName>
    <definedName name="conb100">#REF!</definedName>
    <definedName name="conb101">#REF!</definedName>
    <definedName name="conb102">#REF!</definedName>
    <definedName name="conb103">#REF!</definedName>
    <definedName name="conb104">#REF!</definedName>
    <definedName name="conb105">#REF!</definedName>
    <definedName name="conb106">#REF!</definedName>
    <definedName name="conb107">#REF!</definedName>
    <definedName name="conb108">#REF!</definedName>
    <definedName name="conb109">#REF!</definedName>
    <definedName name="conb11">#REF!</definedName>
    <definedName name="conb110">#REF!</definedName>
    <definedName name="conb111">#REF!</definedName>
    <definedName name="conb112">#REF!</definedName>
    <definedName name="conb113">#REF!</definedName>
    <definedName name="conb114">#REF!</definedName>
    <definedName name="conb115">#REF!</definedName>
    <definedName name="conb116">#REF!</definedName>
    <definedName name="conb117">#REF!</definedName>
    <definedName name="conb118">#REF!</definedName>
    <definedName name="conb119">#REF!</definedName>
    <definedName name="conb12">#REF!</definedName>
    <definedName name="conb120">#REF!</definedName>
    <definedName name="conb121">#REF!</definedName>
    <definedName name="conb13">#REF!</definedName>
    <definedName name="conb14">#REF!</definedName>
    <definedName name="conb15">#REF!</definedName>
    <definedName name="conb16">#REF!</definedName>
    <definedName name="conb17">#REF!</definedName>
    <definedName name="conb18">#REF!</definedName>
    <definedName name="conb19">#REF!</definedName>
    <definedName name="conb2">#REF!</definedName>
    <definedName name="conb20">#REF!</definedName>
    <definedName name="conb21">#REF!</definedName>
    <definedName name="conb22">#REF!</definedName>
    <definedName name="conb23">#REF!</definedName>
    <definedName name="conb24">#REF!</definedName>
    <definedName name="conb25">#REF!</definedName>
    <definedName name="conb26">#REF!</definedName>
    <definedName name="conb27">#REF!</definedName>
    <definedName name="conb28">#REF!</definedName>
    <definedName name="conb29">#REF!</definedName>
    <definedName name="conb3">#REF!</definedName>
    <definedName name="conb30">#REF!</definedName>
    <definedName name="conb31">#REF!</definedName>
    <definedName name="conb33">#REF!</definedName>
    <definedName name="conb34">#REF!</definedName>
    <definedName name="conb36">#REF!</definedName>
    <definedName name="conb37">#REF!</definedName>
    <definedName name="conb38">#REF!</definedName>
    <definedName name="conb39">#REF!</definedName>
    <definedName name="conb4">#REF!</definedName>
    <definedName name="conb40">#REF!</definedName>
    <definedName name="conb41">#REF!</definedName>
    <definedName name="conb42">#REF!</definedName>
    <definedName name="conb43">#REF!</definedName>
    <definedName name="conb44">#REF!</definedName>
    <definedName name="conb45">#REF!</definedName>
    <definedName name="conb46">#REF!</definedName>
    <definedName name="conb47">#REF!</definedName>
    <definedName name="conb48">#REF!</definedName>
    <definedName name="conb49">#REF!</definedName>
    <definedName name="conb5">#REF!</definedName>
    <definedName name="conb50">#REF!</definedName>
    <definedName name="conb51">#REF!</definedName>
    <definedName name="conb52">#REF!</definedName>
    <definedName name="conb53">#REF!</definedName>
    <definedName name="conb54">#REF!</definedName>
    <definedName name="conb55">#REF!</definedName>
    <definedName name="conb58">#REF!</definedName>
    <definedName name="conb59">#REF!</definedName>
    <definedName name="conb6">#REF!</definedName>
    <definedName name="conb60">#REF!</definedName>
    <definedName name="conb61">#REF!</definedName>
    <definedName name="conb62">#REF!</definedName>
    <definedName name="conb63">#REF!</definedName>
    <definedName name="conb64">#REF!</definedName>
    <definedName name="conb65">#REF!</definedName>
    <definedName name="conb66">#REF!</definedName>
    <definedName name="conb67">#REF!</definedName>
    <definedName name="conb68">#REF!</definedName>
    <definedName name="conb69">#REF!</definedName>
    <definedName name="conb7">#REF!</definedName>
    <definedName name="conb70">#REF!</definedName>
    <definedName name="conb71">#REF!</definedName>
    <definedName name="conb72">#REF!</definedName>
    <definedName name="conb73">#REF!</definedName>
    <definedName name="conb74">#REF!</definedName>
    <definedName name="conb75">#REF!</definedName>
    <definedName name="conb76">#REF!</definedName>
    <definedName name="conb77">#REF!</definedName>
    <definedName name="conb78">#REF!</definedName>
    <definedName name="conb79">#REF!</definedName>
    <definedName name="conb8">#REF!</definedName>
    <definedName name="conb80">#REF!</definedName>
    <definedName name="conb81">#REF!</definedName>
    <definedName name="conb82">#REF!</definedName>
    <definedName name="conb83">#REF!</definedName>
    <definedName name="conb84">#REF!</definedName>
    <definedName name="conb85">#REF!</definedName>
    <definedName name="conb86">#REF!</definedName>
    <definedName name="conb87">#REF!</definedName>
    <definedName name="conb88">#REF!</definedName>
    <definedName name="conb89">#REF!</definedName>
    <definedName name="conb9">#REF!</definedName>
    <definedName name="conb90">#REF!</definedName>
    <definedName name="conb91">#REF!</definedName>
    <definedName name="conb92">#REF!</definedName>
    <definedName name="conb93">#REF!</definedName>
    <definedName name="conb94">#REF!</definedName>
    <definedName name="conb95">#REF!</definedName>
    <definedName name="conb96">#REF!</definedName>
    <definedName name="conb97">#REF!</definedName>
    <definedName name="conb98">#REF!</definedName>
    <definedName name="conb99">#REF!</definedName>
    <definedName name="ConstructionCost">#REF!</definedName>
    <definedName name="Contact1">#REF!</definedName>
    <definedName name="Contact2">#REF!</definedName>
    <definedName name="Contact3">#REF!</definedName>
    <definedName name="Contact4">#REF!</definedName>
    <definedName name="Contact5">#REF!</definedName>
    <definedName name="contagiorni">#N/A</definedName>
    <definedName name="CoNum1">#REF!</definedName>
    <definedName name="Conv">#REF!</definedName>
    <definedName name="Conventions">#REF!</definedName>
    <definedName name="CorpTax_Coeff">#REF!</definedName>
    <definedName name="cost">#REF!</definedName>
    <definedName name="CostData">#REF!</definedName>
    <definedName name="Costs_of_Sales">#REF!</definedName>
    <definedName name="Country">#REF!</definedName>
    <definedName name="CountryCode">#REF!</definedName>
    <definedName name="COUNTY">#REF!</definedName>
    <definedName name="COUPPCD">#REF!</definedName>
    <definedName name="Cover">#REF!</definedName>
    <definedName name="CPI_Sambu_RR">#REF!</definedName>
    <definedName name="CR">#REF!</definedName>
    <definedName name="CRa">#REF!</definedName>
    <definedName name="CRb">#REF!</definedName>
    <definedName name="CRC_CorpTax_Coeff">#REF!</definedName>
    <definedName name="CRC_Special_Capital_Gain_Tax">#REF!</definedName>
    <definedName name="CRC_Tax_Base_above100">#REF!</definedName>
    <definedName name="CRC_Tax_Base_below100">#REF!</definedName>
    <definedName name="CRC_Tax_Rental_Above100">#REF!</definedName>
    <definedName name="CRC_Tax_Rental_below100">#REF!</definedName>
    <definedName name="CRC_Tax_Withhold_Capital_Gains">#REF!</definedName>
    <definedName name="CRC_Tax_Withhold_Dividends">#REF!</definedName>
    <definedName name="Credit_Card_Rate">#REF!</definedName>
    <definedName name="crinkled_ctn_blend">#REF!</definedName>
    <definedName name="_xlnm.Criteria">#REF!</definedName>
    <definedName name="Criteria_MI">#REF!</definedName>
    <definedName name="CSTA">#REF!</definedName>
    <definedName name="CSTL">#REF!</definedName>
    <definedName name="CSTR">#REF!</definedName>
    <definedName name="CSTX">#REF!</definedName>
    <definedName name="CubeData">!#REF!</definedName>
    <definedName name="cumule">#REF!</definedName>
    <definedName name="CUR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>#REF!</definedName>
    <definedName name="Currency_List">#REF!</definedName>
    <definedName name="current">#REF!</definedName>
    <definedName name="Current_Month">#REF!</definedName>
    <definedName name="Current_Month_SvcCharge">#REF!</definedName>
    <definedName name="Current_Tenant_Deposit_Growth">#REF!</definedName>
    <definedName name="Current_Tenant_Rent_Growth">#REF!</definedName>
    <definedName name="Current_Year">#REF!</definedName>
    <definedName name="Customer_Type">#REF!</definedName>
    <definedName name="CY">#REF!</definedName>
    <definedName name="Cyear">#REF!</definedName>
    <definedName name="CYs">#REF!</definedName>
    <definedName name="CYTD_CHG">11</definedName>
    <definedName name="C채권계정과목">#REF!</definedName>
    <definedName name="C채무계정과목">#REF!</definedName>
    <definedName name="D">#REF!</definedName>
    <definedName name="dafadfafadfa" hidden="1">{#N/A,#N/A,FALSE,"Aging Summary";#N/A,#N/A,FALSE,"Ratio Analysis";#N/A,#N/A,FALSE,"Test 120 Day Accts";#N/A,#N/A,FALSE,"Tickmarks"}</definedName>
    <definedName name="Dala">#REF!</definedName>
    <definedName name="DALBAL.PriorPeriod1Balance">#REF!</definedName>
    <definedName name="dalcielo">#REF!,#REF!,#REF!,#REF!,#REF!,#REF!,#REF!</definedName>
    <definedName name="dallanos">#REF!,#REF!,#REF!,#REF!,#REF!,#REF!,#REF!</definedName>
    <definedName name="dalleganza">#REF!,#REF!,#REF!,#REF!,#REF!,#REF!,#REF!</definedName>
    <definedName name="dalnubira">#REF!,#REF!,#REF!,#REF!,#REF!,#REF!,#REF!</definedName>
    <definedName name="dalsung">#REF!,#REF!,#REF!,#REF!,#REF!,#REF!</definedName>
    <definedName name="daltacuma">#REF!,#REF!,#REF!,#REF!,#REF!,#REF!,#REF!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">#REF!</definedName>
    <definedName name="_xlnm.Database">#REF!</definedName>
    <definedName name="Database_MI">#REF!</definedName>
    <definedName name="Date">#REF!</definedName>
    <definedName name="date_lookup_range">#REF!</definedName>
    <definedName name="date2">#REF!</definedName>
    <definedName name="DateColorClear">#REF!</definedName>
    <definedName name="dates">#REF!</definedName>
    <definedName name="Davinci_AnnFee_ofBuyAcq">#REF!</definedName>
    <definedName name="Davinci_AnnFee_ofGrossRev">#REF!</definedName>
    <definedName name="DB">#REF!</definedName>
    <definedName name="DB_AC">#REF!</definedName>
    <definedName name="DB_Ave">#REF!</definedName>
    <definedName name="DB_Increase">#REF!</definedName>
    <definedName name="DB_Plan">#REF!</definedName>
    <definedName name="dbswhdgusdbswhdgus">#REF!</definedName>
    <definedName name="DC_Plan">#REF!</definedName>
    <definedName name="DCFINPUTS">#REF!</definedName>
    <definedName name="DCFMATRIX">#REF!</definedName>
    <definedName name="DD">#REF!</definedName>
    <definedName name="ddd">#REF!</definedName>
    <definedName name="DDDD">#REF!</definedName>
    <definedName name="dddd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>#REF!</definedName>
    <definedName name="dddddddd">#REF!</definedName>
    <definedName name="DDDDDDDDDD" hidden="1">{#N/A,#N/A,TRUE,"Y생산";#N/A,#N/A,TRUE,"Y판매";#N/A,#N/A,TRUE,"Y총물량";#N/A,#N/A,TRUE,"Y능력";#N/A,#N/A,TRUE,"YKD"}</definedName>
    <definedName name="DDDDDDDDDD_1" hidden="1">{#N/A,#N/A,TRUE,"Y생산";#N/A,#N/A,TRUE,"Y판매";#N/A,#N/A,TRUE,"Y총물량";#N/A,#N/A,TRUE,"Y능력";#N/A,#N/A,TRUE,"YKD"}</definedName>
    <definedName name="ddddddddddd">#REF!</definedName>
    <definedName name="DDDDDDDDDDDD" hidden="1">{#N/A,#N/A,FALSE,"표지";#N/A,#N/A,FALSE,"전제";#N/A,#N/A,FALSE,"손익-자 (2)";#N/A,#N/A,FALSE,"손익-자";#N/A,#N/A,FALSE,"손익-마 (2)";#N/A,#N/A,FALSE,"손익-마";#N/A,#N/A,FALSE,"총손최종"}</definedName>
    <definedName name="DDDDDDDDDDDDD" hidden="1">#REF!</definedName>
    <definedName name="dddddddddddddddd">#REF!</definedName>
    <definedName name="dddddddddddddddddd" hidden="1">{#N/A,#N/A,FALSE,"Aging Summary";#N/A,#N/A,FALSE,"Ratio Analysis";#N/A,#N/A,FALSE,"Test 120 Day Accts";#N/A,#N/A,FALSE,"Tickmarks"}</definedName>
    <definedName name="dddddddddddddddddddddddddddddddddd">#REF!</definedName>
    <definedName name="ddddddddddddddddddddddddddddddddddddddddddddddddddddd">#REF!</definedName>
    <definedName name="DDFDF" hidden="1">#REF!</definedName>
    <definedName name="Deal_Name">#REF!</definedName>
    <definedName name="debt">#REF!</definedName>
    <definedName name="Debt_BreakFee">#REF!</definedName>
    <definedName name="Debt_Ratio">#REF!</definedName>
    <definedName name="DebtType">#REF!</definedName>
    <definedName name="DEC.GH">#REF!</definedName>
    <definedName name="deduction">#REF!</definedName>
    <definedName name="DEFERRED">#REF!</definedName>
    <definedName name="DEFERRED2">#REF!</definedName>
    <definedName name="deferred3">#REF!</definedName>
    <definedName name="dek">#REF!</definedName>
    <definedName name="Deloitte.">#REF!</definedName>
    <definedName name="DELPHONE">#N/A</definedName>
    <definedName name="delta">#REF!</definedName>
    <definedName name="delta1">#REF!</definedName>
    <definedName name="delta2">#REF!</definedName>
    <definedName name="dep_rate">#REF!</definedName>
    <definedName name="deposit">#REF!</definedName>
    <definedName name="deposit_raise">#REF!</definedName>
    <definedName name="deposit_rate">#REF!</definedName>
    <definedName name="Depreciation">#REF!</definedName>
    <definedName name="DEPT">#REF!</definedName>
    <definedName name="dererred4">#REF!</definedName>
    <definedName name="Description">#REF!</definedName>
    <definedName name="DESIGN">#REF!</definedName>
    <definedName name="detail">#REF!</definedName>
    <definedName name="detailbalance">#REF!</definedName>
    <definedName name="detteis">#REF!</definedName>
    <definedName name="Deutsche">#REF!</definedName>
    <definedName name="Develop">#REF!</definedName>
    <definedName name="devs">#REF!</definedName>
    <definedName name="DF" hidden="1">{#N/A,#N/A,FALSE,"Aging Summary";#N/A,#N/A,FALSE,"Ratio Analysis";#N/A,#N/A,FALSE,"Test 120 Day Accts";#N/A,#N/A,FALSE,"Tickmarks"}</definedName>
    <definedName name="dfadfdafdafdafd" hidden="1">{#N/A,#N/A,FALSE,"Aging Summary";#N/A,#N/A,FALSE,"Ratio Analysis";#N/A,#N/A,FALSE,"Test 120 Day Accts";#N/A,#N/A,FALSE,"Tickmarks"}</definedName>
    <definedName name="dfddf">#REF!</definedName>
    <definedName name="DFDF" hidden="1">{#N/A,#N/A,FALSE,"Aging Summary";#N/A,#N/A,FALSE,"Ratio Analysis";#N/A,#N/A,FALSE,"Test 120 Day Accts";#N/A,#N/A,FALSE,"Tickmarks"}</definedName>
    <definedName name="DFDFDFD" hidden="1">{#N/A,#N/A,FALSE,"Aging Summary";#N/A,#N/A,FALSE,"Ratio Analysis";#N/A,#N/A,FALSE,"Test 120 Day Accts";#N/A,#N/A,FALSE,"Tickmarks"}</definedName>
    <definedName name="df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g" hidden="1">{#N/A,#N/A,TRUE,"Assumptions";#N/A,#N/A,TRUE,"Sources of Revenue";#N/A,#N/A,TRUE,"P&amp;L";#N/A,#N/A,TRUE,"Bal. Sheet";#N/A,#N/A,TRUE,"Rights Issue &amp; X Adjustment";#N/A,#N/A,TRUE,"Transaction Model"}</definedName>
    <definedName name="dfgbr" hidden="1">#REF!</definedName>
    <definedName name="DFGDF">#REF!</definedName>
    <definedName name="DFGFHY">#REF!</definedName>
    <definedName name="dfghdfghhdfh" hidden="1">{#N/A,#N/A,TRUE,"Assumptions";#N/A,#N/A,TRUE,"Sources of Revenue";#N/A,#N/A,TRUE,"P&amp;L";#N/A,#N/A,TRUE,"Bal. Sheet";#N/A,#N/A,TRUE,"Rights Issue &amp; X Adjustment";#N/A,#N/A,TRUE,"Transaction Model"}</definedName>
    <definedName name="dfjk" hidden="1">#REF!</definedName>
    <definedName name="DFSDFS" hidden="1">#REF!</definedName>
    <definedName name="DG_Company_Info">#REF!</definedName>
    <definedName name="DG_Empl_Category">#REF!</definedName>
    <definedName name="DG_Highest_Qual">#REF!</definedName>
    <definedName name="DG_Important_Notes">#REF!</definedName>
    <definedName name="DG_Incumbent_Basic">#REF!</definedName>
    <definedName name="DG_Incumbent_Compensation">#REF!</definedName>
    <definedName name="DG_Industry_List">#REF!</definedName>
    <definedName name="DG_Terms_Definitions">#REF!</definedName>
    <definedName name="DG_Toolbar">#REF!</definedName>
    <definedName name="dgffdh" hidden="1">{#N/A,#N/A,TRUE,"Assumptions";#N/A,#N/A,TRUE,"Sources of Revenue";#N/A,#N/A,TRUE,"P&amp;L";#N/A,#N/A,TRUE,"Bal. Sheet";#N/A,#N/A,TRUE,"Rights Issue &amp; X Adjustment";#N/A,#N/A,TRUE,"Transaction Model"}</definedName>
    <definedName name="DGFHTJTYKHJMKJ">#REF!</definedName>
    <definedName name="dhdhdh">#REF!</definedName>
    <definedName name="DI">#REF!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c">#REF!,#REF!,#REF!,#REF!,#REF!</definedName>
    <definedName name="differe">#REF!,#REF!,#REF!,#REF!,#REF!,#REF!</definedName>
    <definedName name="DIFFERLANOS">#REF!,#REF!,#REF!,#REF!,#REF!,#REF!</definedName>
    <definedName name="DIFFERT">#REF!,#REF!,#REF!,#REF!,#REF!,#REF!</definedName>
    <definedName name="DIFFERV">#REF!,#REF!,#REF!,#REF!,#REF!,#REF!</definedName>
    <definedName name="DIR">#REF!</definedName>
    <definedName name="DIS" hidden="1">#REF!</definedName>
    <definedName name="Discount">#REF!</definedName>
    <definedName name="Discount_Factor">#REF!</definedName>
    <definedName name="Discount_Period">#REF!</definedName>
    <definedName name="discount_rate">#REF!</definedName>
    <definedName name="DISPLAY_DIALOG">#REF!</definedName>
    <definedName name="DisplaySelectedSheetsMacroButton">#REF!</definedName>
    <definedName name="dispo_date">#REF!</definedName>
    <definedName name="dispo_date_lookup">#REF!</definedName>
    <definedName name="dispo_fee">#REF!</definedName>
    <definedName name="DISTR">#REF!</definedName>
    <definedName name="DIV">#REF!</definedName>
    <definedName name="DJQAN" hidden="1">{#N/A,#N/A,TRUE,"대 차 대 조 표"}</definedName>
    <definedName name="DJQAN_1" hidden="1">{#N/A,#N/A,TRUE,"대 차 대 조 표"}</definedName>
    <definedName name="dk" hidden="1">{#N/A,#N/A,FALSE,"3가";#N/A,#N/A,FALSE,"3나";#N/A,#N/A,FALSE,"3다"}</definedName>
    <definedName name="dkd" hidden="1">{#N/A,#N/A,FALSE,"1.CRITERIA";#N/A,#N/A,FALSE,"2.IS";#N/A,#N/A,FALSE,"3.BS";#N/A,#N/A,FALSE,"4.PER PL";#N/A,#N/A,FALSE,"5.INVESTMENT";#N/A,#N/A,FALSE,"6.공문";#N/A,#N/A,FALSE,"7.netinvest"}</definedName>
    <definedName name="DKDI">#REF!</definedName>
    <definedName name="DKDKFG8TBTB2RT">#REF!</definedName>
    <definedName name="dkdlrh" hidden="1">{"'Sheet1'!$A$1:$D$15"}</definedName>
    <definedName name="dkf" hidden="1">{#N/A,#N/A,FALSE,"채산3501.XLS";#N/A,#N/A,FALSE,"신조수A.XLS";#N/A,#N/A,FALSE,"신조수b.XLS";#N/A,#N/A,FALSE,"채산3502.XLS";#N/A,#N/A,FALSE,"신조원리.XLS";#N/A,#N/A,FALSE,"신조감가.XLS"}</definedName>
    <definedName name="DKS" hidden="1">{#N/A,#N/A,FALSE,"3가";#N/A,#N/A,FALSE,"3나";#N/A,#N/A,FALSE,"3다"}</definedName>
    <definedName name="dkskslfjklsd" hidden="1">{#N/A,#N/A,FALSE,"1.CRITERIA";#N/A,#N/A,FALSE,"2.IS";#N/A,#N/A,FALSE,"3.BS";#N/A,#N/A,FALSE,"4.PER PL";#N/A,#N/A,FALSE,"5.INVESTMENT";#N/A,#N/A,FALSE,"6.공문";#N/A,#N/A,FALSE,"7.netinvest"}</definedName>
    <definedName name="dl">#REF!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LTMD" hidden="1">#N/A</definedName>
    <definedName name="dltmdwo">#N/A</definedName>
    <definedName name="DOCS">#N/A</definedName>
    <definedName name="Document_array">{"Book1"}</definedName>
    <definedName name="DOL">#REF!</definedName>
    <definedName name="DOMESTIC">#REF!</definedName>
    <definedName name="domestic_ctn_twill">#REF!</definedName>
    <definedName name="Dongjin">#REF!</definedName>
    <definedName name="DOOR">#REF!</definedName>
    <definedName name="DPS">#REF!</definedName>
    <definedName name="D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AW_COM">#REF!</definedName>
    <definedName name="DRAW_COM2">#REF!</definedName>
    <definedName name="DRAW_TICK">#REF!</definedName>
    <definedName name="DRIVEABILITY" hidden="1">{#N/A,#N/A,FALSE,"단축1";#N/A,#N/A,FALSE,"단축2";#N/A,#N/A,FALSE,"단축3";#N/A,#N/A,FALSE,"장축";#N/A,#N/A,FALSE,"4WD"}</definedName>
    <definedName name="DROW">#N/A</definedName>
    <definedName name="dsafasd" hidden="1">{#N/A,#N/A,FALSE,"BS";#N/A,#N/A,FALSE,"PL";#N/A,#N/A,FALSE,"처분";#N/A,#N/A,FALSE,"현금";#N/A,#N/A,FALSE,"매출";#N/A,#N/A,FALSE,"원가";#N/A,#N/A,FALSE,"경영"}</definedName>
    <definedName name="dsasdf" hidden="1">{#N/A,#N/A,TRUE,"Assumptions";#N/A,#N/A,TRUE,"Sources of Revenue";#N/A,#N/A,TRUE,"P&amp;L";#N/A,#N/A,TRUE,"Bal. Sheet";#N/A,#N/A,TRUE,"Rights Issue &amp; X Adjustment";#N/A,#N/A,TRUE,"Transaction Model"}</definedName>
    <definedName name="DSF" hidden="1">#REF!</definedName>
    <definedName name="dsjflsajf" hidden="1">{#N/A,#N/A,FALSE,"BS";#N/A,#N/A,FALSE,"PL";#N/A,#N/A,FALSE,"처분";#N/A,#N/A,FALSE,"현금";#N/A,#N/A,FALSE,"매출";#N/A,#N/A,FALSE,"원가";#N/A,#N/A,FALSE,"경영"}</definedName>
    <definedName name="DSL" hidden="1">{#N/A,#N/A,FALSE,"단축1";#N/A,#N/A,FALSE,"단축2";#N/A,#N/A,FALSE,"단축3";#N/A,#N/A,FALSE,"장축";#N/A,#N/A,FALSE,"4WD"}</definedName>
    <definedName name="DU7월Order_J">#REF!</definedName>
    <definedName name="DU7월Order_V">#REF!</definedName>
    <definedName name="DU8월Order_J">#REF!</definedName>
    <definedName name="DU8월Order_V">#REF!</definedName>
    <definedName name="dud" hidden="1">{#N/A,#N/A,FALSE,"Aging Summary";#N/A,#N/A,FALSE,"Ratio Analysis";#N/A,#N/A,FALSE,"Test 120 Day Accts";#N/A,#N/A,FALSE,"Tickmarks"}</definedName>
    <definedName name="DUMP일정" hidden="1">{#N/A,#N/A,FALSE,"신규dep";#N/A,#N/A,FALSE,"신규dep-금형상각후";#N/A,#N/A,FALSE,"신규dep-연구비상각후";#N/A,#N/A,FALSE,"신규dep-기계,공구상각후"}</definedName>
    <definedName name="dwsev01">#REF!</definedName>
    <definedName name="dyna">#REF!</definedName>
    <definedName name="Dyna_Process">#REF!</definedName>
    <definedName name="dㄴㄹㅇ" hidden="1">{#N/A,#N/A,FALSE,"Aging Summary";#N/A,#N/A,FALSE,"Ratio Analysis";#N/A,#N/A,FALSE,"Test 120 Day Accts";#N/A,#N/A,FALSE,"Tickmarks"}</definedName>
    <definedName name="e" hidden="1">#REF!</definedName>
    <definedName name="ea" hidden="1">{#N/A,#N/A,FALSE,"Aging Summary";#N/A,#N/A,FALSE,"Ratio Analysis";#N/A,#N/A,FALSE,"Test 120 Day Accts";#N/A,#N/A,FALSE,"Tickmarks"}</definedName>
    <definedName name="EC_Plan">#REF!</definedName>
    <definedName name="ECOF">#REF!</definedName>
    <definedName name="EDPSP">#REF!</definedName>
    <definedName name="EE">#REF!</definedName>
    <definedName name="EEC">#N/A</definedName>
    <definedName name="eee" hidden="1">{#N/A,#N/A,TRUE,"Assumptions";#N/A,#N/A,TRUE,"Sources of Revenue";#N/A,#N/A,TRUE,"P&amp;L";#N/A,#N/A,TRUE,"Bal. Sheet";#N/A,#N/A,TRUE,"Rights Issue &amp; X Adjustment";#N/A,#N/A,TRUE,"Transaction Model"}</definedName>
    <definedName name="eeee" hidden="1">#REF!</definedName>
    <definedName name="eeeee" hidden="1">#REF!</definedName>
    <definedName name="EEEEEE">#REF!</definedName>
    <definedName name="eeeeeeee">#REF!</definedName>
    <definedName name="eeeeeeeeeeeee">#REF!</definedName>
    <definedName name="eeeeeeeeeeeeeee" hidden="1">{"'호선별현황(방식)'!$K$22:$P$22","'호선별현황(방식)'!$K$22:$P$22"}</definedName>
    <definedName name="eeeeeeeeeeeeeeeeeeeeeee">#REF!</definedName>
    <definedName name="efewf" hidden="1">#N/A</definedName>
    <definedName name="EffDate">#REF!</definedName>
    <definedName name="EGPSP">#REF!</definedName>
    <definedName name="EI">#REF!</definedName>
    <definedName name="EKA_Adj">#REF!</definedName>
    <definedName name="EKA_Fut">#REF!</definedName>
    <definedName name="EKA_Stk">#REF!</definedName>
    <definedName name="EKC">#REF!</definedName>
    <definedName name="eland">#REF!</definedName>
    <definedName name="ELC">#REF!</definedName>
    <definedName name="ELG">#REF!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mail">#REF!</definedName>
    <definedName name="EMC_종평보고" hidden="1">#REF!</definedName>
    <definedName name="EMEABUDGET">#REF!</definedName>
    <definedName name="EMEASUMMARY">#REF!</definedName>
    <definedName name="Employee">#REF!</definedName>
    <definedName name="Empty">#REF!,#REF!,#REF!</definedName>
    <definedName name="end">#REF!</definedName>
    <definedName name="END_SHARE">#REF!</definedName>
    <definedName name="ENG">#REF!</definedName>
    <definedName name="ENG_COOLG">#REF!</definedName>
    <definedName name="eng감가">#REF!</definedName>
    <definedName name="eng매출">#REF!</definedName>
    <definedName name="ENG배부">#REF!</definedName>
    <definedName name="eng인원">#REF!</definedName>
    <definedName name="EntryYield">#REF!</definedName>
    <definedName name="EntryYield_GoalSeek">#REF!</definedName>
    <definedName name="eo" hidden="1">{#N/A,#N/A,FALSE,"BS";#N/A,#N/A,FALSE,"PL";#N/A,#N/A,FALSE,"처분";#N/A,#N/A,FALSE,"현금";#N/A,#N/A,FALSE,"매출";#N/A,#N/A,FALSE,"원가";#N/A,#N/A,FALSE,"경영"}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quity">#REF!</definedName>
    <definedName name="er">#REF!</definedName>
    <definedName name="ERGFDG">#REF!</definedName>
    <definedName name="ErrorCode_Table">#REF!</definedName>
    <definedName name="ert" hidden="1">{#N/A,#N/A,TRUE,"Y생산";#N/A,#N/A,TRUE,"Y판매";#N/A,#N/A,TRUE,"Y총물량";#N/A,#N/A,TRUE,"Y능력";#N/A,#N/A,TRUE,"YKD"}</definedName>
    <definedName name="ertyweg" hidden="1">#REF!</definedName>
    <definedName name="erwweqr" hidden="1">#REF!</definedName>
    <definedName name="eryhetyjufkg" hidden="1">#REF!</definedName>
    <definedName name="es" hidden="1">{#N/A,#N/A,FALSE,"Aging Summary";#N/A,#N/A,FALSE,"Ratio Analysis";#N/A,#N/A,FALSE,"Test 120 Day Accts";#N/A,#N/A,FALSE,"Tickmarks"}</definedName>
    <definedName name="esafasf" hidden="1">#REF!</definedName>
    <definedName name="esc">#REF!</definedName>
    <definedName name="escalation">#REF!</definedName>
    <definedName name="Escalation_Rate">#REF!</definedName>
    <definedName name="EscRate">#REF!</definedName>
    <definedName name="et">#REF!</definedName>
    <definedName name="EUATP">#REF!</definedName>
    <definedName name="Euroup_V5" hidden="1">#N/A</definedName>
    <definedName name="EV__LASTREFTIME__" hidden="1">"2018-09-14 오전 10:20:22"</definedName>
    <definedName name="evict_smarket">#REF!</definedName>
    <definedName name="ewe">#REF!</definedName>
    <definedName name="ex">#REF!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h">#REF!</definedName>
    <definedName name="Exch_Rate_End_Of_Period">#REF!</definedName>
    <definedName name="Exchange_Rate">#REF!</definedName>
    <definedName name="EXCLUDE">#N/A</definedName>
    <definedName name="EXDATE">#REF!</definedName>
    <definedName name="existing_key_money">#REF!</definedName>
    <definedName name="existing_occupancy">#REF!</definedName>
    <definedName name="Exit_Cap">#REF!</definedName>
    <definedName name="Exit_Cost">#REF!</definedName>
    <definedName name="Exit_Date">#REF!</definedName>
    <definedName name="Exit_Price">#REF!</definedName>
    <definedName name="Exit_Reversion">#REF!</definedName>
    <definedName name="Exit_Term">#REF!</definedName>
    <definedName name="EXP">#REF!</definedName>
    <definedName name="ExpandOutputs">#REF!</definedName>
    <definedName name="ExpandVPeriods">#REF!</definedName>
    <definedName name="Expenses">#REF!</definedName>
    <definedName name="ExportFile">#REF!</definedName>
    <definedName name="EXT" hidden="1">{#N/A,#N/A,TRUE,"일정"}</definedName>
    <definedName name="External_Renovation">#REF!</definedName>
    <definedName name="_xlnm.Extract">#REF!</definedName>
    <definedName name="Extract_MI">#REF!</definedName>
    <definedName name="EXTT" hidden="1">{#N/A,#N/A,TRUE,"일정"}</definedName>
    <definedName name="E매출">#REF!</definedName>
    <definedName name="E이자">#REF!</definedName>
    <definedName name="e인원">#REF!</definedName>
    <definedName name="F" hidden="1">{#N/A,#N/A,FALSE,"96 3월물량표";#N/A,#N/A,FALSE,"96 4월물량표";#N/A,#N/A,FALSE,"96 5월물량표"}</definedName>
    <definedName name="F?LZEICHEN">#REF!</definedName>
    <definedName name="F_123">#N/A</definedName>
    <definedName name="FA">#REF!</definedName>
    <definedName name="factor">#REF!</definedName>
    <definedName name="Factor2">#REF!</definedName>
    <definedName name="Factor3">#REF!</definedName>
    <definedName name="Factor4a">#REF!</definedName>
    <definedName name="FAKOR">#REF!</definedName>
    <definedName name="Fall1차" hidden="1">{#N/A,#N/A,FALSE,"95FW"}</definedName>
    <definedName name="fasdfadf" hidden="1">{#N/A,#N/A,FALSE,"Aging Summary";#N/A,#N/A,FALSE,"Ratio Analysis";#N/A,#N/A,FALSE,"Test 120 Day Accts";#N/A,#N/A,FALSE,"Tickmarks"}</definedName>
    <definedName name="Fax">#REF!</definedName>
    <definedName name="FA증감">#REF!</definedName>
    <definedName name="fchynd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asfds">#REF!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S">#REF!</definedName>
    <definedName name="FE">#REF!</definedName>
    <definedName name="Fee">#REF!</definedName>
    <definedName name="feee" hidden="1">{"'買掛金'!$J$6"}</definedName>
    <definedName name="Fees">#REF!</definedName>
    <definedName name="FF">#REF!</definedName>
    <definedName name="ffee" hidden="1">{"'買掛金'!$J$6"}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">#REF!</definedName>
    <definedName name="ffffffffffffffffffffffffffffffffffffffffffffffffffffffffff">#REF!</definedName>
    <definedName name="FFGFG" hidden="1">#REF!</definedName>
    <definedName name="FG">#REF!</definedName>
    <definedName name="FG10TBTB2RT">#REF!</definedName>
    <definedName name="FG12TBTB2RTDKDKGMLRT">#REF!</definedName>
    <definedName name="FG22TBTB3RTDKDKDK">#REF!</definedName>
    <definedName name="FG46TBTB4RTDKDK">#REF!</definedName>
    <definedName name="FGDG">#REF!</definedName>
    <definedName name="FGGHGFHJ" hidden="1">{#N/A,#N/A,FALSE,"단축1";#N/A,#N/A,FALSE,"단축2";#N/A,#N/A,FALSE,"단축3";#N/A,#N/A,FALSE,"장축";#N/A,#N/A,FALSE,"4WD"}</definedName>
    <definedName name="fghj" hidden="1">{#N/A,#N/A,TRUE,"Assumptions";#N/A,#N/A,TRUE,"Sources of Revenue";#N/A,#N/A,TRUE,"P&amp;L";#N/A,#N/A,TRUE,"Bal. Sheet";#N/A,#N/A,TRUE,"Rights Issue &amp; X Adjustment";#N/A,#N/A,TRUE,"Transaction Model"}</definedName>
    <definedName name="FGHJFGHJ" hidden="1">{#N/A,#N/A,TRUE,"Assumptions";#N/A,#N/A,TRUE,"Sources of Revenue";#N/A,#N/A,TRUE,"P&amp;L";#N/A,#N/A,TRUE,"Bal. Sheet";#N/A,#N/A,TRUE,"Rights Issue &amp; X Adjustment";#N/A,#N/A,TRUE,"Transaction Model"}</definedName>
    <definedName name="fghjfgkj" hidden="1">{#N/A,#N/A,TRUE,"Assumptions";#N/A,#N/A,TRUE,"Sources of Revenue";#N/A,#N/A,TRUE,"P&amp;L";#N/A,#N/A,TRUE,"Bal. Sheet";#N/A,#N/A,TRUE,"Rights Issue &amp; X Adjustment";#N/A,#N/A,TRUE,"Transaction Model"}</definedName>
    <definedName name="FGHJFJ" hidden="1">{#N/A,#N/A,TRUE,"Assumptions";#N/A,#N/A,TRUE,"Sources of Revenue";#N/A,#N/A,TRUE,"P&amp;L";#N/A,#N/A,TRUE,"Bal. Sheet";#N/A,#N/A,TRUE,"Rights Issue &amp; X Adjustment";#N/A,#N/A,TRUE,"Transaction Model"}</definedName>
    <definedName name="fgj" hidden="1">{"'호선별현황(방식)'!$K$22:$P$22","'호선별현황(방식)'!$K$22:$P$22"}</definedName>
    <definedName name="fgPRPRRKRKRKRKRKTBTB2RT">#REF!</definedName>
    <definedName name="FGPRTBTB1RTDKDK">#REF!</definedName>
    <definedName name="FGRKBS11TBTB3RTDKDK">#REF!</definedName>
    <definedName name="FGrkbs7tbtbsprt">#REF!</definedName>
    <definedName name="fgRKBS8TBTB3RT">#REF!</definedName>
    <definedName name="FGRKRKRKRKRKRKRKRKRKTBTB1RTDKDK">#REF!</definedName>
    <definedName name="fgRKRKRKRKRKTBTB2RTDKDK">#REF!</definedName>
    <definedName name="FGtbtbspspsprtdkdk">#REF!</definedName>
    <definedName name="FHGFHJGHJK">#REF!</definedName>
    <definedName name="File">#REF!</definedName>
    <definedName name="FINAL_FS">#N/A</definedName>
    <definedName name="finalReport">#N/A</definedName>
    <definedName name="Financials">#REF!</definedName>
    <definedName name="Financing_Fee">#REF!</definedName>
    <definedName name="findingss" hidden="1">{#N/A,#N/A,FALSE,"Aging Summary";#N/A,#N/A,FALSE,"Ratio Analysis";#N/A,#N/A,FALSE,"Test 120 Day Accts";#N/A,#N/A,FALSE,"Tickmarks"}</definedName>
    <definedName name="FinishedGoods">#REF!</definedName>
    <definedName name="FirstCell">#REF!</definedName>
    <definedName name="FirstFinYearEnd">#REF!</definedName>
    <definedName name="Fiscal_term">#REF!</definedName>
    <definedName name="FJD" hidden="1">{#N/A,#N/A,FALSE,"단축1";#N/A,#N/A,FALSE,"단축2";#N/A,#N/A,FALSE,"단축3";#N/A,#N/A,FALSE,"장축";#N/A,#N/A,FALSE,"4WD"}</definedName>
    <definedName name="fjdks" hidden="1">{#N/A,#N/A,FALSE,"Aging Summary";#N/A,#N/A,FALSE,"Ratio Analysis";#N/A,#N/A,FALSE,"Test 120 Day Accts";#N/A,#N/A,FALSE,"Tickmarks"}</definedName>
    <definedName name="fkla" hidden="1">{#N/A,#N/A,TRUE,"Y생산";#N/A,#N/A,TRUE,"Y판매";#N/A,#N/A,TRUE,"Y총물량";#N/A,#N/A,TRUE,"Y능력";#N/A,#N/A,TRUE,"YKD"}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AG1">#REF!</definedName>
    <definedName name="FLAG2">#REF!</definedName>
    <definedName name="FLAG3">#REF!</definedName>
    <definedName name="FLAG4">#REF!</definedName>
    <definedName name="Flex_Plan">#REF!</definedName>
    <definedName name="FLEXIBLE.T.L" hidden="1">{#N/A,#N/A,FALSE,"단축1";#N/A,#N/A,FALSE,"단축2";#N/A,#N/A,FALSE,"단축3";#N/A,#N/A,FALSE,"장축";#N/A,#N/A,FALSE,"4WD"}</definedName>
    <definedName name="Floors">#REF!</definedName>
    <definedName name="FM계약일할" hidden="1">{#N/A,#N/A,TRUE,"대 차 대 조 표"}</definedName>
    <definedName name="FM계약일할_1" hidden="1">{#N/A,#N/A,TRUE,"대 차 대 조 표"}</definedName>
    <definedName name="Fo">#REF!</definedName>
    <definedName name="FO_02">68700</definedName>
    <definedName name="Fondi_ammortamento">#REF!:#REF!</definedName>
    <definedName name="forex">#REF!</definedName>
    <definedName name="Format">#REF!</definedName>
    <definedName name="formulas">#REF!</definedName>
    <definedName name="fournimmo">#REF!</definedName>
    <definedName name="FR">#REF!</definedName>
    <definedName name="frg" hidden="1">{#N/A,#N/A,FALSE,"표지";#N/A,#N/A,FALSE,"전제";#N/A,#N/A,FALSE,"손익-자 (2)";#N/A,#N/A,FALSE,"손익-자";#N/A,#N/A,FALSE,"손익-마 (2)";#N/A,#N/A,FALSE,"손익-마";#N/A,#N/A,FALSE,"총손최종"}</definedName>
    <definedName name="fs">#REF!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Mth">#REF!</definedName>
    <definedName name="Function_List1">#REF!</definedName>
    <definedName name="Function_List2">#REF!</definedName>
    <definedName name="Funding">#REF!</definedName>
    <definedName name="FVF" hidden="1">#REF!</definedName>
    <definedName name="fx">#REF!</definedName>
    <definedName name="G" hidden="1">{#N/A,#N/A,FALSE,"96 3월물량표";#N/A,#N/A,FALSE,"96 4월물량표";#N/A,#N/A,FALSE,"96 5월물량표"}</definedName>
    <definedName name="ga" hidden="1">{#N/A,#N/A,FALSE,"Aging Summary";#N/A,#N/A,FALSE,"Ratio Analysis";#N/A,#N/A,FALSE,"Test 120 Day Accts";#N/A,#N/A,FALSE,"Tickmarks"}</definedName>
    <definedName name="GALP">#REF!</definedName>
    <definedName name="GandA97">#REF!</definedName>
    <definedName name="gd" hidden="1">#REF!</definedName>
    <definedName name="gdmhgdmhg" hidden="1">{#N/A,#N/A,TRUE,"일정"}</definedName>
    <definedName name="GDP">#REF!</definedName>
    <definedName name="GE_Share">#REF!</definedName>
    <definedName name="GECC_Share">#REF!</definedName>
    <definedName name="General">#REF!</definedName>
    <definedName name="GF">#REF!</definedName>
    <definedName name="GFA">#REF!</definedName>
    <definedName name="GFA_Before">#REF!</definedName>
    <definedName name="GFACJ">#REF!</definedName>
    <definedName name="gfasdgasgasd" hidden="1">#REF!</definedName>
    <definedName name="GFD" hidden="1">{#N/A,#N/A,TRUE,"일정"}</definedName>
    <definedName name="GFHGJ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>#REF!</definedName>
    <definedName name="gg_1" hidden="1">{#N/A,#N/A,FALSE,"Aging Summary";#N/A,#N/A,FALSE,"Ratio Analysis";#N/A,#N/A,FALSE,"Test 120 Day Accts";#N/A,#N/A,FALSE,"Tickmarks"}</definedName>
    <definedName name="GGG" hidden="1">{"'Sheet1'!$A$1:$H$36"}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ggggggggggg" hidden="1">{#N/A,#N/A,FALSE,"SILO현황";#N/A,#N/A,FALSE,"타업체";#N/A,#N/A,FALSE,"생산능력"}</definedName>
    <definedName name="gggggggggggggggggggggggggggggggg">#REF!</definedName>
    <definedName name="GH">#REF!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J">#REF!</definedName>
    <definedName name="GHHH" hidden="1">#REF!</definedName>
    <definedName name="GHJGH">#REF!</definedName>
    <definedName name="GHKJL">#REF!</definedName>
    <definedName name="GHLDML" hidden="1">{#N/A,#N/A,FALSE,"품의서";#N/A,#N/A,FALSE,"전제";#N/A,#N/A,FALSE,"총손";#N/A,#N/A,FALSE,"손익"}</definedName>
    <definedName name="GHUTGHF" hidden="1">{#N/A,#N/A,FALSE,"96 3월물량표";#N/A,#N/A,FALSE,"96 4월물량표";#N/A,#N/A,FALSE,"96 5월물량표"}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YKU" hidden="1">{#N/A,#N/A,TRUE,"Y생산";#N/A,#N/A,TRUE,"Y판매";#N/A,#N/A,TRUE,"Y총물량";#N/A,#N/A,TRUE,"Y능력";#N/A,#N/A,TRUE,"YKD"}</definedName>
    <definedName name="gksthf" localSheetId="1">BlankMacro1</definedName>
    <definedName name="gksthf" localSheetId="0">BlankMacro1</definedName>
    <definedName name="gksthf">BlankMacro1</definedName>
    <definedName name="GL_Balance">#REF!</definedName>
    <definedName name="GLS">#REF!</definedName>
    <definedName name="GRACE">#REF!</definedName>
    <definedName name="GRADE">#N/A</definedName>
    <definedName name="Graph">#REF!</definedName>
    <definedName name="GRAPH1">#REF!</definedName>
    <definedName name="GRAPH2">#REF!</definedName>
    <definedName name="Gross_Area">#REF!</definedName>
    <definedName name="GROUP">#N/A</definedName>
    <definedName name="GRY">#REF!</definedName>
    <definedName name="gunmok">#N/A</definedName>
    <definedName name="gvdasskv" hidden="1">{#N/A,#N/A,TRUE,"일정"}</definedName>
    <definedName name="H" hidden="1">{#N/A,#N/A,TRUE,"Y생산";#N/A,#N/A,TRUE,"Y판매";#N/A,#N/A,TRUE,"Y총물량";#N/A,#N/A,TRUE,"Y능력";#N/A,#N/A,TRUE,"YKD"}</definedName>
    <definedName name="H1_">#REF!</definedName>
    <definedName name="hcc감가">#REF!</definedName>
    <definedName name="hcc매출">#REF!</definedName>
    <definedName name="hcc인원">#REF!</definedName>
    <definedName name="HCINV">#REF!</definedName>
    <definedName name="hcownership">#REF!</definedName>
    <definedName name="Hd_CarLn">#REF!</definedName>
    <definedName name="Hd_DB_DthPen">#REF!</definedName>
    <definedName name="Hd_DC_Cont">#REF!</definedName>
    <definedName name="Hd_HseLn">#REF!</definedName>
    <definedName name="Hd_LA_SalDef">#REF!</definedName>
    <definedName name="Hd_LTD_provA">#REF!</definedName>
    <definedName name="Hd_LTD_provB">#REF!</definedName>
    <definedName name="Hd_LTD_provC">#REF!</definedName>
    <definedName name="Hd_LTD_SalDef">#REF!</definedName>
    <definedName name="Hd_Med_PlanType">#REF!</definedName>
    <definedName name="Hd_Mob">#REF!</definedName>
    <definedName name="Hd_Ret_SalDe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ds">#REF!</definedName>
    <definedName name="head">#REF!</definedName>
    <definedName name="Hedge_Cost">#REF!</definedName>
    <definedName name="HEN">#REF!</definedName>
    <definedName name="HFG" hidden="1">{#N/A,#N/A,TRUE,"Y생산";#N/A,#N/A,TRUE,"Y판매";#N/A,#N/A,TRUE,"Y총물량";#N/A,#N/A,TRUE,"Y능력";#N/A,#N/A,TRUE,"YKD"}</definedName>
    <definedName name="hgc" hidden="1">{#N/A,#N/A,TRUE,"대 차 대 조 표"}</definedName>
    <definedName name="hgc_1" hidden="1">{#N/A,#N/A,TRUE,"대 차 대 조 표"}</definedName>
    <definedName name="hgfshg" hidden="1">{#N/A,#N/A,TRUE,"일정"}</definedName>
    <definedName name="hgfxd" hidden="1">{#N/A,#N/A,TRUE,"일정"}</definedName>
    <definedName name="HGGHHG" hidden="1">#REF!</definedName>
    <definedName name="HGHTJTY">#REF!</definedName>
    <definedName name="hgkdj" hidden="1">{"AnnualRentRoll",#N/A,FALSE,"RentRoll"}</definedName>
    <definedName name="hgkdj_1" hidden="1">{"AnnualRentRoll",#N/A,FALSE,"RentRoll"}</definedName>
    <definedName name="HGXC">#REF!</definedName>
    <definedName name="HH">#REF!</definedName>
    <definedName name="HHH">#REF!</definedName>
    <definedName name="hhhhhhhhhhhhhhhhhhhh">#REF!</definedName>
    <definedName name="hhhhhhhhhhhhhhhhhhhhhh">#REF!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hidden="1">#REF!</definedName>
    <definedName name="hjdg" hidden="1">{#N/A,#N/A,FALSE,"PropertyInfo"}</definedName>
    <definedName name="hjdg_1" hidden="1">{#N/A,#N/A,FALSE,"PropertyInfo"}</definedName>
    <definedName name="HJJHKHJ">#REF!</definedName>
    <definedName name="hjjjh" hidden="1">{#N/A,#N/A,FALSE,"Aging Summary";#N/A,#N/A,FALSE,"Ratio Analysis";#N/A,#N/A,FALSE,"Test 120 Day Accts";#N/A,#N/A,FALSE,"Tickmarks"}</definedName>
    <definedName name="hkd">#REF!</definedName>
    <definedName name="HKHL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o">#REF!</definedName>
    <definedName name="Hold_Year">#REF!</definedName>
    <definedName name="hon">#REF!</definedName>
    <definedName name="HOUSECODE">#N/A</definedName>
    <definedName name="Housing">#REF!</definedName>
    <definedName name="HOVATCODE">#N/A</definedName>
    <definedName name="HOVATRATE">#N/A</definedName>
    <definedName name="HOZIP">#N/A</definedName>
    <definedName name="HTML_CodePage" hidden="1">949</definedName>
    <definedName name="HTML_Control" hidden="1">{"'손익현황'!$A$1:$J$29"}</definedName>
    <definedName name="HTML_Description" hidden="1">""</definedName>
    <definedName name="HTML_Email" hidden="1">""</definedName>
    <definedName name="HTML_Header" hidden="1">""</definedName>
    <definedName name="HTML_LastUpdate" hidden="1">"98-10-28"</definedName>
    <definedName name="HTML_LineAfter" hidden="1">FALSE</definedName>
    <definedName name="HTML_LineBefore" hidden="1">FALSE</definedName>
    <definedName name="HTML_Name" hidden="1">"박진영"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"D:\PARK98\98실적보고\미착"</definedName>
    <definedName name="HTML_PathTemplate" hidden="1">"\\맹세호\USERS\jhkim\Finding\T200 ESO.HTML"</definedName>
    <definedName name="HTML_Title" hidden="1">""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YL">#REF!</definedName>
    <definedName name="HYP" hidden="1">#REF!</definedName>
    <definedName name="H매출">#REF!</definedName>
    <definedName name="H이자">#REF!</definedName>
    <definedName name="H인원">#REF!</definedName>
    <definedName name="I">#REF!</definedName>
    <definedName name="I_Ex_Factor">#REF!</definedName>
    <definedName name="ia" hidden="1">{#N/A,#N/A,FALSE,"Aging Summary";#N/A,#N/A,FALSE,"Ratio Analysis";#N/A,#N/A,FALSE,"Test 120 Day Accts";#N/A,#N/A,FALSE,"Tickmarks"}</definedName>
    <definedName name="ic" hidden="1">{#N/A,#N/A,FALSE,"단축1";#N/A,#N/A,FALSE,"단축2";#N/A,#N/A,FALSE,"단축3";#N/A,#N/A,FALSE,"장축";#N/A,#N/A,FALSE,"4WD"}</definedName>
    <definedName name="ID">#N/A</definedName>
    <definedName name="II">#REF!</definedName>
    <definedName name="III">#REF!</definedName>
    <definedName name="iiii">#N/A</definedName>
    <definedName name="iiiiiiiiiiiiiiiiiiiiiiiiiiiiiiiiiiiiiiiiiiiiiiiiiiiiiiiiiiiiiiiiiiiiiii">#REF!</definedName>
    <definedName name="iiiiiiiiiiiiiiiiiiiiiiiiiiiiiiiiiiiiiiiiiiiiiiiiiiiiiiiiiiiiiiiiiiiiiiiiiiiiiiiiiiiiiiiiiiiiiiiiiiiiiiiiiiiiiiiiiiiiiiiiiiiiiiiiiiiiiiiiiiiiiiiiiiiiiiiiiiiiiiii">#REF!</definedName>
    <definedName name="Immobilizzazioni">#REF!:#REF!</definedName>
    <definedName name="import">#REF!</definedName>
    <definedName name="ImportFile">#REF!</definedName>
    <definedName name="Improvement">#REF!</definedName>
    <definedName name="Inc">#REF!</definedName>
    <definedName name="Inc_Base">#REF!</definedName>
    <definedName name="include_interest">#REF!</definedName>
    <definedName name="Income">#REF!</definedName>
    <definedName name="Income_Projection_시작일">#REF!</definedName>
    <definedName name="IncomeData">#REF!</definedName>
    <definedName name="IncomeStatementDates">#REF!</definedName>
    <definedName name="INDEX">#REF!</definedName>
    <definedName name="indiv_rate">#REF!</definedName>
    <definedName name="industry_group">#REF!</definedName>
    <definedName name="inflation">#REF!</definedName>
    <definedName name="info">#REF!</definedName>
    <definedName name="ini_button_Click">#N/A</definedName>
    <definedName name="INPUT">#REF!</definedName>
    <definedName name="Installment_1">#REF!</definedName>
    <definedName name="Installment_2">#REF!</definedName>
    <definedName name="Installment_3">#REF!</definedName>
    <definedName name="Installment_4">#REF!</definedName>
    <definedName name="Installment_5">#REF!</definedName>
    <definedName name="Instructions">#REF!</definedName>
    <definedName name="INT" hidden="1">{#N/A,#N/A,TRUE,"일정"}</definedName>
    <definedName name="INTER">#REF!</definedName>
    <definedName name="INTER_CO">#REF!</definedName>
    <definedName name="interest_income_included">#REF!</definedName>
    <definedName name="Interest_Reserve">#REF!</definedName>
    <definedName name="interestoverall" hidden="1">{#N/A,#N/A,FALSE,"Aging Summary";#N/A,#N/A,FALSE,"Ratio Analysis";#N/A,#N/A,FALSE,"Test 120 Day Accts";#N/A,#N/A,FALSE,"Tickmarks"}</definedName>
    <definedName name="Internal_Renovation">#REF!</definedName>
    <definedName name="INVDATE">#N/A</definedName>
    <definedName name="INVNUM">#N/A</definedName>
    <definedName name="invoice">#REF!</definedName>
    <definedName name="ipo_pct">#REF!</definedName>
    <definedName name="IPRT">#REF!</definedName>
    <definedName name="IPRTSAV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"c156"</definedName>
    <definedName name="IQ_EBITDA_GROWTH_2" hidden="1">"c160"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_1" hidden="1">"c189"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43557.9304282407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REVISION_DATE_" hidden="1">38945.4937962963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RA7" hidden="1">"$A$8:$A$11"</definedName>
    <definedName name="IQRB7" hidden="1">"$B$8:$B$11"</definedName>
    <definedName name="IQRC7" hidden="1">"$C$8:$C$11"</definedName>
    <definedName name="IQRD7" hidden="1">"$D$8:$D$11"</definedName>
    <definedName name="IQRE7" hidden="1">"$E$8:$E$11"</definedName>
    <definedName name="IQRF7" hidden="1">"$F$8:$F$11"</definedName>
    <definedName name="IQRG7" hidden="1">"$G$8:$G$11"</definedName>
    <definedName name="IQRH7" hidden="1">"$H$8:$H$11"</definedName>
    <definedName name="IQRI7" hidden="1">"$I$8:$I$11"</definedName>
    <definedName name="IQRJ7" hidden="1">"$J$8:$J$11"</definedName>
    <definedName name="IR">#N/A</definedName>
    <definedName name="IR8145_">#N/A</definedName>
    <definedName name="IRR">#REF!</definedName>
    <definedName name="IS">#REF!</definedName>
    <definedName name="IS_JP">{"Client Name or Project Name"}</definedName>
    <definedName name="ISAVE">#REF!</definedName>
    <definedName name="issue">#REF!</definedName>
    <definedName name="IT" hidden="1">{"'Sheet1'!$A$1:$H$36"}</definedName>
    <definedName name="ITEM1">#REF!</definedName>
    <definedName name="Iter">#REF!</definedName>
    <definedName name="IT수정" hidden="1">{"'Sheet1'!$A$1:$H$36"}</definedName>
    <definedName name="IWJJJJ" hidden="1">{#N/A,#N/A,FALSE,"Aging Summary";#N/A,#N/A,FALSE,"Ratio Analysis";#N/A,#N/A,FALSE,"Test 120 Day Accts";#N/A,#N/A,FALSE,"Tickmarks"}</definedName>
    <definedName name="j">#REF!</definedName>
    <definedName name="jalkjalkf" hidden="1">{#N/A,#N/A,FALSE,"BS";#N/A,#N/A,FALSE,"PL";#N/A,#N/A,FALSE,"처분";#N/A,#N/A,FALSE,"현금";#N/A,#N/A,FALSE,"매출";#N/A,#N/A,FALSE,"원가";#N/A,#N/A,FALSE,"경영"}</definedName>
    <definedName name="Japan_IncTax">#REF!</definedName>
    <definedName name="Japan_WHT">#REF!</definedName>
    <definedName name="jd" hidden="1">{#N/A,#N/A,FALSE,"LoanAssumptions"}</definedName>
    <definedName name="jd_1" hidden="1">{#N/A,#N/A,FALSE,"LoanAssumptions"}</definedName>
    <definedName name="je">#REF!</definedName>
    <definedName name="jfksjdf" hidden="1">{#N/A,#N/A,FALSE,"Aging Summary";#N/A,#N/A,FALSE,"Ratio Analysis";#N/A,#N/A,FALSE,"Test 120 Day Accts";#N/A,#N/A,FALSE,"Tickmarks"}</definedName>
    <definedName name="jgfsjhgfsjhgfsdjhgfds" hidden="1">{#N/A,#N/A,TRUE,"일정"}</definedName>
    <definedName name="JGH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IN">#REF!</definedName>
    <definedName name="JINs_Option">#REF!</definedName>
    <definedName name="JINs_Option2">#REF!</definedName>
    <definedName name="JJ">#REF!</definedName>
    <definedName name="jjj" hidden="1">{"'호선별현황(방식)'!$K$22:$P$22","'호선별현황(방식)'!$K$22:$P$22"}</definedName>
    <definedName name="JJJJ" hidden="1">#REF!</definedName>
    <definedName name="jjjjjjjjjjjjjjjjjjjjjjjjj">#REF!</definedName>
    <definedName name="jjjjjjjjjjjjjjjjjjjjjjjjjjjjjjjjj">#REF!</definedName>
    <definedName name="JJKR" hidden="1">#REF!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L">#REF!</definedName>
    <definedName name="jkljk" hidden="1">{#N/A,#N/A,FALSE,"이력서&amp;자기소개서"}</definedName>
    <definedName name="JKYUKUK">#REF!</definedName>
    <definedName name="jlkajs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">#REF!</definedName>
    <definedName name="job_run">#N/A</definedName>
    <definedName name="Journal">#REF!</definedName>
    <definedName name="journalcredit">#REF!</definedName>
    <definedName name="journaldebit">#REF!</definedName>
    <definedName name="Jr_CarLn">#REF!</definedName>
    <definedName name="Jr_DB_DthPen">#REF!</definedName>
    <definedName name="Jr_DC_Cont">#REF!</definedName>
    <definedName name="Jr_HseLn">#REF!</definedName>
    <definedName name="Jr_LA_SalDef">#REF!</definedName>
    <definedName name="Jr_LTD_provA">#REF!</definedName>
    <definedName name="Jr_LTD_provB">#REF!</definedName>
    <definedName name="Jr_LTD_provC">#REF!</definedName>
    <definedName name="Jr_LTD_SalDef">#REF!</definedName>
    <definedName name="Jr_Med_PlanType">#REF!</definedName>
    <definedName name="Jr_Mob">#REF!</definedName>
    <definedName name="JR_PAGE_ANCHOR_0_1">#REF!</definedName>
    <definedName name="Jr_Ret_SalDef">#REF!</definedName>
    <definedName name="jw.pl">#REF!</definedName>
    <definedName name="K">#REF!</definedName>
    <definedName name="K_OBO">#REF!</definedName>
    <definedName name="KEY" hidden="1">#REF!</definedName>
    <definedName name="Key_AcqCost">#REF!</definedName>
    <definedName name="Key_BuyPrice_Option">#REF!</definedName>
    <definedName name="Key_CapEx">#REF!</definedName>
    <definedName name="Key_DebtRatio">#REF!</definedName>
    <definedName name="Key_ExitCap">#REF!</definedName>
    <definedName name="Key_ExitCost">#REF!</definedName>
    <definedName name="Key_ExitPrice_Opion">#REF!</definedName>
    <definedName name="Key_Hedge">#REF!</definedName>
    <definedName name="Key_IRR">#REF!</definedName>
    <definedName name="key_money_dep">#REF!</definedName>
    <definedName name="Key_OtherAdminCost">#REF!</definedName>
    <definedName name="Key_SecDeposit">#REF!</definedName>
    <definedName name="Key_Tax">#REF!</definedName>
    <definedName name="KeyMoney">#REF!</definedName>
    <definedName name="keyy" hidden="1">#REF!</definedName>
    <definedName name="kfkrkf">#REF!</definedName>
    <definedName name="khks" hidden="1">#REF!</definedName>
    <definedName name="KIA" hidden="1">{#N/A,#N/A,FALSE,"단축1";#N/A,#N/A,FALSE,"단축2";#N/A,#N/A,FALSE,"단축3";#N/A,#N/A,FALSE,"장축";#N/A,#N/A,FALSE,"4WD"}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jkj" hidden="1">{#N/A,#N/A,FALSE,"표지";#N/A,#N/A,FALSE,"전제";#N/A,#N/A,FALSE,"손익-자 (2)";#N/A,#N/A,FALSE,"손익-자";#N/A,#N/A,FALSE,"손익-마 (2)";#N/A,#N/A,FALSE,"손익-마";#N/A,#N/A,FALSE,"총손최종"}</definedName>
    <definedName name="KIM" hidden="1">{#N/A,#N/A,FALSE,"단축1";#N/A,#N/A,FALSE,"단축2";#N/A,#N/A,FALSE,"단축3";#N/A,#N/A,FALSE,"장축";#N/A,#N/A,FALSE,"4WD"}</definedName>
    <definedName name="KING" hidden="1">#REF!</definedName>
    <definedName name="kj" hidden="1">#REF!</definedName>
    <definedName name="KJH">#REF!</definedName>
    <definedName name="KK">#REF!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HJ" hidden="1">{#N/A,#N/A,FALSE,"95FW"}</definedName>
    <definedName name="KKK" hidden="1">{#N/A,#N/A,FALSE,"단축1";#N/A,#N/A,FALSE,"단축2";#N/A,#N/A,FALSE,"단축3";#N/A,#N/A,FALSE,"장축";#N/A,#N/A,FALSE,"4WD"}</definedName>
    <definedName name="kkkk" hidden="1">0</definedName>
    <definedName name="KKKKK">#REF!</definedName>
    <definedName name="kkkkkkkkkkkkkkkkkkkkkkkkkkkkkkkkkkkkkkkkkkkkkkkkkkkkkkkkk">#REF!</definedName>
    <definedName name="kl">#REF!</definedName>
    <definedName name="kldf" hidden="1">#REF!</definedName>
    <definedName name="klsdfj" hidden="1">#REF!</definedName>
    <definedName name="KoDoYoung">#REF!</definedName>
    <definedName name="krwm">#REF!</definedName>
    <definedName name="KRWUSD">#REF!</definedName>
    <definedName name="KSJ_25" hidden="1">{#N/A,#N/A,FALSE,"동부"}</definedName>
    <definedName name="KSJ_25_1" hidden="1">{#N/A,#N/A,FALSE,"동부"}</definedName>
    <definedName name="KU" hidden="1">{#N/A,#N/A,TRUE,"Y생산";#N/A,#N/A,TRUE,"Y판매";#N/A,#N/A,TRUE,"Y총물량";#N/A,#N/A,TRUE,"Y능력";#N/A,#N/A,TRUE,"YKD"}</definedName>
    <definedName name="L" hidden="1">#N/A</definedName>
    <definedName name="L_CY_Beg">#REF!</definedName>
    <definedName name="LA_AccDth">#REF!</definedName>
    <definedName name="LA_BasedPay">#REF!</definedName>
    <definedName name="LA_Lsum">#REF!</definedName>
    <definedName name="LA_Plan">#REF!</definedName>
    <definedName name="LA_SpousePen">#REF!</definedName>
    <definedName name="land">#REF!</definedName>
    <definedName name="Land_Area">#REF!</definedName>
    <definedName name="Land_Value">#REF!</definedName>
    <definedName name="Language">#REF!</definedName>
    <definedName name="Last_Quarter">#REF!</definedName>
    <definedName name="Late">#REF!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02">256600</definedName>
    <definedName name="Leasing_Commission_New">#REF!</definedName>
    <definedName name="Leasing_Commission_Renewal">#REF!</definedName>
    <definedName name="lee">#REF!</definedName>
    <definedName name="Legal_Fee">#REF!</definedName>
    <definedName name="LHSDHSD" hidden="1">{#N/A,#N/A,TRUE,"일정"}</definedName>
    <definedName name="LINE">#REF!</definedName>
    <definedName name="LINE검토2" hidden="1">{#N/A,#N/A,TRUE,"Y생산";#N/A,#N/A,TRUE,"Y판매";#N/A,#N/A,TRUE,"Y총물량";#N/A,#N/A,TRUE,"Y능력";#N/A,#N/A,TRUE,"YKD"}</definedName>
    <definedName name="Link_Acquisition">#REF!</definedName>
    <definedName name="Link_Capex">#REF!</definedName>
    <definedName name="Link_Debt">#REF!</definedName>
    <definedName name="Link_Exit">#REF!</definedName>
    <definedName name="Link_Exp_Growth">#REF!</definedName>
    <definedName name="Link_Expense">#REF!</definedName>
    <definedName name="Link_Grth">#REF!</definedName>
    <definedName name="Link_HedgeCost">#REF!</definedName>
    <definedName name="Link_Home">#REF!</definedName>
    <definedName name="Link_PropInfo">#REF!</definedName>
    <definedName name="Link_Refurbishment">#REF!</definedName>
    <definedName name="Link_Rev_Growth">#REF!</definedName>
    <definedName name="Link_Revenue">#REF!</definedName>
    <definedName name="Link_Tax">#REF!</definedName>
    <definedName name="Link_Tenancy">#REF!</definedName>
    <definedName name="LIST">#REF!</definedName>
    <definedName name="ListSheetsMacroButton">#REF!</definedName>
    <definedName name="LK">#REF!</definedName>
    <definedName name="lksdj" hidden="1">#REF!</definedName>
    <definedName name="lksdjf" hidden="1">#REF!</definedName>
    <definedName name="LL">#REF!</definedName>
    <definedName name="lljh" hidden="1">#REF!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lllllllllllllllllll">#REF!</definedName>
    <definedName name="LLREI_Financing_Fee">#REF!</definedName>
    <definedName name="Loans">#REF!</definedName>
    <definedName name="LOCAL">#REF!</definedName>
    <definedName name="local1" hidden="1">#REF!</definedName>
    <definedName name="LOE">#REF!</definedName>
    <definedName name="loiu" hidden="1">{#N/A,#N/A,FALSE,"표지";#N/A,#N/A,FALSE,"전제";#N/A,#N/A,FALSE,"손익-자 (2)";#N/A,#N/A,FALSE,"손익-자";#N/A,#N/A,FALSE,"손익-마 (2)";#N/A,#N/A,FALSE,"손익-마";#N/A,#N/A,FALSE,"총손최종"}</definedName>
    <definedName name="lok" hidden="1">#REF!</definedName>
    <definedName name="LongTermCash">#REF!</definedName>
    <definedName name="LOVE">#REF!</definedName>
    <definedName name="LPI_Graph" hidden="1">#REF!</definedName>
    <definedName name="LPRT">#REF!</definedName>
    <definedName name="LPRTSAVE">#REF!</definedName>
    <definedName name="LPS">#REF!</definedName>
    <definedName name="LPS가동계획">#REF!</definedName>
    <definedName name="lrcp522">#REF!</definedName>
    <definedName name="LSAVE">#REF!</definedName>
    <definedName name="lsjdf" hidden="1">#REF!</definedName>
    <definedName name="lt_wt_cord">#REF!</definedName>
    <definedName name="lt_wt_slub_canvas">#REF!</definedName>
    <definedName name="LTD_GtdInc">#REF!</definedName>
    <definedName name="LTD_Plan">#REF!</definedName>
    <definedName name="LTI_Language">#REF!</definedName>
    <definedName name="LY">#REF!</definedName>
    <definedName name="LYs">#REF!</definedName>
    <definedName name="LYWK">#REF!</definedName>
    <definedName name="LZ_03">39500</definedName>
    <definedName name="M" hidden="1">{#N/A,#N/A,FALSE,"95FW"}</definedName>
    <definedName name="M.복귀">#REF!</definedName>
    <definedName name="M_Expense">#REF!</definedName>
    <definedName name="M_Rent">#REF!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">#REF!</definedName>
    <definedName name="MACRO">#REF!</definedName>
    <definedName name="Macro1">#N/A</definedName>
    <definedName name="Macro11">#N/A</definedName>
    <definedName name="Macro12">#N/A</definedName>
    <definedName name="Macro13">#N/A</definedName>
    <definedName name="Macro14">#N/A</definedName>
    <definedName name="Macro2">#N/A</definedName>
    <definedName name="Macro3">#N/A</definedName>
    <definedName name="Macro4">#N/A</definedName>
    <definedName name="Macro5">#N/A</definedName>
    <definedName name="Macro6">#N/A</definedName>
    <definedName name="Macro8">#N/A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MENU">#REF!</definedName>
    <definedName name="Map" hidden="1">#REF!</definedName>
    <definedName name="Mar">#REF!</definedName>
    <definedName name="MARK">#N/A</definedName>
    <definedName name="Market">#REF!</definedName>
    <definedName name="MASTER" hidden="1">{#N/A,#N/A,TRUE,"일정"}</definedName>
    <definedName name="MATCH1">#N/A</definedName>
    <definedName name="MATCH2">#N/A</definedName>
    <definedName name="may" hidden="1">#REF!</definedName>
    <definedName name="MB">#REF!</definedName>
    <definedName name="MDATA">#REF!</definedName>
    <definedName name="me">"Button 5"</definedName>
    <definedName name="Med_Excess">#REF!</definedName>
    <definedName name="Med_MaxCover">#REF!</definedName>
    <definedName name="Med_Plan">#REF!</definedName>
    <definedName name="MEMO">#N/A</definedName>
    <definedName name="mensuel">#REF!</definedName>
    <definedName name="Mensuelv2">#REF!</definedName>
    <definedName name="menu_button_Click">#N/A</definedName>
    <definedName name="message_turnover_rent">#REF!</definedName>
    <definedName name="mf">#REF!</definedName>
    <definedName name="MH3_A">#REF!</definedName>
    <definedName name="MK">#REF!</definedName>
    <definedName name="mkl" hidden="1">{#N/A,#N/A,TRUE,"Y생산";#N/A,#N/A,TRUE,"Y판매";#N/A,#N/A,TRUE,"Y총물량";#N/A,#N/A,TRUE,"Y능력";#N/A,#N/A,TRUE,"YKD"}</definedName>
    <definedName name="mkl_1" hidden="1">{#N/A,#N/A,TRUE,"Y생산";#N/A,#N/A,TRUE,"Y판매";#N/A,#N/A,TRUE,"Y총물량";#N/A,#N/A,TRUE,"Y능력";#N/A,#N/A,TRUE,"YKD"}</definedName>
    <definedName name="Mkt_Rent">#REF!</definedName>
    <definedName name="Mkt_Rent_Growth">#REF!</definedName>
    <definedName name="MLS_Top_225">#REF!</definedName>
    <definedName name="MM">#REF!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l" hidden="1">#REF!</definedName>
    <definedName name="month">#REF!</definedName>
    <definedName name="Monthly_Maintenance_Fee__000won_py">#REF!</definedName>
    <definedName name="Monthly_Rent">#REF!</definedName>
    <definedName name="monthnames">#REF!</definedName>
    <definedName name="months_of_loss">#REF!</definedName>
    <definedName name="months_to_evict">#REF!</definedName>
    <definedName name="Months_to_Release">#REF!</definedName>
    <definedName name="montht">#REF!</definedName>
    <definedName name="mor" hidden="1">#REF!</definedName>
    <definedName name="mortgage_amount">#REF!</definedName>
    <definedName name="Most_Lease_Expire_Date">#REF!</definedName>
    <definedName name="MP">#REF!</definedName>
    <definedName name="MPROA10">#REF!</definedName>
    <definedName name="Mq">#REF!</definedName>
    <definedName name="MYTD_CHG">14</definedName>
    <definedName name="MZ">#REF!</definedName>
    <definedName name="m記" hidden="1">{"'買掛金'!$J$6"}</definedName>
    <definedName name="M행">#REF!</definedName>
    <definedName name="N">#REF!</definedName>
    <definedName name="NAME">OFFSET(#REF!,0,0,COUNTA(#REF!),1)</definedName>
    <definedName name="NAMELABEL">#REF!</definedName>
    <definedName name="namelist">#REF!</definedName>
    <definedName name="NCO">#REF!</definedName>
    <definedName name="NEW">#REF!</definedName>
    <definedName name="NewMatrix">#REF!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j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n">#REF!</definedName>
    <definedName name="nnn" hidden="1">{#N/A,#N/A,TRUE,"Assumptions";#N/A,#N/A,TRUE,"Sources of Revenue";#N/A,#N/A,TRUE,"P&amp;L";#N/A,#N/A,TRUE,"Bal. Sheet";#N/A,#N/A,TRUE,"Rights Issue &amp; X Adjustment";#N/A,#N/A,TRUE,"Transaction Model"}</definedName>
    <definedName name="No">#REF!</definedName>
    <definedName name="No._Parking">#REF!</definedName>
    <definedName name="NOC">#REF!</definedName>
    <definedName name="NOC_col">#REF!</definedName>
    <definedName name="NOC_row">#REF!</definedName>
    <definedName name="November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R_1203" hidden="1">{"'Sheet1'!$A$1:$H$36"}</definedName>
    <definedName name="NRA">#REF!</definedName>
    <definedName name="ny" hidden="1">{#N/A,#N/A,FALSE,"95FW"}</definedName>
    <definedName name="NYs">#REF!</definedName>
    <definedName name="N행">#REF!</definedName>
    <definedName name="O" hidden="1">{#N/A,#N/A,TRUE,"Y생산";#N/A,#N/A,TRUE,"Y판매";#N/A,#N/A,TRUE,"Y총물량";#N/A,#N/A,TRUE,"Y능력";#N/A,#N/A,TRUE,"YKD"}</definedName>
    <definedName name="O¤eE_UYØ¿¿ø">#REF!</definedName>
    <definedName name="º≫≫c¼OAI">#REF!</definedName>
    <definedName name="ºA¼R">#REF!</definedName>
    <definedName name="OBS">#REF!</definedName>
    <definedName name="OIIUU" hidden="1">#REF!</definedName>
    <definedName name="OIUP" hidden="1">#REF!</definedName>
    <definedName name="ok">#REF!</definedName>
    <definedName name="okwon">#REF!</definedName>
    <definedName name="olddeli_turnover_rent">#REF!</definedName>
    <definedName name="on" hidden="1">#REF!</definedName>
    <definedName name="oo">#REF!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>#REF!</definedName>
    <definedName name="oooooooooooooooo">#REF!</definedName>
    <definedName name="ooop" hidden="1">{"'매출'!$A$1:$I$22"}</definedName>
    <definedName name="OpcoBridge">#REF!</definedName>
    <definedName name="OpcoDebt">#REF!</definedName>
    <definedName name="OPEN1">#N/A</definedName>
    <definedName name="opioui" hidden="1">{#N/A,#N/A,TRUE,"Assumptions";#N/A,#N/A,TRUE,"Sources of Revenue";#N/A,#N/A,TRUE,"P&amp;L";#N/A,#N/A,TRUE,"Bal. Sheet";#N/A,#N/A,TRUE,"Rights Issue &amp; X Adjustment";#N/A,#N/A,TRUE,"Transaction Model"}</definedName>
    <definedName name="OpnTerm">#REF!</definedName>
    <definedName name="Option">#REF!</definedName>
    <definedName name="OptionButton21_Click">#N/A</definedName>
    <definedName name="ORADDRESS">#N/A</definedName>
    <definedName name="OrderSheet1プリント用">#REF!</definedName>
    <definedName name="ORDERTYPE">#N/A</definedName>
    <definedName name="Org">#REF!</definedName>
    <definedName name="Orig_Bank_Statement">#REF!</definedName>
    <definedName name="OST합계">#REF!</definedName>
    <definedName name="Ot_CarLn">#REF!</definedName>
    <definedName name="Ot_DB_DthPen">#REF!</definedName>
    <definedName name="Ot_DB_Payable">#REF!</definedName>
    <definedName name="Ot_DC_Cont">#REF!</definedName>
    <definedName name="Ot_HseLn">#REF!</definedName>
    <definedName name="Ot_LA_SalDef">#REF!</definedName>
    <definedName name="Ot_LTD_provA">#REF!</definedName>
    <definedName name="Ot_LTD_provB">#REF!</definedName>
    <definedName name="Ot_LTD_provC">#REF!</definedName>
    <definedName name="Ot_LTD_SalDef">#REF!</definedName>
    <definedName name="Ot_Med_PlanType">#REF!</definedName>
    <definedName name="Ot_Mob">#REF!</definedName>
    <definedName name="Ot_Ret_SalDef">#REF!</definedName>
    <definedName name="other">#REF!</definedName>
    <definedName name="Other_Revenue">#REF!</definedName>
    <definedName name="O행">#REF!</definedName>
    <definedName name="P">#REF!</definedName>
    <definedName name="p_all">#REF!</definedName>
    <definedName name="P_Income">#REF!</definedName>
    <definedName name="P_T">#REF!</definedName>
    <definedName name="P3가공향상" hidden="1">{#N/A,#N/A,TRUE,"Y생산";#N/A,#N/A,TRUE,"Y판매";#N/A,#N/A,TRUE,"Y총물량";#N/A,#N/A,TRUE,"Y능력";#N/A,#N/A,TRUE,"YKD"}</definedName>
    <definedName name="PAGE2">#REF!</definedName>
    <definedName name="PAGE3">#REF!</definedName>
    <definedName name="PAGE4">#REF!</definedName>
    <definedName name="PAID">#N/A</definedName>
    <definedName name="Parking_No">#REF!</definedName>
    <definedName name="PART_NAME">#REF!</definedName>
    <definedName name="PART_NO">#REF!</definedName>
    <definedName name="PC_List">#REF!</definedName>
    <definedName name="PC_PROD">#REF!</definedName>
    <definedName name="pds">#REF!</definedName>
    <definedName name="per">{"Client Name or Project Name"}</definedName>
    <definedName name="Per_SF">#REF!</definedName>
    <definedName name="Per_SM">#REF!</definedName>
    <definedName name="Per_US">#REF!</definedName>
    <definedName name="Period">#REF!</definedName>
    <definedName name="PERIOD_EN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H">#REF!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ickXY">#REF!</definedName>
    <definedName name="picture">#REF!</definedName>
    <definedName name="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andat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balance">#REF!</definedName>
    <definedName name="plNote">#N/A</definedName>
    <definedName name="PLS">#REF!</definedName>
    <definedName name="PM">#REF!</definedName>
    <definedName name="PM0tb0tb198tb32tb34rtOR132C13rt">#REF!</definedName>
    <definedName name="PM0tb0tb198tb36tb37rtOR136C13rt">#REF!</definedName>
    <definedName name="PM0tb0tb198tb36tb37rtOR136C14rt">#REF!</definedName>
    <definedName name="PM0tb0tb198tb36tb38rtOR136C13rt">#REF!</definedName>
    <definedName name="PMC_Fee">#REF!</definedName>
    <definedName name="po">#N/A</definedName>
    <definedName name="poiu" hidden="1">#REF!</definedName>
    <definedName name="POR1015C413rtPPOR1631C1520rtP">#REF!</definedName>
    <definedName name="POR11C45R141C45RTSKS15C5LRTHR5C">#REF!</definedName>
    <definedName name="POR137C13RTSC60L40RTM0TB0TB0TB0">#REF!</definedName>
    <definedName name="POR16C16R589C41RTSKS15C6LRTHR8C">#REF!</definedName>
    <definedName name="POR3C1R50C13RTSKS15C5LRTHDLRTMT">#REF!</definedName>
    <definedName name="POR439C124RTSQKS15C4LRTM0TB0TB0">#REF!</definedName>
    <definedName name="POR52C2R87C15RTMTBTBTBTBTB55RTR">#REF!</definedName>
    <definedName name="POSFINE" hidden="1">#REF!</definedName>
    <definedName name="PositionClass">#REF!</definedName>
    <definedName name="PP">#REF!,#REF!</definedName>
    <definedName name="PPK" hidden="1">{#N/A,#N/A,FALSE,"96 3월물량표";#N/A,#N/A,FALSE,"96 4월물량표";#N/A,#N/A,FALSE,"96 5월물량표"}</definedName>
    <definedName name="ppp">#REF!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">#REF!</definedName>
    <definedName name="ppppppppppppppppppppppppppppppppp">#REF!</definedName>
    <definedName name="PQ점수">"Dialog Frame 1"</definedName>
    <definedName name="PRELIM_TM2">#REF!</definedName>
    <definedName name="press" hidden="1">#REF!</definedName>
    <definedName name="press2" hidden="1">#REF!</definedName>
    <definedName name="press3" hidden="1">#REF!</definedName>
    <definedName name="press4" hidden="1">#REF!</definedName>
    <definedName name="press5" hidden="1">#REF!</definedName>
    <definedName name="press6" hidden="1">#REF!</definedName>
    <definedName name="PRIME">#REF!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A_MI1">#REF!</definedName>
    <definedName name="Print_Dedail">#REF!</definedName>
    <definedName name="_xlnm.Print_Titles">#REF!</definedName>
    <definedName name="Print_Titles_MI">#REF!</definedName>
    <definedName name="PRINT1">#N/A</definedName>
    <definedName name="printarea">#REF!</definedName>
    <definedName name="printer_titles">#REF!</definedName>
    <definedName name="printing_stationery">#REF!</definedName>
    <definedName name="PrintManagerQuery">#REF!</definedName>
    <definedName name="PrintSelectedSheetsMacroButton">#REF!</definedName>
    <definedName name="PrintTitleArea">#REF!</definedName>
    <definedName name="PRO" hidden="1">{#N/A,#N/A,TRUE,"일정"}</definedName>
    <definedName name="profit">#REF!</definedName>
    <definedName name="Profits">#REF!</definedName>
    <definedName name="Profits_Tax_HK">#REF!</definedName>
    <definedName name="ProImportExport.ImportFile">#N/A</definedName>
    <definedName name="ProImportExport.SaveNewFile">#N/A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Name">#REF!</definedName>
    <definedName name="ProjectName">{"Client Name or Project Name"}</definedName>
    <definedName name="ProjectName2">{"Client Name or Project Name"}</definedName>
    <definedName name="promote">#REF!</definedName>
    <definedName name="Property_Tax">#REF!</definedName>
    <definedName name="Property_Units">#REF!</definedName>
    <definedName name="Property_Value">#REF!</definedName>
    <definedName name="PropertyData">#REF!</definedName>
    <definedName name="PROTO">#REF!</definedName>
    <definedName name="PROTO1">#REF!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TR">#REF!</definedName>
    <definedName name="PURCHASE">#REF!</definedName>
    <definedName name="PURE" hidden="1">#REF!</definedName>
    <definedName name="PV_CB">#REF!</definedName>
    <definedName name="PV_NO_CB">#REF!</definedName>
    <definedName name="py">#REF!</definedName>
    <definedName name="PYA">#REF!</definedName>
    <definedName name="PYB">#REF!</definedName>
    <definedName name="PYC">#REF!</definedName>
    <definedName name="PYD">#REF!</definedName>
    <definedName name="PYE">#REF!</definedName>
    <definedName name="PYF">#REF!</definedName>
    <definedName name="PYG">#REF!</definedName>
    <definedName name="pyung">#REF!</definedName>
    <definedName name="Pyung_to_SF">#REF!</definedName>
    <definedName name="P행">#REF!</definedName>
    <definedName name="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_ALL">#REF!</definedName>
    <definedName name="Q_실적2">#REF!</definedName>
    <definedName name="Q2000BUS">#REF!</definedName>
    <definedName name="qa" hidden="1">{#N/A,#N/A,FALSE,"Aging Summary";#N/A,#N/A,FALSE,"Ratio Analysis";#N/A,#N/A,FALSE,"Test 120 Day Accts";#N/A,#N/A,FALSE,"Tickmarks"}</definedName>
    <definedName name="qfwe" hidden="1">#REF!</definedName>
    <definedName name="QK">#REF!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tnwls" hidden="1">{#N/A,#N/A,FALSE,"Aging Summary";#N/A,#N/A,FALSE,"Ratio Analysis";#N/A,#N/A,FALSE,"Test 120 Day Accts";#N/A,#N/A,FALSE,"Tickmarks"}</definedName>
    <definedName name="QQ" hidden="1">{#N/A,#N/A,FALSE,"단축1";#N/A,#N/A,FALSE,"단축2";#N/A,#N/A,FALSE,"단축3";#N/A,#N/A,FALSE,"장축";#N/A,#N/A,FALSE,"4WD"}</definedName>
    <definedName name="qqq" hidden="1">{"'買掛金'!$J$6"}</definedName>
    <definedName name="QQQAAASSS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" hidden="1">{#N/A,#N/A,FALSE,"단축1";#N/A,#N/A,FALSE,"단축2";#N/A,#N/A,FALSE,"단축3";#N/A,#N/A,FALSE,"장축";#N/A,#N/A,FALSE,"4WD"}</definedName>
    <definedName name="qqqqq" hidden="1">#REF!</definedName>
    <definedName name="QQQQQQQ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qqqqqqqqq">#REF!</definedName>
    <definedName name="qqqqqqqqqqqqqqqqqqq">#REF!</definedName>
    <definedName name="qqqqqqqqqqqqqqqqqqqqqqqqqqqqqqq">#REF!</definedName>
    <definedName name="qqqw" hidden="1">0</definedName>
    <definedName name="Quality">#REF!</definedName>
    <definedName name="Query1">#REF!</definedName>
    <definedName name="quit_button_Click">#N/A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 hidden="1">{#N/A,#N/A,FALSE,"Aging Summary";#N/A,#N/A,FALSE,"Ratio Analysis";#N/A,#N/A,FALSE,"Test 120 Day Accts";#N/A,#N/A,FALSE,"Tickmarks"}</definedName>
    <definedName name="QWE">#REF!</definedName>
    <definedName name="QWERQ" hidden="1">0</definedName>
    <definedName name="qwqe" hidden="1">{#N/A,#N/A,TRUE,"Assumptions";#N/A,#N/A,TRUE,"Sources of Revenue";#N/A,#N/A,TRUE,"P&amp;L";#N/A,#N/A,TRUE,"Bal. Sheet";#N/A,#N/A,TRUE,"Rights Issue &amp; X Adjustment";#N/A,#N/A,TRUE,"Transaction Model"}</definedName>
    <definedName name="QWQEW">#REF!</definedName>
    <definedName name="Q행">#REF!</definedName>
    <definedName name="r_Accident_Data1">#REF!,#REF!,#REF!,#REF!,#REF!,#REF!,#REF!</definedName>
    <definedName name="r_Accident_Data2">#REF!,#REF!,#REF!,#REF!</definedName>
    <definedName name="r_at_Retirement_DC_Er_Contrib_Match_Cap">#REF!</definedName>
    <definedName name="r_Compensation_Mix">#REF!</definedName>
    <definedName name="r_Compensation_Mix_Data">#REF!</definedName>
    <definedName name="r_DC_Overallcap">#REF!</definedName>
    <definedName name="r_Inpatient_Data1">#REF!,#REF!,#REF!</definedName>
    <definedName name="r_Inpatient_Data2">#REF!,#REF!,#REF!,#REF!</definedName>
    <definedName name="r_Life_Data1">#REF!,#REF!,#REF!,#REF!</definedName>
    <definedName name="r_Life_Data2">#REF!,#REF!,#REF!,#REF!</definedName>
    <definedName name="r_Outpatient_Data">#REF!,#REF!,#REF!,#REF!,#REF!,#REF!,#REF!,#REF!,#REF!,#REF!,#REF!,#REF!</definedName>
    <definedName name="r_Outpatient_Data1">#REF!,#REF!,#REF!</definedName>
    <definedName name="r_Outpatient_Data2">#REF!,#REF!,#REF!,#REF!</definedName>
    <definedName name="r_Prof_Shar">#REF!</definedName>
    <definedName name="r_Profit_Sharing">#REF!</definedName>
    <definedName name="r_raise">#REF!</definedName>
    <definedName name="r_Sales_Inc">#REF!</definedName>
    <definedName name="r_Sales_Incentives1">#REF!</definedName>
    <definedName name="r_Sales_Incentives2">#REF!</definedName>
    <definedName name="r_Sales_Incentives3">#REF!</definedName>
    <definedName name="r_Sales_Incentives4">#REF!,#REF!,#REF!,#REF!,#REF!,#REF!</definedName>
    <definedName name="r_STI_SALSINCT_Data1">#REF!,#REF!,#REF!,#REF!,#REF!,#REF!,#REF!</definedName>
    <definedName name="r_v_Bon">#REF!</definedName>
    <definedName name="r_v_Bonus1">#REF!</definedName>
    <definedName name="r_v_Bonus2">#REF!</definedName>
    <definedName name="r_v_Bonus3">#REF!</definedName>
    <definedName name="r_v_Bonus4">#REF!,#REF!,#REF!,#REF!</definedName>
    <definedName name="radsdffsda" hidden="1">#REF!</definedName>
    <definedName name="range">#REF!</definedName>
    <definedName name="range2">#REF!</definedName>
    <definedName name="RANGEA">#N/A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te_1">#REF!</definedName>
    <definedName name="rate_2">#REF!</definedName>
    <definedName name="rate_3">#REF!</definedName>
    <definedName name="rate_4">#REF!</definedName>
    <definedName name="rate_5">#REF!</definedName>
    <definedName name="rate_6">#REF!</definedName>
    <definedName name="RDGRGERTY">#REF!</definedName>
    <definedName name="realisé">#REF!</definedName>
    <definedName name="Rebate" hidden="1">{#N/A,#N/A,FALSE,"Aging Summary";#N/A,#N/A,FALSE,"Ratio Analysis";#N/A,#N/A,FALSE,"Test 120 Day Accts";#N/A,#N/A,FALSE,"Tickmarks"}</definedName>
    <definedName name="RECORD">#REF!</definedName>
    <definedName name="_xlnm.Recorder">#REF!</definedName>
    <definedName name="recs">#REF!</definedName>
    <definedName name="ref">#REF!</definedName>
    <definedName name="Refi">#REF!</definedName>
    <definedName name="refinance">#REF!</definedName>
    <definedName name="Refurbish_Begin">#REF!</definedName>
    <definedName name="Refurbish_End">#REF!</definedName>
    <definedName name="Refurbishment">#REF!</definedName>
    <definedName name="refx">#REF!</definedName>
    <definedName name="region">#REF!</definedName>
    <definedName name="Region_AT">#REF!</definedName>
    <definedName name="Region_BA">#REF!</definedName>
    <definedName name="Region_BE">#REF!</definedName>
    <definedName name="Region_BG">#REF!</definedName>
    <definedName name="Region_CH">#REF!</definedName>
    <definedName name="Region_CZ">#REF!</definedName>
    <definedName name="Region_DE">#REF!</definedName>
    <definedName name="Region_DK">#REF!</definedName>
    <definedName name="Region_EE">#REF!</definedName>
    <definedName name="Region_ES">#REF!</definedName>
    <definedName name="Region_FI">#REF!</definedName>
    <definedName name="Region_FR">#REF!</definedName>
    <definedName name="Region_HR">#REF!</definedName>
    <definedName name="Region_HU">#REF!</definedName>
    <definedName name="Region_IE">#REF!</definedName>
    <definedName name="Region_IS">#REF!</definedName>
    <definedName name="Region_IT">#REF!</definedName>
    <definedName name="Region_LT">#REF!</definedName>
    <definedName name="Region_LV">#REF!</definedName>
    <definedName name="Region_MK">#REF!</definedName>
    <definedName name="Region_NL">#REF!</definedName>
    <definedName name="Region_NO">#REF!</definedName>
    <definedName name="Region_PL">#REF!</definedName>
    <definedName name="Region_PT">#REF!</definedName>
    <definedName name="Region_RO">#REF!</definedName>
    <definedName name="Region_RU">#REF!</definedName>
    <definedName name="Region_SB">#REF!</definedName>
    <definedName name="Region_SE">#REF!</definedName>
    <definedName name="Region_SI">#REF!</definedName>
    <definedName name="Region_SK">#REF!</definedName>
    <definedName name="Region_TR">#REF!</definedName>
    <definedName name="Region_UA">#REF!</definedName>
    <definedName name="Region_UK">#REF!</definedName>
    <definedName name="remaining_mortgage_amount">#REF!</definedName>
    <definedName name="REMARK">#N/A</definedName>
    <definedName name="rent">#REF!</definedName>
    <definedName name="rent_raise">#REF!</definedName>
    <definedName name="rent_rebate">#REF!</definedName>
    <definedName name="rent_rebate_2nd">#REF!</definedName>
    <definedName name="rent_rebate_co">#REF!</definedName>
    <definedName name="rent_rebate_indiv">#REF!</definedName>
    <definedName name="rent_rebate_month_end">#REF!</definedName>
    <definedName name="rent_reduction">#REF!</definedName>
    <definedName name="Rental_Deposit">#REF!</definedName>
    <definedName name="Rental_Deposit_Unit">#REF!</definedName>
    <definedName name="Rentroll">#REF!</definedName>
    <definedName name="REP">#N/A</definedName>
    <definedName name="Replacement_Cost">#REF!</definedName>
    <definedName name="Replacement_Cost_Percent">#REF!</definedName>
    <definedName name="REPNORMAL">#N/A</definedName>
    <definedName name="reportPl">#N/A</definedName>
    <definedName name="Reset">#REF!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ultat">#REF!</definedName>
    <definedName name="resultatcum">#REF!</definedName>
    <definedName name="resultatsit1">#REF!</definedName>
    <definedName name="Ret_Plan">#REF!</definedName>
    <definedName name="Returns">#REF!</definedName>
    <definedName name="Returns2">#REF!</definedName>
    <definedName name="RevPer">#REF!</definedName>
    <definedName name="RevYN">#REF!</definedName>
    <definedName name="rewr" hidden="1">{#N/A,#N/A,FALSE,"이력서&amp;자기소개서"}</definedName>
    <definedName name="rewr_1" hidden="1">{#N/A,#N/A,FALSE,"이력서&amp;자기소개서"}</definedName>
    <definedName name="rewrs" hidden="1">{#N/A,#N/A,FALSE,"이력서&amp;자기소개서"}</definedName>
    <definedName name="RHD">#N/A</definedName>
    <definedName name="RI_M1">#REF!</definedName>
    <definedName name="RI_M2">#REF!</definedName>
    <definedName name="RI_P1">#REF!</definedName>
    <definedName name="RI_P10">#REF!</definedName>
    <definedName name="RI_P2">#REF!</definedName>
    <definedName name="RI_P3">#REF!</definedName>
    <definedName name="RI_P4">#REF!</definedName>
    <definedName name="RI_P5">#REF!</definedName>
    <definedName name="RI_P6">#REF!</definedName>
    <definedName name="RI_P7">#REF!</definedName>
    <definedName name="RI_P8">#REF!</definedName>
    <definedName name="RI_P9">#REF!</definedName>
    <definedName name="RIII_M1">#REF!</definedName>
    <definedName name="RIII_M2">#REF!</definedName>
    <definedName name="RIII_P1">#REF!</definedName>
    <definedName name="RIII_P10">#REF!</definedName>
    <definedName name="RIII_P2">#REF!</definedName>
    <definedName name="RIII_P3">#REF!</definedName>
    <definedName name="RIII_P4">#REF!</definedName>
    <definedName name="RIII_P5">#REF!</definedName>
    <definedName name="RIII_P6">#REF!</definedName>
    <definedName name="RIII_P7">#REF!</definedName>
    <definedName name="RIII_P8">#REF!</definedName>
    <definedName name="RIII_P9">#REF!</definedName>
    <definedName name="Risk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2105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TRUE</definedName>
    <definedName name="RiskReportGraphFormat">1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K" localSheetId="1">BlankMacro1</definedName>
    <definedName name="RK" localSheetId="0">BlankMacro1</definedName>
    <definedName name="RK">BlankMacro1</definedName>
    <definedName name="RKSK" hidden="1">#REF!</definedName>
    <definedName name="rkwk" hidden="1">{#N/A,#N/A,FALSE,"1.CRITERIA";#N/A,#N/A,FALSE,"2.IS";#N/A,#N/A,FALSE,"3.BS";#N/A,#N/A,FALSE,"4.PER PL";#N/A,#N/A,FALSE,"5.INVESTMENT";#N/A,#N/A,FALSE,"6.공문";#N/A,#N/A,FALSE,"7.netinvest"}</definedName>
    <definedName name="RLA" hidden="1">#N/A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MRMR">#REF!</definedName>
    <definedName name="RNAO" hidden="1">{#N/A,#N/A,FALSE,"Aging Summary";#N/A,#N/A,FALSE,"Ratio Analysis";#N/A,#N/A,FALSE,"Test 120 Day Accts";#N/A,#N/A,FALSE,"Tickmarks"}</definedName>
    <definedName name="rnrnf" hidden="1">{"'호선별현황(방식)'!$K$22:$P$22","'호선별현황(방식)'!$K$22:$P$22"}</definedName>
    <definedName name="RNRNRNR" hidden="1">{#N/A,#N/A,FALSE,"95FW"}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pponngi" hidden="1">{"AnnualRentRoll",#N/A,FALSE,"RentRoll"}</definedName>
    <definedName name="ropponngi_1" hidden="1">{"AnnualRentRoll",#N/A,FALSE,"RentRoll"}</definedName>
    <definedName name="ROW">#REF!</definedName>
    <definedName name="row_Bonus">#REF!</definedName>
    <definedName name="row_Compensation_Mix">#REF!</definedName>
    <definedName name="row_Cpy_Car_Data">#REF!,#REF!,#REF!,#REF!,#REF!,#REF!,#REF!,#REF!,#REF!</definedName>
    <definedName name="row_DB_Early_Retirement_Data">#REF!,#REF!</definedName>
    <definedName name="row_DC_mandatory_3_Data">#REF!,#REF!,#REF!,#REF!,#REF!,#REF!,#REF!</definedName>
    <definedName name="row_Loan_Car_Data">#REF!,#REF!,#REF!,#REF!,#REF!,#REF!,#REF!</definedName>
    <definedName name="row_Loan_HardSoft_Data">#REF!,#REF!,#REF!,#REF!,#REF!,#REF!,#REF!</definedName>
    <definedName name="row_Loan_Hse_Data">#REF!,#REF!,#REF!,#REF!,#REF!,#REF!,#REF!</definedName>
    <definedName name="row_Loan_Personal_Data">#REF!,#REF!,#REF!,#REF!,#REF!,#REF!,#REF!</definedName>
    <definedName name="row_Product_Services">#REF!,#REF!</definedName>
    <definedName name="row_Profit_Sharing">#REF!</definedName>
    <definedName name="row_Retirement_Type_1_Data1">#REF!,#REF!,#REF!,#REF!,#REF!,#REF!,#REF!,#REF!,#REF!,#REF!</definedName>
    <definedName name="row_Retirement_Type_1_Data2">#REF!,#REF!,#REF!,#REF!,#REF!,#REF!</definedName>
    <definedName name="row_Retirement_Type_2_Data1">#REF!,#REF!,#REF!,#REF!,#REF!,#REF!,#REF!,#REF!,#REF!</definedName>
    <definedName name="row_Retirement_Type_2_Data2">#REF!,#REF!,#REF!,#REF!,#REF!,#REF!</definedName>
    <definedName name="row_Retirement_Type_2_Data3">#REF!,#REF!</definedName>
    <definedName name="row_Retirement_Type_2_Data4">#REF!,#REF!</definedName>
    <definedName name="row_Sales_Incentives">#REF!</definedName>
    <definedName name="row_Share_Data">#REF!,#REF!,#REF!,#REF!,#REF! ,#REF! ,#REF!</definedName>
    <definedName name="row_Training_Edu_Data">#REF!,#REF!</definedName>
    <definedName name="row_Travel_Ins_Data">#REF!,#REF!</definedName>
    <definedName name="row_z_last">#REF!</definedName>
    <definedName name="RowTitleRegion1..G2">#REF!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>#REF!</definedName>
    <definedName name="RRR" hidden="1">#REF!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>#REF!</definedName>
    <definedName name="rrrrrrrrrrrr">#REF!</definedName>
    <definedName name="rrrrrrrrrrrrrrrrrrrrrrrrrrrrrrrrrrrrrrrrrrrrrrrrrrrrrrrrrrrrrrrrrrrrrrrrrrrrrrrrrrrrrrrrrrrrrrr">#REF!</definedName>
    <definedName name="RT" hidden="1">#REF!</definedName>
    <definedName name="RT.RTDK">#REF!</definedName>
    <definedName name="RTCLSPRT">#REF!</definedName>
    <definedName name="rtclsprtdk">#REF!</definedName>
    <definedName name="rtyrty" hidden="1">{#N/A,#N/A,TRUE,"Assumptions";#N/A,#N/A,TRUE,"Sources of Revenue";#N/A,#N/A,TRUE,"P&amp;L";#N/A,#N/A,TRUE,"Bal. Sheet";#N/A,#N/A,TRUE,"Rights Issue &amp; X Adjustment";#N/A,#N/A,TRUE,"Transaction Model"}</definedName>
    <definedName name="rtyu" hidden="1">{#N/A,#N/A,TRUE,"Assumptions";#N/A,#N/A,TRUE,"Sources of Revenue";#N/A,#N/A,TRUE,"P&amp;L";#N/A,#N/A,TRUE,"Bal. Sheet";#N/A,#N/A,TRUE,"Rights Issue &amp; X Adjustment";#N/A,#N/A,TRUE,"Transaction Model"}</definedName>
    <definedName name="RT검사">#REF!</definedName>
    <definedName name="RY">#REF!</definedName>
    <definedName name="R행">#REF!</definedName>
    <definedName name="S">#REF!</definedName>
    <definedName name="s.v_reduction">#REF!</definedName>
    <definedName name="S_Adjust">#REF!</definedName>
    <definedName name="S_AJE_Tot">#REF!</definedName>
    <definedName name="S_CY_Beg_Data">#REF!</definedName>
    <definedName name="S_CY_End">#REF!</definedName>
    <definedName name="S_Diff_Amt">#REF!</definedName>
    <definedName name="S_Diff_Pct">#REF!</definedName>
    <definedName name="s_raise">#REF!</definedName>
    <definedName name="S_RJE_Tot">#REF!</definedName>
    <definedName name="S_S">#REF!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d" hidden="1">{"MonthlyRentRoll",#N/A,FALSE,"RentRoll"}</definedName>
    <definedName name="sadd_1" hidden="1">{"MonthlyRentRoll",#N/A,FALSE,"RentRoll"}</definedName>
    <definedName name="saddd" hidden="1">{"AnnualRentRoll",#N/A,FALSE,"RentRoll"}</definedName>
    <definedName name="saddd_1" hidden="1">{"AnnualRentRoll",#N/A,FALSE,"RentRoll"}</definedName>
    <definedName name="saddddd" hidden="1">{"AnnualRentRoll",#N/A,FALSE,"RentRoll"}</definedName>
    <definedName name="saddddd_1" hidden="1">{"AnnualRentRoll",#N/A,FALSE,"RentRoll"}</definedName>
    <definedName name="sadddddddd" hidden="1">{#N/A,#N/A,FALSE,"ExitStratigy"}</definedName>
    <definedName name="sadddddddd_1" hidden="1">{#N/A,#N/A,FALSE,"ExitStratigy"}</definedName>
    <definedName name="sadddddddddd" hidden="1">{#N/A,#N/A,FALSE,"LoanAssumptions"}</definedName>
    <definedName name="sadddddddddd_1" hidden="1">{#N/A,#N/A,FALSE,"LoanAssumptions"}</definedName>
    <definedName name="saddddddddddddd" hidden="1">{#N/A,#N/A,FALSE,"OperatingAssumptions"}</definedName>
    <definedName name="saddddddddddddd_1" hidden="1">{#N/A,#N/A,FALSE,"OperatingAssumptions"}</definedName>
    <definedName name="sadf" hidden="1">#REF!</definedName>
    <definedName name="SALES">#REF!</definedName>
    <definedName name="sales1">#REF!</definedName>
    <definedName name="Salesable_Area">#REF!</definedName>
    <definedName name="SAMPLE">#REF!</definedName>
    <definedName name="Sample1">#REF!</definedName>
    <definedName name="Samuel_Opt">#N/A</definedName>
    <definedName name="SAN">#N/A</definedName>
    <definedName name="SANGDATA">#REF!</definedName>
    <definedName name="SAPBEXrevision" hidden="1">1</definedName>
    <definedName name="SAPBEXsysID" hidden="1">"BPR"</definedName>
    <definedName name="SAPBEXwbID" hidden="1">"3LD3ORV0NYP5WZ7NXILJ4HLJA"</definedName>
    <definedName name="sasd" hidden="1">#REF!</definedName>
    <definedName name="savenefile11111">#REF!</definedName>
    <definedName name="SaveNewFile">#REF!</definedName>
    <definedName name="savenewfile1">#REF!</definedName>
    <definedName name="sa부하" hidden="1">#REF!</definedName>
    <definedName name="SBC" hidden="1">#REF!</definedName>
    <definedName name="SC">#REF!</definedName>
    <definedName name="SC11월">#REF!</definedName>
    <definedName name="SC12월">#REF!</definedName>
    <definedName name="SC1월">#REF!</definedName>
    <definedName name="SC2월">#REF!</definedName>
    <definedName name="SC2월2">#REF!</definedName>
    <definedName name="SC3월">#REF!</definedName>
    <definedName name="SC4월">#REF!</definedName>
    <definedName name="SC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P">#REF!</definedName>
    <definedName name="scheda">#REF!:#REF!</definedName>
    <definedName name="SChonsei">#REF!</definedName>
    <definedName name="sck" hidden="1">{#N/A,#N/A,FALSE,"BS";#N/A,#N/A,FALSE,"PL";#N/A,#N/A,FALSE,"처분";#N/A,#N/A,FALSE,"현금";#N/A,#N/A,FALSE,"매출";#N/A,#N/A,FALSE,"원가";#N/A,#N/A,FALSE,"경영"}</definedName>
    <definedName name="Scoresheet">#REF!</definedName>
    <definedName name="sd">#REF!</definedName>
    <definedName name="sda">#REF!</definedName>
    <definedName name="sdad">#REF!</definedName>
    <definedName name="sdafdadfad" hidden="1">{#N/A,#N/A,FALSE,"Aging Summary";#N/A,#N/A,FALSE,"Ratio Analysis";#N/A,#N/A,FALSE,"Test 120 Day Accts";#N/A,#N/A,FALSE,"Tickmarks"}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 hidden="1">{#N/A,#N/A,FALSE,"채산3501.XLS";#N/A,#N/A,FALSE,"신조수A.XLS";#N/A,#N/A,FALSE,"신조수b.XLS";#N/A,#N/A,FALSE,"채산3502.XLS";#N/A,#N/A,FALSE,"신조원리.XLS";#N/A,#N/A,FALSE,"신조감가.XLS"}</definedName>
    <definedName name="sdfgdfg" hidden="1">{#N/A,#N/A,TRUE,"Assumptions";#N/A,#N/A,TRUE,"Sources of Revenue";#N/A,#N/A,TRUE,"P&amp;L";#N/A,#N/A,TRUE,"Bal. Sheet";#N/A,#N/A,TRUE,"Rights Issue &amp; X Adjustment";#N/A,#N/A,TRUE,"Transaction Model"}</definedName>
    <definedName name="sdfgsdfg" hidden="1">{#N/A,#N/A,TRUE,"Assumptions";#N/A,#N/A,TRUE,"Sources of Revenue";#N/A,#N/A,TRUE,"P&amp;L";#N/A,#N/A,TRUE,"Bal. Sheet";#N/A,#N/A,TRUE,"Rights Issue &amp; X Adjustment";#N/A,#N/A,TRUE,"Transaction Model"}</definedName>
    <definedName name="sdfgsdfgsdgfs">#N/A</definedName>
    <definedName name="sdfgsdfsdfafasd" hidden="1">#REF!</definedName>
    <definedName name="sdfsf" hidden="1">#REF!</definedName>
    <definedName name="sdfteseagegwe" hidden="1">#REF!</definedName>
    <definedName name="SDGEART" hidden="1">#REF!</definedName>
    <definedName name="sdklfj" hidden="1">#REF!</definedName>
    <definedName name="sds" localSheetId="1">BlankMacro1</definedName>
    <definedName name="sds" localSheetId="0">BlankMacro1</definedName>
    <definedName name="sds">BlankMacro1</definedName>
    <definedName name="sdsd" hidden="1">#REF!</definedName>
    <definedName name="sdsdsdsdsd">#REF!</definedName>
    <definedName name="sdss">#REF!</definedName>
    <definedName name="sdvrys" hidden="1">{#N/A,#N/A,TRUE,"Assumptions";#N/A,#N/A,TRUE,"Sources of Revenue";#N/A,#N/A,TRUE,"P&amp;L";#N/A,#N/A,TRUE,"Bal. Sheet";#N/A,#N/A,TRUE,"Rights Issue &amp; X Adjustment";#N/A,#N/A,TRUE,"Transaction Model"}</definedName>
    <definedName name="SE">#REF!</definedName>
    <definedName name="second_s">#REF!</definedName>
    <definedName name="SECT_120">#REF!</definedName>
    <definedName name="SECT_130">#REF!</definedName>
    <definedName name="SECT_140">#REF!</definedName>
    <definedName name="SECT_160">#REF!</definedName>
    <definedName name="SECT_170">#REF!</definedName>
    <definedName name="SECT_180">#REF!</definedName>
    <definedName name="SECT_190">#REF!</definedName>
    <definedName name="sectionNames">#REF!</definedName>
    <definedName name="Security_Deposit_Multiplier">#REF!</definedName>
    <definedName name="segvx" hidden="1">{"'買掛金'!$J$6"}</definedName>
    <definedName name="Sellers">#REF!</definedName>
    <definedName name="sencount" hidden="1">1</definedName>
    <definedName name="SENG0">#REF!</definedName>
    <definedName name="Sensistivity_BuyPrice">#REF!</definedName>
    <definedName name="Sensistivity_Exit_Price">#REF!</definedName>
    <definedName name="Sensistivity_Hold_Period">#REF!</definedName>
    <definedName name="Sensitivity_Borrow_Cost">#REF!</definedName>
    <definedName name="Sensitivity_Debt_Ratio">#REF!</definedName>
    <definedName name="Sensitivity_Exit">#REF!</definedName>
    <definedName name="Sensitivity_Term">#REF!</definedName>
    <definedName name="Service_Charge_Collection">#REF!</definedName>
    <definedName name="service_raise">#REF!</definedName>
    <definedName name="Set_1">#REF!</definedName>
    <definedName name="sf" hidden="1">#REF!</definedName>
    <definedName name="sfd" hidden="1">{#N/A,#N/A,FALSE,"95FW"}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gdfs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hare_MaxAmt">#REF!</definedName>
    <definedName name="Share_Plan">#REF!</definedName>
    <definedName name="sheet" hidden="1">{#N/A,#N/A,FALSE,"95FW"}</definedName>
    <definedName name="sheet1" hidden="1">{#N/A,#N/A,FALSE,"95FW"}</definedName>
    <definedName name="SHEET2" hidden="1">{#N/A,#N/A,FALSE,"단축1";#N/A,#N/A,FALSE,"단축2";#N/A,#N/A,FALSE,"단축3";#N/A,#N/A,FALSE,"장축";#N/A,#N/A,FALSE,"4WD"}</definedName>
    <definedName name="Ship">#REF!</definedName>
    <definedName name="SHL_Interest">#REF!</definedName>
    <definedName name="SHL_Ratio">#REF!</definedName>
    <definedName name="SHL_Tax">#REF!</definedName>
    <definedName name="SHORTNAME">#N/A</definedName>
    <definedName name="Show">#REF!</definedName>
    <definedName name="SHR">#REF!</definedName>
    <definedName name="shtName" localSheetId="1">INDEX(wsNames, shtPos)</definedName>
    <definedName name="shtName" localSheetId="0">INDEX(wsNames, shtPos)</definedName>
    <definedName name="shtName">INDEX(wsNames, shtPos)</definedName>
    <definedName name="Sigma">#REF!+(#REF!-#REF!)</definedName>
    <definedName name="signage_revenue">#REF!</definedName>
    <definedName name="SINGPORE">#REF!</definedName>
    <definedName name="SIS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te_Area">#REF!</definedName>
    <definedName name="sj">#REF!</definedName>
    <definedName name="sjflkaejflkjglk">#REF!</definedName>
    <definedName name="skaaldu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SK">#REF!</definedName>
    <definedName name="Sm_per_Pyong">#REF!</definedName>
    <definedName name="smarket_eviction_cost">#REF!</definedName>
    <definedName name="smarket_key_money">#REF!</definedName>
    <definedName name="smarket_market_rent">#REF!</definedName>
    <definedName name="smarket_percent">#REF!</definedName>
    <definedName name="smarket_size">#REF!</definedName>
    <definedName name="SO">#REF!</definedName>
    <definedName name="solid_ctn_poplin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hidden="1">#REF!</definedName>
    <definedName name="SOU">#REF!</definedName>
    <definedName name="source">#REF!</definedName>
    <definedName name="SP4월">#REF!</definedName>
    <definedName name="spa">#REF!</definedName>
    <definedName name="spc_setup">#REF!</definedName>
    <definedName name="Special_Capital_Gain_Tax">#REF!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R134202C113TBH1B0RTSUS">#REF!</definedName>
    <definedName name="SPR165C113TBH1B2RTSUS">#REF!</definedName>
    <definedName name="SPR188C103121TBH1B0RTSUS">#REF!</definedName>
    <definedName name="SPR188C116136TBH1B0RTSUS">#REF!</definedName>
    <definedName name="SPR188C127152TBH1B0RTSUS">#REF!</definedName>
    <definedName name="SPR188C95111TBH1B0RTSUS">#REF!</definedName>
    <definedName name="SPR190C3452RTSUS">#REF!</definedName>
    <definedName name="SPR190C5466RRSUS">#REF!</definedName>
    <definedName name="SPR190C5466RTSUS">#REF!</definedName>
    <definedName name="SPR193C127RTSUS">#REF!</definedName>
    <definedName name="SPR193C7798RTSUS">#REF!</definedName>
    <definedName name="SPR68127C113TBH1B2RTSUS">#REF!</definedName>
    <definedName name="SPT_FLUSSI">#REF!,#REF!</definedName>
    <definedName name="SPWS_WBID">"0D145571-4AA7-4C6E-B8EB-4DF0FED2B8BC"</definedName>
    <definedName name="SQF">#REF!</definedName>
    <definedName name="sqft">#REF!</definedName>
    <definedName name="sqmt">#REF!</definedName>
    <definedName name="SS">#REF!</definedName>
    <definedName name="SS_CAPEX">{"Client Name or Project Name"}</definedName>
    <definedName name="ssdsd">#REF!</definedName>
    <definedName name="SSRR">#REF!</definedName>
    <definedName name="sss" hidden="1">{#N/A,#N/A,FALSE,"95FW"}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sssss">#REF!</definedName>
    <definedName name="sssssssssssssssssssssss">#REF!</definedName>
    <definedName name="ST_interest">#REF!</definedName>
    <definedName name="Stabilized_Vacancy">#REF!</definedName>
    <definedName name="stacking">#N/A</definedName>
    <definedName name="stamp">#REF!,#REF!</definedName>
    <definedName name="STAR">#REF!</definedName>
    <definedName name="STAR1">#REF!</definedName>
    <definedName name="start">#REF!</definedName>
    <definedName name="START2">#REF!</definedName>
    <definedName name="Stato_Patrimoniale">#REF!</definedName>
    <definedName name="stcode">#REF!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1">#REF!</definedName>
    <definedName name="step2">#REF!</definedName>
    <definedName name="STI_Language">#REF!</definedName>
    <definedName name="STJ">#REF!</definedName>
    <definedName name="Stock_List">#REF!</definedName>
    <definedName name="strloc">#REF!</definedName>
    <definedName name="STRU">#REF!</definedName>
    <definedName name="SU">#REF!</definedName>
    <definedName name="sum">#REF!</definedName>
    <definedName name="SUMMARY">#REF!</definedName>
    <definedName name="surt" hidden="1">#REF!</definedName>
    <definedName name="SurveyDate">#REF!</definedName>
    <definedName name="SurveyName">#REF!</definedName>
    <definedName name="swds" hidden="1">#REF!</definedName>
    <definedName name="SYNOFF">#REF!</definedName>
    <definedName name="SYNON">#REF!</definedName>
    <definedName name="SYSDATE">#N/A</definedName>
    <definedName name="s부하" hidden="1">#REF!</definedName>
    <definedName name="s조향" hidden="1">#REF!</definedName>
    <definedName name="S행">#REF!</definedName>
    <definedName name="t">#REF!</definedName>
    <definedName name="t_all">#REF!</definedName>
    <definedName name="T1_">#N/A</definedName>
    <definedName name="T200팀별투자비" hidden="1">{#N/A,#N/A,TRUE,"일정"}</definedName>
    <definedName name="ta" hidden="1">{#N/A,#N/A,FALSE,"Aging Summary";#N/A,#N/A,FALSE,"Ratio Analysis";#N/A,#N/A,FALSE,"Test 120 Day Accts";#N/A,#N/A,FALSE,"Tickmarks"}</definedName>
    <definedName name="TAB_BUTTON">#REF!</definedName>
    <definedName name="TABLE1">#REF!</definedName>
    <definedName name="Target">#REF!</definedName>
    <definedName name="TARWK">#REF!</definedName>
    <definedName name="tax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_Base_above100">#REF!</definedName>
    <definedName name="Tax_Base_below100">#REF!</definedName>
    <definedName name="Tax_Rate">#REF!</definedName>
    <definedName name="Tax_Rate1">#REF!</definedName>
    <definedName name="Tax_Rental_Above100">#REF!</definedName>
    <definedName name="Tax_Rental_below100">#REF!</definedName>
    <definedName name="Tax_Withhold_Capital_Gains">#REF!</definedName>
    <definedName name="Tax_Withhold_Dividends">#REF!</definedName>
    <definedName name="TB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601.1">#REF!</definedName>
    <definedName name="TB605.1">#REF!</definedName>
    <definedName name="TB904.1">#REF!</definedName>
    <definedName name="TB904.2">#REF!</definedName>
    <definedName name="tc" hidden="1">{#N/A,#N/A,FALSE,"단축1";#N/A,#N/A,FALSE,"단축2";#N/A,#N/A,FALSE,"단축3";#N/A,#N/A,FALSE,"장축";#N/A,#N/A,FALSE,"4WD"}</definedName>
    <definedName name="TChonsei">#REF!</definedName>
    <definedName name="tci" hidden="1">{#N/A,#N/A,FALSE,"단축1";#N/A,#N/A,FALSE,"단축2";#N/A,#N/A,FALSE,"단축3";#N/A,#N/A,FALSE,"장축";#N/A,#N/A,FALSE,"4WD"}</definedName>
    <definedName name="tcn">#REF!</definedName>
    <definedName name="TDeposit">#REF!</definedName>
    <definedName name="TDS">#REF!</definedName>
    <definedName name="TEAM">#REF!</definedName>
    <definedName name="Tel">#REF!</definedName>
    <definedName name="temp">#REF!</definedName>
    <definedName name="Tenant">#REF!</definedName>
    <definedName name="TenantData">#REF!</definedName>
    <definedName name="tenmo">#REF!</definedName>
    <definedName name="Term">#REF!</definedName>
    <definedName name="TEST">#REF!</definedName>
    <definedName name="TEST_1">#REF!</definedName>
    <definedName name="TEST_2">#REF!</definedName>
    <definedName name="TEST_A">#N/A</definedName>
    <definedName name="TEST_A1">#REF!</definedName>
    <definedName name="TEST_A2">#REF!</definedName>
    <definedName name="TEST_A3">#REF!</definedName>
    <definedName name="TEST_B">#N/A</definedName>
    <definedName name="TEST_B1">#REF!</definedName>
    <definedName name="TEST_B2">#REF!</definedName>
    <definedName name="TEST_B3">#REF!</definedName>
    <definedName name="TEST_C">#N/A</definedName>
    <definedName name="TEST_C1">#REF!</definedName>
    <definedName name="TEST_C2">#REF!</definedName>
    <definedName name="TEST_C3">#REF!</definedName>
    <definedName name="TEST_D">#N/A</definedName>
    <definedName name="TEST_D1">#REF!</definedName>
    <definedName name="TEST_D2">#REF!</definedName>
    <definedName name="TEST_D3">#REF!</definedName>
    <definedName name="TEST_E">#N/A</definedName>
    <definedName name="TEST_E1">#REF!</definedName>
    <definedName name="TEST_E2">#REF!</definedName>
    <definedName name="TEST_E3">#REF!</definedName>
    <definedName name="TEST_F1">#REF!</definedName>
    <definedName name="TEST_F2">#REF!</definedName>
    <definedName name="TEST_F3">#REF!</definedName>
    <definedName name="TEST_G">#REF!</definedName>
    <definedName name="TEST_G1">#REF!</definedName>
    <definedName name="TEST_G2">#REF!</definedName>
    <definedName name="TEST_G3">#REF!</definedName>
    <definedName name="TEST_H1">#REF!</definedName>
    <definedName name="TEST_H2">#REF!</definedName>
    <definedName name="TEST_H3">#REF!</definedName>
    <definedName name="TEST_I1">#REF!</definedName>
    <definedName name="TEST_I2">#REF!</definedName>
    <definedName name="TEST_I3">#REF!</definedName>
    <definedName name="TEST_J1">#REF!</definedName>
    <definedName name="TEST_J2">#REF!</definedName>
    <definedName name="TEST_J3">#REF!</definedName>
    <definedName name="TEST_K1">#REF!</definedName>
    <definedName name="TEST_K2">#REF!</definedName>
    <definedName name="TEST_K3">#REF!</definedName>
    <definedName name="TEST_L2">#REF!</definedName>
    <definedName name="TEST_L3">#REF!</definedName>
    <definedName name="TEST_M2">#REF!</definedName>
    <definedName name="TEST_M3">#REF!</definedName>
    <definedName name="TEST_N2">#REF!</definedName>
    <definedName name="TEST_N3">#REF!</definedName>
    <definedName name="TEST_O2">#REF!</definedName>
    <definedName name="TEST_O3">#REF!</definedName>
    <definedName name="TEST_P2">#REF!</definedName>
    <definedName name="TEST_P3">#REF!</definedName>
    <definedName name="TEST_Q2">#REF!</definedName>
    <definedName name="TEST_Q3">#REF!</definedName>
    <definedName name="TEST_R2">#REF!</definedName>
    <definedName name="TEST_R3">#REF!</definedName>
    <definedName name="TEST_S3">#REF!</definedName>
    <definedName name="TEST_T3">#REF!</definedName>
    <definedName name="TEST_U3">#REF!</definedName>
    <definedName name="TEST_V3">#REF!</definedName>
    <definedName name="TEST_W3">#REF!</definedName>
    <definedName name="TEST_X3">#REF!</definedName>
    <definedName name="TEST_Y3">#REF!</definedName>
    <definedName name="TEST_Z3">#REF!</definedName>
    <definedName name="TEST0">#REF!</definedName>
    <definedName name="TEST1">#REF!</definedName>
    <definedName name="TESTDTA_F4095">#REF!</definedName>
    <definedName name="TESTHKEY">#REF!</definedName>
    <definedName name="TESTKEYS">#REF!</definedName>
    <definedName name="TESTVKEY">#REF!</definedName>
    <definedName name="TEXT16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2</definedName>
    <definedName name="THEME2" hidden="1">{#N/A,#N/A,FALSE,"96 3월물량표";#N/A,#N/A,FALSE,"96 4월물량표";#N/A,#N/A,FALSE,"96 5월물량표"}</definedName>
    <definedName name="THEMONTH">#REF!</definedName>
    <definedName name="This_Quarter">#REF!</definedName>
    <definedName name="ThisPeriod">#REF!</definedName>
    <definedName name="ThisYear">#REF!</definedName>
    <definedName name="thsdls" hidden="1">{#N/A,#N/A,FALSE,"Aging Summary";#N/A,#N/A,FALSE,"Ratio Analysis";#N/A,#N/A,FALSE,"Test 120 Day Accts";#N/A,#N/A,FALSE,"Tickmarks"}</definedName>
    <definedName name="thtty" hidden="1">{#N/A,#N/A,FALSE,"96 3월물량표";#N/A,#N/A,FALSE,"96 4월물량표";#N/A,#N/A,FALSE,"96 5월물량표"}</definedName>
    <definedName name="ti">#REF!</definedName>
    <definedName name="Time">#REF!</definedName>
    <definedName name="TIMESTAMP">#REF!</definedName>
    <definedName name="TIPS_Actual_Title">#REF!</definedName>
    <definedName name="TIPS_AGENCY_COFEE">#REF!</definedName>
    <definedName name="TIPS_AGENCY_EEFEE">#REF!</definedName>
    <definedName name="TIPS_ALLOW_RUNCOST">#REF!</definedName>
    <definedName name="TIPS_ALLOWANCE">#REF!</definedName>
    <definedName name="TIPS_ANN_BASE">#REF!</definedName>
    <definedName name="TIPS_ANN_EC_GIVEN">#REF!</definedName>
    <definedName name="TIPS_AREA_ALW">#REF!</definedName>
    <definedName name="TIPS_BENEFITPOLICY">#REF!</definedName>
    <definedName name="TIPS_Benefits_1">#REF!</definedName>
    <definedName name="TIPS_Benefits_2">#REF!</definedName>
    <definedName name="TIPS_BON_ACT">#REF!</definedName>
    <definedName name="TIPS_BON_ACT2">#REF!</definedName>
    <definedName name="TIPS_BON_ELIG">#REF!</definedName>
    <definedName name="TIPS_BON_TGT">#REF!</definedName>
    <definedName name="TIPS_BON_TGT2">#REF!</definedName>
    <definedName name="TIPS_BURN_ALW">#REF!</definedName>
    <definedName name="TIPS_CAR_ENGINE">#REF!</definedName>
    <definedName name="TIPS_CAR_MODEL">#REF!</definedName>
    <definedName name="TIPS_CAR_PLAN">#REF!</definedName>
    <definedName name="TIPS_CAR_PRK">#REF!</definedName>
    <definedName name="TIPS_CHILD_EDUC">#REF!</definedName>
    <definedName name="TIPS_Class_of_Lawyer">#REF!</definedName>
    <definedName name="TIPS_CLEAN_ALW">#REF!</definedName>
    <definedName name="TIPS_CLOTH_ALW">#REF!</definedName>
    <definedName name="TIPS_CLUB_BEN">#REF!</definedName>
    <definedName name="TIPS_Combined_MUPCS_Title">#REF!</definedName>
    <definedName name="TIPS_Country_Code">#REF!</definedName>
    <definedName name="TIPS_CURR_CODE">#REF!</definedName>
    <definedName name="TIPS_DBPOLICY">#REF!</definedName>
    <definedName name="TIPS_DCPOLICY">#REF!</definedName>
    <definedName name="TIPS_DEEMOT_ALW">#REF!</definedName>
    <definedName name="TIPS_DEEMOT_PRO">#REF!</definedName>
    <definedName name="TIPS_DRIVER_SAL">#REF!</definedName>
    <definedName name="TIPS_Education_Allw">#REF!</definedName>
    <definedName name="TIPS_Employee_ID">#REF!</definedName>
    <definedName name="TIPS_EPI_RATE">#REF!</definedName>
    <definedName name="TIPS_FAMILY_ALW">#REF!</definedName>
    <definedName name="TIPS_FBT_ITEMS">#REF!</definedName>
    <definedName name="TIPS_FEST_BON">#REF!</definedName>
    <definedName name="TIPS_Financial_Vol">#REF!</definedName>
    <definedName name="TIPS_FIXED_BON">#REF!</definedName>
    <definedName name="TIPS_FIXEMP_TEC">#REF!</definedName>
    <definedName name="TIPS_FLEX_ALW">#REF!</definedName>
    <definedName name="TIPS_FLEX_BEN">#REF!</definedName>
    <definedName name="TIPS_FUEL">#REF!</definedName>
    <definedName name="TIPS_Geog_Resp">#REF!</definedName>
    <definedName name="TIPS_GOVT_FUND">#REF!</definedName>
    <definedName name="TIPS_GRATUITY">#REF!</definedName>
    <definedName name="TIPS_Headcount">#REF!</definedName>
    <definedName name="TIPS_HEADORG_TYPE">#REF!</definedName>
    <definedName name="TIPS_HI_RATE">#REF!</definedName>
    <definedName name="TIPS_Highest_Qual">#REF!</definedName>
    <definedName name="TIPS_HLTH_PREM">#REF!</definedName>
    <definedName name="TIPS_HOUSE_ALW">#REF!</definedName>
    <definedName name="TIPS_HOUSE_RENTAL">#REF!</definedName>
    <definedName name="TIPS_INCENT_ACT">#REF!</definedName>
    <definedName name="TIPS_INCENT_ACT2">#REF!</definedName>
    <definedName name="TIPS_INCENT_ELIG">#REF!</definedName>
    <definedName name="TIPS_INCENT_TGT">#REF!</definedName>
    <definedName name="TIPS_INCENT_TGT2">#REF!</definedName>
    <definedName name="TIPS_Incumbent_Data">#REF!</definedName>
    <definedName name="TIPS_IND_TYPE_SALES">#REF!</definedName>
    <definedName name="TIPS_Industry_List">#REF!</definedName>
    <definedName name="TIPS_INSURANCE">#REF!</definedName>
    <definedName name="TIPS_Internal_BU">#REF!</definedName>
    <definedName name="TIPS_Intl_Assignment">#REF!</definedName>
    <definedName name="TIPS_JOB_ALW">#REF!</definedName>
    <definedName name="TIPS_Job_Code">#REF!</definedName>
    <definedName name="TIPS_Job_Family">#REF!</definedName>
    <definedName name="TIPS_Job_Grade">#REF!</definedName>
    <definedName name="TIPS_Job_Identifier_Other">#REF!</definedName>
    <definedName name="TIPS_Job_Level">#REF!</definedName>
    <definedName name="TIPS_KIWI_CONVAL">#REF!</definedName>
    <definedName name="TIPS_KIWI_FUND">#REF!</definedName>
    <definedName name="TIPS_KIWI_OTHER">#REF!</definedName>
    <definedName name="TIPS_KIWI_TEC">#REF!</definedName>
    <definedName name="TIPS_KR_Actual_Title">#REF!</definedName>
    <definedName name="TIPS_KR_Code_Title">#REF!</definedName>
    <definedName name="TIPS_Last_Salary_Review">#REF!</definedName>
    <definedName name="TIPS_LEASEPRICE">#REF!</definedName>
    <definedName name="TIPS_LEASEPRICE2">#REF!</definedName>
    <definedName name="TIPS_LEASEPRICEFBT">#REF!</definedName>
    <definedName name="TIPS_LEAVE_LOAD">#REF!</definedName>
    <definedName name="TIPS_Location">#REF!</definedName>
    <definedName name="TIPS_LocationPOST">#REF!</definedName>
    <definedName name="TIPS_LTI_ELIG">#REF!</definedName>
    <definedName name="TIPS_LTIACCVAL1">#REF!</definedName>
    <definedName name="TIPS_LTICASH1">#REF!</definedName>
    <definedName name="TIPS_LTICUR1">#REF!</definedName>
    <definedName name="TIPS_LTIDTEGR1">#REF!</definedName>
    <definedName name="TIPS_LTIFMV1">#REF!</definedName>
    <definedName name="TIPS_LTIFREQ1">#REF!</definedName>
    <definedName name="TIPS_LTIMAXAWRD1">#REF!</definedName>
    <definedName name="TIPS_LTIPERFMEA1">#REF!</definedName>
    <definedName name="TIPS_LTIPLNTYP1">#REF!</definedName>
    <definedName name="TIPS_LTIPRCGR1">#REF!</definedName>
    <definedName name="TIPS_LTISHARES1">#REF!</definedName>
    <definedName name="TIPS_LTISTRUCT1">#REF!</definedName>
    <definedName name="TIPS_LTITERM1">#REF!</definedName>
    <definedName name="TIPS_MAINTENANCE">#REF!</definedName>
    <definedName name="TIPS_MEAL_ALW">#REF!</definedName>
    <definedName name="TIPS_MED_ALW">#REF!</definedName>
    <definedName name="TIPS_MEDCARE_BEN">#REF!</definedName>
    <definedName name="TIPS_Mercer_PC">#REF!</definedName>
    <definedName name="TIPS_MSU_INSURE">#REF!</definedName>
    <definedName name="TIPS_MTH_BASE">#REF!</definedName>
    <definedName name="TIPS_MUPC">#REF!</definedName>
    <definedName name="TIPS_NFBT_ITEMS">#REF!</definedName>
    <definedName name="TIPS_NUM_MTH">#REF!</definedName>
    <definedName name="TIPS_NUM_MTH2">#REF!</definedName>
    <definedName name="TIPS_Org_Ownership">#REF!</definedName>
    <definedName name="TIPS_Org_Type">#REF!</definedName>
    <definedName name="TIPS_ORG_TYPE_incumbent">#REF!</definedName>
    <definedName name="TIPS_Org_Type1">#REF!</definedName>
    <definedName name="TIPS_OTH_ALW">#REF!</definedName>
    <definedName name="TIPS_OTH_BEN">#REF!</definedName>
    <definedName name="TIPS_OTHBON_ACT">#REF!</definedName>
    <definedName name="TIPS_OTHBON_ACT2">#REF!</definedName>
    <definedName name="TIPS_OTHBON_TGT">#REF!</definedName>
    <definedName name="TIPS_OTHBON_TGT2">#REF!</definedName>
    <definedName name="TIPS_Other_LocalPlus_Allw">#REF!</definedName>
    <definedName name="TIPS_OTHSUP_TEC">#REF!</definedName>
    <definedName name="TIPS_PAG_IBIG">#REF!</definedName>
    <definedName name="TIPS_PERSONALUSE">#REF!</definedName>
    <definedName name="TIPS_PHONE_ALW">#REF!</definedName>
    <definedName name="TIPS_POS_FOCUS">#REF!</definedName>
    <definedName name="TIPS_POS_REVTGT">#REF!</definedName>
    <definedName name="TIPS_PP_CTRY">#REF!</definedName>
    <definedName name="TIPS_PREVENT_HLTH">#REF!</definedName>
    <definedName name="TIPS_PRICE">#REF!</definedName>
    <definedName name="TIPS_PRICE2">#REF!</definedName>
    <definedName name="TIPS_Product">#REF!</definedName>
    <definedName name="TIPS_PURCHASEDISCOUNT">#REF!</definedName>
    <definedName name="TIPS_REPLACEMENTTERM">#REF!</definedName>
    <definedName name="TIPS_RET_BENVAL">#REF!</definedName>
    <definedName name="TIPS_RET_CONVAL">#REF!</definedName>
    <definedName name="TIPS_Retirement">#REF!</definedName>
    <definedName name="TIPS_Salary_Increase">#REF!</definedName>
    <definedName name="TIPS_SCOPE_ALW">#REF!</definedName>
    <definedName name="TIPS_Service">#REF!</definedName>
    <definedName name="TIPS_SHARE_ROLE">#REF!</definedName>
    <definedName name="TIPS_SHIFT12_ALW">#REF!</definedName>
    <definedName name="TIPS_SHIFT8_ALW">#REF!</definedName>
    <definedName name="TIPS_SITE_ALW">#REF!</definedName>
    <definedName name="TIPS_SITEOFF_ALW">#REF!</definedName>
    <definedName name="TIPS_SKILL_ALW">#REF!</definedName>
    <definedName name="TIPS_SKILL_SPEC">#REF!</definedName>
    <definedName name="TIPS_SLSMAN_ALW">#REF!</definedName>
    <definedName name="TIPS_SS_BEN">#REF!</definedName>
    <definedName name="TIPS_SS_RATE">#REF!</definedName>
    <definedName name="TIPS_STK_CTRY">#REF!</definedName>
    <definedName name="TIPS_STK_EXCH">#REF!</definedName>
    <definedName name="TIPS_STK_TICKER">#REF!</definedName>
    <definedName name="TIPS_Store_Type">#REF!</definedName>
    <definedName name="TIPS_SUPP_HFUND">#REF!</definedName>
    <definedName name="TIPS_TRANS_ALW">#REF!</definedName>
    <definedName name="TIPS_TRAVEL_ALW">#REF!</definedName>
    <definedName name="TIPS_Type_of_contract">#REF!</definedName>
    <definedName name="TIPS_Type_of_Empl">#REF!</definedName>
    <definedName name="TIPS_UNION_COFEE">#REF!</definedName>
    <definedName name="TIPS_UNION_EEFEE">#REF!</definedName>
    <definedName name="TIPS_VESTOPT1">#REF!</definedName>
    <definedName name="TIPS_VESTOTH1">#REF!</definedName>
    <definedName name="TIPS_VESTPER1">#REF!</definedName>
    <definedName name="TIPS_VESTTYP1">#REF!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LE">#REF!</definedName>
    <definedName name="title_tranfer_timing">#REF!</definedName>
    <definedName name="title_transfer_month">#REF!</definedName>
    <definedName name="title_transfer_month_lookup">#REF!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wp">#REF!</definedName>
    <definedName name="to" hidden="1">{#N/A,#N/A,FALSE,"표지";#N/A,#N/A,FALSE,"전제";#N/A,#N/A,FALSE,"손익-자 (2)";#N/A,#N/A,FALSE,"손익-자";#N/A,#N/A,FALSE,"손익-마 (2)";#N/A,#N/A,FALSE,"손익-마";#N/A,#N/A,FALSE,"총손최종"}</definedName>
    <definedName name="todoroki" hidden="1">#REF!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">#REF!</definedName>
    <definedName name="Tot_Outstand_Check">#REF!</definedName>
    <definedName name="TOTAL" hidden="1">{#N/A,#N/A,TRUE,"일정"}</definedName>
    <definedName name="Total_Contracted_Gross_Area">#REF!</definedName>
    <definedName name="TOTAL1">#REF!</definedName>
    <definedName name="TOTAL2">#REF!</definedName>
    <definedName name="TOTALCARR">#N/A</definedName>
    <definedName name="TOTALDOC">#N/A</definedName>
    <definedName name="TOTALGOODS">#N/A</definedName>
    <definedName name="TotalPyung">#REF!</definedName>
    <definedName name="TOTALVAT">#N/A</definedName>
    <definedName name="totamt">#REF!</definedName>
    <definedName name="TOWN">#N/A</definedName>
    <definedName name="TP1t">#REF!</definedName>
    <definedName name="TP2t">#REF!</definedName>
    <definedName name="TP3t">#REF!</definedName>
    <definedName name="TP5t">#REF!</definedName>
    <definedName name="tr" hidden="1">#REF!</definedName>
    <definedName name="TRAD">#REF!</definedName>
    <definedName name="TrafficLY">OFFSET(#REF!,1,#REF!,12,1)</definedName>
    <definedName name="TrafficTY">OFFSET(#REF!,,#REF!,12,1)</definedName>
    <definedName name="Training">#REF!</definedName>
    <definedName name="TransNum">#REF!</definedName>
    <definedName name="TRent">#REF!</definedName>
    <definedName name="TrialBalance2">#REF!</definedName>
    <definedName name="TRIM">#REF!</definedName>
    <definedName name="TRK">#REF!</definedName>
    <definedName name="TRLY">OFFSET(#REF!,1,#REF!,12,1)</definedName>
    <definedName name="TRTY">OFFSET(#REF!,,#REF!,12,1)</definedName>
    <definedName name="Trust_Fee">#REF!</definedName>
    <definedName name="TT">#REF!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">#REF!</definedName>
    <definedName name="TTTTTTT">#REF!</definedName>
    <definedName name="ttttttttt">#REF!</definedName>
    <definedName name="tttttttttttt">#REF!</definedName>
    <definedName name="ttttttttttttttttttttttttttttttttttttttttttttttttttttt">#REF!</definedName>
    <definedName name="ttxx">#REF!</definedName>
    <definedName name="ttxxxx">#REF!</definedName>
    <definedName name="ttxxxxx">#REF!</definedName>
    <definedName name="TV">#REF!</definedName>
    <definedName name="TVMETH1">#REF!</definedName>
    <definedName name="TVMETH2">#REF!</definedName>
    <definedName name="TVMETH3">#REF!</definedName>
    <definedName name="TVMETH4">#REF!</definedName>
    <definedName name="TVMETH5">#REF!</definedName>
    <definedName name="TWN">#REF!</definedName>
    <definedName name="TXH">#REF!</definedName>
    <definedName name="TXK">#REF!</definedName>
    <definedName name="txx">#REF!</definedName>
    <definedName name="TYPE">#REF!</definedName>
    <definedName name="tyuiiut" hidden="1">{#N/A,#N/A,TRUE,"Assumptions";#N/A,#N/A,TRUE,"Sources of Revenue";#N/A,#N/A,TRUE,"P&amp;L";#N/A,#N/A,TRUE,"Bal. Sheet";#N/A,#N/A,TRUE,"Rights Issue &amp; X Adjustment";#N/A,#N/A,TRUE,"Transaction Model"}</definedName>
    <definedName name="tyuiryudadf" hidden="1">{#N/A,#N/A,TRUE,"Assumptions";#N/A,#N/A,TRUE,"Sources of Revenue";#N/A,#N/A,TRUE,"P&amp;L";#N/A,#N/A,TRUE,"Bal. Sheet";#N/A,#N/A,TRUE,"Rights Issue &amp; X Adjustment";#N/A,#N/A,TRUE,"Transaction Model"}</definedName>
    <definedName name="TYUITYUITYUI" hidden="1">{#N/A,#N/A,TRUE,"Assumptions";#N/A,#N/A,TRUE,"Sources of Revenue";#N/A,#N/A,TRUE,"P&amp;L";#N/A,#N/A,TRUE,"Bal. Sheet";#N/A,#N/A,TRUE,"Rights Issue &amp; X Adjustment";#N/A,#N/A,TRUE,"Transaction Model"}</definedName>
    <definedName name="TYUTUYUYUTYJUTYJ">#REF!</definedName>
    <definedName name="T행">#REF!</definedName>
    <definedName name="U">#REF!</definedName>
    <definedName name="U_C11">#REF!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a" hidden="1">{#N/A,#N/A,FALSE,"Aging Summary";#N/A,#N/A,FALSE,"Ratio Analysis";#N/A,#N/A,FALSE,"Test 120 Day Accts";#N/A,#N/A,FALSE,"Tickmarks"}</definedName>
    <definedName name="uighkj" hidden="1">{#N/A,#N/A,TRUE,"Assumptions";#N/A,#N/A,TRUE,"Sources of Revenue";#N/A,#N/A,TRUE,"P&amp;L";#N/A,#N/A,TRUE,"Bal. Sheet";#N/A,#N/A,TRUE,"Rights Issue &amp; X Adjustment";#N/A,#N/A,TRUE,"Transaction Model"}</definedName>
    <definedName name="uio" hidden="1">{#N/A,#N/A,TRUE,"Assumptions";#N/A,#N/A,TRUE,"Sources of Revenue";#N/A,#N/A,TRUE,"P&amp;L";#N/A,#N/A,TRUE,"Bal. Sheet";#N/A,#N/A,TRUE,"Rights Issue &amp; X Adjustment";#N/A,#N/A,TRUE,"Transaction Model"}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_천원">#REF!</definedName>
    <definedName name="Units">#REF!</definedName>
    <definedName name="Untitled">#REF!</definedName>
    <definedName name="UP_KOPIE">#REF!</definedName>
    <definedName name="UPC">#REF!</definedName>
    <definedName name="update">#REF!</definedName>
    <definedName name="UploadFile">#REF!</definedName>
    <definedName name="uti">#N/A</definedName>
    <definedName name="UtileBilver_utileBilCEE">#REF!</definedName>
    <definedName name="uto">#N/A</definedName>
    <definedName name="UT검사">#REF!</definedName>
    <definedName name="uu">#REF!</definedName>
    <definedName name="UUU" hidden="1">#REF!</definedName>
    <definedName name="uuuuuu">#REF!</definedName>
    <definedName name="uuuuuuuuuuuuuuuuuuuuuuuuuuuuuuuuuuuuuuuuuuuuuuuuuuuuuuuuuuuuuuuuuuuuuuuuuuuuuuuuuuuuuuuuuuuuuuuuuuuuuu">#REF!</definedName>
    <definedName name="U행">#REF!</definedName>
    <definedName name="V">#REF!</definedName>
    <definedName name="variance">#REF!</definedName>
    <definedName name="vat_at_aquisition">#REF!</definedName>
    <definedName name="vatloan">#REF!</definedName>
    <definedName name="vbn" hidden="1">{#N/A,#N/A,TRUE,"Assumptions";#N/A,#N/A,TRUE,"Sources of Revenue";#N/A,#N/A,TRUE,"P&amp;L";#N/A,#N/A,TRUE,"Bal. Sheet";#N/A,#N/A,TRUE,"Rights Issue &amp; X Adjustment";#N/A,#N/A,TRUE,"Transaction Model"}</definedName>
    <definedName name="vds" hidden="1">{"'買掛金'!$J$6"}</definedName>
    <definedName name="VDSAG" hidden="1">{#N/A,#N/A,TRUE,"일정"}</definedName>
    <definedName name="vfdf" hidden="1">{#N/A,#N/A,TRUE,"Assumptions";#N/A,#N/A,TRUE,"Sources of Revenue";#N/A,#N/A,TRUE,"P&amp;L";#N/A,#N/A,TRUE,"Bal. Sheet";#N/A,#N/A,TRUE,"Rights Issue &amp; X Adjustment";#N/A,#N/A,TRUE,"Transaction Model"}</definedName>
    <definedName name="vips_turnover_rent">#REF!</definedName>
    <definedName name="voc" hidden="1">#REF!</definedName>
    <definedName name="VOCDIDTLR2" hidden="1">#REF!</definedName>
    <definedName name="VSUMCL">#REF!</definedName>
    <definedName name="VT">#REF!</definedName>
    <definedName name="VV">#REF!</definedName>
    <definedName name="VVT">#REF!</definedName>
    <definedName name="vvv" hidden="1">{"'買掛金'!$J$6"}</definedName>
    <definedName name="vvvvv">#REF!</definedName>
    <definedName name="vvvvvvvvvvvvvv">#REF!</definedName>
    <definedName name="vxccx" hidden="1">{"'買掛金'!$J$6"}</definedName>
    <definedName name="V행">#REF!</definedName>
    <definedName name="w" hidden="1">{#N/A,#N/A,FALSE,"Aging Summary";#N/A,#N/A,FALSE,"Ratio Analysis";#N/A,#N/A,FALSE,"Test 120 Day Accts";#N/A,#N/A,FALSE,"Tickmarks"}</definedName>
    <definedName name="W.SHOP">#N/A</definedName>
    <definedName name="warrants">#REF!</definedName>
    <definedName name="warrants1">#REF!</definedName>
    <definedName name="WBS" hidden="1">{#N/A,#N/A,FALSE,"Aging Summary";#N/A,#N/A,FALSE,"Ratio Analysis";#N/A,#N/A,FALSE,"Test 120 Day Accts";#N/A,#N/A,FALSE,"Tickmarks"}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r" hidden="1">{#N/A,#N/A,TRUE,"Assumptions";#N/A,#N/A,TRUE,"Sources of Revenue";#N/A,#N/A,TRUE,"P&amp;L";#N/A,#N/A,TRUE,"Bal. Sheet";#N/A,#N/A,TRUE,"Rights Issue &amp; X Adjustment";#N/A,#N/A,TRUE,"Transaction Model"}</definedName>
    <definedName name="werq">#REF!</definedName>
    <definedName name="wetr" hidden="1">{#N/A,#N/A,TRUE,"Assumptions";#N/A,#N/A,TRUE,"Sources of Revenue";#N/A,#N/A,TRUE,"P&amp;L";#N/A,#N/A,TRUE,"Bal. Sheet";#N/A,#N/A,TRUE,"Rights Issue &amp; X Adjustment";#N/A,#N/A,TRUE,"Transaction Model"}</definedName>
    <definedName name="wetrwet" hidden="1">{#N/A,#N/A,TRUE,"Assumptions";#N/A,#N/A,TRUE,"Sources of Revenue";#N/A,#N/A,TRUE,"P&amp;L";#N/A,#N/A,TRUE,"Bal. Sheet";#N/A,#N/A,TRUE,"Rights Issue &amp; X Adjustment";#N/A,#N/A,TRUE,"Transaction Model"}</definedName>
    <definedName name="WEW">#REF!</definedName>
    <definedName name="white_non_see_thru_solid_ctn_poplin">#REF!</definedName>
    <definedName name="wide_wale_cord">#REF!</definedName>
    <definedName name="widebs">#REF!</definedName>
    <definedName name="Winter" hidden="1">{#N/A,#N/A,FALSE,"95FW"}</definedName>
    <definedName name="wkd" hidden="1">{#N/A,#N/A,FALSE,"3가";#N/A,#N/A,FALSE,"3나";#N/A,#N/A,FALSE,"3다"}</definedName>
    <definedName name="wkgk" hidden="1">{#N/A,#N/A,FALSE,"BS";#N/A,#N/A,FALSE,"PL";#N/A,#N/A,FALSE,"처분";#N/A,#N/A,FALSE,"현금";#N/A,#N/A,FALSE,"매출";#N/A,#N/A,FALSE,"원가";#N/A,#N/A,FALSE,"경영"}</definedName>
    <definedName name="wks">#REF!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ori_Growth_Grate">#REF!</definedName>
    <definedName name="Woori_Growth_rate">#REF!</definedName>
    <definedName name="WORK_COM">#N/A</definedName>
    <definedName name="WPL" hidden="1">{#N/A,#N/A,FALSE,"Aging Summary";#N/A,#N/A,FALSE,"Ratio Analysis";#N/A,#N/A,FALSE,"Test 120 Day Accts";#N/A,#N/A,FALSE,"Tickmarks"}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{#N/A,#N/A,TRUE,"일정"}</definedName>
    <definedName name="wrn.345." hidden="1">{#N/A,#N/A,FALSE,"96 3월물량표";#N/A,#N/A,FALSE,"96 4월물량표";#N/A,#N/A,FALSE,"96 5월물량표"}</definedName>
    <definedName name="wrn.95._.fw._.진행현황." hidden="1">{#N/A,#N/A,FALSE,"95FW"}</definedName>
    <definedName name="wrn.97년._.9월._.임차현황." hidden="1">{#N/A,#N/A,FALSE,"동부"}</definedName>
    <definedName name="wrn.97년._.9월._.임차현황._1" hidden="1">{#N/A,#N/A,FALSE,"동부"}</definedName>
    <definedName name="WRN.AAA." hidden="1">{#N/A,#N/A,FALSE,"단축1";#N/A,#N/A,FALSE,"단축2";#N/A,#N/A,FALSE,"단축3";#N/A,#N/A,FALSE,"장축";#N/A,#N/A,FALSE,"4WD"}</definedName>
    <definedName name="wrn.ACCEL._.PERF." hidden="1">{#N/A,#N/A,FALSE,"입력SHT"}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hidden="1">{#N/A,#N/A,FALSE,"PROG &amp; MARKET";#N/A,#N/A,FALSE,"SUMMARY";#N/A,#N/A,FALSE,"LANDSIDE -DETAIL";#N/A,#N/A,FALSE,"VESSEL"}</definedName>
    <definedName name="wrn.ALL._.METRICS." hidden="1">{#N/A,#N/A,TRUE,"contents";#N/A,#N/A,TRUE,"production";#N/A,#N/A,TRUE,"svcg";#N/A,#N/A,TRUE,"cent_offices";#N/A,#N/A,TRUE,"subs"}</definedName>
    <definedName name="wrn.All._.Sheets." hidden="1">{#N/A,#N/A,TRUE,"Assumptions";#N/A,#N/A,TRUE,"Sources of Revenue";#N/A,#N/A,TRUE,"P&amp;L";#N/A,#N/A,TRUE,"Bal. Sheet";#N/A,#N/A,TRUE,"Rights Issue &amp; X Adjustment";#N/A,#N/A,TRUE,"Transaction Model"}</definedName>
    <definedName name="wrn.ALL._1" hidden="1">{#N/A,#N/A,FALSE,"PROG &amp; MARKET";#N/A,#N/A,FALSE,"SUMMARY";#N/A,#N/A,FALSE,"LANDSIDE -DETAIL";#N/A,#N/A,FALSE,"VESSEL"}</definedName>
    <definedName name="wrn.AnnualRentRoll" hidden="1">{"AnnualRentRoll",#N/A,FALSE,"RentRoll"}</definedName>
    <definedName name="wrn.AnnualRentRoll." hidden="1">{"AnnualRentRoll",#N/A,FALSE,"RentRoll"}</definedName>
    <definedName name="wrn.AnnualRentRoll._1" hidden="1">{"AnnualRentRoll",#N/A,FALSE,"RentRoll"}</definedName>
    <definedName name="wrn.AnnualRentRoll_1" hidden="1">{"AnnualRentRoll",#N/A,FALSE,"RentRoll"}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_.Qtr._.Workbook.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bb." hidden="1">{#N/A,#N/A,FALSE,"단축1";#N/A,#N/A,FALSE,"단축2";#N/A,#N/A,FALSE,"단축3";#N/A,#N/A,FALSE,"장축";#N/A,#N/A,FALSE,"4WD"}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udget." hidden="1">{"budget1",#N/A,FALSE,"BUDG.XLS";"budget2",#N/A,FALSE,"BUDG.XLS"}</definedName>
    <definedName name="wrn.budget._1" hidden="1">{"budget1",#N/A,FALSE,"BUDG.XLS";"budget2",#N/A,FALSE,"BUDG.XLS"}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xitAndSalesAssumptions." hidden="1">{#N/A,#N/A,FALSE,"ExitStratigy"}</definedName>
    <definedName name="wrn.ExitAndSalesAssumptions._1" hidden="1">{#N/A,#N/A,FALSE,"ExitStratigy"}</definedName>
    <definedName name="wrn.FULL." hidden="1">{#N/A,#N/A,FALSE,"B"}</definedName>
    <definedName name="wrn.FULL._1" hidden="1">{#N/A,#N/A,FALSE,"B"}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hidden="1">{#N/A,#N/A,FALSE,"LoanAssumptions"}</definedName>
    <definedName name="wrn.LoanInformation._1" hidden="1">{#N/A,#N/A,FALSE,"LoanAssumptions"}</definedName>
    <definedName name="wrn.lodging." hidden="1">{"p",#N/A,FALSE,"Sheet1";"p 2",#N/A,FALSE,"Sheet1";"p 3",#N/A,FALSE,"Sheet1"}</definedName>
    <definedName name="wrn.lodging._1" hidden="1">{"p",#N/A,FALSE,"Sheet1";"p 2",#N/A,FALSE,"Sheet1";"p 3",#N/A,FALSE,"Sheet1"}</definedName>
    <definedName name="wrn.MonthlyRentRoll." hidden="1">{"MonthlyRentRoll",#N/A,FALSE,"RentRoll"}</definedName>
    <definedName name="wrn.MonthlyRentRoll._1" hidden="1">{"MonthlyRentRoll",#N/A,FALSE,"RentRoll"}</definedName>
    <definedName name="wrn.no.1." hidden="1">{#N/A,#N/A,FALSE,"Const";#N/A,#N/A,FALSE,"P&amp;L";#N/A,#N/A,FALSE,"Sale"}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29_1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30._1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eratingAssumtions." hidden="1">{#N/A,#N/A,FALSE,"OperatingAssumptions"}</definedName>
    <definedName name="wrn.OperatingAssumtions._1" hidden="1">{#N/A,#N/A,FALSE,"OperatingAssumptions"}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hidden="1">{#N/A,#N/A,FALSE,"SUMMARY SHEET";#N/A,#N/A,FALSE,"VARIANCE REPORT";#N/A,#N/A,FALSE,"CAT1-16 SUMM";#N/A,#N/A,FALSE,"GCS";#N/A,#N/A,FALSE,"FF &amp; E";#N/A,#N/A,FALSE,"DESIGN COSTS"}</definedName>
    <definedName name="wrn.PRESENTATION._1" hidden="1">{#N/A,#N/A,FALSE,"SUMMARY SHEET";#N/A,#N/A,FALSE,"VARIANCE REPORT";#N/A,#N/A,FALSE,"CAT1-16 SUMM";#N/A,#N/A,FALSE,"GCS";#N/A,#N/A,FALSE,"FF &amp; E";#N/A,#N/A,FALSE,"DESIGN COSTS"}</definedName>
    <definedName name="wrn.print." hidden="1">{"page1",#N/A,FALSE,"Sheet1";"page2",#N/A,FALSE,"Sheet1"}</definedName>
    <definedName name="wrn.print._1" hidden="1">{"page1",#N/A,FALSE,"Sheet1";"page2",#N/A,FALSE,"Sheet1"}</definedName>
    <definedName name="wrn.PropertyInformation." hidden="1">{#N/A,#N/A,FALSE,"PropertyInfo"}</definedName>
    <definedName name="wrn.PropertyInformation._1" hidden="1">{#N/A,#N/A,FALSE,"PropertyInfo"}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{#N/A,#N/A,FALSE,"Summary"}</definedName>
    <definedName name="wrn.Summary._1" hidden="1">{#N/A,#N/A,FALSE,"Summary"}</definedName>
    <definedName name="wrn.TEST." hidden="1">{#N/A,#N/A,FALSE,"3가";#N/A,#N/A,FALSE,"3나";#N/A,#N/A,FALSE,"3다"}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hidden="1">{#N/A,#N/A,TRUE,"1호 과표세액";#N/A,#N/A,TRUE,"6호 첨부(익)";#N/A,#N/A,TRUE,"6-3호 퇴충";#N/A,#N/A,TRUE,"PL";#N/A,#N/A,TRUE,"BS";#N/A,#N/A,TRUE,"RE";#N/A,#N/A,TRUE,"표지"}</definedName>
    <definedName name="wrn.대차._.대조표." hidden="1">{#N/A,#N/A,TRUE,"대 차 대 조 표"}</definedName>
    <definedName name="wrn.대차._.대조표._1" hidden="1">{#N/A,#N/A,TRUE,"대 차 대 조 표"}</definedName>
    <definedName name="wrn.보고서." hidden="1">{#N/A,#N/A,FALSE,"Sheet1";#N/A,#N/A,FALSE,"기평9607"}</definedName>
    <definedName name="wrn.보고서._1" hidden="1">{#N/A,#N/A,FALSE,"Sheet1";#N/A,#N/A,FALSE,"기평9607"}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사업계획." hidden="1">{#N/A,#N/A,FALSE,"SILO현황";#N/A,#N/A,FALSE,"타업체";#N/A,#N/A,FALSE,"생산능력"}</definedName>
    <definedName name="wrn.사업계획서." hidden="1">{#N/A,#N/A,FALSE,"표지";#N/A,#N/A,FALSE,"목차";#N/A,#N/A,FALSE,"사업개요";#N/A,#N/A,FALSE,"수급전망";#N/A,#N/A,FALSE,"기간연장";#N/A,#N/A,FALSE,"선박운항계획";#N/A,#N/A,FALSE,"채산성"}</definedName>
    <definedName name="wrn.선박도입._.채산성." hidden="1">{#N/A,#N/A,FALSE,"채산3501.XLS";#N/A,#N/A,FALSE,"신조수A.XLS";#N/A,#N/A,FALSE,"신조수b.XLS";#N/A,#N/A,FALSE,"채산3502.XLS";#N/A,#N/A,FALSE,"신조원리.XLS";#N/A,#N/A,FALSE,"신조감가.XLS"}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월추정." hidden="1">{#N/A,#N/A,FALSE,"월추정감가상각비";#N/A,#N/A,FALSE,"main_prog"}</definedName>
    <definedName name="wrn.유형자산." hidden="1">{#N/A,#N/A,FALSE,"Sheet1"}</definedName>
    <definedName name="wrn.이력서._.자기소개서." hidden="1">{#N/A,#N/A,FALSE,"이력서&amp;자기소개서"}</definedName>
    <definedName name="wrn.이력서._.자기소개서._1" hidden="1">{#N/A,#N/A,FALSE,"이력서&amp;자기소개서"}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전부인쇄." hidden="1">{#N/A,#N/A,FALSE,"단축1";#N/A,#N/A,FALSE,"단축2";#N/A,#N/A,FALSE,"단축3";#N/A,#N/A,FALSE,"장축";#N/A,#N/A,FALSE,"4WD"}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간._.보고." hidden="1">{#N/A,#N/A,TRUE,"일정"}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hidden="1">{#N/A,#N/A,FALSE,"채권채무";#N/A,#N/A,FALSE,"control sheet"}</definedName>
    <definedName name="wrn.통신지." hidden="1">{#N/A,#N/A,FALSE,"기안지";#N/A,#N/A,FALSE,"통신지"}</definedName>
    <definedName name="wrn.포장단가." hidden="1">{#N/A,#N/A,FALSE,"포장단가"}</definedName>
    <definedName name="wrn.포항강판." hidden="1">{"현수",#N/A,FALSE,"월추정감가상각비"}</definedName>
    <definedName name="wrn.현대정공구매현황." hidden="1">{#N/A,#N/A,FALSE,"정공"}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w">#REF!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W" hidden="1">{"'호선별현황(방식)'!$K$22:$P$22","'호선별현황(방식)'!$K$22:$P$22"}</definedName>
    <definedName name="wwwwww" hidden="1">{"'호선별현황(방식)'!$K$22:$P$22","'호선별현황(방식)'!$K$22:$P$22"}</definedName>
    <definedName name="wwwwwwww">#REF!</definedName>
    <definedName name="wwwwwwwwwwwww">#REF!</definedName>
    <definedName name="wwwwwwwwwwwwwwwwww">#REF!</definedName>
    <definedName name="W행">#REF!</definedName>
    <definedName name="W행1">#N/A</definedName>
    <definedName name="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9802장판원본_원본_List">#REF!</definedName>
    <definedName name="XG액션">#REF!</definedName>
    <definedName name="XIII._당기순이익">#REF!</definedName>
    <definedName name="XL">#REF!</definedName>
    <definedName name="XOUT">#REF!</definedName>
    <definedName name="XREF_COLUMN_1" hidden="1">#REF!</definedName>
    <definedName name="XREF_COLUMN_10" hidden="1">#REF!</definedName>
    <definedName name="XREF_COLUMN_11" hidden="1">#REF!</definedName>
    <definedName name="XREF_COLUMN_110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7" hidden="1">#REF!</definedName>
    <definedName name="XREF_COLUMN_89" hidden="1">#REF!</definedName>
    <definedName name="XREF_COLUMN_9" hidden="1">#REF!</definedName>
    <definedName name="XREF_COLUMN_91" hidden="1">#REF!</definedName>
    <definedName name="XREF_COLUMN_93" hidden="1">#REF!</definedName>
    <definedName name="XREF_COLUMN_95" hidden="1">#REF!</definedName>
    <definedName name="XREF_COLUMN_97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0" hidden="1">#REF!</definedName>
    <definedName name="XRefCopy101" hidden="1">#REF!</definedName>
    <definedName name="XRefCopy102" hidden="1">#REF!</definedName>
    <definedName name="XRefCopy103" hidden="1">#REF!</definedName>
    <definedName name="XRefCopy104" hidden="1">#REF!</definedName>
    <definedName name="XRefCopy10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1" hidden="1">#REF!</definedName>
    <definedName name="XRefCopy52" hidden="1">#REF!</definedName>
    <definedName name="XRefCopy53" hidden="1">#REF!</definedName>
    <definedName name="XRefCopy54" hidden="1">#REF!</definedName>
    <definedName name="XRefCopy55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3" hidden="1">#REF!</definedName>
    <definedName name="XRefCopy94" hidden="1">#REF!</definedName>
    <definedName name="XRefCopy95" hidden="1">#REF!</definedName>
    <definedName name="XRefCopy96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#REF!</definedName>
    <definedName name="XRefCopyRangeCount" hidden="1">2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Row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9" hidden="1">#REF!</definedName>
    <definedName name="XRefPaste17Row" hidden="1">#REF!</definedName>
    <definedName name="XRefPaste18" hidden="1">#REF!</definedName>
    <definedName name="XRefPaste180" hidden="1">#REF!</definedName>
    <definedName name="XRefPaste180Row" hidden="1">#REF!</definedName>
    <definedName name="XRefPaste181" hidden="1">#REF!</definedName>
    <definedName name="XRefPaste182" hidden="1">#REF!</definedName>
    <definedName name="XRefPaste18Row" hidden="1">#REF!</definedName>
    <definedName name="XRefPaste19" hidden="1">#REF!</definedName>
    <definedName name="XRefPaste192Row" hidden="1">#REF!</definedName>
    <definedName name="XRefPaste198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" hidden="1">#REF!</definedName>
    <definedName name="XRefPaste200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Row" hidden="1">#REF!</definedName>
    <definedName name="XRefPaste234Row" hidden="1">#REF!</definedName>
    <definedName name="XRefPaste235" hidden="1">#REF!</definedName>
    <definedName name="XRefPaste235Row" hidden="1">#REF!</definedName>
    <definedName name="XRefPaste237Row" hidden="1">#REF!</definedName>
    <definedName name="XRefPaste238Row" hidden="1">#REF!</definedName>
    <definedName name="XRefPaste239Row" hidden="1">#REF!</definedName>
    <definedName name="XRefPaste23Row" hidden="1">#REF!</definedName>
    <definedName name="XRefPaste24" hidden="1">#REF!</definedName>
    <definedName name="XRefPaste240Row" hidden="1">#REF!</definedName>
    <definedName name="XRefPaste241Row" hidden="1">#REF!</definedName>
    <definedName name="XRefPaste242Row" hidden="1">#REF!</definedName>
    <definedName name="XRefPaste243Row" hidden="1">#REF!</definedName>
    <definedName name="XRefPaste244Row" hidden="1">#REF!</definedName>
    <definedName name="XRefPaste245Row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4</definedName>
    <definedName name="xx">#REF!</definedName>
    <definedName name="xxx" hidden="1">#REF!</definedName>
    <definedName name="xxxxxxx">#REF!</definedName>
    <definedName name="xxxxxxxxxx">#REF!</definedName>
    <definedName name="xxxxxxxxxxxxx">#REF!</definedName>
    <definedName name="xxxxxxxxxxxxxxxxxxxxxxxxxxxxxxxxxxxxxxxxxxxxxxxxxxxxxxxxxxxxxxxxxxxxxxxx">#REF!</definedName>
    <definedName name="X행">#REF!</definedName>
    <definedName name="Y">#REF!</definedName>
    <definedName name="ya" hidden="1">{#N/A,#N/A,FALSE,"Aging Summary";#N/A,#N/A,FALSE,"Ratio Analysis";#N/A,#N/A,FALSE,"Test 120 Day Accts";#N/A,#N/A,FALSE,"Tickmarks"}</definedName>
    <definedName name="Year">#REF!</definedName>
    <definedName name="Year_To_WesternStyle">#REF!</definedName>
    <definedName name="YEAREND">#REF!</definedName>
    <definedName name="YEARS">#REF!</definedName>
    <definedName name="YEN">#REF!</definedName>
    <definedName name="YEON">#REF!</definedName>
    <definedName name="yh" hidden="1">{#N/A,#N/A,FALSE,"Aging Summary";#N/A,#N/A,FALSE,"Ratio Analysis";#N/A,#N/A,FALSE,"Test 120 Day Accts";#N/A,#N/A,FALSE,"Tickmarks"}</definedName>
    <definedName name="YM">#REF!</definedName>
    <definedName name="YN">#REF!</definedName>
    <definedName name="Yr_1_Rent_Growth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TD">#REF!</definedName>
    <definedName name="YTD1">#REF!</definedName>
    <definedName name="YTD2">#REF!</definedName>
    <definedName name="yuioyuoiio" hidden="1">{#N/A,#N/A,TRUE,"Assumptions";#N/A,#N/A,TRUE,"Sources of Revenue";#N/A,#N/A,TRUE,"P&amp;L";#N/A,#N/A,TRUE,"Bal. Sheet";#N/A,#N/A,TRUE,"Rights Issue &amp; X Adjustment";#N/A,#N/A,TRUE,"Transaction Model"}</definedName>
    <definedName name="YUIY" hidden="1">{#N/A,#N/A,TRUE,"Assumptions";#N/A,#N/A,TRUE,"Sources of Revenue";#N/A,#N/A,TRUE,"P&amp;L";#N/A,#N/A,TRUE,"Bal. Sheet";#N/A,#N/A,TRUE,"Rights Issue &amp; X Adjustment";#N/A,#N/A,TRUE,"Transaction Model"}</definedName>
    <definedName name="YUYU">#REF!</definedName>
    <definedName name="yy">#REF!</definedName>
    <definedName name="YYY" hidden="1">{#N/A,#N/A,TRUE,"Y생산";#N/A,#N/A,TRUE,"Y판매";#N/A,#N/A,TRUE,"Y총물량";#N/A,#N/A,TRUE,"Y능력";#N/A,#N/A,TRUE,"YKD"}</definedName>
    <definedName name="yyyyyyyy">#REF!</definedName>
    <definedName name="YYYYYYYYY">#REF!</definedName>
    <definedName name="yyyyyyyyyy">#REF!</definedName>
    <definedName name="yyyyyyyyyyy">#REF!</definedName>
    <definedName name="yyyyyyyyyyyy">#REF!</definedName>
    <definedName name="yyyyyyyyyyyyyy">#REF!</definedName>
    <definedName name="yyyyyyyyyyyyyyy">#REF!</definedName>
    <definedName name="yyyyyyyyyyyyyyyy">#REF!</definedName>
    <definedName name="yyyyyyyyyyyyyyyyyy">#REF!</definedName>
    <definedName name="YYYYYYYYYYYYYYYYYYYYYYYYYYYYYYYYYYYYYYYYYYYYYYYYYYYYYYYYYYYYYYYYYYYYYYYYYYYYY">#REF!</definedName>
    <definedName name="Y부서">#REF!</definedName>
    <definedName name="Z">#REF!</definedName>
    <definedName name="Z_A5716FB3_058D_11D5_BFEC_0050BF418CB9_.wvu.FilterData" hidden="1">#REF!</definedName>
    <definedName name="Zace">#REF!</definedName>
    <definedName name="zcv" hidden="1">0</definedName>
    <definedName name="ZEI">#REF!</definedName>
    <definedName name="ZIP">#N/A</definedName>
    <definedName name="zsdf" hidden="1">{#N/A,#N/A,TRUE,"Assumptions";#N/A,#N/A,TRUE,"Sources of Revenue";#N/A,#N/A,TRUE,"P&amp;L";#N/A,#N/A,TRUE,"Bal. Sheet";#N/A,#N/A,TRUE,"Rights Issue &amp; X Adjustment";#N/A,#N/A,TRUE,"Transaction Model"}</definedName>
    <definedName name="ZZ">#REF!</definedName>
    <definedName name="zzb" hidden="1">#REF!</definedName>
    <definedName name="ZZZ" hidden="1">{#N/A,#N/A,FALSE,"Aging Summary";#N/A,#N/A,FALSE,"Ratio Analysis";#N/A,#N/A,FALSE,"Test 120 Day Accts";#N/A,#N/A,FALSE,"Tickmarks"}</definedName>
    <definedName name="ZZZZ" hidden="1">#REF!</definedName>
    <definedName name="zzzzzzzz">#REF!</definedName>
    <definedName name="zzzzzzzzz">#REF!</definedName>
    <definedName name="zzzzzzzzzzzzzz">#REF!</definedName>
    <definedName name="Z횴LER">#REF!</definedName>
    <definedName name="Z횴LER간">#REF!</definedName>
    <definedName name="α">#REF!</definedName>
    <definedName name="β">#REF!</definedName>
    <definedName name="γ">#REF!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ﾃﾞｰﾀ１番目枠">#REF!,#REF!,#REF!</definedName>
    <definedName name="ﾃﾞｰﾀ２番目枠">#REF!,#REF!,#REF!</definedName>
    <definedName name="ﾃﾞｰﾀ３番目枠">#REF!,#REF!,#REF!</definedName>
    <definedName name="ﾃﾞｰﾀ４番目枠">#REF!,#REF!,#REF!</definedName>
    <definedName name="テスト" hidden="1">{"'買掛金'!$J$6"}</definedName>
    <definedName name="ז">#REF!</definedName>
    <definedName name="ח">#REF!</definedName>
    <definedName name="מדד_חודש_97__9">"a"</definedName>
    <definedName name="מקדם">#REF!</definedName>
    <definedName name="ㄱ">#REF!</definedName>
    <definedName name="ㄱㄱ">#REF!</definedName>
    <definedName name="ㄱㄱㄱ">#REF!</definedName>
    <definedName name="ㄱㄱㄳㅎ">#REF!</definedName>
    <definedName name="ㄱㄴㄷ" hidden="1">{#N/A,#N/A,FALSE,"BS";#N/A,#N/A,FALSE,"PL";#N/A,#N/A,FALSE,"처분";#N/A,#N/A,FALSE,"현금";#N/A,#N/A,FALSE,"매출";#N/A,#N/A,FALSE,"원가";#N/A,#N/A,FALSE,"경영"}</definedName>
    <definedName name="ㄱㄷㄱㄱ" hidden="1">{#N/A,#N/A,TRUE,"일정"}</definedName>
    <definedName name="ㄱㅇ" hidden="1">{#N/A,#N/A,FALSE,"단축1";#N/A,#N/A,FALSE,"단축2";#N/A,#N/A,FALSE,"단축3";#N/A,#N/A,FALSE,"장축";#N/A,#N/A,FALSE,"4WD"}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>#REF!</definedName>
    <definedName name="가1" hidden="1">{#N/A,#N/A,TRUE,"Y생산";#N/A,#N/A,TRUE,"Y판매";#N/A,#N/A,TRUE,"Y총물량";#N/A,#N/A,TRUE,"Y능력";#N/A,#N/A,TRUE,"YKD"}</definedName>
    <definedName name="가10층">#REF!</definedName>
    <definedName name="가11층">#REF!</definedName>
    <definedName name="가12층">#REF!</definedName>
    <definedName name="가13층">#REF!</definedName>
    <definedName name="가14층">#REF!</definedName>
    <definedName name="가15층">#REF!</definedName>
    <definedName name="가16층">#REF!</definedName>
    <definedName name="가17층">#REF!</definedName>
    <definedName name="가18층">#REF!</definedName>
    <definedName name="가19층">#REF!</definedName>
    <definedName name="가20층">#REF!</definedName>
    <definedName name="가21층">#REF!</definedName>
    <definedName name="가22층">#REF!</definedName>
    <definedName name="가23층">#REF!</definedName>
    <definedName name="가24층">#REF!</definedName>
    <definedName name="가25층">#REF!</definedName>
    <definedName name="가2층">#REF!</definedName>
    <definedName name="가3층">#REF!</definedName>
    <definedName name="가4층">#REF!</definedName>
    <definedName name="가5층">#REF!</definedName>
    <definedName name="가6층">#REF!</definedName>
    <definedName name="가7층">#REF!</definedName>
    <definedName name="가8층">#REF!</definedName>
    <definedName name="가9층">#REF!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가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격">#REF!</definedName>
    <definedName name="가공비">#REF!</definedName>
    <definedName name="가나">#REF!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스로">#REF!</definedName>
    <definedName name="가스료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을" hidden="1">{#N/A,#N/A,FALSE,"95FW"}</definedName>
    <definedName name="가전">#REF!</definedName>
    <definedName name="가족">#REF!</definedName>
    <definedName name="가중평균">#REF!</definedName>
    <definedName name="가지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간접">#REF!</definedName>
    <definedName name="간지목록">#REF!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overall" hidden="1">{#N/A,#N/A,FALSE,"Aging Summary";#N/A,#N/A,FALSE,"Ratio Analysis";#N/A,#N/A,FALSE,"Test 120 Day Accts";#N/A,#N/A,FALSE,"Tickmarks"}</definedName>
    <definedName name="감가상각">#REF!</definedName>
    <definedName name="감가상각비">#REF!</definedName>
    <definedName name="감가상각비2" hidden="1">{#N/A,#N/A,FALSE,"Aging Summary";#N/A,#N/A,FALSE,"Ratio Analysis";#N/A,#N/A,FALSE,"Test 120 Day Accts";#N/A,#N/A,FALSE,"Tickmarks"}</definedName>
    <definedName name="감사" hidden="1">{#N/A,#N/A,FALSE,"채산3501.XLS";#N/A,#N/A,FALSE,"신조수A.XLS";#N/A,#N/A,FALSE,"신조수b.XLS";#N/A,#N/A,FALSE,"채산3502.XLS";#N/A,#N/A,FALSE,"신조원리.XLS";#N/A,#N/A,FALSE,"신조감가.XLS"}</definedName>
    <definedName name="감우">#REF!</definedName>
    <definedName name="감원검토2" localSheetId="1">BlankMacro1</definedName>
    <definedName name="감원검토2" localSheetId="0">BlankMacro1</definedName>
    <definedName name="감원검토2">BlankMacro1</definedName>
    <definedName name="갑측정산">#REF!</definedName>
    <definedName name="강">#REF!</definedName>
    <definedName name="강동곤">#REF!</definedName>
    <definedName name="강선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숙현">#REF!</definedName>
    <definedName name="강용" hidden="1">{"'Sheet1'!$A$1:$H$36"}</definedName>
    <definedName name="강용혁" hidden="1">#N/A</definedName>
    <definedName name="강태혁" hidden="1">#N/A</definedName>
    <definedName name="개발인정">"Picture 49"</definedName>
    <definedName name="개발일정" hidden="1">{#N/A,#N/A,FALSE,"신규dep";#N/A,#N/A,FALSE,"신규dep-금형상각후";#N/A,#N/A,FALSE,"신규dep-연구비상각후";#N/A,#N/A,FALSE,"신규dep-기계,공구상각후"}</definedName>
    <definedName name="개발차종">#N/A</definedName>
    <definedName name="개선">#REF!</definedName>
    <definedName name="개선1">#REF!</definedName>
    <definedName name="개선2">#REF!</definedName>
    <definedName name="개선내용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개선절감">#REF!</definedName>
    <definedName name="갱신임료수준">#REF!</definedName>
    <definedName name="갸">#REF!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래조건10월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1">#REF!</definedName>
    <definedName name="건10">#REF!</definedName>
    <definedName name="건11">#REF!</definedName>
    <definedName name="건12">#REF!</definedName>
    <definedName name="건2">#REF!</definedName>
    <definedName name="건3">#REF!</definedName>
    <definedName name="건4">#REF!</definedName>
    <definedName name="건5">#REF!</definedName>
    <definedName name="건6">#REF!</definedName>
    <definedName name="건7">#REF!</definedName>
    <definedName name="건8">#REF!</definedName>
    <definedName name="건9">#REF!</definedName>
    <definedName name="건강10월">#REF!</definedName>
    <definedName name="건강11월">#REF!</definedName>
    <definedName name="건강12월">#REF!</definedName>
    <definedName name="건강3월">#REF!</definedName>
    <definedName name="건강4월">#REF!</definedName>
    <definedName name="건강5월">#REF!</definedName>
    <definedName name="건강6월">#REF!</definedName>
    <definedName name="건강7월">#REF!</definedName>
    <definedName name="건강8월">#REF!</definedName>
    <definedName name="건강9월">#REF!</definedName>
    <definedName name="건물">#REF!</definedName>
    <definedName name="건물2">#REF!</definedName>
    <definedName name="건설팀" hidden="1">{#N/A,#N/A,TRUE,"Y생산";#N/A,#N/A,TRUE,"Y판매";#N/A,#N/A,TRUE,"Y총물량";#N/A,#N/A,TRUE,"Y능력";#N/A,#N/A,TRUE,"YKD"}</definedName>
    <definedName name="건설팀_1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검사">#REF!</definedName>
    <definedName name="검사대기">#REF!</definedName>
    <definedName name="검사취소">#REF!</definedName>
    <definedName name="검증순서">#REF!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견적list3" hidden="1">{#N/A,#N/A,FALSE,"단축1";#N/A,#N/A,FALSE,"단축2";#N/A,#N/A,FALSE,"단축3";#N/A,#N/A,FALSE,"장축";#N/A,#N/A,FALSE,"4WD"}</definedName>
    <definedName name="결론">#REF!</definedName>
    <definedName name="결손금">#REF!</definedName>
    <definedName name="경로" hidden="1">{#N/A,#N/A,TRUE,"Y생산";#N/A,#N/A,TRUE,"Y판매";#N/A,#N/A,TRUE,"Y총물량";#N/A,#N/A,TRUE,"Y능력";#N/A,#N/A,TRUE,"YKD"}</definedName>
    <definedName name="경비">#REF!</definedName>
    <definedName name="경비.본">#REF!</definedName>
    <definedName name="경비1" hidden="1">#REF!</definedName>
    <definedName name="경비2" hidden="1">#REF!</definedName>
    <definedName name="경비출납">#REF!</definedName>
    <definedName name="경영계획">#REF!</definedName>
    <definedName name="경영전망" hidden="1">0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서" hidden="1">{#N/A,#N/A,FALSE,"BS";#N/A,#N/A,FALSE,"PL";#N/A,#N/A,FALSE,"처분";#N/A,#N/A,FALSE,"현금";#N/A,#N/A,FALSE,"매출";#N/A,#N/A,FALSE,"원가";#N/A,#N/A,FALSE,"경영"}</definedName>
    <definedName name="계상산">#REF!</definedName>
    <definedName name="계속" hidden="1">{#N/A,#N/A,FALSE,"1.CRITERIA";#N/A,#N/A,FALSE,"2.IS";#N/A,#N/A,FALSE,"3.BS";#N/A,#N/A,FALSE,"4.PER PL";#N/A,#N/A,FALSE,"5.INVESTMENT";#N/A,#N/A,FALSE,"6.공문";#N/A,#N/A,FALSE,"7.netinvest"}</definedName>
    <definedName name="계승산">#REF!</definedName>
    <definedName name="계약91">#REF!</definedName>
    <definedName name="계전산">#REF!</definedName>
    <definedName name="계정과목">#REF!</definedName>
    <definedName name="계정과정행높이조절">#REF!,#REF!,#REF!,#REF!,#REF!,#REF!,#REF!,#REF!</definedName>
    <definedName name="계정종합표" hidden="1">{#N/A,#N/A,TRUE,"Y생산";#N/A,#N/A,TRUE,"Y판매";#N/A,#N/A,TRUE,"Y총물량";#N/A,#N/A,TRUE,"Y능력";#N/A,#N/A,TRUE,"YKD"}</definedName>
    <definedName name="계좌">#REF!</definedName>
    <definedName name="계획">#REF!</definedName>
    <definedName name="계획2">#REF!</definedName>
    <definedName name="고">#REF!</definedName>
    <definedName name="고1">#REF!</definedName>
    <definedName name="고10">#REF!</definedName>
    <definedName name="고11">#REF!</definedName>
    <definedName name="고12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고7">#REF!</definedName>
    <definedName name="고8">#REF!</definedName>
    <definedName name="고9">#REF!</definedName>
    <definedName name="고용10월">#REF!</definedName>
    <definedName name="고용11월">#REF!</definedName>
    <definedName name="고용12월">#REF!</definedName>
    <definedName name="고용3월">#REF!</definedName>
    <definedName name="고용4월">#REF!</definedName>
    <definedName name="고용5월">#REF!</definedName>
    <definedName name="고용6월">#REF!</definedName>
    <definedName name="고용7월">#REF!</definedName>
    <definedName name="고용8월">#REF!</definedName>
    <definedName name="고용9월">#REF!</definedName>
    <definedName name="고정비">#REF!</definedName>
    <definedName name="고처분">#REF!</definedName>
    <definedName name="골라인쇄">#REF!</definedName>
    <definedName name="공급가">OFFSET(#REF!,0,0,COUNTA(#REF!)-1)</definedName>
    <definedName name="공기">#REF!</definedName>
    <definedName name="공무4" hidden="1">{#N/A,#N/A,FALSE,"채산3501.XLS";#N/A,#N/A,FALSE,"신조수A.XLS";#N/A,#N/A,FALSE,"신조수b.XLS";#N/A,#N/A,FALSE,"채산3502.XLS";#N/A,#N/A,FALSE,"신조원리.XLS";#N/A,#N/A,FALSE,"신조감가.XLS"}</definedName>
    <definedName name="공무팀4" hidden="1">{#N/A,#N/A,FALSE,"채산3501.XLS";#N/A,#N/A,FALSE,"신조수A.XLS";#N/A,#N/A,FALSE,"신조수b.XLS";#N/A,#N/A,FALSE,"채산3502.XLS";#N/A,#N/A,FALSE,"신조원리.XLS";#N/A,#N/A,FALSE,"신조감가.XLS"}</definedName>
    <definedName name="공문" hidden="1">#REF!</definedName>
    <definedName name="공수">#REF!</definedName>
    <definedName name="공식">#REF!</definedName>
    <definedName name="공실률">#REF!+(#REF!-#REF!)</definedName>
    <definedName name="공장별">#REF!</definedName>
    <definedName name="공정">#REF!</definedName>
    <definedName name="공조">#REF!</definedName>
    <definedName name="공종">#N/A</definedName>
    <definedName name="공종보기">#N/A</definedName>
    <definedName name="공종보기2">#N/A</definedName>
    <definedName name="공ㅌ오" hidden="1">{#N/A,#N/A,TRUE,"Y생산";#N/A,#N/A,TRUE,"Y판매";#N/A,#N/A,TRUE,"Y총물량";#N/A,#N/A,TRUE,"Y능력";#N/A,#N/A,TRUE,"YKD"}</definedName>
    <definedName name="공통2">#REF!</definedName>
    <definedName name="공통경비">#REF!</definedName>
    <definedName name="과목세목현황" hidden="1">{#N/A,#N/A,TRUE,"Y생산";#N/A,#N/A,TRUE,"Y판매";#N/A,#N/A,TRUE,"Y총물량";#N/A,#N/A,TRUE,"Y능력";#N/A,#N/A,TRUE,"YKD"}</definedName>
    <definedName name="과별분배">#REF!</definedName>
    <definedName name="과운영" hidden="1">{"'호선별현황(방식)'!$K$22:$P$22","'호선별현황(방식)'!$K$22:$P$22"}</definedName>
    <definedName name="관리" hidden="1">#REF!</definedName>
    <definedName name="관리07년">#REF!</definedName>
    <definedName name="管理番号ﾘｽﾄ">#REF!</definedName>
    <definedName name="관리비">#REF!</definedName>
    <definedName name="관리선4월" hidden="1">{#N/A,#N/A,FALSE,"채산3501.XLS";#N/A,#N/A,FALSE,"신조수A.XLS";#N/A,#N/A,FALSE,"신조수b.XLS";#N/A,#N/A,FALSE,"채산3502.XLS";#N/A,#N/A,FALSE,"신조원리.XLS";#N/A,#N/A,FALSE,"신조감가.XLS"}</definedName>
    <definedName name="관리지표2" hidden="1">{#N/A,#N/A,TRUE,"Y생산";#N/A,#N/A,TRUE,"Y판매";#N/A,#N/A,TRUE,"Y총물량";#N/A,#N/A,TRUE,"Y능력";#N/A,#N/A,TRUE,"YKD"}</definedName>
    <definedName name="관세">#REF!</definedName>
    <definedName name="광">#REF!</definedName>
    <definedName name="광명정산">#REF!</definedName>
    <definedName name="광주9월1">#REF!</definedName>
    <definedName name="교체">#REF!</definedName>
    <definedName name="교체1">#REF!</definedName>
    <definedName name="교체2">#REF!</definedName>
    <definedName name="교체4">#REF!</definedName>
    <definedName name="교환2001견적">#REF!</definedName>
    <definedName name="교환비교">#REF!</definedName>
    <definedName name="굑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구__매___사__용">#REF!</definedName>
    <definedName name="구매보고">#REF!</definedName>
    <definedName name="구매부품TOT" hidden="1">{#N/A,#N/A,FALSE,"Aging Summary";#N/A,#N/A,FALSE,"Ratio Analysis";#N/A,#N/A,FALSE,"Test 120 Day Accts";#N/A,#N/A,FALSE,"Tickmarks"}</definedName>
    <definedName name="구분">#REF!</definedName>
    <definedName name="구분1">#REF!</definedName>
    <definedName name="구분2">#REF!</definedName>
    <definedName name="구축물">#REF!</definedName>
    <definedName name="구축물2">#REF!</definedName>
    <definedName name="구축본부" hidden="1">{#N/A,#N/A,FALSE,"3가";#N/A,#N/A,FALSE,"3나";#N/A,#N/A,FALSE,"3다"}</definedName>
    <definedName name="구칠건가">#REF!</definedName>
    <definedName name="구칠금형">#REF!</definedName>
    <definedName name="구ㅏㅇ">#REF!</definedName>
    <definedName name="국_내_매_출">#REF!</definedName>
    <definedName name="국1">#REF!</definedName>
    <definedName name="국10">#REF!</definedName>
    <definedName name="국11">#REF!</definedName>
    <definedName name="국12">#REF!</definedName>
    <definedName name="국2">#REF!</definedName>
    <definedName name="국3">#REF!</definedName>
    <definedName name="국4">#REF!</definedName>
    <definedName name="국5">#REF!</definedName>
    <definedName name="국6">#REF!</definedName>
    <definedName name="국7">#REF!</definedName>
    <definedName name="국8">#REF!</definedName>
    <definedName name="국9">#REF!</definedName>
    <definedName name="국가">#REF!</definedName>
    <definedName name="국가명">#REF!</definedName>
    <definedName name="국내">#REF!</definedName>
    <definedName name="국내2">#REF!</definedName>
    <definedName name="국내abs">#REF!</definedName>
    <definedName name="국내판권합계">#REF!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민10월">#REF!</definedName>
    <definedName name="국민11월">#REF!</definedName>
    <definedName name="국민12월">#REF!</definedName>
    <definedName name="국민3월">#REF!</definedName>
    <definedName name="국민4월">#REF!</definedName>
    <definedName name="국민5월">#REF!</definedName>
    <definedName name="국민6월">#REF!</definedName>
    <definedName name="국민7월">#REF!</definedName>
    <definedName name="국민8월">#REF!</definedName>
    <definedName name="국민9월">#REF!</definedName>
    <definedName name="국산화1" hidden="1">#REF!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군">#REF!</definedName>
    <definedName name="군매출">#REF!</definedName>
    <definedName name="군바지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권">#N/A</definedName>
    <definedName name="권종원">#N/A</definedName>
    <definedName name="귀속">#REF!</definedName>
    <definedName name="귀속2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것">#REF!</definedName>
    <definedName name="그냥">#REF!</definedName>
    <definedName name="그대로">#REF!</definedName>
    <definedName name="그림선이">#REF!</definedName>
    <definedName name="그림참고">#REF!</definedName>
    <definedName name="그사람" hidden="1">{#N/A,#N/A,FALSE,"1.CRITERIA";#N/A,#N/A,FALSE,"2.IS";#N/A,#N/A,FALSE,"3.BS";#N/A,#N/A,FALSE,"4.PER PL";#N/A,#N/A,FALSE,"5.INVESTMENT";#N/A,#N/A,FALSE,"6.공문";#N/A,#N/A,FALSE,"7.netinvest"}</definedName>
    <definedName name="극본료합계">#REF!</definedName>
    <definedName name="근거2" hidden="1">{#N/A,#N/A,FALSE,"단축1";#N/A,#N/A,FALSE,"단축2";#N/A,#N/A,FALSE,"단축3";#N/A,#N/A,FALSE,"장축";#N/A,#N/A,FALSE,"4WD"}</definedName>
    <definedName name="근무표">#REF!</definedName>
    <definedName name="근본">#REF!</definedName>
    <definedName name="근태현황_98본사_중원_9월__List">#REF!</definedName>
    <definedName name="금리1">#REF!</definedName>
    <definedName name="금액">#N/A</definedName>
    <definedName name="금월" hidden="1">{#N/A,#N/A,TRUE,"Y생산";#N/A,#N/A,TRUE,"Y판매";#N/A,#N/A,TRUE,"Y총물량";#N/A,#N/A,TRUE,"Y능력";#N/A,#N/A,TRUE,"YKD"}</definedName>
    <definedName name="금월요금1">ROUND(사용량1-사용량1*(전월일수-#REF!+1)/전월일수,0)*사용요금11</definedName>
    <definedName name="금월요금2">ROUND(사용량2-사용량2*(전월일수-#REF!+1)/전월일수,0)*사용요금21</definedName>
    <definedName name="금월요금3">#N/A</definedName>
    <definedName name="금융기관">#REF!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금호기획">#REF!</definedName>
    <definedName name="금호기획량">#REF!</definedName>
    <definedName name="금호요척량">#REF!</definedName>
    <definedName name="금호원불">#REF!</definedName>
    <definedName name="금호정품입고">#REF!</definedName>
    <definedName name="금호취불">#REF!</definedName>
    <definedName name="급1">#REF!</definedName>
    <definedName name="급10">#REF!</definedName>
    <definedName name="급11">#REF!</definedName>
    <definedName name="급12">#REF!</definedName>
    <definedName name="급2">#REF!</definedName>
    <definedName name="급3">#REF!</definedName>
    <definedName name="급4">#REF!</definedName>
    <definedName name="급5">#REF!</definedName>
    <definedName name="급6">#REF!</definedName>
    <definedName name="급7">#REF!</definedName>
    <definedName name="급8">#REF!</definedName>
    <definedName name="급9">#REF!</definedName>
    <definedName name="급료.본">#REF!</definedName>
    <definedName name="급여" hidden="1">#REF!</definedName>
    <definedName name="급여10월">#REF!</definedName>
    <definedName name="급여11월">#REF!</definedName>
    <definedName name="급여12월">#REF!</definedName>
    <definedName name="급여2">#REF!</definedName>
    <definedName name="급여3월">#REF!</definedName>
    <definedName name="급여4월">#REF!</definedName>
    <definedName name="급여5월">#REF!</definedName>
    <definedName name="급여6월">#REF!</definedName>
    <definedName name="급여7월">#REF!</definedName>
    <definedName name="급여8월">#REF!</definedName>
    <definedName name="급여9월">#REF!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1">#REF!</definedName>
    <definedName name="기10">#REF!</definedName>
    <definedName name="기11">#REF!</definedName>
    <definedName name="기12">#REF!</definedName>
    <definedName name="기2">#REF!</definedName>
    <definedName name="기3">#REF!</definedName>
    <definedName name="기4">#REF!</definedName>
    <definedName name="기5">#REF!</definedName>
    <definedName name="기6">#REF!</definedName>
    <definedName name="기7">#REF!</definedName>
    <definedName name="기8">#REF!</definedName>
    <definedName name="기9">#REF!</definedName>
    <definedName name="기간">OFFSET(#REF!,0,0,COUNTA(#REF!)-1)</definedName>
    <definedName name="기계" hidden="1">#REF!</definedName>
    <definedName name="기계업무3">#REF!</definedName>
    <definedName name="기계장치" hidden="1">#N/A</definedName>
    <definedName name="기계장치2">#REF!</definedName>
    <definedName name="기구조직">#REF!</definedName>
    <definedName name="기구조직도">#REF!</definedName>
    <definedName name="기남이가보냄">#REF!</definedName>
    <definedName name="기말">#REF!</definedName>
    <definedName name="기본요금1">VLOOKUP(#REF!,요금,2)</definedName>
    <definedName name="기본요금2">VLOOKUP(#REF!,요금,2)</definedName>
    <definedName name="기본운영계획1" hidden="1">{#N/A,#N/A,FALSE,"채산3501.XLS";#N/A,#N/A,FALSE,"신조수A.XLS";#N/A,#N/A,FALSE,"신조수b.XLS";#N/A,#N/A,FALSE,"채산3502.XLS";#N/A,#N/A,FALSE,"신조원리.XLS";#N/A,#N/A,FALSE,"신조감가.XLS"}</definedName>
    <definedName name="기부금">#REF!</definedName>
    <definedName name="기술개발">#REF!</definedName>
    <definedName name="기술관리부" hidden="1">{"'호선별현황(방식)'!$K$22:$P$22","'호선별현황(방식)'!$K$22:$P$22"}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>#REF!</definedName>
    <definedName name="기안1">#REF!</definedName>
    <definedName name="기안2">#REF!</definedName>
    <definedName name="기안3">#REF!</definedName>
    <definedName name="기안갑">#REF!</definedName>
    <definedName name="기안갑1">#N/A</definedName>
    <definedName name="기안용지">#REF!</definedName>
    <definedName name="기안용지2">#REF!</definedName>
    <definedName name="기안을">#REF!</definedName>
    <definedName name="기안을1">#N/A</definedName>
    <definedName name="기어2" hidden="1">{#N/A,#N/A,FALSE,"단축1";#N/A,#N/A,FALSE,"단축2";#N/A,#N/A,FALSE,"단축3";#N/A,#N/A,FALSE,"장축";#N/A,#N/A,FALSE,"4WD"}</definedName>
    <definedName name="기업자유_5103">#REF!</definedName>
    <definedName name="기존_대출">#REF!</definedName>
    <definedName name="기존_보증금">#REF!</definedName>
    <definedName name="기준">#REF!</definedName>
    <definedName name="기준보증금률">#REF!</definedName>
    <definedName name="기준분석" hidden="1">{"'호선별현황(방식)'!$K$22:$P$22","'호선별현황(방식)'!$K$22:$P$22"}</definedName>
    <definedName name="기준표">#REF!</definedName>
    <definedName name="기타10월">#REF!</definedName>
    <definedName name="기타11월">#REF!</definedName>
    <definedName name="기타12월">#REF!</definedName>
    <definedName name="기타3월">#REF!</definedName>
    <definedName name="기타4월">#REF!</definedName>
    <definedName name="기타5월">#REF!</definedName>
    <definedName name="기타6월">#REF!</definedName>
    <definedName name="기타7월">#REF!</definedName>
    <definedName name="기타8월">#REF!</definedName>
    <definedName name="기타9월">#REF!</definedName>
    <definedName name="기타부채">#REF!</definedName>
    <definedName name="기타합계">#REF!</definedName>
    <definedName name="기표현황">#REF!</definedName>
    <definedName name="기획1">#REF!</definedName>
    <definedName name="기획2">#REF!</definedName>
    <definedName name="기획량">#REF!,#REF!,#REF!,#REF!,#REF!,#REF!,#REF!,#REF!,#REF!,#REF!,#REF!,#REF!,#REF!,#REF!,#REF!</definedName>
    <definedName name="기획료합계">#REF!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hidden="1">{#N/A,#N/A,FALSE,"Aging Summary";#N/A,#N/A,FALSE,"Ratio Analysis";#N/A,#N/A,FALSE,"Test 120 Day Accts";#N/A,#N/A,FALSE,"Tickmarks"}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세일">#N/A</definedName>
    <definedName name="김영우" hidden="1">#N/A</definedName>
    <definedName name="김일">#N/A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희선" hidden="1">#N/A</definedName>
    <definedName name="끝">#REF!</definedName>
    <definedName name="ㄳㄱ" hidden="1">{#N/A,#N/A,FALSE,"Aging Summary";#N/A,#N/A,FALSE,"Ratio Analysis";#N/A,#N/A,FALSE,"Test 120 Day Accts";#N/A,#N/A,FALSE,"Tickmarks"}</definedName>
    <definedName name="ㄴ">#REF!</definedName>
    <definedName name="ㄴ2">#REF!</definedName>
    <definedName name="ㄴㄴ">#REF!</definedName>
    <definedName name="ㄴㄴㄴ">#REF!</definedName>
    <definedName name="ㄴㄴㄴ_1" hidden="1">{#N/A,#N/A,TRUE,"대 차 대 조 표"}</definedName>
    <definedName name="ㄴㄴㄴㄴ" hidden="1">{#N/A,#N/A,FALSE,"단축1";#N/A,#N/A,FALSE,"단축2";#N/A,#N/A,FALSE,"단축3";#N/A,#N/A,FALSE,"장축";#N/A,#N/A,FALSE,"4WD"}</definedName>
    <definedName name="ㄴㄹ">ROUND(사용량2*(ㅂㅈ-#REF!+1)/ㅂㅈ,0)*사용</definedName>
    <definedName name="ㄴㄹㅇ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ㅁㄴ">#REF!</definedName>
    <definedName name="ㄴㅁㅁㄴ" hidden="1">{#N/A,#N/A,FALSE,"표지";#N/A,#N/A,FALSE,"전제";#N/A,#N/A,FALSE,"손익-자 (2)";#N/A,#N/A,FALSE,"손익-자";#N/A,#N/A,FALSE,"손익-마 (2)";#N/A,#N/A,FALSE,"손익-마";#N/A,#N/A,FALSE,"총손최종"}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ㄴ">#REF!</definedName>
    <definedName name="ㄴㅇㄴㅇ">#REF!</definedName>
    <definedName name="ㄴㅇㄴㅇㄴ">#REF!</definedName>
    <definedName name="ㄴㅇㄴㅇㄴㅇㄴ">#REF!</definedName>
    <definedName name="ㄴㅇㄴㅇㄴㅇㄴㅇ">#REF!</definedName>
    <definedName name="ㄴㅇㄴㅇㄴㅇㄴㅇㄴ">#REF!</definedName>
    <definedName name="ㄴㅇㄴㅇㄴㅇㄴㅇㄴㅇ">#REF!</definedName>
    <definedName name="ㄴㅇㄴㅇㄴㅇㄴㅇㄴㅇㄴㅇ">#REF!</definedName>
    <definedName name="ㄴㅇㄴㅊㄷ">#REF!</definedName>
    <definedName name="ㄴㅇㄹ" hidden="1">{#N/A,#N/A,FALSE,"3가";#N/A,#N/A,FALSE,"3나";#N/A,#N/A,FALSE,"3다"}</definedName>
    <definedName name="ㄴㅇㄹㄴㅇㄹ" hidden="1">{#N/A,#N/A,TRUE,"Y생산";#N/A,#N/A,TRUE,"Y판매";#N/A,#N/A,TRUE,"Y총물량";#N/A,#N/A,TRUE,"Y능력";#N/A,#N/A,TRUE,"YKD"}</definedName>
    <definedName name="ㄴㅇㄹㄴㅇㄹ_1" hidden="1">{#N/A,#N/A,TRUE,"Y생산";#N/A,#N/A,TRUE,"Y판매";#N/A,#N/A,TRUE,"Y총물량";#N/A,#N/A,TRUE,"Y능력";#N/A,#N/A,TRUE,"YKD"}</definedName>
    <definedName name="ㄴㅇㄹㄴㅇㄹㄴㅇㄹ" hidden="1">{#N/A,#N/A,TRUE,"Y생산";#N/A,#N/A,TRUE,"Y판매";#N/A,#N/A,TRUE,"Y총물량";#N/A,#N/A,TRUE,"Y능력";#N/A,#N/A,TRUE,"YKD"}</definedName>
    <definedName name="ㄴㅇㄹㄴㅇㄹㄴㅇㄹ_1" hidden="1">{#N/A,#N/A,TRUE,"Y생산";#N/A,#N/A,TRUE,"Y판매";#N/A,#N/A,TRUE,"Y총물량";#N/A,#N/A,TRUE,"Y능력";#N/A,#N/A,TRUE,"YKD"}</definedName>
    <definedName name="ㄴㅇㄻㄴㄹㅇㅁㄴㅇㄻㄴㅇㄻㅇㄴㄻㅇㄴㄻㄴㅇㄻ" hidden="1">{#N/A,#N/A,FALSE,"BS";#N/A,#N/A,FALSE,"PL";#N/A,#N/A,FALSE,"처분";#N/A,#N/A,FALSE,"현금";#N/A,#N/A,FALSE,"매출";#N/A,#N/A,FALSE,"원가";#N/A,#N/A,FALSE,"경영"}</definedName>
    <definedName name="ㄴㅇㅁㄴ">#REF!</definedName>
    <definedName name="ㄴㅇㅇㄴㅇㄴㅇㄴㅇㄴ">#REF!</definedName>
    <definedName name="ㄴㅈㅈㅈㅈ">#REF!</definedName>
    <definedName name="나">#REF!</definedName>
    <definedName name="나나" hidden="1">{#N/A,#N/A,FALSE,"표지";#N/A,#N/A,FALSE,"전제";#N/A,#N/A,FALSE,"손익-자 (2)";#N/A,#N/A,FALSE,"손익-자";#N/A,#N/A,FALSE,"손익-마 (2)";#N/A,#N/A,FALSE,"손익-마";#N/A,#N/A,FALSE,"총손최종"}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>#REF!</definedName>
    <definedName name="나영이">#REF!</definedName>
    <definedName name="낙_관">#REF!</definedName>
    <definedName name="날짜">#REF!</definedName>
    <definedName name="날짜2">#REF!</definedName>
    <definedName name="남미영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석">#REF!</definedName>
    <definedName name="남양">#REF!</definedName>
    <definedName name="남채">#REF!</definedName>
    <definedName name="납품보고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영.." hidden="1">{#N/A,#N/A,TRUE,"Y생산";#N/A,#N/A,TRUE,"Y판매";#N/A,#N/A,TRUE,"Y총물량";#N/A,#N/A,TRUE,"Y능력";#N/A,#N/A,TRUE,"YKD"}</definedName>
    <definedName name="내영.._1" hidden="1">{#N/A,#N/A,TRUE,"Y생산";#N/A,#N/A,TRUE,"Y판매";#N/A,#N/A,TRUE,"Y총물량";#N/A,#N/A,TRUE,"Y능력";#N/A,#N/A,TRUE,"YKD"}</definedName>
    <definedName name="내용" hidden="1">{#N/A,#N/A,TRUE,"Y생산";#N/A,#N/A,TRUE,"Y판매";#N/A,#N/A,TRUE,"Y총물량";#N/A,#N/A,TRUE,"Y능력";#N/A,#N/A,TRUE,"YKD"}</definedName>
    <definedName name="내용_1" hidden="1">{#N/A,#N/A,TRUE,"Y생산";#N/A,#N/A,TRUE,"Y판매";#N/A,#N/A,TRUE,"Y총물량";#N/A,#N/A,TRUE,"Y능력";#N/A,#N/A,TRUE,"YKD"}</definedName>
    <definedName name="내용23">#REF!</definedName>
    <definedName name="내용연수">#REF!</definedName>
    <definedName name="내용연수2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임료상승률">#REF!</definedName>
    <definedName name="년도">#REF!</definedName>
    <definedName name="년도__실적추정은_건설이자_미포">#REF!</definedName>
    <definedName name="년도별예산추정" localSheetId="1">BlankMacro1</definedName>
    <definedName name="년도별예산추정" localSheetId="0">BlankMacro1</definedName>
    <definedName name="년도별예산추정">BlankMacro1</definedName>
    <definedName name="년도실적추정">#REF!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계산">#REF!</definedName>
    <definedName name="누계" hidden="1">{#N/A,#N/A,FALSE,"채산3501.XLS";#N/A,#N/A,FALSE,"신조수A.XLS";#N/A,#N/A,FALSE,"신조수b.XLS";#N/A,#N/A,FALSE,"채산3502.XLS";#N/A,#N/A,FALSE,"신조원리.XLS";#N/A,#N/A,FALSE,"신조감가.XLS"}</definedName>
    <definedName name="닝잉" hidden="1">{#N/A,#N/A,TRUE,"Y생산";#N/A,#N/A,TRUE,"Y판매";#N/A,#N/A,TRUE,"Y총물량";#N/A,#N/A,TRUE,"Y능력";#N/A,#N/A,TRUE,"YKD"}</definedName>
    <definedName name="닣" hidden="1">#REF!</definedName>
    <definedName name="ㄷ">#REF!</definedName>
    <definedName name="ㄷ22">#REF!</definedName>
    <definedName name="ㄷ24">#REF!</definedName>
    <definedName name="ㄷㄳ" hidden="1">{#N/A,#N/A,FALSE,"단축1";#N/A,#N/A,FALSE,"단축2";#N/A,#N/A,FALSE,"단축3";#N/A,#N/A,FALSE,"장축";#N/A,#N/A,FALSE,"4WD"}</definedName>
    <definedName name="ㄷㄴㄷ">#REF!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ㄷ">#REF!</definedName>
    <definedName name="ㄷㄷㄷㄷeeee">#REF!</definedName>
    <definedName name="ㄷㄷㄷㄷㄷㄷ">#REF!</definedName>
    <definedName name="ㄷㅂㅈㄷ" hidden="1">#REF!</definedName>
    <definedName name="ㄷㅇ">#REF!</definedName>
    <definedName name="ㄷㅇ_1" hidden="1">{#N/A,#N/A,TRUE,"Y생산";#N/A,#N/A,TRUE,"Y판매";#N/A,#N/A,TRUE,"Y총물량";#N/A,#N/A,TRUE,"Y능력";#N/A,#N/A,TRUE,"YKD"}</definedName>
    <definedName name="ㄷㅇㅇ" hidden="1">#REF!</definedName>
    <definedName name="ㄷ야ㅗㅔㅐㄹㅈ대ㅈㄷㅈㄷㄱ" hidden="1">#REF!</definedName>
    <definedName name="ㄷㅈ" hidden="1">#REF!</definedName>
    <definedName name="ㄷㅈㄹ" hidden="1">{#N/A,#N/A,FALSE,"BS";#N/A,#N/A,FALSE,"PL";#N/A,#N/A,FALSE,"처분";#N/A,#N/A,FALSE,"현금";#N/A,#N/A,FALSE,"매출";#N/A,#N/A,FALSE,"원가";#N/A,#N/A,FALSE,"경영"}</definedName>
    <definedName name="ㄷㅎㄹㄴㄹㅇㅎㅇㅁㄴㅁㅎ" hidden="1">{#N/A,#N/A,FALSE,"Aging Summary";#N/A,#N/A,FALSE,"Ratio Analysis";#N/A,#N/A,FALSE,"Test 120 Day Accts";#N/A,#N/A,FALSE,"Tickmarks"}</definedName>
    <definedName name="다">#REF!</definedName>
    <definedName name="다른" hidden="1">#REF!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짐">#REF!</definedName>
    <definedName name="단가">#REF!</definedName>
    <definedName name="단가1">#REF!</definedName>
    <definedName name="단가2">#REF!</definedName>
    <definedName name="단가기준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단기대여금">#REF!</definedName>
    <definedName name="단기차입금" hidden="1">{#N/A,#N/A,FALSE,"Aging Summary";#N/A,#N/A,FALSE,"Ratio Analysis";#N/A,#N/A,FALSE,"Test 120 Day Accts";#N/A,#N/A,FALSE,"Tickmarks"}</definedName>
    <definedName name="短期借入金" hidden="1">{"'買掛金'!$J$6"}</definedName>
    <definedName name="단순">#REF!</definedName>
    <definedName name="단순라인업">#REF!</definedName>
    <definedName name="단순트럭">#REF!</definedName>
    <definedName name="단위">#REF!</definedName>
    <definedName name="單位_百萬원">#REF!</definedName>
    <definedName name="단위조정_백만">#REF!</definedName>
    <definedName name="單位阡원_阡￥">#REF!</definedName>
    <definedName name="단조편성표" hidden="1">{#N/A,#N/A,FALSE,"단축1";#N/A,#N/A,FALSE,"단축2";#N/A,#N/A,FALSE,"단축3";#N/A,#N/A,FALSE,"장축";#N/A,#N/A,FALSE,"4WD"}</definedName>
    <definedName name="단충">#REF!</definedName>
    <definedName name="달러환율">#REF!</definedName>
    <definedName name="달력">#REF!</definedName>
    <definedName name="달력1">#REF!</definedName>
    <definedName name="담보">#REF!</definedName>
    <definedName name="당" hidden="1">{#N/A,#N/A,FALSE,"BS";#N/A,#N/A,FALSE,"PL";#N/A,#N/A,FALSE,"처분";#N/A,#N/A,FALSE,"현금";#N/A,#N/A,FALSE,"매출";#N/A,#N/A,FALSE,"원가";#N/A,#N/A,FALSE,"경영"}</definedName>
    <definedName name="당기순이익">#REF!</definedName>
    <definedName name="당좌예금_5102">#REF!</definedName>
    <definedName name="당초계획" hidden="1">#REF!</definedName>
    <definedName name="대">#REF!</definedName>
    <definedName name="대구" hidden="1">{#N/A,#N/A,TRUE,"대 차 대 조 표"}</definedName>
    <definedName name="대구_1" hidden="1">{#N/A,#N/A,TRUE,"대 차 대 조 표"}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본합계">#REF!</definedName>
    <definedName name="대손">#REF!</definedName>
    <definedName name="대우르망LPG">#REF!</definedName>
    <definedName name="대우프린스18LPG">#REF!</definedName>
    <definedName name="대우프린스20LPG">#REF!</definedName>
    <definedName name="대조립부" hidden="1">{"'호선별현황(방식)'!$K$22:$P$22","'호선별현황(방식)'!$K$22:$P$22"}</definedName>
    <definedName name="대주건">#N/A</definedName>
    <definedName name="대차">#REF!</definedName>
    <definedName name="대차12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대조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체거래">#REF!</definedName>
    <definedName name="대포">#REF!</definedName>
    <definedName name="대표자명_성명">#REF!</definedName>
    <definedName name="대한민국" hidden="1">{#N/A,#N/A,FALSE,"채산3501.XLS";#N/A,#N/A,FALSE,"신조수A.XLS";#N/A,#N/A,FALSE,"신조수b.XLS";#N/A,#N/A,FALSE,"채산3502.XLS";#N/A,#N/A,FALSE,"신조원리.XLS";#N/A,#N/A,FALSE,"신조감가.XLS"}</definedName>
    <definedName name="대회">#REF!</definedName>
    <definedName name="대흥" hidden="1">{#N/A,#N/A,TRUE,"대 차 대 조 표"}</definedName>
    <definedName name="대흥_1" hidden="1">{#N/A,#N/A,TRUE,"대 차 대 조 표"}</definedName>
    <definedName name="댜댜" hidden="1">#N/A</definedName>
    <definedName name="데이터확인">#REF!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부" hidden="1">{"'호선별현황(방식)'!$K$22:$P$22","'호선별현황(방식)'!$K$22:$P$22"}</definedName>
    <definedName name="돋">#REF!</definedName>
    <definedName name="돌아버려" hidden="1">{"'Sheet1'!$A$1:$H$36"}</definedName>
    <definedName name="동남">#REF!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#REF!</definedName>
    <definedName name="동수">#REF!</definedName>
    <definedName name="동시녹음합계">#REF!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돼지" hidden="1">{#N/A,#N/A,TRUE,"대 차 대 조 표"}</definedName>
    <definedName name="돼지_1" hidden="1">{#N/A,#N/A,TRUE,"대 차 대 조 표"}</definedName>
    <definedName name="둘">#REF!</definedName>
    <definedName name="드라마명">#REF!</definedName>
    <definedName name="등록">#REF!</definedName>
    <definedName name="등록2">#REF!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디젤1" hidden="1">{#N/A,#N/A,FALSE,"단축1";#N/A,#N/A,FALSE,"단축2";#N/A,#N/A,FALSE,"단축3";#N/A,#N/A,FALSE,"장축";#N/A,#N/A,FALSE,"4WD"}</definedName>
    <definedName name="또왜이래" hidden="1">{"'Sheet1'!$A$1:$H$36"}</definedName>
    <definedName name="ㄹ" hidden="1">{#N/A,#N/A,FALSE,"95FW"}</definedName>
    <definedName name="ㄹ277">#REF!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" hidden="1">{#N/A,#N/A,TRUE,"대 차 대 조 표"}</definedName>
    <definedName name="ㄹㄹㄷㄹ_1" hidden="1">{#N/A,#N/A,TRUE,"대 차 대 조 표"}</definedName>
    <definedName name="ㄹㄹㄹ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ㄹ">#REF!</definedName>
    <definedName name="ㄹㄹㄹㄹㄹ" hidden="1">{#N/A,#N/A,FALSE,"BS";#N/A,#N/A,FALSE,"PL";#N/A,#N/A,FALSE,"처분";#N/A,#N/A,FALSE,"현금";#N/A,#N/A,FALSE,"매출";#N/A,#N/A,FALSE,"원가";#N/A,#N/A,FALSE,"경영"}</definedName>
    <definedName name="ㄹㄹㄹㄹㄹㄹ">#REF!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" hidden="1">{#N/A,#N/A,TRUE,"Y생산";#N/A,#N/A,TRUE,"Y판매";#N/A,#N/A,TRUE,"Y총물량";#N/A,#N/A,TRUE,"Y능력";#N/A,#N/A,TRUE,"YKD"}</definedName>
    <definedName name="ㄹㅇㄴㅁ">#REF!</definedName>
    <definedName name="ㄹㅇㄹㅇㄴㄻ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히" hidden="1">{#N/A,#N/A,TRUE,"Y생산";#N/A,#N/A,TRUE,"Y판매";#N/A,#N/A,TRUE,"Y총물량";#N/A,#N/A,TRUE,"Y능력";#N/A,#N/A,TRUE,"YKD"}</definedName>
    <definedName name="라">#REF!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시아26">#REF!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레이젠">OFFSET(#REF!,0,0,COUNTA(#REF!)-1,1)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롷ㄹ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린다앤영">#REF!</definedName>
    <definedName name="ㄺ" hidden="1">{#N/A,#N/A,FALSE,"Aging Summary";#N/A,#N/A,FALSE,"Ratio Analysis";#N/A,#N/A,FALSE,"Test 120 Day Accts";#N/A,#N/A,FALSE,"Tickmarks"}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ㄻㄴㄻㅇㄹㅇㅁㄹ" hidden="1">{#N/A,#N/A,FALSE,"Aging Summary";#N/A,#N/A,FALSE,"Ratio Analysis";#N/A,#N/A,FALSE,"Test 120 Day Accts";#N/A,#N/A,FALSE,"Tickmarks"}</definedName>
    <definedName name="ㄿ">#N/A</definedName>
    <definedName name="ㅁ" hidden="1">{#N/A,#N/A,TRUE,"Y생산";#N/A,#N/A,TRUE,"Y판매";#N/A,#N/A,TRUE,"Y총물량";#N/A,#N/A,TRUE,"Y능력";#N/A,#N/A,TRUE,"YKD"}</definedName>
    <definedName name="ㅁ1">#REF!</definedName>
    <definedName name="ㅁ130">#REF!</definedName>
    <definedName name="ㅁ1430">#REF!</definedName>
    <definedName name="ㅁ169">#REF!</definedName>
    <definedName name="ㅁ2">#REF!</definedName>
    <definedName name="ㅁ35">#REF!</definedName>
    <definedName name="ㅁㄴ" hidden="1">{#N/A,#N/A,TRUE,"매출진척-1";#N/A,#N/A,TRUE,"매출진척-2";#N/A,#N/A,TRUE,"제품실적";#N/A,#N/A,TRUE,"RAC";#N/A,#N/A,TRUE,"PAC ";#N/A,#N/A,TRUE,"재고현황";#N/A,#N/A,TRUE,"공지사항"}</definedName>
    <definedName name="ㅁㄴㅁㄴㅁ" hidden="1">{#N/A,#N/A,FALSE,"95FW"}</definedName>
    <definedName name="ㅁㄴㅇ" hidden="1">{#N/A,#N/A,FALSE,"단축1";#N/A,#N/A,FALSE,"단축2";#N/A,#N/A,FALSE,"단축3";#N/A,#N/A,FALSE,"장축";#N/A,#N/A,FALSE,"4WD"}</definedName>
    <definedName name="ㅁㄴㅇㄹ">#REF!</definedName>
    <definedName name="ㅁㄴㅇㅁㄴㅇ" hidden="1">{#N/A,#N/A,TRUE,"Y생산";#N/A,#N/A,TRUE,"Y판매";#N/A,#N/A,TRUE,"Y총물량";#N/A,#N/A,TRUE,"Y능력";#N/A,#N/A,TRUE,"YKD"}</definedName>
    <definedName name="ㅁㄴㅇㅁㄴㅇ_1" hidden="1">{#N/A,#N/A,TRUE,"Y생산";#N/A,#N/A,TRUE,"Y판매";#N/A,#N/A,TRUE,"Y총물량";#N/A,#N/A,TRUE,"Y능력";#N/A,#N/A,TRUE,"YKD"}</definedName>
    <definedName name="ㅁㄴㅇㅁㄴㅇㅁ" hidden="1">{#N/A,#N/A,TRUE,"Y생산";#N/A,#N/A,TRUE,"Y판매";#N/A,#N/A,TRUE,"Y총물량";#N/A,#N/A,TRUE,"Y능력";#N/A,#N/A,TRUE,"YKD"}</definedName>
    <definedName name="ㅁㄴㅇㅁㄴㅇㅁ_1" hidden="1">{#N/A,#N/A,TRUE,"Y생산";#N/A,#N/A,TRUE,"Y판매";#N/A,#N/A,TRUE,"Y총물량";#N/A,#N/A,TRUE,"Y능력";#N/A,#N/A,TRUE,"YKD"}</definedName>
    <definedName name="ㅁㄴㅇㅈ">#REF!</definedName>
    <definedName name="ㅁㄴㅇㅈㄷ">#REF!</definedName>
    <definedName name="ㅁ나ㅣ어리마ㅗㅇ호미오히ㅏ몬이호" hidden="1">{#N/A,#N/A,FALSE,"Aging Summary";#N/A,#N/A,FALSE,"Ratio Analysis";#N/A,#N/A,FALSE,"Test 120 Day Accts";#N/A,#N/A,FALSE,"Tickmarks"}</definedName>
    <definedName name="ㅁㄷ" hidden="1">#REF!</definedName>
    <definedName name="ㅁㄹ">VLOOKUP(#REF!,요금,2)</definedName>
    <definedName name="ㅁㄹㄹㄹㄹ">VLOOKUP(#REF!,#REF!,2)</definedName>
    <definedName name="ㅁㄹㅇㅁㄴㅇㄹ">#N/A</definedName>
    <definedName name="ㅁㄹㅇㅁㄴㅇㄻㄴㅇㄹ">#N/A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AA">#REF!</definedName>
    <definedName name="ㅁ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ㄹㄹ">#REF!</definedName>
    <definedName name="ㅁㅁㅁㅁ" hidden="1">{#N/A,#N/A,FALSE,"Aging Summary";#N/A,#N/A,FALSE,"Ratio Analysis";#N/A,#N/A,FALSE,"Test 120 Day Accts";#N/A,#N/A,FALSE,"Tickmarks"}</definedName>
    <definedName name="ㅁㅁㅁㅁㅁ">#REF!</definedName>
    <definedName name="ㅁㅁㅁㅁㅁㅁ">#REF!</definedName>
    <definedName name="ㅁㅁㅁㅁㅁㅁㅁ">#REF!</definedName>
    <definedName name="ㅁㅁㅁㅁㅁㅁㅁㅁㅁㅁ" hidden="1">{#N/A,#N/A,FALSE,"단축1";#N/A,#N/A,FALSE,"단축2";#N/A,#N/A,FALSE,"단축3";#N/A,#N/A,FALSE,"장축";#N/A,#N/A,FALSE,"4WD"}</definedName>
    <definedName name="ㅁㅁㅁㅁㅁㅁㅁㅁㅁㅁㅁㅁㅁㅁ">#REF!</definedName>
    <definedName name="ㅁㅇ" hidden="1">{#N/A,#N/A,FALSE,"BS";#N/A,#N/A,FALSE,"PL";#N/A,#N/A,FALSE,"처분";#N/A,#N/A,FALSE,"현금";#N/A,#N/A,FALSE,"매출";#N/A,#N/A,FALSE,"원가";#N/A,#N/A,FALSE,"경영"}</definedName>
    <definedName name="ㅁㅇㄴ">#REF!</definedName>
    <definedName name="ㅁㅇㄴㄴ" hidden="1">{#N/A,#N/A,FALSE,"BS";#N/A,#N/A,FALSE,"PL";#N/A,#N/A,FALSE,"처분";#N/A,#N/A,FALSE,"현금";#N/A,#N/A,FALSE,"매출";#N/A,#N/A,FALSE,"원가";#N/A,#N/A,FALSE,"경영"}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{#N/A,#N/A,FALSE,"Aging Summary";#N/A,#N/A,FALSE,"Ratio Analysis";#N/A,#N/A,FALSE,"Test 120 Day Accts";#N/A,#N/A,FALSE,"Tickmarks"}</definedName>
    <definedName name="ㅁㅇㅁㅇㅁㄴㅇㅁㄴㅇㅁㄴ" hidden="1">{#N/A,#N/A,FALSE,"95FW"}</definedName>
    <definedName name="ㅁ어">#REF!</definedName>
    <definedName name="마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만">#REF!</definedName>
    <definedName name="만기보장수익율">#REF!</definedName>
    <definedName name="만약">#REF!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1">#REF!</definedName>
    <definedName name="매10">#REF!</definedName>
    <definedName name="매11">#REF!</definedName>
    <definedName name="매12">#REF!</definedName>
    <definedName name="매2">#REF!</definedName>
    <definedName name="매3">#REF!</definedName>
    <definedName name="매4">#REF!</definedName>
    <definedName name="매5">#REF!</definedName>
    <definedName name="매6">#REF!</definedName>
    <definedName name="매7">#REF!</definedName>
    <definedName name="매8">#REF!</definedName>
    <definedName name="매9">#REF!</definedName>
    <definedName name="買掛金" hidden="1">{"'買掛金'!$J$6"}</definedName>
    <definedName name="매수">#REF!</definedName>
    <definedName name="매수2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.본">#REF!</definedName>
    <definedName name="매출10월">#REF!</definedName>
    <definedName name="매출11월">#REF!</definedName>
    <definedName name="매출12월">#REF!</definedName>
    <definedName name="매출3월">#REF!</definedName>
    <definedName name="매출4월">#REF!</definedName>
    <definedName name="매출5월">#REF!</definedName>
    <definedName name="매출6월">#REF!</definedName>
    <definedName name="매출7월">#REF!</definedName>
    <definedName name="매출8월">#REF!</definedName>
    <definedName name="매출9월">#REF!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hidden="1">#REF!</definedName>
    <definedName name="매출금">#REF!</definedName>
    <definedName name="매출액" hidden="1">#REF!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hidden="1">{#N/A,#N/A,FALSE,"Aging Summary";#N/A,#N/A,FALSE,"Ratio Analysis";#N/A,#N/A,FALSE,"Test 120 Day Accts";#N/A,#N/A,FALSE,"Tickmarks"}</definedName>
    <definedName name="매출채권">#REF!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멍멍">#REF!</definedName>
    <definedName name="멍청이">#REF!</definedName>
    <definedName name="메뉴연결">#REF!</definedName>
    <definedName name="메뉴연결시작">#REF!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며" hidden="1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담">#REF!</definedName>
    <definedName name="면적표">#REF!</definedName>
    <definedName name="명세" hidden="1">{#N/A,#N/A,FALSE,"Aging Summary";#N/A,#N/A,FALSE,"Ratio Analysis";#N/A,#N/A,FALSE,"Test 120 Day Accts";#N/A,#N/A,FALSE,"Tickmarks"}</definedName>
    <definedName name="모">#REF!</definedName>
    <definedName name="모델명">#REF!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홓로">#REF!</definedName>
    <definedName name="목차1">#REF!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3">#REF!</definedName>
    <definedName name="목차4">#REF!</definedName>
    <definedName name="목표">#N/A</definedName>
    <definedName name="몰라" hidden="1">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묘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" hidden="1">{#N/A,#N/A,FALSE,"Aging Summary";#N/A,#N/A,FALSE,"Ratio Analysis";#N/A,#N/A,FALSE,"Test 120 Day Accts";#N/A,#N/A,FALSE,"Tickmarks"}</definedName>
    <definedName name="문기수" hidden="1">{"'호선별현황(방식)'!$K$22:$P$22","'호선별현황(방식)'!$K$22:$P$22"}</definedName>
    <definedName name="문제3" hidden="1">{#N/A,#N/A,FALSE,"단축1";#N/A,#N/A,FALSE,"단축2";#N/A,#N/A,FALSE,"단축3";#N/A,#N/A,FALSE,"장축";#N/A,#N/A,FALSE,"4WD"}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가상승률">#REF!</definedName>
    <definedName name="물랴자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수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뭐야.." hidden="1">{#N/A,#N/A,FALSE,"95FW"}</definedName>
    <definedName name="뭐지" hidden="1">{#N/A,#N/A,FALSE,"95FW"}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뮬소" hidden="1">{#N/A,#N/A,TRUE,"Y생산";#N/A,#N/A,TRUE,"Y판매";#N/A,#N/A,TRUE,"Y총물량";#N/A,#N/A,TRUE,"Y능력";#N/A,#N/A,TRUE,"YKD"}</definedName>
    <definedName name="뮬소_1" hidden="1">{#N/A,#N/A,TRUE,"Y생산";#N/A,#N/A,TRUE,"Y판매";#N/A,#N/A,TRUE,"Y총물량";#N/A,#N/A,TRUE,"Y능력";#N/A,#N/A,TRUE,"YKD"}</definedName>
    <definedName name="므" hidden="1">{#N/A,#N/A,TRUE,"일정"}</definedName>
    <definedName name="미" hidden="1">{#N/A,#N/A,TRUE,"일정"}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2" hidden="1">{#N/A,#N/A,FALSE,"표지";#N/A,#N/A,FALSE,"전제";#N/A,#N/A,FALSE,"손익-자 (2)";#N/A,#N/A,FALSE,"손익-자";#N/A,#N/A,FALSE,"손익-마 (2)";#N/A,#N/A,FALSE,"손익-마";#N/A,#N/A,FALSE,"총손최종"}</definedName>
    <definedName name="未払" hidden="1">{"'買掛金'!$J$6"}</definedName>
    <definedName name="未払金" hidden="1">{"'買掛金'!$J$6"}</definedName>
    <definedName name="미수금" hidden="1">{#N/A,#N/A,FALSE,"Aging Summary";#N/A,#N/A,FALSE,"Ratio Analysis";#N/A,#N/A,FALSE,"Test 120 Day Accts";#N/A,#N/A,FALSE,"Tickmarks"}</definedName>
    <definedName name="미수금2" hidden="1">#REF!</definedName>
    <definedName name="미수수익">#REF!</definedName>
    <definedName name="미술합계">#REF!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오">#REF!</definedName>
    <definedName name="미적용401">#REF!,#REF!,#REF!,#REF!,#REF!,#REF!,#REF!,#REF!,#REF!,#REF!</definedName>
    <definedName name="미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급" hidden="1">#REF!</definedName>
    <definedName name="미지급금">#REF!</definedName>
    <definedName name="미지급비용">#REF!</definedName>
    <definedName name="미착자산">#N/A</definedName>
    <definedName name="미치겠네" hidden="1">{"'Sheet1'!$A$1:$H$36"}</definedName>
    <definedName name="미치겠당">#REF!</definedName>
    <definedName name="미화" hidden="1">{#N/A,#N/A,FALSE,"이력서&amp;자기소개서"}</definedName>
    <definedName name="미화_1" hidden="1">{#N/A,#N/A,FALSE,"이력서&amp;자기소개서"}</definedName>
    <definedName name="미화2" hidden="1">{#N/A,#N/A,FALSE,"이력서&amp;자기소개서"}</definedName>
    <definedName name="미화2_1" hidden="1">{#N/A,#N/A,FALSE,"이력서&amp;자기소개서"}</definedName>
    <definedName name="민감도" hidden="1">#REF!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밋션별">#REF!</definedName>
    <definedName name="ㅂ" hidden="1">{#N/A,#N/A,TRUE,"Y생산";#N/A,#N/A,TRUE,"Y판매";#N/A,#N/A,TRUE,"Y총물량";#N/A,#N/A,TRUE,"Y능력";#N/A,#N/A,TRUE,"YKD"}</definedName>
    <definedName name="ㅂ1" hidden="1">{#N/A,#N/A,FALSE,"95FW"}</definedName>
    <definedName name="ㅂㄴ">#N/A</definedName>
    <definedName name="ㅂㄷ" hidden="1">{#N/A,#N/A,FALSE,"BS";#N/A,#N/A,FALSE,"PL";#N/A,#N/A,FALSE,"처분";#N/A,#N/A,FALSE,"현금";#N/A,#N/A,FALSE,"매출";#N/A,#N/A,FALSE,"원가";#N/A,#N/A,FALSE,"경영"}</definedName>
    <definedName name="ㅂㄷㄱ" hidden="1">{#N/A,#N/A,FALSE,"Aging Summary";#N/A,#N/A,FALSE,"Ratio Analysis";#N/A,#N/A,FALSE,"Test 120 Day Accts";#N/A,#N/A,FALSE,"Tickmarks"}</definedName>
    <definedName name="ㅂㄷㄷㄱ" hidden="1">{#N/A,#N/A,FALSE,"Aging Summary";#N/A,#N/A,FALSE,"Ratio Analysis";#N/A,#N/A,FALSE,"Test 120 Day Accts";#N/A,#N/A,FALSE,"Tickmarks"}</definedName>
    <definedName name="ㅂㅂ">#REF!</definedName>
    <definedName name="ㅂㅂ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hidden="1">{#N/A,#N/A,FALSE,"Aging Summary";#N/A,#N/A,FALSE,"Ratio Analysis";#N/A,#N/A,FALSE,"Test 120 Day Accts";#N/A,#N/A,FALSE,"Tickmarks"}</definedName>
    <definedName name="ㅂㅂㅂㅂ" hidden="1">{#N/A,#N/A,FALSE,"채산3501.XLS";#N/A,#N/A,FALSE,"신조수A.XLS";#N/A,#N/A,FALSE,"신조수b.XLS";#N/A,#N/A,FALSE,"채산3502.XLS";#N/A,#N/A,FALSE,"신조원리.XLS";#N/A,#N/A,FALSE,"신조감가.XLS"}</definedName>
    <definedName name="ㅂㅂㅂㅂㅂㅂㅂㅂㅂ">#REF!</definedName>
    <definedName name="ㅂㅈ">#N/A</definedName>
    <definedName name="ㅂㅈㄱㄷㅈ" hidden="1">{#N/A,#N/A,FALSE,"Aging Summary";#N/A,#N/A,FALSE,"Ratio Analysis";#N/A,#N/A,FALSE,"Test 120 Day Accts";#N/A,#N/A,FALSE,"Tickmarks"}</definedName>
    <definedName name="ㅂㅈㄷ" hidden="1">{#N/A,#N/A,FALSE,"Aging Summary";#N/A,#N/A,FALSE,"Ratio Analysis";#N/A,#N/A,FALSE,"Test 120 Day Accts";#N/A,#N/A,FALSE,"Tickmarks"}</definedName>
    <definedName name="ㅂㅈㄷㄴ">#REF!</definedName>
    <definedName name="ㅂㅋ" hidden="1">#REF!</definedName>
    <definedName name="바">#REF!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바바" hidden="1">{#N/A,#N/A,FALSE,"단축1";#N/A,#N/A,FALSE,"단축2";#N/A,#N/A,FALSE,"단축3";#N/A,#N/A,FALSE,"장축";#N/A,#N/A,FALSE,"4WD"}</definedName>
    <definedName name="바보">#REF!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상">#REF!</definedName>
    <definedName name="박정" hidden="1">{#N/A,#N/A,TRUE,"일정"}</definedName>
    <definedName name="박준철">#REF!</definedName>
    <definedName name="박준철1">#REF!</definedName>
    <definedName name="반영" hidden="1">{#N/A,#N/A,TRUE,"일정"}</definedName>
    <definedName name="받을어음">#REF!</definedName>
    <definedName name="발">#REF!</definedName>
    <definedName name="방송사">#REF!</definedName>
    <definedName name="방영요일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hidden="1">#REF!</definedName>
    <definedName name="배부기준">#REF!</definedName>
    <definedName name="배부액">#REF!</definedName>
    <definedName name="배부율">#REF!</definedName>
    <definedName name="배우자">#REF!</definedName>
    <definedName name="배우자2">#REF!</definedName>
    <definedName name="백">IF(INT(RIGHT(#REF!,3)/100)=0,"",CHOOSE(INT(RIGHT(#REF!,3)/100),"일","이","삼","사","오","육","칠","팔","구")&amp;"백")</definedName>
    <definedName name="백나영">#REF!</definedName>
    <definedName name="백만">IF(INT(RIGHT(#REF!,7)/1000000)=0,"",CHOOSE(INT(RIGHT(#REF!,7)/1000000),"일","이","삼","사","오","육","칠","팔","구")&amp;"백")</definedName>
    <definedName name="백만원">#REF!</definedName>
    <definedName name="백백만원">#REF!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">#REF!</definedName>
    <definedName name="범위1">#REF!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_인_명_상_호">#REF!</definedName>
    <definedName name="법인구분">#REF!</definedName>
    <definedName name="법인구분코드">#REF!</definedName>
    <definedName name="법인등록번호">#REF!</definedName>
    <definedName name="법인명_상호명">#REF!</definedName>
    <definedName name="법인세">#REF!</definedName>
    <definedName name="법인세비용" hidden="1">{#N/A,#N/A,FALSE,"BS";#N/A,#N/A,FALSE,"PL";#N/A,#N/A,FALSE,"처분";#N/A,#N/A,FALSE,"현금";#N/A,#N/A,FALSE,"매출";#N/A,#N/A,FALSE,"원가";#N/A,#N/A,FALSE,"경영"}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경">#REF!</definedName>
    <definedName name="변경내역" hidden="1">{#N/A,#N/A,FALSE,"3가";#N/A,#N/A,FALSE,"3나";#N/A,#N/A,FALSE,"3다"}</definedName>
    <definedName name="변동">#REF!</definedName>
    <definedName name="변동비">#REF!</definedName>
    <definedName name="변동비인쇄영역">#REF!</definedName>
    <definedName name="변동연">#REF!</definedName>
    <definedName name="변동연료비">#REF!</definedName>
    <definedName name="변동율기준표">#REF!</definedName>
    <definedName name="변동제">#REF!</definedName>
    <definedName name="변동판">#REF!</definedName>
    <definedName name="변파유닛" hidden="1">{#N/A,#N/A,FALSE,"3가";#N/A,#N/A,FALSE,"3나";#N/A,#N/A,FALSE,"3다"}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도합산">#REF!</definedName>
    <definedName name="별도합산세">#REF!</definedName>
    <definedName name="별도합산세율">#REF!</definedName>
    <definedName name="별정시급">#REF!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" hidden="1">#REF!</definedName>
    <definedName name="보" hidden="1">{#N/A,#N/A,FALSE,"3가";#N/A,#N/A,FALSE,"3나";#N/A,#N/A,FALSE,"3다"}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서2">#REF!</definedName>
    <definedName name="보관1">#REF!</definedName>
    <definedName name="보관2">#REF!</definedName>
    <definedName name="보너스">#REF!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보봅">#REF!</definedName>
    <definedName name="보봅" hidden="1">{#N/A,#N/A,FALSE,"Aging Summary";#N/A,#N/A,FALSE,"Ratio Analysis";#N/A,#N/A,FALSE,"Test 120 Day Accts";#N/A,#N/A,FALSE,"Tickmarks"}</definedName>
    <definedName name="보수사진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안복">170000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조출연료합계">#REF!</definedName>
    <definedName name="보증금환급률">#REF!</definedName>
    <definedName name="보증기관">#REF!</definedName>
    <definedName name="보충" hidden="1">#REF!</definedName>
    <definedName name="보험">#REF!</definedName>
    <definedName name="보험2">#REF!</definedName>
    <definedName name="보험료" hidden="1">{#N/A,#N/A,FALSE,"Aging Summary";#N/A,#N/A,FALSE,"Ratio Analysis";#N/A,#N/A,FALSE,"Test 120 Day Accts";#N/A,#N/A,FALSE,"Tickmarks"}</definedName>
    <definedName name="보험료합계">#REF!</definedName>
    <definedName name="보험예산대비실적분석자료" hidden="1">{#N/A,#N/A,FALSE,"채산3501.XLS";#N/A,#N/A,FALSE,"신조수A.XLS";#N/A,#N/A,FALSE,"신조수b.XLS";#N/A,#N/A,FALSE,"채산3502.XLS";#N/A,#N/A,FALSE,"신조원리.XLS";#N/A,#N/A,FALSE,"신조감가.XLS"}</definedName>
    <definedName name="복귀">#REF!</definedName>
    <definedName name="복리후생비집계">#REF!</definedName>
    <definedName name="복사대상">#REF!</definedName>
    <definedName name="본사손익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봄" hidden="1">{#N/A,#N/A,FALSE,"95FW"}</definedName>
    <definedName name="봉석">#REF!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">#REF!</definedName>
    <definedName name="부가세">1.1</definedName>
    <definedName name="부가세검토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율표">#REF!</definedName>
    <definedName name="부녀">#REF!</definedName>
    <definedName name="부녀2">#REF!</definedName>
    <definedName name="부도어음">#REF!</definedName>
    <definedName name="부동산투자신탁6호">#REF!</definedName>
    <definedName name="부서">#REF!</definedName>
    <definedName name="부서코드다">#REF!</definedName>
    <definedName name="부속" hidden="1">#REF!</definedName>
    <definedName name="부양">#REF!</definedName>
    <definedName name="부양2">#REF!</definedName>
    <definedName name="부양가족">#REF!</definedName>
    <definedName name="부양가족2">#REF!</definedName>
    <definedName name="부채자본">#REF!</definedName>
    <definedName name="부천변경내역서">#REF!</definedName>
    <definedName name="부하s" hidden="1">#REF!</definedName>
    <definedName name="부하sa" hidden="1">#REF!</definedName>
    <definedName name="북부">#REF!</definedName>
    <definedName name="북채">#REF!</definedName>
    <definedName name="분" hidden="1">{#N/A,#N/A,FALSE,"단축1";#N/A,#N/A,FALSE,"단축2";#N/A,#N/A,FALSE,"단축3";#N/A,#N/A,FALSE,"장축";#N/A,#N/A,FALSE,"4WD"}</definedName>
    <definedName name="분개및수수료계상">#REF!</definedName>
    <definedName name="분기별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분리과세">#REF!</definedName>
    <definedName name="분리과세세율">#REF!</definedName>
    <definedName name="분리과세액">#REF!</definedName>
    <definedName name="분석" hidden="1">{"'호선별현황(방식)'!$K$22:$P$22","'호선별현황(방식)'!$K$22:$P$22"}</definedName>
    <definedName name="분석2002" hidden="1">{"'호선별현황(방식)'!$K$22:$P$22","'호선별현황(방식)'!$K$22:$P$22"}</definedName>
    <definedName name="분석용" hidden="1">{"'호선별현황(방식)'!$K$22:$P$22","'호선별현황(방식)'!$K$22:$P$22"}</definedName>
    <definedName name="분양가">#REF!</definedName>
    <definedName name="분양원가명세서" hidden="1">{#N/A,#N/A,FALSE,"BS";#N/A,#N/A,FALSE,"PL";#N/A,#N/A,FALSE,"처분";#N/A,#N/A,FALSE,"현금";#N/A,#N/A,FALSE,"매출";#N/A,#N/A,FALSE,"원가";#N/A,#N/A,FALSE,"경영"}</definedName>
    <definedName name="분양원가명세서1" hidden="1">{#N/A,#N/A,FALSE,"BS";#N/A,#N/A,FALSE,"PL";#N/A,#N/A,FALSE,"처분";#N/A,#N/A,FALSE,"현금";#N/A,#N/A,FALSE,"매출";#N/A,#N/A,FALSE,"원가";#N/A,#N/A,FALSE,"경영"}</definedName>
    <definedName name="불">#REF!</definedName>
    <definedName name="불량">#REF!</definedName>
    <definedName name="불합격">#REF!</definedName>
    <definedName name="브레이크">#REF!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고">#REF!</definedName>
    <definedName name="비과세">#REF!</definedName>
    <definedName name="비과세2">#REF!</definedName>
    <definedName name="비교">#REF!</definedName>
    <definedName name="비교A">#REF!</definedName>
    <definedName name="비교분">#REF!</definedName>
    <definedName name="비교표2" hidden="1">#REF!</definedName>
    <definedName name="비상장주식" hidden="1">#N/A</definedName>
    <definedName name="비용거래">#REF!</definedName>
    <definedName name="비용배분">#REF!</definedName>
    <definedName name="비품">#REF!</definedName>
    <definedName name="비품상각">#REF!</definedName>
    <definedName name="비호선율" hidden="1">{"'호선별현황(방식)'!$K$22:$P$22","'호선별현황(방식)'!$K$22:$P$22"}</definedName>
    <definedName name="빌딩명">#REF!</definedName>
    <definedName name="빌딩이름">#REF!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{#N/A,#N/A,TRUE,"Y생산";#N/A,#N/A,TRUE,"Y판매";#N/A,#N/A,TRUE,"Y총물량";#N/A,#N/A,TRUE,"Y능력";#N/A,#N/A,TRUE,"YKD"}</definedName>
    <definedName name="ㅅ7ㅓㅛㅗㅓ로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ㄹ녀ㅛㅅ누ㅛㅅㄴ구ㅛㅅㄱ누" hidden="1">{#N/A,#N/A,TRUE,"일정"}</definedName>
    <definedName name="ㅅㅅ">#REF!</definedName>
    <definedName name="ㅅㅅㅅ" hidden="1">{#N/A,#N/A,TRUE,"일정"}</definedName>
    <definedName name="사">#REF!</definedName>
    <definedName name="사1">#REF!</definedName>
    <definedName name="사10">#REF!</definedName>
    <definedName name="사11">#REF!</definedName>
    <definedName name="사12">#REF!</definedName>
    <definedName name="사2">#REF!</definedName>
    <definedName name="사3">#REF!</definedName>
    <definedName name="사4">#REF!</definedName>
    <definedName name="사5">#REF!</definedName>
    <definedName name="사6">#REF!</definedName>
    <definedName name="사7">#REF!</definedName>
    <definedName name="사8">#REF!</definedName>
    <definedName name="사9">#REF!</definedName>
    <definedName name="사고뭉치" hidden="1">{#N/A,#N/A,FALSE,"96 3월물량표";#N/A,#N/A,FALSE,"96 4월물량표";#N/A,#N/A,FALSE,"96 5월물량표"}</definedName>
    <definedName name="사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랑" hidden="1">{"'Sheet1'!$A$1:$H$36"}</definedName>
    <definedName name="사랑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번">#REF!</definedName>
    <definedName name="사업" hidden="1">{#N/A,#N/A,FALSE,"SILO현황";#N/A,#N/A,FALSE,"타업체";#N/A,#N/A,FALSE,"생산능력"}</definedName>
    <definedName name="사업10월">#REF!</definedName>
    <definedName name="사업11월">#REF!</definedName>
    <definedName name="사업12월">#REF!</definedName>
    <definedName name="사업3월">#REF!</definedName>
    <definedName name="사업4월">#REF!</definedName>
    <definedName name="사업5월">#REF!</definedName>
    <definedName name="사업6월">#REF!</definedName>
    <definedName name="사업7월">#REF!</definedName>
    <definedName name="사업8월">#REF!</definedName>
    <definedName name="사업9월">#REF!</definedName>
    <definedName name="사업별">#REF!</definedName>
    <definedName name="사업부양식2" hidden="1">#REF!</definedName>
    <definedName name="사업자등록번호">#REF!</definedName>
    <definedName name="사업투자">#REF!</definedName>
    <definedName name="사업투자1">#REF!</definedName>
    <definedName name="사용">#N/A</definedName>
    <definedName name="사용량">#REF!</definedName>
    <definedName name="사용량1">#REF!</definedName>
    <definedName name="사용량2">#REF!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요금10">#N/A</definedName>
    <definedName name="사용요금11">#N/A</definedName>
    <definedName name="사용요금20">#N/A</definedName>
    <definedName name="사용요금21">#N/A</definedName>
    <definedName name="사원">#REF!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이">#REF!</definedName>
    <definedName name="사월일">#REF!</definedName>
    <definedName name="사이버">#REF!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">#REF!</definedName>
    <definedName name="산1">#REF!</definedName>
    <definedName name="산10">#REF!</definedName>
    <definedName name="산11">#REF!</definedName>
    <definedName name="산12">#REF!</definedName>
    <definedName name="산2">#REF!</definedName>
    <definedName name="산3">#REF!</definedName>
    <definedName name="산4">#REF!</definedName>
    <definedName name="산5">#REF!</definedName>
    <definedName name="산6">#REF!</definedName>
    <definedName name="산7">#REF!</definedName>
    <definedName name="산8">#REF!</definedName>
    <definedName name="산9">#REF!</definedName>
    <definedName name="산재">#REF!</definedName>
    <definedName name="산재10월">#REF!</definedName>
    <definedName name="산재11월">#REF!</definedName>
    <definedName name="산재12월">#REF!</definedName>
    <definedName name="산재3월">#REF!</definedName>
    <definedName name="산재4월">#REF!</definedName>
    <definedName name="산재5월">#REF!</definedName>
    <definedName name="산재6월">#REF!</definedName>
    <definedName name="산재7월">#REF!</definedName>
    <definedName name="산재8월">#REF!</definedName>
    <definedName name="산재9월">#REF!</definedName>
    <definedName name="삼">#REF!</definedName>
    <definedName name="삼성" hidden="1">{#N/A,#N/A,FALSE,"정공"}</definedName>
    <definedName name="삼호중" hidden="1">{"'호선별현황(방식)'!$K$22:$P$22","'호선별현황(방식)'!$K$22:$P$22"}</definedName>
    <definedName name="상가매매0115">#REF!</definedName>
    <definedName name="상가임대0115">#REF!</definedName>
    <definedName name="상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비">#REF!</definedName>
    <definedName name="상농">OFFSET(#REF!,0,0,COUNTA(#REF!)-1,1)</definedName>
    <definedName name="상농2">OFFSET(#REF!,0,0,COUNTA(#REF!)-1,1)</definedName>
    <definedName name="상비1">#REF!</definedName>
    <definedName name="상비2">#REF!</definedName>
    <definedName name="상설월별시트2" hidden="1">{#N/A,#N/A,FALSE,"95FW"}</definedName>
    <definedName name="상여">#REF!</definedName>
    <definedName name="상여2">#REF!</definedName>
    <definedName name="상여율">#REF!</definedName>
    <definedName name="상품" hidden="1">#REF!</definedName>
    <definedName name="상품1월">#REF!</definedName>
    <definedName name="상품시화">#REF!</definedName>
    <definedName name="새" hidden="1">{#N/A,#N/A,FALSE,"Aging Summary";#N/A,#N/A,FALSE,"Ratio Analysis";#N/A,#N/A,FALSE,"Test 120 Day Accts";#N/A,#N/A,FALSE,"Tickmarks"}</definedName>
    <definedName name="새로부분">#REF!</definedName>
    <definedName name="새이름" hidden="1">{"'호선별현황(방식)'!$K$22:$P$22","'호선별현황(방식)'!$K$22:$P$22"}</definedName>
    <definedName name="새천년" hidden="1">{#N/A,#N/A,TRUE,"Y생산";#N/A,#N/A,TRUE,"Y판매";#N/A,#N/A,TRUE,"Y총물량";#N/A,#N/A,TRUE,"Y능력";#N/A,#N/A,TRUE,"YKD"}</definedName>
    <definedName name="색상현황" hidden="1">#REF!</definedName>
    <definedName name="색인">#REF!</definedName>
    <definedName name="생">#REF!</definedName>
    <definedName name="생산">#REF!</definedName>
    <definedName name="생산TON" hidden="1">{#N/A,#N/A,TRUE,"Y생산";#N/A,#N/A,TRUE,"Y판매";#N/A,#N/A,TRUE,"Y총물량";#N/A,#N/A,TRUE,"Y능력";#N/A,#N/A,TRUE,"YKD"}</definedName>
    <definedName name="생산관리팀절감세부계획">#REF!</definedName>
    <definedName name="생산능력">#REF!</definedName>
    <definedName name="생산시급">#REF!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조향" hidden="1">#REF!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산현황">#REF!</definedName>
    <definedName name="생산현황집계표">#REF!</definedName>
    <definedName name="생산현황집계표1">#REF!</definedName>
    <definedName name="생산현황집계표ELLE">#REF!</definedName>
    <definedName name="생산현황집계표RENO">#REF!</definedName>
    <definedName name="생산현황집계표SIS">#REF!</definedName>
    <definedName name="샤시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임대" hidden="1">#REF!</definedName>
    <definedName name="서식파일명">#REF!</definedName>
    <definedName name="서식파일목록">#REF!</definedName>
    <definedName name="서영태" hidden="1">{#N/A,#N/A,TRUE,"Y생산";#N/A,#N/A,TRUE,"Y판매";#N/A,#N/A,TRUE,"Y총물량";#N/A,#N/A,TRUE,"Y능력";#N/A,#N/A,TRUE,"YKD"}</definedName>
    <definedName name="서영태_1" hidden="1">{#N/A,#N/A,TRUE,"Y생산";#N/A,#N/A,TRUE,"Y판매";#N/A,#N/A,TRUE,"Y총물량";#N/A,#N/A,TRUE,"Y능력";#N/A,#N/A,TRUE,"YKD"}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초" hidden="1">{#N/A,#N/A,TRUE,"대 차 대 조 표"}</definedName>
    <definedName name="서초_1" hidden="1">{#N/A,#N/A,TRUE,"대 차 대 조 표"}</definedName>
    <definedName name="서초2" hidden="1">{#N/A,#N/A,TRUE,"대 차 대 조 표"}</definedName>
    <definedName name="서초2_1" hidden="1">{#N/A,#N/A,TRUE,"대 차 대 조 표"}</definedName>
    <definedName name="서초해동" hidden="1">{#N/A,#N/A,TRUE,"대 차 대 조 표"}</definedName>
    <definedName name="서초해동_1" hidden="1">{#N/A,#N/A,TRUE,"대 차 대 조 표"}</definedName>
    <definedName name="선급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금">#REF!</definedName>
    <definedName name="선급법인세9">#REF!</definedName>
    <definedName name="선급비용">#REF!</definedName>
    <definedName name="선급이자" hidden="1">{"'Sheet1'!$A$1:$H$36"}</definedName>
    <definedName name="선급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수금">#REF!</definedName>
    <definedName name="선체설계" hidden="1">{"'호선별현황(방식)'!$K$22:$P$22","'호선별현황(방식)'!$K$22:$P$22"}</definedName>
    <definedName name="선택">#REF!</definedName>
    <definedName name="선행시작팀">#REF!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성능시험2" hidden="1">{#N/A,#N/A,FALSE,"단축1";#N/A,#N/A,FALSE,"단축2";#N/A,#N/A,FALSE,"단축3";#N/A,#N/A,FALSE,"장축";#N/A,#N/A,FALSE,"4WD"}</definedName>
    <definedName name="성명">#REF!</definedName>
    <definedName name="성명2">#REF!</definedName>
    <definedName name="省市">#REF!</definedName>
    <definedName name="세금">#REF!</definedName>
    <definedName name="세금1">#REF!</definedName>
    <definedName name="세금유형">#REF!</definedName>
    <definedName name="세금종류">#REF!</definedName>
    <definedName name="세대">#REF!</definedName>
    <definedName name="세무서">#REF!</definedName>
    <definedName name="세무서표">#REF!</definedName>
    <definedName name="세무조정모든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>#REF!</definedName>
    <definedName name="세부그림">#REF!</definedName>
    <definedName name="세부내역">#REF!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세항목">#REF!</definedName>
    <definedName name="세율">#REF!</definedName>
    <definedName name="세일">#N/A</definedName>
    <definedName name="셀리카" hidden="1">#REF!</definedName>
    <definedName name="소갑">#REF!</definedName>
    <definedName name="소급">#REF!</definedName>
    <definedName name="소나타">#REF!</definedName>
    <definedName name="소득" hidden="1">#REF!</definedName>
    <definedName name="소득2">#REF!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금액">#REF!</definedName>
    <definedName name="소득세">#REF!</definedName>
    <definedName name="소득종류">#REF!</definedName>
    <definedName name="소솟">#REF!</definedName>
    <definedName name="소유자분_보증금">#REF!</definedName>
    <definedName name="소재검토">#REF!</definedName>
    <definedName name="소형4" hidden="1">#REF!</definedName>
    <definedName name="소형발인" hidden="1">#REF!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계산서" hidden="1">#REF!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분석">#N/A</definedName>
    <definedName name="솔" hidden="1">{#N/A,#N/A,TRUE,"대 차 대 조 표"}</definedName>
    <definedName name="솔_1" hidden="1">{#N/A,#N/A,TRUE,"대 차 대 조 표"}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___출">#REF!</definedName>
    <definedName name="수광비실적" hidden="1">#REF!</definedName>
    <definedName name="수금">#REF!</definedName>
    <definedName name="수금분석">#REF!</definedName>
    <definedName name="수급추이" hidden="1">{"'7-2지역별'!$A$1:$R$44"}</definedName>
    <definedName name="수도" hidden="1">#REF!</definedName>
    <definedName name="수불">#REF!</definedName>
    <definedName name="수선비세부" hidden="1">#REF!</definedName>
    <definedName name="수수" hidden="1">{#N/A,#N/A,FALSE,"95FW"}</definedName>
    <definedName name="수수료계상">#REF!</definedName>
    <definedName name="수수료정산" hidden="1">{#N/A,#N/A,FALSE,"95FW"}</definedName>
    <definedName name="수익·비용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4속" hidden="1">{#N/A,#N/A,FALSE,"단축1";#N/A,#N/A,FALSE,"단축2";#N/A,#N/A,FALSE,"단축3";#N/A,#N/A,FALSE,"장축";#N/A,#N/A,FALSE,"4WD"}</definedName>
    <definedName name="수입3" hidden="1">{"'7-2지역별'!$A$1:$R$44"}</definedName>
    <definedName name="수입보증금">#REF!</definedName>
    <definedName name="수정2" hidden="1">{#N/A,#N/A,FALSE,"신규dep";#N/A,#N/A,FALSE,"신규dep-금형상각후";#N/A,#N/A,FALSE,"신규dep-연구비상각후";#N/A,#N/A,FALSE,"신규dep-기계,공구상각후"}</definedName>
    <definedName name="수정물량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정사항" hidden="1">#REF!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주" hidden="1">{#N/A,#N/A,FALSE,"기안지";#N/A,#N/A,FALSE,"통신지"}</definedName>
    <definedName name="수출">#REF!</definedName>
    <definedName name="수출2">#REF!</definedName>
    <definedName name="수출순위" hidden="1">{"'7-2지역별'!$A$1:$R$44"}</definedName>
    <definedName name="수퍼살롱LPG">#REF!</definedName>
    <definedName name="순서" hidden="1">{#N/A,#N/A,FALSE,"1.CRITERIA";#N/A,#N/A,FALSE,"2.IS";#N/A,#N/A,FALSE,"3.BS";#N/A,#N/A,FALSE,"4.PER PL";#N/A,#N/A,FALSE,"5.INVESTMENT";#N/A,#N/A,FALSE,"6.공문";#N/A,#N/A,FALSE,"7.netinvest"}</definedName>
    <definedName name="스탭료합계">#REF!</definedName>
    <definedName name="슬래그">#REF!</definedName>
    <definedName name="슬래그파우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승계_대출">#REF!</definedName>
    <definedName name="승용2">#REF!</definedName>
    <definedName name="시">#REF!</definedName>
    <definedName name="시간" hidden="1">{#N/A,#N/A,TRUE,"Y생산";#N/A,#N/A,TRUE,"Y판매";#N/A,#N/A,TRUE,"Y총물량";#N/A,#N/A,TRUE,"Y능력";#N/A,#N/A,TRUE,"YKD"}</definedName>
    <definedName name="시급">#REF!</definedName>
    <definedName name="시나리오">#REF!</definedName>
    <definedName name="시느">#REF!</definedName>
    <definedName name="시럽680">#REF!</definedName>
    <definedName name="시매출">#REF!</definedName>
    <definedName name="시산">#REF!</definedName>
    <definedName name="시설투자">#N/A</definedName>
    <definedName name="시이자">#REF!</definedName>
    <definedName name="시인원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식대2">#REF!</definedName>
    <definedName name="신AT종합" hidden="1">{#N/A,#N/A,FALSE,"단축1";#N/A,#N/A,FALSE,"단축2";#N/A,#N/A,FALSE,"단축3";#N/A,#N/A,FALSE,"장축";#N/A,#N/A,FALSE,"4WD"}</definedName>
    <definedName name="신고구분">#REF!</definedName>
    <definedName name="신고구분목록">#REF!</definedName>
    <definedName name="신규_대출">#REF!</definedName>
    <definedName name="신사번">#REF!</definedName>
    <definedName name="신상">#REF!</definedName>
    <definedName name="신설통계" hidden="1">{#N/A,#N/A,FALSE,"3가";#N/A,#N/A,FALSE,"3나";#N/A,#N/A,FALSE,"3다"}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우단가표">#REF!</definedName>
    <definedName name="신한은행_1" hidden="1">{#N/A,#N/A,FALSE,"Aging Summary";#N/A,#N/A,FALSE,"Ratio Analysis";#N/A,#N/A,FALSE,"Test 120 Day Accts";#N/A,#N/A,FALSE,"Tickmarks"}</definedName>
    <definedName name="신한은행_2" hidden="1">{#N/A,#N/A,FALSE,"Aging Summary";#N/A,#N/A,FALSE,"Ratio Analysis";#N/A,#N/A,FALSE,"Test 120 Day Accts";#N/A,#N/A,FALSE,"Tickmarks"}</definedName>
    <definedName name="신한은행수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효성" hidden="1">{"'호선별현황(방식)'!$K$22:$P$22","'호선별현황(방식)'!$K$22:$P$22"}</definedName>
    <definedName name="실수요">#REF!</definedName>
    <definedName name="실시" hidden="1">{#N/A,#N/A,FALSE,"단축1";#N/A,#N/A,FALSE,"단축2";#N/A,#N/A,FALSE,"단축3";#N/A,#N/A,FALSE,"장축";#N/A,#N/A,FALSE,"4WD"}</definedName>
    <definedName name="실적">#REF!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4">#REF!</definedName>
    <definedName name="실제급여" hidden="1">{#N/A,#N/A,TRUE,"대 차 대 조 표"}</definedName>
    <definedName name="실제급여_1" hidden="1">{#N/A,#N/A,TRUE,"대 차 대 조 표"}</definedName>
    <definedName name="실제매출전체">#REF!</definedName>
    <definedName name="실제수익회당">#REF!</definedName>
    <definedName name="실초출">#REF!</definedName>
    <definedName name="실행">#N/A</definedName>
    <definedName name="심양신세게">#REF!</definedName>
    <definedName name="십">IF(INT(RIGHT(#REF!,2)/10)=0,"",CHOOSE(INT(RIGHT(#REF!,2)/10),"일","이","삼","사","오","육","칠","팔","구")&amp;"십")</definedName>
    <definedName name="십만">IF(INT(RIGHT(#REF!,6)/100000)=0,"",CHOOSE(INT(RIGHT(#REF!,6)/100000),"일","이","삼","사","오","육","칠","팔","구")&amp;"십")</definedName>
    <definedName name="십이월">#REF!</definedName>
    <definedName name="씨엔에이치" hidden="1">{#N/A,#N/A,TRUE,"대 차 대 조 표"}</definedName>
    <definedName name="씨엔에이치_1" hidden="1">{#N/A,#N/A,TRUE,"대 차 대 조 표"}</definedName>
    <definedName name="씨티">#REF!</definedName>
    <definedName name="ㅇ" hidden="1">{#N/A,#N/A,FALSE,"Aging Summary";#N/A,#N/A,FALSE,"Ratio Analysis";#N/A,#N/A,FALSE,"Test 120 Day Accts";#N/A,#N/A,FALSE,"Tickmarks"}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ㄹㅇㅇㅇㅇㅇㅇㅇㅇㅇㅇㅇ">#REF!</definedName>
    <definedName name="ㅇㄴㄻㄴㅇㄹ" hidden="1">{#N/A,#N/A,TRUE,"Y생산";#N/A,#N/A,TRUE,"Y판매";#N/A,#N/A,TRUE,"Y총물량";#N/A,#N/A,TRUE,"Y능력";#N/A,#N/A,TRUE,"YKD"}</definedName>
    <definedName name="ㅇㄴㄻㄴㅇㄹ_1" hidden="1">{#N/A,#N/A,TRUE,"Y생산";#N/A,#N/A,TRUE,"Y판매";#N/A,#N/A,TRUE,"Y총물량";#N/A,#N/A,TRUE,"Y능력";#N/A,#N/A,TRUE,"YKD"}</definedName>
    <definedName name="ㅇㄴㅇㄹㄴㅇ" hidden="1">{#N/A,#N/A,TRUE,"Y생산";#N/A,#N/A,TRUE,"Y판매";#N/A,#N/A,TRUE,"Y총물량";#N/A,#N/A,TRUE,"Y능력";#N/A,#N/A,TRUE,"YKD"}</definedName>
    <definedName name="ㅇㄴㅇㄹㄴㅇ_1" hidden="1">{#N/A,#N/A,TRUE,"Y생산";#N/A,#N/A,TRUE,"Y판매";#N/A,#N/A,TRUE,"Y총물량";#N/A,#N/A,TRUE,"Y능력";#N/A,#N/A,TRUE,"YKD"}</definedName>
    <definedName name="ㅇ니라먼" hidden="1">{#N/A,#N/A,FALSE,"BS";#N/A,#N/A,FALSE,"PL";#N/A,#N/A,FALSE,"처분";#N/A,#N/A,FALSE,"현금";#N/A,#N/A,FALSE,"매출";#N/A,#N/A,FALSE,"원가";#N/A,#N/A,FALSE,"경영"}</definedName>
    <definedName name="ㅇㄷㄴ" hidden="1">{#N/A,#N/A,FALSE,"Aging Summary";#N/A,#N/A,FALSE,"Ratio Analysis";#N/A,#N/A,FALSE,"Test 120 Day Accts";#N/A,#N/A,FALSE,"Tickmarks"}</definedName>
    <definedName name="ㅇㄹ" hidden="1">{#N/A,#N/A,FALSE,"BS";#N/A,#N/A,FALSE,"PL";#N/A,#N/A,FALSE,"처분";#N/A,#N/A,FALSE,"현금";#N/A,#N/A,FALSE,"매출";#N/A,#N/A,FALSE,"원가";#N/A,#N/A,FALSE,"경영"}</definedName>
    <definedName name="ㅇㄹㄴㄷㄱㅈ" hidden="1">#REF!</definedName>
    <definedName name="ㅇㄹㄴㅇㄹ" hidden="1">{#N/A,#N/A,TRUE,"Y생산";#N/A,#N/A,TRUE,"Y판매";#N/A,#N/A,TRUE,"Y총물량";#N/A,#N/A,TRUE,"Y능력";#N/A,#N/A,TRUE,"YKD"}</definedName>
    <definedName name="ㅇㄹㄴㅇㄹ_1" hidden="1">{#N/A,#N/A,TRUE,"Y생산";#N/A,#N/A,TRUE,"Y판매";#N/A,#N/A,TRUE,"Y총물량";#N/A,#N/A,TRUE,"Y능력";#N/A,#N/A,TRUE,"YKD"}</definedName>
    <definedName name="ㅇㄹㅀㅎ" hidden="1">{#N/A,#N/A,FALSE,"Aging Summary";#N/A,#N/A,FALSE,"Ratio Analysis";#N/A,#N/A,FALSE,"Test 120 Day Accts";#N/A,#N/A,FALSE,"Tickmarks"}</definedName>
    <definedName name="ㅇㄹㅇ" hidden="1">{#N/A,#N/A,FALSE,"3가";#N/A,#N/A,FALSE,"3나";#N/A,#N/A,FALSE,"3다"}</definedName>
    <definedName name="ㅇㄹㅇㄴ" hidden="1">{#N/A,#N/A,FALSE,"3가";#N/A,#N/A,FALSE,"3나";#N/A,#N/A,FALSE,"3다"}</definedName>
    <definedName name="ㅇㄹㅇㄴㄹ" hidden="1">{#N/A,#N/A,TRUE,"Y생산";#N/A,#N/A,TRUE,"Y판매";#N/A,#N/A,TRUE,"Y총물량";#N/A,#N/A,TRUE,"Y능력";#N/A,#N/A,TRUE,"YKD"}</definedName>
    <definedName name="ㅇㄹㅇㄴㄹ_1" hidden="1">{#N/A,#N/A,TRUE,"Y생산";#N/A,#N/A,TRUE,"Y판매";#N/A,#N/A,TRUE,"Y총물량";#N/A,#N/A,TRUE,"Y능력";#N/A,#N/A,TRUE,"YKD"}</definedName>
    <definedName name="ㅇㄹㅇㄹ">#REF!</definedName>
    <definedName name="ㅇㄹㅇㄹ_1" hidden="1">{#N/A,#N/A,TRUE,"Y생산";#N/A,#N/A,TRUE,"Y판매";#N/A,#N/A,TRUE,"Y총물량";#N/A,#N/A,TRUE,"Y능력";#N/A,#N/A,TRUE,"YKD"}</definedName>
    <definedName name="ㅇㄹㅇㄹㅇㄹㅇㄹㅇㄹㅇㄹㅇㄹㅇㄹ" hidden="1">{#N/A,#N/A,FALSE,"이력서&amp;자기소개서"}</definedName>
    <definedName name="ㅇㄹㅇㅁㄴㅁ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ㄻㄴㅇㄻㄴ">#REF!</definedName>
    <definedName name="ㅇㄻㅇ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ㄹ" hidden="1">{#N/A,#N/A,FALSE,"Aging Summary";#N/A,#N/A,FALSE,"Ratio Analysis";#N/A,#N/A,FALSE,"Test 120 Day Accts";#N/A,#N/A,FALSE,"Tickmarks"}</definedName>
    <definedName name="ㅇㅀㄴㅇ" hidden="1">{#N/A,#N/A,FALSE,"채산3501.XLS";#N/A,#N/A,FALSE,"신조수A.XLS";#N/A,#N/A,FALSE,"신조수b.XLS";#N/A,#N/A,FALSE,"채산3502.XLS";#N/A,#N/A,FALSE,"신조원리.XLS";#N/A,#N/A,FALSE,"신조감가.XLS"}</definedName>
    <definedName name="ㅇㅀㅇㅁㄹ" hidden="1">{#N/A,#N/A,FALSE,"3가";#N/A,#N/A,FALSE,"3나";#N/A,#N/A,FALSE,"3다"}</definedName>
    <definedName name="ㅇㅁㄻ" hidden="1">{#N/A,#N/A,FALSE,"Aging Summary";#N/A,#N/A,FALSE,"Ratio Analysis";#N/A,#N/A,FALSE,"Test 120 Day Accts";#N/A,#N/A,FALSE,"Tickmarks"}</definedName>
    <definedName name="ㅇㅁㄻㅇㄴㄹㅇㅁ" hidden="1">{#N/A,#N/A,FALSE,"Aging Summary";#N/A,#N/A,FALSE,"Ratio Analysis";#N/A,#N/A,FALSE,"Test 120 Day Accts";#N/A,#N/A,FALSE,"Tickmarks"}</definedName>
    <definedName name="ㅇㅁㄻㅇㄹ" hidden="1">{#N/A,#N/A,FALSE,"Aging Summary";#N/A,#N/A,FALSE,"Ratio Analysis";#N/A,#N/A,FALSE,"Test 120 Day Accts";#N/A,#N/A,FALSE,"Tickmarks"}</definedName>
    <definedName name="ㅇㅁㅇ">#REF!</definedName>
    <definedName name="ㅇㅇ">#REF!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ㄴ" localSheetId="1">BlankMacro1</definedName>
    <definedName name="ㅇㅇㄴ" localSheetId="0">BlankMacro1</definedName>
    <definedName name="ㅇㅇㄴ">BlankMacro1</definedName>
    <definedName name="ㅇㅇ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ㅁㄹ">#REF!</definedName>
    <definedName name="ㅇㅇㅇ">#REF!</definedName>
    <definedName name="ㅇㅇㅇㅇ">#REF!</definedName>
    <definedName name="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_1" hidden="1">{#N/A,#N/A,TRUE,"대 차 대 조 표"}</definedName>
    <definedName name="ㅇㅇㅇㅇㅇㅇ">#REF!</definedName>
    <definedName name="ㅇㅇㅇㅇㅇㅇㅇㅇ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ㅇㅇㅇ" hidden="1">{#N/A,#N/A,TRUE,"Y생산";#N/A,#N/A,TRUE,"Y판매";#N/A,#N/A,TRUE,"Y총물량";#N/A,#N/A,TRUE,"Y능력";#N/A,#N/A,TRUE,"YKD"}</definedName>
    <definedName name="ㅇㅇㅇㅇㅇㅇㅇㅇㅇㅇㅇ_1" hidden="1">{#N/A,#N/A,TRUE,"Y생산";#N/A,#N/A,TRUE,"Y판매";#N/A,#N/A,TRUE,"Y총물량";#N/A,#N/A,TRUE,"Y능력";#N/A,#N/A,TRUE,"YKD"}</definedName>
    <definedName name="ㅇㅇㅇㅇㅇㅇㅇㅇㅇㅇㅇㅇ">#REF!</definedName>
    <definedName name="ㅇㅇㅇㅇㅇㅇㅇㅇㅇㅇㅇㅇㅇㅇ">#REF!</definedName>
    <definedName name="ㅇㅇㅇㅇㅇㅇㅇㅇㅇㅇㅇㅇㅇㅇㅇㅇㅇㅇㅇ">#REF!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ㅎ" hidden="1">{#N/A,#N/A,FALSE,"단축1";#N/A,#N/A,FALSE,"단축2";#N/A,#N/A,FALSE,"단축3";#N/A,#N/A,FALSE,"장축";#N/A,#N/A,FALSE,"4WD"}</definedName>
    <definedName name="ㅇ호">#REF!</definedName>
    <definedName name="아">#REF!</definedName>
    <definedName name="아름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템">OFFSET(#REF!,0,0,COUNTA(#REF!)-1)</definedName>
    <definedName name="아프">#REF!</definedName>
    <definedName name="아ㅏㅏ" hidden="1">#REF!</definedName>
    <definedName name="안">#REF!</definedName>
    <definedName name="안건종합">#REF!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우준" hidden="1">{#N/A,#N/A,FALSE,"채산3501.XLS";#N/A,#N/A,FALSE,"신조수A.XLS";#N/A,#N/A,FALSE,"신조수b.XLS";#N/A,#N/A,FALSE,"채산3502.XLS";#N/A,#N/A,FALSE,"신조원리.XLS";#N/A,#N/A,FALSE,"신조감가.XLS"}</definedName>
    <definedName name="안재용">#REF!</definedName>
    <definedName name="안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알">#REF!</definedName>
    <definedName name="알제리">#REF!</definedName>
    <definedName name="암류허가신청">#N/A</definedName>
    <definedName name="암사" hidden="1">{#N/A,#N/A,TRUE,"대 차 대 조 표"}</definedName>
    <definedName name="암사_1" hidden="1">{#N/A,#N/A,TRUE,"대 차 대 조 표"}</definedName>
    <definedName name="앙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야간근로">#REF!</definedName>
    <definedName name="야간연장">#REF!</definedName>
    <definedName name="야간휴일">#REF!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승">#REF!</definedName>
    <definedName name="양승화">#REF!</definedName>
    <definedName name="어떡해" hidden="1">{"'Sheet1'!$A$1:$H$36"}</definedName>
    <definedName name="어떻하지" hidden="1">#REF!</definedName>
    <definedName name="어떻화라고" hidden="1">{"'호선별현황(방식)'!$K$22:$P$22","'호선별현황(방식)'!$K$22:$P$22"}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수금율_120">#REF!</definedName>
    <definedName name="어음수금율_150">#REF!</definedName>
    <definedName name="어음수금율_180">#REF!</definedName>
    <definedName name="어음수금율_30">#REF!</definedName>
    <definedName name="어음수금율_60">#REF!</definedName>
    <definedName name="어음수금율_90">#REF!</definedName>
    <definedName name="어쩌구">#REF!</definedName>
    <definedName name="어쩌라고">#REF!</definedName>
    <definedName name="어ㅏ얼ㅇㄹ">#REF!</definedName>
    <definedName name="억">IF(INT(RIGHT(#REF!,9)/100000000)=0,"",CHOOSE(INT(RIGHT(#REF!,9)/100000000),"일","이","삼","사","오","육","칠","팔","구")&amp;"억")</definedName>
    <definedName name="업무">#REF!</definedName>
    <definedName name="업무_1" hidden="1">{#N/A,#N/A,TRUE,"대 차 대 조 표"}</definedName>
    <definedName name="업무2">#REF!</definedName>
    <definedName name="업무계획" hidden="1">{"'호선별현황(방식)'!$K$22:$P$22","'호선별현황(방식)'!$K$22:$P$22"}</definedName>
    <definedName name="업무계획표" hidden="1">{#N/A,#N/A,TRUE,"대 차 대 조 표"}</definedName>
    <definedName name="업무계획표_1" hidden="1">{#N/A,#N/A,TRUE,"대 차 대 조 표"}</definedName>
    <definedName name="업무계획표01" hidden="1">{#N/A,#N/A,TRUE,"대 차 대 조 표"}</definedName>
    <definedName name="업무계획표01_1" hidden="1">{#N/A,#N/A,TRUE,"대 차 대 조 표"}</definedName>
    <definedName name="업무시행">#REF!</definedName>
    <definedName name="업무실적1">#REF!</definedName>
    <definedName name="업무연락안양식_209_List">#REF!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소월별사용량">#N/A</definedName>
    <definedName name="엉댜ㄷㅈ">#REF!</definedName>
    <definedName name="엉댜ㄷㅈ1">#N/A</definedName>
    <definedName name="에너지비용산출근거" localSheetId="1">BlankMacro1</definedName>
    <definedName name="에너지비용산출근거" localSheetId="0">BlankMacro1</definedName>
    <definedName name="에너지비용산출근거">BlankMacro1</definedName>
    <definedName name="에누리.본">#REF!</definedName>
    <definedName name="에스페로16LPG">#REF!</definedName>
    <definedName name="에이" hidden="1">{#N/A,#N/A,TRUE,"Y생산";#N/A,#N/A,TRUE,"Y판매";#N/A,#N/A,TRUE,"Y총물량";#N/A,#N/A,TRUE,"Y능력";#N/A,#N/A,TRUE,"YKD"}</definedName>
    <definedName name="엘지">OFFSET(#REF!,0,0,COUNTA(#REF!)-1,1)</definedName>
    <definedName name="여유분">#REF!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률요금1">IF(#REF!="저압",0,ROUND(IF(#REF!&gt;0.95,0.05,#REF!-0.9)*기본요금1*MAX(피크치1,#REF!,#REF!*0.3),0))</definedName>
    <definedName name="역삼동각지">#REF!</definedName>
    <definedName name="역삼빵">#REF!</definedName>
    <definedName name="역삼정산">#REF!</definedName>
    <definedName name="연">#REF!</definedName>
    <definedName name="연구" hidden="1">{#N/A,#N/A,FALSE,"3가";#N/A,#N/A,FALSE,"3나";#N/A,#N/A,FALSE,"3다"}</definedName>
    <definedName name="연구개발비">#REF!</definedName>
    <definedName name="연구비">#REF!</definedName>
    <definedName name="연면적_GFA">#REF!</definedName>
    <definedName name="연봉">#REF!</definedName>
    <definedName name="연봉1">#REF!</definedName>
    <definedName name="연봉2">#REF!</definedName>
    <definedName name="연봉3">#REF!</definedName>
    <definedName name="연습">#REF!</definedName>
    <definedName name="연월차">#REF!</definedName>
    <definedName name="연율">#REF!</definedName>
    <definedName name="연장">#REF!</definedName>
    <definedName name="연장추가">#REF!</definedName>
    <definedName name="연제판">#REF!</definedName>
    <definedName name="연직고">#REF!</definedName>
    <definedName name="연직변">#REF!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처리" hidden="1">{#N/A,#N/A,FALSE,"단축1";#N/A,#N/A,FALSE,"단축2";#N/A,#N/A,FALSE,"단축3";#N/A,#N/A,FALSE,"장축";#N/A,#N/A,FALSE,"4WD"}</definedName>
    <definedName name="영">#REF!</definedName>
    <definedName name="영비">#REF!</definedName>
    <definedName name="영수">#REF!</definedName>
    <definedName name="영업" hidden="1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본" hidden="1">{#N/A,#N/A,FALSE,"표지";#N/A,#N/A,FALSE,"전제";#N/A,#N/A,FALSE,"손익-자 (2)";#N/A,#N/A,FALSE,"손익-자";#N/A,#N/A,FALSE,"손익-마 (2)";#N/A,#N/A,FALSE,"손익-마";#N/A,#N/A,FALSE,"총손최종"}</definedName>
    <definedName name="영업부예산">#REF!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역">#REF!</definedName>
    <definedName name="영역1">#REF!</definedName>
    <definedName name="영외수">#REF!</definedName>
    <definedName name="예">#REF!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비분석">#REF!</definedName>
    <definedName name="예비비합계">#REF!</definedName>
    <definedName name="예산" hidden="1">{#N/A,#N/A,FALSE,"단축1";#N/A,#N/A,FALSE,"단축2";#N/A,#N/A,FALSE,"단축3";#N/A,#N/A,FALSE,"장축";#N/A,#N/A,FALSE,"4WD"}</definedName>
    <definedName name="예산1기_시작년도">#REF!</definedName>
    <definedName name="예산1기_시작월일">#REF!</definedName>
    <definedName name="예산1기_종료월일">#REF!</definedName>
    <definedName name="예산2기_시작년도">#REF!</definedName>
    <definedName name="예산2기_시작월일">#REF!</definedName>
    <definedName name="예산2기_종료월일">#REF!</definedName>
    <definedName name="예산기수1">#REF!</definedName>
    <definedName name="예산기수2">#REF!</definedName>
    <definedName name="예산총괄시트설ONLY">#REF!</definedName>
    <definedName name="예상매출전체">#REF!</definedName>
    <definedName name="예상매출회당">#REF!</definedName>
    <definedName name="예상실적">#REF!</definedName>
    <definedName name="예수금">#REF!</definedName>
    <definedName name="예정량1">#REF!</definedName>
    <definedName name="예정량2">#REF!</definedName>
    <definedName name="예정일1">#REF!</definedName>
    <definedName name="예정일2">#REF!</definedName>
    <definedName name="오">#REF!</definedName>
    <definedName name="오늘" hidden="1">{#N/A,#N/A,TRUE,"Y생산";#N/A,#N/A,TRUE,"Y판매";#N/A,#N/A,TRUE,"Y총물량";#N/A,#N/A,TRUE,"Y능력";#N/A,#N/A,TRUE,"YKD"}</definedName>
    <definedName name="오릉">#REF!</definedName>
    <definedName name="오성협" hidden="1">{#N/A,#N/A,TRUE,"Y생산";#N/A,#N/A,TRUE,"Y판매";#N/A,#N/A,TRUE,"Y총물량";#N/A,#N/A,TRUE,"Y능력";#N/A,#N/A,TRUE,"YKD"}</definedName>
    <definedName name="오케이" hidden="1">{#N/A,#N/A,FALSE,"단축1";#N/A,#N/A,FALSE,"단축2";#N/A,#N/A,FALSE,"단축3";#N/A,#N/A,FALSE,"장축";#N/A,#N/A,FALSE,"4WD"}</definedName>
    <definedName name="오ㅑ">#REF!</definedName>
    <definedName name="옹홍ㅇㄹㅇㅇ">#REF!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불만">#REF!</definedName>
    <definedName name="왈왈">#REF!</definedName>
    <definedName name="왜이러냐" hidden="1">{"'Sheet1'!$A$1:$H$36"}</definedName>
    <definedName name="외국인급여">#REF!</definedName>
    <definedName name="외상" hidden="1">{#N/A,#N/A,FALSE,"Aging Summary";#N/A,#N/A,FALSE,"Ratio Analysis";#N/A,#N/A,FALSE,"Test 120 Day Accts";#N/A,#N/A,FALSE,"Tickmarks"}</definedName>
    <definedName name="외상매입">#REF!</definedName>
    <definedName name="외상매입금">#REF!</definedName>
    <definedName name="외상매출금">#REF!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자비" hidden="1">#REF!</definedName>
    <definedName name="외주">#N/A</definedName>
    <definedName name="외주계획" hidden="1">{#N/A,#N/A,TRUE,"Y생산";#N/A,#N/A,TRUE,"Y판매";#N/A,#N/A,TRUE,"Y총물량";#N/A,#N/A,TRUE,"Y능력";#N/A,#N/A,TRUE,"YKD"}</definedName>
    <definedName name="외주단가">#REF!</definedName>
    <definedName name="외주인상">#REF!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외상" hidden="1">{#N/A,#N/A,FALSE,"Aging Summary";#N/A,#N/A,FALSE,"Ratio Analysis";#N/A,#N/A,FALSE,"Test 120 Day Accts";#N/A,#N/A,FALSE,"Tickmarks"}</definedName>
    <definedName name="외화외상매입금" hidden="1">{#N/A,#N/A,FALSE,"Aging Summary";#N/A,#N/A,FALSE,"Ratio Analysis";#N/A,#N/A,FALSE,"Test 120 Day Accts";#N/A,#N/A,FALSE,"Tickmarks"}</definedName>
    <definedName name="외화평가">#REF!</definedName>
    <definedName name="외화환산" hidden="1">{#N/A,#N/A,FALSE,"Aging Summary";#N/A,#N/A,FALSE,"Ratio Analysis";#N/A,#N/A,FALSE,"Test 120 Day Accts";#N/A,#N/A,FALSE,"Tickmarks"}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차손AD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금">#REF!</definedName>
    <definedName name="요약1" hidden="1">{"'호선별현황(방식)'!$K$22:$P$22","'호선별현황(방식)'!$K$22:$P$22"}</definedName>
    <definedName name="요율표">#REF!</definedName>
    <definedName name="요인별2" hidden="1">#REF!</definedName>
    <definedName name="요일">#REF!</definedName>
    <definedName name="요척량">#REF!,#REF!,#REF!,#REF!,#REF!,#REF!,#REF!,#REF!,#REF!,#REF!,#REF!,#REF!,#REF!,#REF!,#REF!</definedName>
    <definedName name="용도차" hidden="1">{#N/A,#N/A,FALSE,"단축1";#N/A,#N/A,FALSE,"단축2";#N/A,#N/A,FALSE,"단축3";#N/A,#N/A,FALSE,"장축";#N/A,#N/A,FALSE,"4WD"}</definedName>
    <definedName name="용역">#REF!</definedName>
    <definedName name="용품" hidden="1">{#N/A,#N/A,FALSE,"95FW"}</definedName>
    <definedName name="용품스케쥴" hidden="1">{#N/A,#N/A,FALSE,"95FW"}</definedName>
    <definedName name="우라" hidden="1">{"'Sheet1'!$A$1:$D$15"}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나라" hidden="1">{#N/A,#N/A,TRUE,"Y생산";#N/A,#N/A,TRUE,"Y판매";#N/A,#N/A,TRUE,"Y총물량";#N/A,#N/A,TRUE,"Y능력";#N/A,#N/A,TRUE,"YKD"}</definedName>
    <definedName name="우리별은">#REF!</definedName>
    <definedName name="우오수공" hidden="1">{#N/A,#N/A,FALSE,"기안지";#N/A,#N/A,FALSE,"통신지"}</definedName>
    <definedName name="우진기타불량">#REF!</definedName>
    <definedName name="우진기획">#REF!</definedName>
    <definedName name="우진기획량">#REF!</definedName>
    <definedName name="우진요척량">#REF!</definedName>
    <definedName name="우진원불">#REF!</definedName>
    <definedName name="우진정품입고">#REF!</definedName>
    <definedName name="우진취불">#REF!</definedName>
    <definedName name="운반비">#REF!</definedName>
    <definedName name="운송">#REF!</definedName>
    <definedName name="운송ㅁ">#REF!</definedName>
    <definedName name="운송명세">#REF!</definedName>
    <definedName name="운영계획" hidden="1">{#N/A,#N/A,FALSE,"SILO현황";#N/A,#N/A,FALSE,"타업체";#N/A,#N/A,FALSE,"생산능력"}</definedName>
    <definedName name="운영비">20690</definedName>
    <definedName name="운영팀2" hidden="1">{#N/A,#N/A,TRUE,"Y생산";#N/A,#N/A,TRUE,"Y판매";#N/A,#N/A,TRUE,"Y총물량";#N/A,#N/A,TRUE,"Y능력";#N/A,#N/A,TRUE,"YKD"}</definedName>
    <definedName name="운영팀2_1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개선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단" hidden="1">{#N/A,#N/A,TRUE,"Y생산";#N/A,#N/A,TRUE,"Y판매";#N/A,#N/A,TRUE,"Y총물량";#N/A,#N/A,TRUE,"Y능력";#N/A,#N/A,TRUE,"YKD"}</definedName>
    <definedName name="원단위">#REF!</definedName>
    <definedName name="원본">#REF!</definedName>
    <definedName name="원본2" hidden="1">#REF!</definedName>
    <definedName name="원우">OFFSET(#REF!,0,0,COUNTA(#REF!)-1,1)</definedName>
    <definedName name="원재료장성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>#REF!</definedName>
    <definedName name="월례" hidden="1">{"'호선별현황(방식)'!$K$22:$P$22","'호선별현황(방식)'!$K$22:$P$22"}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">#REF!</definedName>
    <definedName name="월별보전비">#REF!</definedName>
    <definedName name="월별분배">#REF!</definedName>
    <definedName name="월별영업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출고계획" hidden="1">{#N/A,#N/A,FALSE,"95FW"}</definedName>
    <definedName name="월시간">#REF!</definedName>
    <definedName name="위치">#REF!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{#N/A,#N/A,FALSE,"Aging Summary";#N/A,#N/A,FALSE,"Ratio Analysis";#N/A,#N/A,FALSE,"Test 120 Day Accts";#N/A,#N/A,FALSE,"Tickmarks"}</definedName>
    <definedName name="유가증권평가test" hidden="1">{#N/A,#N/A,FALSE,"Aging Summary";#N/A,#N/A,FALSE,"Ratio Analysis";#N/A,#N/A,FALSE,"Test 120 Day Accts";#N/A,#N/A,FALSE,"Tickmarks"}</definedName>
    <definedName name="유니트" hidden="1">{#N/A,#N/A,FALSE,"3가";#N/A,#N/A,FALSE,"3나";#N/A,#N/A,FALSE,"3다"}</definedName>
    <definedName name="유동성사채">#REF!</definedName>
    <definedName name="유동성장기부채">#REF!</definedName>
    <definedName name="유럽">#REF!</definedName>
    <definedName name="유로환율">#REF!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진종합">#REF!</definedName>
    <definedName name="유통">#REF!</definedName>
    <definedName name="유형근" hidden="1">"AS2DocumentEdit"</definedName>
    <definedName name="유형자산">#REF!</definedName>
    <definedName name="유형자산tot" hidden="1">{#N/A,#N/A,FALSE,"Aging Summary";#N/A,#N/A,FALSE,"Ratio Analysis";#N/A,#N/A,FALSE,"Test 120 Day Accts";#N/A,#N/A,FALSE,"Tickmarks"}</definedName>
    <definedName name="유홍상" hidden="1">#N/A</definedName>
    <definedName name="육">#REF!</definedName>
    <definedName name="윤" hidden="1">#REF!</definedName>
    <definedName name="윤ㅁ" hidden="1">#N/A</definedName>
    <definedName name="윤종현윤종현">#REF!</definedName>
    <definedName name="은행_data">#REF!</definedName>
    <definedName name="은행명">#REF!</definedName>
    <definedName name="음악합계">#REF!</definedName>
    <definedName name="의결권" hidden="1">#REF!</definedName>
    <definedName name="의뢰">#REF!</definedName>
    <definedName name="의류">#REF!</definedName>
    <definedName name="의장">#REF!</definedName>
    <definedName name="이">#REF!</definedName>
    <definedName name="이고수">#N/A</definedName>
    <definedName name="이동" hidden="1">{#N/A,#N/A,FALSE,"채산3501.XLS";#N/A,#N/A,FALSE,"신조수A.XLS";#N/A,#N/A,FALSE,"신조수b.XLS";#N/A,#N/A,FALSE,"채산3502.XLS";#N/A,#N/A,FALSE,"신조원리.XLS";#N/A,#N/A,FALSE,"신조감가.XLS"}</definedName>
    <definedName name="이런" hidden="1">#N/A</definedName>
    <definedName name="이론량1">#REF!</definedName>
    <definedName name="이론량2">#REF!</definedName>
    <definedName name="이론초출">#REF!</definedName>
    <definedName name="이름" hidden="1">{#N/A,#N/A,TRUE,"Y생산";#N/A,#N/A,TRUE,"Y판매";#N/A,#N/A,TRUE,"Y총물량";#N/A,#N/A,TRUE,"Y능력";#N/A,#N/A,TRUE,"YKD"}</definedName>
    <definedName name="이름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모야" hidden="1">{#N/A,#N/A,FALSE,"95FW"}</definedName>
    <definedName name="이름이">#REF!</definedName>
    <definedName name="이름충돌\" hidden="1">{#N/A,#N/A,TRUE,"Y생산";#N/A,#N/A,TRUE,"Y판매";#N/A,#N/A,TRUE,"Y총물량";#N/A,#N/A,TRUE,"Y능력";#N/A,#N/A,TRUE,"YKD"}</definedName>
    <definedName name="이매출">#REF!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">#REF!</definedName>
    <definedName name="이승훈" hidden="1">#N/A</definedName>
    <definedName name="이연자산">#REF!</definedName>
    <definedName name="이이" hidden="1">{#N/A,#N/A,TRUE,"Y생산";#N/A,#N/A,TRUE,"Y판매";#N/A,#N/A,TRUE,"Y총물량";#N/A,#N/A,TRUE,"Y능력";#N/A,#N/A,TRUE,"YKD"}</definedName>
    <definedName name="이이_1" hidden="1">{#N/A,#N/A,TRUE,"Y생산";#N/A,#N/A,TRUE,"Y판매";#N/A,#N/A,TRUE,"Y총물량";#N/A,#N/A,TRUE,"Y능력";#N/A,#N/A,TRUE,"YKD"}</definedName>
    <definedName name="이이름">#REF!</definedName>
    <definedName name="이이자">#REF!</definedName>
    <definedName name="이익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잉영금">#REF!</definedName>
    <definedName name="이인원">#REF!</definedName>
    <definedName name="이자비용">#REF!</definedName>
    <definedName name="이종화">#REF!</definedName>
    <definedName name="이천일년">#REF!</definedName>
    <definedName name="이철호" hidden="1">{#N/A,#N/A,FALSE,"Aging Summary";#N/A,#N/A,FALSE,"Ratio Analysis";#N/A,#N/A,FALSE,"Test 120 Day Accts";#N/A,#N/A,FALSE,"Tickmarks"}</definedName>
    <definedName name="이호">#REF!</definedName>
    <definedName name="이화감가">#REF!</definedName>
    <definedName name="이화매출">#REF!</definedName>
    <definedName name="이화인원">#REF!</definedName>
    <definedName name="익산">#REF!</definedName>
    <definedName name="익월업무계획">#REF!</definedName>
    <definedName name="인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건비">#REF!</definedName>
    <definedName name="인건비현황" hidden="1">{#N/A,#N/A,FALSE,"BS";#N/A,#N/A,FALSE,"PL";#N/A,#N/A,FALSE,"처분";#N/A,#N/A,FALSE,"현금";#N/A,#N/A,FALSE,"매출";#N/A,#N/A,FALSE,"원가";#N/A,#N/A,FALSE,"경영"}</definedName>
    <definedName name="인사" localSheetId="1">BlankMacro1</definedName>
    <definedName name="인사" localSheetId="0">BlankMacro1</definedName>
    <definedName name="인사">BlankMacro1</definedName>
    <definedName name="인상률안분">#REF!</definedName>
    <definedName name="인쇄01">#REF!</definedName>
    <definedName name="인쇄제목">#REF!</definedName>
    <definedName name="인원10월">#REF!</definedName>
    <definedName name="인원11월">#REF!</definedName>
    <definedName name="인원12월">#REF!</definedName>
    <definedName name="인원3월">#REF!</definedName>
    <definedName name="인원4월">#REF!</definedName>
    <definedName name="인원5월">#REF!</definedName>
    <definedName name="인원6월">#REF!</definedName>
    <definedName name="인원7월">#REF!</definedName>
    <definedName name="인원8월">#REF!</definedName>
    <definedName name="인원9월">#REF!</definedName>
    <definedName name="인원세부" hidden="1">{#N/A,#N/A,TRUE,"Y생산";#N/A,#N/A,TRUE,"Y판매";#N/A,#N/A,TRUE,"Y총물량";#N/A,#N/A,TRUE,"Y능력";#N/A,#N/A,TRUE,"YKD"}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테리어팀" hidden="1">{#N/A,#N/A,TRUE,"Y생산";#N/A,#N/A,TRUE,"Y판매";#N/A,#N/A,TRUE,"Y총물량";#N/A,#N/A,TRUE,"Y능력";#N/A,#N/A,TRUE,"YKD"}</definedName>
    <definedName name="인테리어팀_1" hidden="1">{#N/A,#N/A,TRUE,"Y생산";#N/A,#N/A,TRUE,"Y판매";#N/A,#N/A,TRUE,"Y총물량";#N/A,#N/A,TRUE,"Y능력";#N/A,#N/A,TRUE,"YKD"}</definedName>
    <definedName name="일">#REF!</definedName>
    <definedName name="일동" hidden="1">{#N/A,#N/A,TRUE,"Y생산";#N/A,#N/A,TRUE,"Y판매";#N/A,#N/A,TRUE,"Y총물량";#N/A,#N/A,TRUE,"Y능력";#N/A,#N/A,TRUE,"YKD"}</definedName>
    <definedName name="일등국민">#REF!</definedName>
    <definedName name="一般管理" hidden="1">{"'買掛金'!$J$6"}</definedName>
    <definedName name="일반시급">#REF!</definedName>
    <definedName name="일산100">#REF!</definedName>
    <definedName name="일상보고">#REF!</definedName>
    <definedName name="일용직여" hidden="1">#REF!</definedName>
    <definedName name="일월급여">#REF!</definedName>
    <definedName name="일자">"Edit Box 13"</definedName>
    <definedName name="일정" hidden="1">{#N/A,#N/A,TRUE,"Y생산";#N/A,#N/A,TRUE,"Y판매";#N/A,#N/A,TRUE,"Y총물량";#N/A,#N/A,TRUE,"Y능력";#N/A,#N/A,TRUE,"YKD"}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금인상">#REF!</definedName>
    <definedName name="임대07년">#REF!</definedName>
    <definedName name="임대07년1">#REF!</definedName>
    <definedName name="임대08년">#REF!</definedName>
    <definedName name="임대09년">#REF!</definedName>
    <definedName name="임ㅅ1" hidden="1">0</definedName>
    <definedName name="임시">#REF!</definedName>
    <definedName name="임원회의">#REF!</definedName>
    <definedName name="임원회의20">#REF!</definedName>
    <definedName name="임차보증금">#REF!</definedName>
    <definedName name="입고1">#REF!</definedName>
    <definedName name="입고2">#REF!</definedName>
    <definedName name="입고3">#REF!</definedName>
    <definedName name="입고4">#REF!</definedName>
    <definedName name="입고5">#REF!</definedName>
    <definedName name="입사">#REF!</definedName>
    <definedName name="입사일">#REF!</definedName>
    <definedName name="잉여" hidden="1">{#N/A,#N/A,FALSE,"Aging Summary";#N/A,#N/A,FALSE,"Ratio Analysis";#N/A,#N/A,FALSE,"Test 120 Day Accts";#N/A,#N/A,FALSE,"Tickmarks"}</definedName>
    <definedName name="잉여금" hidden="1">{#N/A,#N/A,FALSE,"Aging Summary";#N/A,#N/A,FALSE,"Ratio Analysis";#N/A,#N/A,FALSE,"Test 120 Day Accts";#N/A,#N/A,FALSE,"Tickmarks"}</definedName>
    <definedName name="잉여금처분" hidden="1">{#N/A,#N/A,FALSE,"BS";#N/A,#N/A,FALSE,"PL";#N/A,#N/A,FALSE,"처분";#N/A,#N/A,FALSE,"현금";#N/A,#N/A,FALSE,"매출";#N/A,#N/A,FALSE,"원가";#N/A,#N/A,FALSE,"경영"}</definedName>
    <definedName name="ㅈ" hidden="1">{#N/A,#N/A,TRUE,"Y생산";#N/A,#N/A,TRUE,"Y판매";#N/A,#N/A,TRUE,"Y총물량";#N/A,#N/A,TRUE,"Y능력";#N/A,#N/A,TRUE,"YKD"}</definedName>
    <definedName name="ㅈ121">#REF!</definedName>
    <definedName name="ㅈ123">#REF!</definedName>
    <definedName name="ㅈ159">#REF!</definedName>
    <definedName name="ㅈ1591">#REF!</definedName>
    <definedName name="ㅈㄷㄱ" hidden="1">#REF!</definedName>
    <definedName name="ㅈㄷㄱㄱ" hidden="1">{#N/A,#N/A,FALSE,"Aging Summary";#N/A,#N/A,FALSE,"Ratio Analysis";#N/A,#N/A,FALSE,"Test 120 Day Accts";#N/A,#N/A,FALSE,"Tickmarks"}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ㄷㄱㄷ" hidden="1">#REF!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ㅈ" hidden="1">{"'Sheet1'!$A$1:$H$36"}</definedName>
    <definedName name="ㅈㅈㅈㅈㅈ">#REF!</definedName>
    <definedName name="ㅈㅈㅈㅈㅈㅈㅈ">#REF!</definedName>
    <definedName name="ㅈㅈㅈㅈㅈㅈㅈㅈ">#REF!</definedName>
    <definedName name="ㅈㅈㅈㅈㅈㅈㅈㅈㅈ">#REF!</definedName>
    <definedName name="자">#REF!</definedName>
    <definedName name="자금대구">#REF!</definedName>
    <definedName name="자금집행실적" hidden="1">{"'Sheet1'!$A$1:$H$36"}</definedName>
    <definedName name="자금청구현황대구">#REF!</definedName>
    <definedName name="자녀양육">#REF!</definedName>
    <definedName name="자동차투자" hidden="1">#REF!</definedName>
    <definedName name="자랑">#REF!</definedName>
    <definedName name="자료" hidden="1">{#N/A,#N/A,FALSE,"95FW"}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매출">#REF!</definedName>
    <definedName name="자본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본금과잉여금">#REF!</definedName>
    <definedName name="자본방" hidden="1">{#N/A,#N/A,FALSE,"Aging Summary";#N/A,#N/A,FALSE,"Ratio Analysis";#N/A,#N/A,FALSE,"Test 120 Day Accts";#N/A,#N/A,FALSE,"Tickmarks"}</definedName>
    <definedName name="자산">#REF!</definedName>
    <definedName name="자산_가치_상승률">#REF!</definedName>
    <definedName name="자산건전성">#REF!</definedName>
    <definedName name="자이자">#REF!</definedName>
    <definedName name="자인원">#REF!</definedName>
    <definedName name="자재기준" hidden="1">{#N/A,#N/A,TRUE,"Y생산";#N/A,#N/A,TRUE,"Y판매";#N/A,#N/A,TRUE,"Y총물량";#N/A,#N/A,TRUE,"Y능력";#N/A,#N/A,TRUE,"YKD"}</definedName>
    <definedName name="자체취소">#REF!</definedName>
    <definedName name="작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조서" hidden="1">{#N/A,#N/A,FALSE,"BS";#N/A,#N/A,FALSE,"PL";#N/A,#N/A,FALSE,"처분";#N/A,#N/A,FALSE,"현금";#N/A,#N/A,FALSE,"매출";#N/A,#N/A,FALSE,"원가";#N/A,#N/A,FALSE,"경영"}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경로">#REF!</definedName>
    <definedName name="작업복">35000</definedName>
    <definedName name="작업일수">#REF!</definedName>
    <definedName name="잔존만기">#REF!</definedName>
    <definedName name="雑費" hidden="1">{"'買掛金'!$J$6"}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장1">#REF!</definedName>
    <definedName name="장10">#REF!</definedName>
    <definedName name="장11">#REF!</definedName>
    <definedName name="장12">#REF!</definedName>
    <definedName name="장2">#REF!</definedName>
    <definedName name="장3">#REF!</definedName>
    <definedName name="장4">#REF!</definedName>
    <definedName name="장5">#REF!</definedName>
    <definedName name="장6">#REF!</definedName>
    <definedName name="장7">#REF!</definedName>
    <definedName name="장8">#REF!</definedName>
    <definedName name="장9">#REF!</definedName>
    <definedName name="장기" hidden="1">{#N/A,#N/A,TRUE,"Y생산";#N/A,#N/A,TRUE,"Y판매";#N/A,#N/A,TRUE,"Y총물량";#N/A,#N/A,TRUE,"Y능력";#N/A,#N/A,TRUE,"YKD"}</definedName>
    <definedName name="장기_1" hidden="1">{#N/A,#N/A,TRUE,"Y생산";#N/A,#N/A,TRUE,"Y판매";#N/A,#N/A,TRUE,"Y총물량";#N/A,#N/A,TRUE,"Y능력";#N/A,#N/A,TRUE,"YKD"}</definedName>
    <definedName name="장기선급비용">#REF!</definedName>
    <definedName name="장기차입">#REF!</definedName>
    <definedName name="장기투자.94.BB">#REF!</definedName>
    <definedName name="長島" hidden="1">{"'買掛金'!$J$6"}</definedName>
    <definedName name="장부가액">#REF!</definedName>
    <definedName name="장부가액합계">#REF!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비합계">#REF!</definedName>
    <definedName name="장선비용">#REF!</definedName>
    <definedName name="장성_2010">#REF!</definedName>
    <definedName name="장소사용료합계">#REF!</definedName>
    <definedName name="장애인10월">#REF!</definedName>
    <definedName name="장애인11월">#REF!</definedName>
    <definedName name="장애인12월">#REF!</definedName>
    <definedName name="장애인3월">#REF!</definedName>
    <definedName name="장애인4월">#REF!</definedName>
    <definedName name="장애인5월">#REF!</definedName>
    <definedName name="장애인6월">#REF!</definedName>
    <definedName name="장애인7월">#REF!</definedName>
    <definedName name="장애인8월">#REF!</definedName>
    <definedName name="장애인9월">#REF!</definedName>
    <definedName name="재고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1">#REF!</definedName>
    <definedName name="재고2">#REF!</definedName>
    <definedName name="재고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무" hidden="1">#REF!</definedName>
    <definedName name="재무제표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장품">#REF!</definedName>
    <definedName name="저쩌구">#REF!</definedName>
    <definedName name="적용전체">#REF!</definedName>
    <definedName name="적용현황">#REF!</definedName>
    <definedName name="전기">#N/A</definedName>
    <definedName name="전년" hidden="1">#REF!</definedName>
    <definedName name="전산장비" hidden="1">{"'Sheet1'!$A$1:$H$36"}</definedName>
    <definedName name="전신전화">#REF!</definedName>
    <definedName name="전월요금1">ROUND(사용량1*(전월일수-#REF!+1)/전월일수,0)*사용요금10</definedName>
    <definedName name="전월요금2">ROUND(사용량2*(전월일수-#REF!+1)/전월일수,0)*사용요금20</definedName>
    <definedName name="전월일수">#N/A</definedName>
    <definedName name="전입액">#REF!</definedName>
    <definedName name="전장">#REF!</definedName>
    <definedName name="전장su">#REF!</definedName>
    <definedName name="전제2" hidden="1">#REF!</definedName>
    <definedName name="전차종" hidden="1">{#N/A,#N/A,FALSE,"표지";#N/A,#N/A,FALSE,"전제";#N/A,#N/A,FALSE,"대당";#N/A,#N/A,FALSE,"가공비";#N/A,#N/A,FALSE,"재료비";#N/A,#N/A,FALSE,"손익"}</definedName>
    <definedName name="전체24">#REF!</definedName>
    <definedName name="전체예산">#REF!</definedName>
    <definedName name="전체제작회수">#REF!</definedName>
    <definedName name="전표">#REF!</definedName>
    <definedName name="전표입력">#REF!</definedName>
    <definedName name="절감">#REF!</definedName>
    <definedName name="絶費" hidden="1">{"'買掛金'!$J$6"}</definedName>
    <definedName name="점소">#N/A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집계">#REF!</definedName>
    <definedName name="정" hidden="1">{#N/A,#N/A,FALSE,"Aging Summary";#N/A,#N/A,FALSE,"Ratio Analysis";#N/A,#N/A,FALSE,"Test 120 Day Accts";#N/A,#N/A,FALSE,"Tickmarks"}</definedName>
    <definedName name="정렬분">#REF!</definedName>
    <definedName name="정리" hidden="1">{#N/A,#N/A,TRUE,"대 차 대 조 표"}</definedName>
    <definedName name="정리_1" hidden="1">{#N/A,#N/A,TRUE,"대 차 대 조 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{#N/A,#N/A,FALSE,"Aging Summary";#N/A,#N/A,FALSE,"Ratio Analysis";#N/A,#N/A,FALSE,"Test 120 Day Accts";#N/A,#N/A,FALSE,"Tickmarks"}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우성" hidden="1">{#N/A,#N/A,FALSE,"단축1";#N/A,#N/A,FALSE,"단축2";#N/A,#N/A,FALSE,"단축3";#N/A,#N/A,FALSE,"장축";#N/A,#N/A,FALSE,"4WD"}</definedName>
    <definedName name="정징" hidden="1">{#N/A,#N/A,TRUE,"Y생산";#N/A,#N/A,TRUE,"Y판매";#N/A,#N/A,TRUE,"Y총물량";#N/A,#N/A,TRUE,"Y능력";#N/A,#N/A,TRUE,"YKD"}</definedName>
    <definedName name="정호">#REF!</definedName>
    <definedName name="제">#REF!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동" hidden="1">#REF!</definedName>
    <definedName name="제동부하" hidden="1">#REF!</definedName>
    <definedName name="제동생산" hidden="1">#REF!</definedName>
    <definedName name="제목">#REF!</definedName>
    <definedName name="제목1">#REF!</definedName>
    <definedName name="제목2">#REF!</definedName>
    <definedName name="제목3">#REF!</definedName>
    <definedName name="제목4">#REF!</definedName>
    <definedName name="제일기획">#REF!</definedName>
    <definedName name="제일기획량">#REF!</definedName>
    <definedName name="제일요척량">#REF!</definedName>
    <definedName name="제일원불">#REF!</definedName>
    <definedName name="제일정품입고">#REF!</definedName>
    <definedName name="제일취불">#REF!</definedName>
    <definedName name="제작납품합계">#REF!</definedName>
    <definedName name="제작사명">#REF!</definedName>
    <definedName name="제작운영비합계">#REF!</definedName>
    <definedName name="제작지원합계">#REF!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경비">#REF!</definedName>
    <definedName name="제주추가종합수정안" hidden="1">{#N/A,#N/A,FALSE,"3가";#N/A,#N/A,FALSE,"3나";#N/A,#N/A,FALSE,"3다"}</definedName>
    <definedName name="제출일">#REF!</definedName>
    <definedName name="제품명">#REF!</definedName>
    <definedName name="제품생산량">#REF!</definedName>
    <definedName name="제품시화">#REF!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건">#REF!</definedName>
    <definedName name="조건부">#REF!</definedName>
    <definedName name="조립" hidden="1">{#N/A,#N/A,FALSE,"단축1";#N/A,#N/A,FALSE,"단축2";#N/A,#N/A,FALSE,"단축3";#N/A,#N/A,FALSE,"장축";#N/A,#N/A,FALSE,"4WD"}</definedName>
    <definedName name="조명합계">#REF!</definedName>
    <definedName name="조정" hidden="1">#REF!</definedName>
    <definedName name="조정1">#REF!</definedName>
    <definedName name="조정2">#REF!</definedName>
    <definedName name="조치" hidden="1">{#N/A,#N/A,FALSE,"단축1";#N/A,#N/A,FALSE,"단축2";#N/A,#N/A,FALSE,"단축3";#N/A,#N/A,FALSE,"장축";#N/A,#N/A,FALSE,"4WD"}</definedName>
    <definedName name="조향">#REF!</definedName>
    <definedName name="조향생산" hidden="1">#REF!</definedName>
    <definedName name="조회서번호">#REF!</definedName>
    <definedName name="조회액">#REF!</definedName>
    <definedName name="조회주화면">#REF!</definedName>
    <definedName name="종원">#N/A</definedName>
    <definedName name="종합">#REF!</definedName>
    <definedName name="종합2">#REF!</definedName>
    <definedName name="종합추이">#REF!</definedName>
    <definedName name="종합표">#REF!</definedName>
    <definedName name="종합합산">#REF!</definedName>
    <definedName name="종합합산세">#REF!</definedName>
    <definedName name="종합합산세율">#REF!</definedName>
    <definedName name="주">WEEKNUM(#REF!)-WEEKNUM(DATE(YEAR(#REF!),MONTH(#REF!),1))+1-IF(WEEKDAY(DATE(YEAR(#REF!),MONTH(#REF!),1))&gt;2,1,0)</definedName>
    <definedName name="주민">#REF!</definedName>
    <definedName name="주민세">#REF!</definedName>
    <definedName name="주부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사원">#REF!</definedName>
    <definedName name="주부신수익권증서_400">#REF!</definedName>
    <definedName name="주소">#REF!</definedName>
    <definedName name="주소범위">#REF!</definedName>
    <definedName name="주소범위2">#REF!</definedName>
    <definedName name="주요" hidden="1">{#N/A,#N/A,TRUE,"Y생산";#N/A,#N/A,TRUE,"Y판매";#N/A,#N/A,TRUE,"Y총물량";#N/A,#N/A,TRUE,"Y능력";#N/A,#N/A,TRUE,"YKD"}</definedName>
    <definedName name="주요계정차이내역1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업무1">#REF!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>#REF!</definedName>
    <definedName name="주요진행현황">#REF!</definedName>
    <definedName name="주임종">#REF!</definedName>
    <definedName name="주재원" hidden="1">#REF!</definedName>
    <definedName name="주종단체">#REF!</definedName>
    <definedName name="주주" hidden="1">{#N/A,#N/A,FALSE,"Aging Summary";#N/A,#N/A,FALSE,"Ratio Analysis";#N/A,#N/A,FALSE,"Test 120 Day Accts";#N/A,#N/A,FALSE,"Tickmarks"}</definedName>
    <definedName name="주택매출">#REF!</definedName>
    <definedName name="주택원가">#REF!</definedName>
    <definedName name="주택최종">#REF!</definedName>
    <definedName name="준" hidden="1">{#N/A,#N/A,FALSE,"Aging Summary";#N/A,#N/A,FALSE,"Ratio Analysis";#N/A,#N/A,FALSE,"Test 120 Day Accts";#N/A,#N/A,FALSE,"Tickmarks"}</definedName>
    <definedName name="중">#REF!,#REF!,#REF!,#REF!,#REF!,#REF!,#REF!,#REF!,#REF!,#REF!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개수수료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hidden="1">{#N/A,#N/A,FALSE,"표지";#N/A,#N/A,FALSE,"전제";#N/A,#N/A,FALSE,"손익-자 (2)";#N/A,#N/A,FALSE,"손익-자";#N/A,#N/A,FALSE,"손익-마 (2)";#N/A,#N/A,FALSE,"손익-마";#N/A,#N/A,FALSE,"총손최종"}</definedName>
    <definedName name="중급회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기예산" hidden="1">{#N/A,#N/A,FALSE,"3가";#N/A,#N/A,FALSE,"3나";#N/A,#N/A,FALSE,"3다"}</definedName>
    <definedName name="중소기업">#REF!</definedName>
    <definedName name="중앙" hidden="1">#REF!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진" hidden="1">{#N/A,#N/A,TRUE,"일정"}</definedName>
    <definedName name="중지">#REF!</definedName>
    <definedName name="중지1">#REF!</definedName>
    <definedName name="중지2">#REF!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즉조팀">#REF!</definedName>
    <definedName name="지급액">#REF!</definedName>
    <definedName name="지급어음">#REF!</definedName>
    <definedName name="지급이자외_△8">#REF!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支払" hidden="1">{"'買掛金'!$J$6"}</definedName>
    <definedName name="支払手形" hidden="1">{"'買掛金'!$J$6"}</definedName>
    <definedName name="지수지" hidden="1">{#N/A,#N/A,FALSE,"포장단가"}</definedName>
    <definedName name="지역">#REF!</definedName>
    <definedName name="지원동" hidden="1">{#N/A,#N/A,TRUE,"대 차 대 조 표"}</definedName>
    <definedName name="지원동_1" hidden="1">{#N/A,#N/A,TRUE,"대 차 대 조 표"}</definedName>
    <definedName name="지절1">#REF!</definedName>
    <definedName name="지절2">#REF!</definedName>
    <definedName name="지점_data">#REF!</definedName>
    <definedName name="지점명">#REF!</definedName>
    <definedName name="지종">#REF!</definedName>
    <definedName name="지태면" hidden="1">{#N/A,#N/A,TRUE,"Y생산";#N/A,#N/A,TRUE,"Y판매";#N/A,#N/A,TRUE,"Y총물량";#N/A,#N/A,TRUE,"Y능력";#N/A,#N/A,TRUE,"YKD"}</definedName>
    <definedName name="직위">#REF!</definedName>
    <definedName name="진" hidden="1">{#N/A,#N/A,FALSE,"3가";#N/A,#N/A,FALSE,"3나";#N/A,#N/A,FALSE,"3다"}</definedName>
    <definedName name="진성기획">#REF!</definedName>
    <definedName name="진성기획량">#REF!</definedName>
    <definedName name="진성요척량">#REF!</definedName>
    <definedName name="진성원불">#REF!</definedName>
    <definedName name="진성정품입고">#REF!</definedName>
    <definedName name="진성취불">#REF!</definedName>
    <definedName name="진지" hidden="1">{"'호선별현황(방식)'!$K$22:$P$22","'호선별현황(방식)'!$K$22:$P$22"}</definedName>
    <definedName name="진짜살림">#REF!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행보고" hidden="1">{#N/A,#N/A,FALSE,"95FW"}</definedName>
    <definedName name="진행비합계">#REF!</definedName>
    <definedName name="집기">#REF!</definedName>
    <definedName name="집기2">#REF!</definedName>
    <definedName name="집기비품" hidden="1">#N/A</definedName>
    <definedName name="집기비품ㅈ">#REF!</definedName>
    <definedName name="집행실적200211" hidden="1">{"'Sheet1'!$A$1:$H$36"}</definedName>
    <definedName name="ㅉ" hidden="1">{#N/A,#N/A,TRUE,"Y생산";#N/A,#N/A,TRUE,"Y판매";#N/A,#N/A,TRUE,"Y총물량";#N/A,#N/A,TRUE,"Y능력";#N/A,#N/A,TRUE,"YKD"}</definedName>
    <definedName name="쨔" hidden="1">{#N/A,#N/A,FALSE,"95FW"}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160">#REF!</definedName>
    <definedName name="ㅊㅊ" hidden="1">{#N/A,#N/A,FALSE,"표지";#N/A,#N/A,FALSE,"을지1";#N/A,#N/A,FALSE,"일정1";#N/A,#N/A,FALSE,"일정2";#N/A,#N/A,FALSE,"11T-C";#N/A,#N/A,FALSE,"15T-D";#N/A,#N/A,FALSE,"판매현황";#N/A,#N/A,FALSE,"업무 FLOW"}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ㅊㅊㅊㅊㅊㅊㅊㅊㅊㅊㅊㅊ">#REF!</definedName>
    <definedName name="ㅊㅌㅊㅊ">#REF!</definedName>
    <definedName name="ㅊㅍㅌㅍ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량">#REF!</definedName>
    <definedName name="차량2">#REF!</definedName>
    <definedName name="차량운반구" hidden="1">#N/A</definedName>
    <definedName name="차량운반구2">#REF!</definedName>
    <definedName name="차량합계">#REF!</definedName>
    <definedName name="차변">#REF!</definedName>
    <definedName name="차이조정분" hidden="1">{"'Sheet1'!$A$1:$D$15"}</definedName>
    <definedName name="차입금" hidden="1">{#N/A,#N/A,FALSE,"채산3501.XLS";#N/A,#N/A,FALSE,"신조수A.XLS";#N/A,#N/A,FALSE,"신조수b.XLS";#N/A,#N/A,FALSE,"채산3502.XLS";#N/A,#N/A,FALSE,"신조원리.XLS";#N/A,#N/A,FALSE,"신조감가.XLS"}</definedName>
    <definedName name="差入保証金" hidden="1">{"'買掛金'!$J$6"}</definedName>
    <definedName name="차재영">#REF!</definedName>
    <definedName name="차종" hidden="1">{#N/A,#N/A,FALSE,"신규dep";#N/A,#N/A,FALSE,"신규dep-금형상각후";#N/A,#N/A,FALSE,"신규dep-연구비상각후";#N/A,#N/A,FALSE,"신규dep-기계,공구상각후"}</definedName>
    <definedName name="차종별" hidden="1">{#N/A,#N/A,TRUE,"Y생산";#N/A,#N/A,TRUE,"Y판매";#N/A,#N/A,TRUE,"Y총물량";#N/A,#N/A,TRUE,"Y능력";#N/A,#N/A,TRUE,"YKD"}</definedName>
    <definedName name="차체2">#REF!</definedName>
    <definedName name="차체공정">#REF!</definedName>
    <definedName name="차트범위">#REF!,#REF!,#REF!,#REF!,#REF!</definedName>
    <definedName name="참고1장" hidden="1">{#N/A,#N/A,FALSE,"단축1";#N/A,#N/A,FALSE,"단축2";#N/A,#N/A,FALSE,"단축3";#N/A,#N/A,FALSE,"장축";#N/A,#N/A,FALSE,"4WD"}</definedName>
    <definedName name="참고2" hidden="1">#REF!</definedName>
    <definedName name="참조">#REF!</definedName>
    <definedName name="참조1">#REF!</definedName>
    <definedName name="창고">#REF!</definedName>
    <definedName name="채권sort">#REF!</definedName>
    <definedName name="채권계정과목">#REF!</definedName>
    <definedName name="채권금액">#REF!</definedName>
    <definedName name="채권양수금" hidden="1">{"'호선별현황(방식)'!$K$22:$P$22","'호선별현황(방식)'!$K$22:$P$22"}</definedName>
    <definedName name="채권양수금11" hidden="1">{"'호선별현황(방식)'!$K$22:$P$22","'호선별현황(방식)'!$K$22:$P$22"}</definedName>
    <definedName name="채권양수금금1122">#N/A</definedName>
    <definedName name="채무sort">#REF!</definedName>
    <definedName name="채무계정과목">#REF!</definedName>
    <definedName name="채무금액">#REF!</definedName>
    <definedName name="채무제목">#REF!</definedName>
    <definedName name="처음">#N/A</definedName>
    <definedName name="처음2">#N/A</definedName>
    <definedName name="처음3">#N/A</definedName>
    <definedName name="처ㅗㅠ허" hidden="1">#REF!</definedName>
    <definedName name="천">IF(INT(RIGHT(#REF!,4)/1000)=0,"",CHOOSE(INT(RIGHT(#REF!,4)/1000),"일","이","삼","사","오","육","칠","팔","구")&amp;"천")</definedName>
    <definedName name="천만">IF(INT(RIGHT(#REF!,8)/10000000)=0,"",CHOOSE(INT(RIGHT(#REF!,8)/10000000),"일","이","삼","사","오","육","칠","팔","구")&amp;"천")</definedName>
    <definedName name="첨부0">#REF!</definedName>
    <definedName name="첨부1">#REF!</definedName>
    <definedName name="첨부2">#REF!</definedName>
    <definedName name="첨첨11">#REF!</definedName>
    <definedName name="청구서인쇄영역">#REF!</definedName>
    <definedName name="청소1">#REF!</definedName>
    <definedName name="체육관" hidden="1">{#N/A,#N/A,TRUE,"대 차 대 조 표"}</definedName>
    <definedName name="체육관_1" hidden="1">{#N/A,#N/A,TRUE,"대 차 대 조 표"}</definedName>
    <definedName name="초출량1">#REF!</definedName>
    <definedName name="초출량2">#REF!</definedName>
    <definedName name="총경비">#REF!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11" hidden="1">{#N/A,#N/A,FALSE,"3가";#N/A,#N/A,FALSE,"3나";#N/A,#N/A,FALSE,"3다"}</definedName>
    <definedName name="총괄2">#REF!</definedName>
    <definedName name="총괄표">#REF!</definedName>
    <definedName name="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무팀총무팀" hidden="1">{#N/A,#N/A,TRUE,"Y생산";#N/A,#N/A,TRUE,"Y판매";#N/A,#N/A,TRUE,"Y총물량";#N/A,#N/A,TRUE,"Y능력";#N/A,#N/A,TRUE,"YKD"}</definedName>
    <definedName name="총시간">#REF!</definedName>
    <definedName name="총시간1">#REF!</definedName>
    <definedName name="총시간2">#REF!</definedName>
    <definedName name="총인">#REF!</definedName>
    <definedName name="총점">#REF!</definedName>
    <definedName name="총합">#REF!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촬영합계">#REF!</definedName>
    <definedName name="최영" hidden="1">{#N/A,#N/A,FALSE,"정공"}</definedName>
    <definedName name="최저한세">#REF!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추계합계">#REF!</definedName>
    <definedName name="추정현황" hidden="1">{#N/A,#N/A,FALSE,"채산3501.XLS";#N/A,#N/A,FALSE,"신조수A.XLS";#N/A,#N/A,FALSE,"신조수b.XLS";#N/A,#N/A,FALSE,"채산3502.XLS";#N/A,#N/A,FALSE,"신조원리.XLS";#N/A,#N/A,FALSE,"신조감가.XLS"}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축구장" hidden="1">{"'호선별현황(방식)'!$K$22:$P$22","'호선별현황(방식)'!$K$22:$P$22"}</definedName>
    <definedName name="출납">#REF!</definedName>
    <definedName name="출력">#REF!</definedName>
    <definedName name="출연료합계">#REF!</definedName>
    <definedName name="출장비합계">#REF!</definedName>
    <definedName name="출하">#REF!</definedName>
    <definedName name="충당금">#REF!</definedName>
    <definedName name="취득일">#REF!</definedName>
    <definedName name="취소">#REF!</definedName>
    <definedName name="층별">#REF!</definedName>
    <definedName name="층별임대">#REF!</definedName>
    <definedName name="층별효용">#REF!</definedName>
    <definedName name="층수">#REF!</definedName>
    <definedName name="칠">#REF!</definedName>
    <definedName name="ㅋ" hidden="1">{#N/A,#N/A,FALSE,"BS";#N/A,#N/A,FALSE,"PL";#N/A,#N/A,FALSE,"처분";#N/A,#N/A,FALSE,"현금";#N/A,#N/A,FALSE,"매출";#N/A,#N/A,FALSE,"원가";#N/A,#N/A,FALSE,"경영"}</definedName>
    <definedName name="ㅋㅋ" hidden="1">{#N/A,#N/A,TRUE,"Y생산";#N/A,#N/A,TRUE,"Y판매";#N/A,#N/A,TRUE,"Y총물량";#N/A,#N/A,TRUE,"Y능력";#N/A,#N/A,TRUE,"YKD"}</definedName>
    <definedName name="ㅋㅋ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ㅋ" hidden="1">{#N/A,#N/A,FALSE,"Aging Summary";#N/A,#N/A,FALSE,"Ratio Analysis";#N/A,#N/A,FALSE,"Test 120 Day Accts";#N/A,#N/A,FALSE,"Tickmarks"}</definedName>
    <definedName name="ㅋㅋㅋㅋ_1" hidden="1">{#N/A,#N/A,TRUE,"대 차 대 조 표"}</definedName>
    <definedName name="ㅋㅋㅋㅋㅋ">#REF!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메라" hidden="1">{#N/A,#N/A,FALSE,"단축1";#N/A,#N/A,FALSE,"단축2";#N/A,#N/A,FALSE,"단축3";#N/A,#N/A,FALSE,"장축";#N/A,#N/A,FALSE,"4WD"}</definedName>
    <definedName name="캐파" hidden="1">#REF!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커버">#N/A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스트센타">#REF!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콩코드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ㄹㅇㄴㄻㅇㄹ" hidden="1">{#N/A,#N/A,FALSE,"Aging Summary";#N/A,#N/A,FALSE,"Ratio Analysis";#N/A,#N/A,FALSE,"Test 120 Day Accts";#N/A,#N/A,FALSE,"Tickmarks"}</definedName>
    <definedName name="ㅌㅇㅍㅊㅍㅎ" hidden="1">{#N/A,#N/A,FALSE,"96 3월물량표";#N/A,#N/A,FALSE,"96 4월물량표";#N/A,#N/A,FALSE,"96 5월물량표"}</definedName>
    <definedName name="ㅌㅌㅌ" hidden="1">{#N/A,#N/A,TRUE,"일정"}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계정">#REF!</definedName>
    <definedName name="타입평">#REF!</definedName>
    <definedName name="타타타" hidden="1">{"'Sheet1'!$A$1:$H$36"}</definedName>
    <definedName name="태산">#REF!</definedName>
    <definedName name="택시">#REF!</definedName>
    <definedName name="테넌트" hidden="1">{#N/A,#N/A,TRUE,"Y생산";#N/A,#N/A,TRUE,"Y판매";#N/A,#N/A,TRUE,"Y총물량";#N/A,#N/A,TRUE,"Y능력";#N/A,#N/A,TRUE,"YKD"}</definedName>
    <definedName name="테넌트_1" hidden="1">{#N/A,#N/A,TRUE,"Y생산";#N/A,#N/A,TRUE,"Y판매";#N/A,#N/A,TRUE,"Y총물량";#N/A,#N/A,TRUE,"Y능력";#N/A,#N/A,TRUE,"YKD"}</definedName>
    <definedName name="테넌트팀" hidden="1">{#N/A,#N/A,TRUE,"Y생산";#N/A,#N/A,TRUE,"Y판매";#N/A,#N/A,TRUE,"Y총물량";#N/A,#N/A,TRUE,"Y능력";#N/A,#N/A,TRUE,"YKD"}</definedName>
    <definedName name="테넌트팀_1" hidden="1">{#N/A,#N/A,TRUE,"Y생산";#N/A,#N/A,TRUE,"Y판매";#N/A,#N/A,TRUE,"Y총물량";#N/A,#N/A,TRUE,"Y능력";#N/A,#N/A,TRUE,"YKD"}</definedName>
    <definedName name="템플리트모듈1" localSheetId="1">BlankMacro1</definedName>
    <definedName name="템플리트모듈1" localSheetId="0">BlankMacro1</definedName>
    <definedName name="템플리트모듈1">BlankMacro1</definedName>
    <definedName name="템플리트모듈2" localSheetId="1">BlankMacro1</definedName>
    <definedName name="템플리트모듈2" localSheetId="0">BlankMacro1</definedName>
    <definedName name="템플리트모듈2">BlankMacro1</definedName>
    <definedName name="템플리트모듈3" localSheetId="1">BlankMacro1</definedName>
    <definedName name="템플리트모듈3" localSheetId="0">BlankMacro1</definedName>
    <definedName name="템플리트모듈3">BlankMacro1</definedName>
    <definedName name="템플리트모듈4" localSheetId="1">BlankMacro1</definedName>
    <definedName name="템플리트모듈4" localSheetId="0">BlankMacro1</definedName>
    <definedName name="템플리트모듈4">BlankMacro1</definedName>
    <definedName name="템플리트모듈5" localSheetId="1">BlankMacro1</definedName>
    <definedName name="템플리트모듈5" localSheetId="0">BlankMacro1</definedName>
    <definedName name="템플리트모듈5">BlankMacro1</definedName>
    <definedName name="템플리트모듈6" localSheetId="1">BlankMacro1</definedName>
    <definedName name="템플리트모듈6" localSheetId="0">BlankMacro1</definedName>
    <definedName name="템플리트모듈6">BlankMacro1</definedName>
    <definedName name="토공량" hidden="1">{#N/A,#N/A,FALSE,"기안지";#N/A,#N/A,FALSE,"통신지"}</definedName>
    <definedName name="통제권">#REF!</definedName>
    <definedName name="통제범위">#REF!</definedName>
    <definedName name="통합본관" hidden="1">#REF!</definedName>
    <definedName name="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1">#REF!</definedName>
    <definedName name="퇴10">#REF!</definedName>
    <definedName name="퇴11">#REF!</definedName>
    <definedName name="퇴12">#REF!</definedName>
    <definedName name="퇴2">#REF!</definedName>
    <definedName name="퇴3">#REF!</definedName>
    <definedName name="퇴4">#REF!</definedName>
    <definedName name="퇴5">#REF!</definedName>
    <definedName name="퇴6">#REF!</definedName>
    <definedName name="퇴7">#REF!</definedName>
    <definedName name="퇴8">#REF!</definedName>
    <definedName name="퇴9">#REF!</definedName>
    <definedName name="퇴사">#REF!</definedName>
    <definedName name="퇴직">#REF!</definedName>
    <definedName name="퇴직10월">#REF!</definedName>
    <definedName name="퇴직11월">#REF!</definedName>
    <definedName name="퇴직12월">#REF!</definedName>
    <definedName name="퇴직3월">#REF!</definedName>
    <definedName name="퇴직4월">#REF!</definedName>
    <definedName name="퇴직5월">#REF!</definedName>
    <definedName name="퇴직6월">#REF!</definedName>
    <definedName name="퇴직7월">#REF!</definedName>
    <definedName name="퇴직8월">#REF!</definedName>
    <definedName name="퇴직9월">#REF!</definedName>
    <definedName name="퇴직보험">#REF!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충">#REF!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hidden="1">#REF!</definedName>
    <definedName name="투자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부동산">#REF!</definedName>
    <definedName name="투자비">#REF!</definedName>
    <definedName name="투자비비교" hidden="1">{#N/A,#N/A,FALSE,"단축1";#N/A,#N/A,FALSE,"단축2";#N/A,#N/A,FALSE,"단축3";#N/A,#N/A,FALSE,"장축";#N/A,#N/A,FALSE,"4WD"}</definedName>
    <definedName name="투자자산">#REF!</definedName>
    <definedName name="투자자자본금">#REF!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트럭p">#REF!</definedName>
    <definedName name="트럭proj">#REF!</definedName>
    <definedName name="특선인원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">#REF!</definedName>
    <definedName name="틀없애기">#REF!</definedName>
    <definedName name="팀별">#REF!</definedName>
    <definedName name="ㅍ" hidden="1">{#N/A,#N/A,FALSE,"표지";#N/A,#N/A,FALSE,"전제";#N/A,#N/A,FALSE,"대당";#N/A,#N/A,FALSE,"가공비";#N/A,#N/A,FALSE,"재료비";#N/A,#N/A,FALSE,"손익"}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ㅍㅍㅍㅍㅍ">#REF!</definedName>
    <definedName name="ㅍㅍㅍㅍㅍㅍㅍㅍ">#REF!</definedName>
    <definedName name="ㅍㅍㅍㅍㅍㅍㅍㅍㅍㅍㅍㅍㅍㅍㅍㅍㅍㅍ">#REF!</definedName>
    <definedName name="ㅍㅍㅍㅍㅍㅍㅍㅍㅍㅍㅍㅍㅍㅍㅍㅍㅍㅍㅍㅍㅍㅍㅍㅍㅍㅍㅍ">#REF!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">#REF!</definedName>
    <definedName name="판고">#REF!</definedName>
    <definedName name="판관비" hidden="1">#REF!</definedName>
    <definedName name="판관비tot" hidden="1">{#N/A,#N/A,FALSE,"Aging Summary";#N/A,#N/A,FALSE,"Ratio Analysis";#N/A,#N/A,FALSE,"Test 120 Day Accts";#N/A,#N/A,FALSE,"Tickmarks"}</definedName>
    <definedName name="판넬조립부" hidden="1">{"'호선별현황(방식)'!$K$22:$P$22","'호선별현황(방식)'!$K$22:$P$22"}</definedName>
    <definedName name="판매량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비">#REF!</definedName>
    <definedName name="판매액">#REF!</definedName>
    <definedName name="판매출고단가">#REF!</definedName>
    <definedName name="판변">#REF!</definedName>
    <definedName name="판인">#REF!</definedName>
    <definedName name="판직고">#REF!</definedName>
    <definedName name="판직변">#REF!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펜다" hidden="1">{#N/A,#N/A,TRUE,"일정"}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">#REF!</definedName>
    <definedName name="평균">#REF!</definedName>
    <definedName name="평균값" hidden="1">{#N/A,#N/A,FALSE,"95FW"}</definedName>
    <definedName name="평균이자율" hidden="1">#REF!</definedName>
    <definedName name="평형구분">#REF!</definedName>
    <definedName name="폐기" hidden="1">#REF!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스코" hidden="1">{#N/A,#N/A,TRUE,"대 차 대 조 표"}</definedName>
    <definedName name="포스코_1" hidden="1">{#N/A,#N/A,TRUE,"대 차 대 조 표"}</definedName>
    <definedName name="표">#REF!</definedName>
    <definedName name="표지" hidden="1">{"'호선별현황(방식)'!$K$22:$P$22","'호선별현황(방식)'!$K$22:$P$22"}</definedName>
    <definedName name="표지_1" hidden="1">{#N/A,#N/A,FALSE,"동부"}</definedName>
    <definedName name="표지1">#REF!</definedName>
    <definedName name="푸하하하">#REF!</definedName>
    <definedName name="품">#REF!</definedName>
    <definedName name="품명">#REF!</definedName>
    <definedName name="품질생산합격" hidden="1">{#N/A,#N/A,TRUE,"Y생산";#N/A,#N/A,TRUE,"Y판매";#N/A,#N/A,TRUE,"Y총물량";#N/A,#N/A,TRUE,"Y능력";#N/A,#N/A,TRUE,"YKD"}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린트">#REF!</definedName>
    <definedName name="피크치">#REF!</definedName>
    <definedName name="피크치1">#N/A</definedName>
    <definedName name="피크치2">#N/A</definedName>
    <definedName name="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ㅂㅈ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ㅇ" hidden="1">{#N/A,#N/A,FALSE,"Aging Summary";#N/A,#N/A,FALSE,"Ratio Analysis";#N/A,#N/A,FALSE,"Test 120 Day Accts";#N/A,#N/A,FALSE,"Tickmarks"}</definedName>
    <definedName name="ㅎㅇㅁ" hidden="1">{#N/A,#N/A,FALSE,"95FW"}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hidden="1">{#N/A,#N/A,FALSE,"3가";#N/A,#N/A,FALSE,"3나";#N/A,#N/A,FALSE,"3다"}</definedName>
    <definedName name="ㅎㅎㅎㅎ">#REF!</definedName>
    <definedName name="ㅎㅎㅎㅎㅎㅎ">#REF!</definedName>
    <definedName name="하">#REF!</definedName>
    <definedName name="하수암거" hidden="1">{#N/A,#N/A,FALSE,"포장단가"}</definedName>
    <definedName name="하수암거2" hidden="1">{#N/A,#N/A,FALSE,"포장단가"}</definedName>
    <definedName name="하역" hidden="1">{#N/A,#N/A,FALSE,"채산3501.XLS";#N/A,#N/A,FALSE,"신조수A.XLS";#N/A,#N/A,FALSE,"신조수b.XLS";#N/A,#N/A,FALSE,"채산3502.XLS";#N/A,#N/A,FALSE,"신조원리.XLS";#N/A,#N/A,FALSE,"신조감가.XLS"}</definedName>
    <definedName name="하역2" hidden="1">{#N/A,#N/A,FALSE,"채산3501.XLS";#N/A,#N/A,FALSE,"신조수A.XLS";#N/A,#N/A,FALSE,"신조수b.XLS";#N/A,#N/A,FALSE,"채산3502.XLS";#N/A,#N/A,FALSE,"신조원리.XLS";#N/A,#N/A,FALSE,"신조감가.XLS"}</definedName>
    <definedName name="하역영업" hidden="1">{#N/A,#N/A,FALSE,"SILO현황";#N/A,#N/A,FALSE,"타업체";#N/A,#N/A,FALSE,"생산능력"}</definedName>
    <definedName name="하하">#REF!</definedName>
    <definedName name="하하1">#REF!</definedName>
    <definedName name="하하2">#REF!</definedName>
    <definedName name="하하3">#REF!</definedName>
    <definedName name="하하4">#REF!</definedName>
    <definedName name="학교" hidden="1">{"'호선별현황(방식)'!$K$22:$P$22","'호선별현황(방식)'!$K$22:$P$22"}</definedName>
    <definedName name="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솔">#REF!</definedName>
    <definedName name="한영사전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할인">#REF!</definedName>
    <definedName name="항주은태">#REF!</definedName>
    <definedName name="항차">#REF!</definedName>
    <definedName name="解_任_">#REF!</definedName>
    <definedName name="해무11" hidden="1">{#N/A,#N/A,FALSE,"SILO현황";#N/A,#N/A,FALSE,"타업체";#N/A,#N/A,FALSE,"생산능력"}</definedName>
    <definedName name="해무팀" hidden="1">{#N/A,#N/A,FALSE,"채산3501.XLS";#N/A,#N/A,FALSE,"신조수A.XLS";#N/A,#N/A,FALSE,"신조수b.XLS";#N/A,#N/A,FALSE,"채산3502.XLS";#N/A,#N/A,FALSE,"신조원리.XLS";#N/A,#N/A,FALSE,"신조감가.XLS"}</definedName>
    <definedName name="해외생산1" hidden="1">{"'7-2지역별'!$A$1:$R$44"}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판권합계">#REF!</definedName>
    <definedName name="해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쇼ㅏ" hidden="1">{#N/A,#N/A,TRUE,"Y생산";#N/A,#N/A,TRUE,"Y판매";#N/A,#N/A,TRUE,"Y총물량";#N/A,#N/A,TRUE,"Y능력";#N/A,#N/A,TRUE,"YKD"}</definedName>
    <definedName name="허ㅇㄻㄹ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경">#REF!</definedName>
    <definedName name="현금" hidden="1">{#N/A,#N/A,FALSE,"Aging Summary";#N/A,#N/A,FALSE,"Ratio Analysis";#N/A,#N/A,FALSE,"Test 120 Day Accts";#N/A,#N/A,FALSE,"Tickmarks"}</definedName>
    <definedName name="현금거래_5300">#REF!</definedName>
    <definedName name="현금과예금">#REF!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수금율">#REF!</definedName>
    <definedName name="현금출납장">#REF!</definedName>
    <definedName name="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04" hidden="1">{#N/A,#N/A,FALSE,"Aging Summary";#N/A,#N/A,FALSE,"Ratio Analysis";#N/A,#N/A,FALSE,"Test 120 Day Accts";#N/A,#N/A,FALSE,"Tickmarks"}</definedName>
    <definedName name="현금흐름표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대">#REF!</definedName>
    <definedName name="현대내자터미널">#REF!</definedName>
    <definedName name="現代綜合商事經由分">#REF!</definedName>
    <definedName name="현재" hidden="1">{"'Sheet1'!$A$1:$H$36"}</definedName>
    <definedName name="현재지출전체">#REF!</definedName>
    <definedName name="현호봉">#REF!</definedName>
    <definedName name="현황작성">#REF!</definedName>
    <definedName name="협전">#REF!</definedName>
    <definedName name="협조및조정사항" hidden="1">{"'호선별현황(방식)'!$K$22:$P$22","'호선별현황(방식)'!$K$22:$P$22"}</definedName>
    <definedName name="협조전">#REF!</definedName>
    <definedName name="호" hidden="1">#REF!</definedName>
    <definedName name="호남22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별가격">#REF!</definedName>
    <definedName name="호별시가안분">#REF!</definedName>
    <definedName name="호봉표">#REF!</definedName>
    <definedName name="호봉표1">#REF!</definedName>
    <definedName name="호호">#REF!</definedName>
    <definedName name="호ㅓ쇼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ㅏ" hidden="1">{#N/A,#N/A,FALSE,"96 3월물량표";#N/A,#N/A,FALSE,"96 4월물량표";#N/A,#N/A,FALSE,"96 5월물량표"}</definedName>
    <definedName name="호ㅗ" localSheetId="1">BlankMacro1</definedName>
    <definedName name="호ㅗ" localSheetId="0">BlankMacro1</definedName>
    <definedName name="호ㅗ">BlankMacro1</definedName>
    <definedName name="홍길동" hidden="1">{#N/A,#N/A,FALSE,"표지";#N/A,#N/A,FALSE,"전제";#N/A,#N/A,FALSE,"손익-자 (2)";#N/A,#N/A,FALSE,"손익-자";#N/A,#N/A,FALSE,"손익-마 (2)";#N/A,#N/A,FALSE,"손익-마";#N/A,#N/A,FALSE,"총손최종"}</definedName>
    <definedName name="홍보합계">#REF!</definedName>
    <definedName name="화">#REF!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정하여_보고할것.">#REF!</definedName>
    <definedName name="환산률">#REF!</definedName>
    <definedName name="환율">#REF!</definedName>
    <definedName name="환율표">#REF!</definedName>
    <definedName name="환차손" hidden="1">{#N/A,#N/A,FALSE,"Aging Summary";#N/A,#N/A,FALSE,"Ratio Analysis";#N/A,#N/A,FALSE,"Test 120 Day Accts";#N/A,#N/A,FALSE,"Tickmarks"}</definedName>
    <definedName name="환차손익수정" hidden="1">{#N/A,#N/A,FALSE,"Aging Summary";#N/A,#N/A,FALSE,"Ratio Analysis";#N/A,#N/A,FALSE,"Test 120 Day Accts";#N/A,#N/A,FALSE,"Tickmarks"}</definedName>
    <definedName name="환평가">#REF!</definedName>
    <definedName name="회당예산">#REF!</definedName>
    <definedName name="회사명">#REF!</definedName>
    <definedName name="회사이름">#REF!</definedName>
    <definedName name="회원권">#REF!</definedName>
    <definedName name="회장" localSheetId="1">BlankMacro1</definedName>
    <definedName name="회장" localSheetId="0">BlankMacro1</definedName>
    <definedName name="회장">BlankMacro1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반작업합계">#REF!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휴일">#REF!</definedName>
    <definedName name="휴ㅗㅗㅛ" hidden="1">{#VALUE!,#N/A,FALSE,0;#N/A,#N/A,FALSE,0;#N/A,#N/A,FALSE,0;#N/A,#N/A,FALSE,0;#N/A,#N/A,FALSE,0;#N/A,#N/A,FALSE,0;#N/A,#N/A,FALSE,0;#N/A,#N/A,FALSE,0;#N/A,#N/A,FALSE,0}</definedName>
    <definedName name="흄관" hidden="1">{#N/A,#N/A,FALSE,"기안지";#N/A,#N/A,FALSE,"통신지"}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>#REF!</definedName>
    <definedName name="흐흐">#REF!</definedName>
    <definedName name="희성">OFFSET(#REF!,0,0,COUNTA(#REF!)-1,1)</definedName>
    <definedName name="흵____R3_t">#REF!</definedName>
    <definedName name="히히">#REF!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28">#REF!</definedName>
    <definedName name="ㅏㄴ알" hidden="1">{#N/A,#N/A,FALSE,"단축1";#N/A,#N/A,FALSE,"단축2";#N/A,#N/A,FALSE,"단축3";#N/A,#N/A,FALSE,"장축";#N/A,#N/A,FALSE,"4WD"}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">#REF!</definedName>
    <definedName name="ㅏㅏㅏ">#REF!</definedName>
    <definedName name="ㅏㅐㅐ">#REF!</definedName>
    <definedName name="ㅏㅐㅐPri">#REF!</definedName>
    <definedName name="ㅏㅓ" hidden="1">{#N/A,#N/A,FALSE,"단축1";#N/A,#N/A,FALSE,"단축2";#N/A,#N/A,FALSE,"단축3";#N/A,#N/A,FALSE,"장축";#N/A,#N/A,FALSE,"4WD"}</definedName>
    <definedName name="ㅐ">#REF!</definedName>
    <definedName name="ㅐㅐ">#REF!</definedName>
    <definedName name="ㅐㅐㅐㅐㅐㅐㅐㅐㅐㅐㅐㅐㅐㅐㅐㅐㅐㅐㅐㅐㅐ">#REF!</definedName>
    <definedName name="ㅑ" hidden="1">{#N/A,#N/A,FALSE,"Aging Summary";#N/A,#N/A,FALSE,"Ratio Analysis";#N/A,#N/A,FALSE,"Test 120 Day Accts";#N/A,#N/A,FALSE,"Tickmarks"}</definedName>
    <definedName name="ㅑ303">#REF!</definedName>
    <definedName name="ㅑ37">#REF!</definedName>
    <definedName name="ㅑ85">#REF!</definedName>
    <definedName name="ㅑㅑㅑ">#REF!</definedName>
    <definedName name="ㅑㅕㅐ">#REF!</definedName>
    <definedName name="ㅓ" hidden="1">{#N/A,#N/A,TRUE,"Y생산";#N/A,#N/A,TRUE,"Y판매";#N/A,#N/A,TRUE,"Y총물량";#N/A,#N/A,TRUE,"Y능력";#N/A,#N/A,TRUE,"YKD"}</definedName>
    <definedName name="ㅓㄹ" hidden="1">{#N/A,#N/A,TRUE,"일정"}</definedName>
    <definedName name="ㅓㅏㅣㅑ" hidden="1">{#N/A,#N/A,FALSE,"Aging Summary";#N/A,#N/A,FALSE,"Ratio Analysis";#N/A,#N/A,FALSE,"Test 120 Day Accts";#N/A,#N/A,FALSE,"Tickmarks"}</definedName>
    <definedName name="ㅓㅓ">#REF!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>#REF!</definedName>
    <definedName name="ㅓㅕㅓ">#REF!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ㅓㅗㅓㅗ" hidden="1">#REF!</definedName>
    <definedName name="ㅓㅣㅏㅓㅣㅏ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ㅔ" hidden="1">{#N/A,#N/A,FALSE,"단축1";#N/A,#N/A,FALSE,"단축2";#N/A,#N/A,FALSE,"단축3";#N/A,#N/A,FALSE,"장축";#N/A,#N/A,FALSE,"4WD"}</definedName>
    <definedName name="ㅔ246">#REF!</definedName>
    <definedName name="ㅔ320">#REF!</definedName>
    <definedName name="ㅔ61">#REF!</definedName>
    <definedName name="ㅔㅔ">#REF!</definedName>
    <definedName name="ㅔㅔㅔㅔㅔㅔ">#REF!</definedName>
    <definedName name="ㅕ" hidden="1">{#N/A,#N/A,FALSE,"BS";#N/A,#N/A,FALSE,"PL";#N/A,#N/A,FALSE,"처분";#N/A,#N/A,FALSE,"현금";#N/A,#N/A,FALSE,"매출";#N/A,#N/A,FALSE,"원가";#N/A,#N/A,FALSE,"경영"}</definedName>
    <definedName name="ㅕㅕ" hidden="1">#REF!</definedName>
    <definedName name="ㅗ" hidden="1">{#N/A,#N/A,FALSE,"단축1";#N/A,#N/A,FALSE,"단축2";#N/A,#N/A,FALSE,"단축3";#N/A,#N/A,FALSE,"장축";#N/A,#N/A,FALSE,"4WD"}</definedName>
    <definedName name="ㅗㄱㄴㅇㅁ" hidden="1">{#N/A,#N/A,TRUE,"일정"}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ㅇ" localSheetId="1">BlankMacro1</definedName>
    <definedName name="ㅗㅇ" localSheetId="0">BlankMacro1</definedName>
    <definedName name="ㅗㅇ">BlankMacro1</definedName>
    <definedName name="ㅗㅎ" hidden="1">{#N/A,#N/A,TRUE,"Y생산";#N/A,#N/A,TRUE,"Y판매";#N/A,#N/A,TRUE,"Y총물량";#N/A,#N/A,TRUE,"Y능력";#N/A,#N/A,TRUE,"YKD"}</definedName>
    <definedName name="ㅗㅎㅀ">#REF!</definedName>
    <definedName name="ㅗㅓㅛㅓㅕ">#REF!</definedName>
    <definedName name="ㅗㅗ" hidden="1">{#N/A,#N/A,FALSE,"단축1";#N/A,#N/A,FALSE,"단축2";#N/A,#N/A,FALSE,"단축3";#N/A,#N/A,FALSE,"장축";#N/A,#N/A,FALSE,"4WD"}</definedName>
    <definedName name="ㅗㅗㅗ" localSheetId="1">BlankMacro1</definedName>
    <definedName name="ㅗㅗㅗ" localSheetId="0">BlankMacro1</definedName>
    <definedName name="ㅗㅗㅗ">BlankMacro1</definedName>
    <definedName name="ㅗㅗㅗㅗ">#REF!</definedName>
    <definedName name="ㅛ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ㅑㅛㅕㅑ7" hidden="1">{#N/A,#N/A,FALSE,"96 3월물량표";#N/A,#N/A,FALSE,"96 4월물량표";#N/A,#N/A,FALSE,"96 5월물량표"}</definedName>
    <definedName name="ㅛㅓ">#REF!</definedName>
    <definedName name="ㅛㅛ">#REF!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">#REF!</definedName>
    <definedName name="ㅜㅛㅅㄱ누ㅛㅅㄱ누ㅛㅅㄴ구ㅛㅅㄱㄴ" hidden="1">{#N/A,#N/A,TRUE,"일정"}</definedName>
    <definedName name="ㅜㅜ">#REF!</definedName>
    <definedName name="ㅠ" hidden="1">{#N/A,#N/A,FALSE,"단축1";#N/A,#N/A,FALSE,"단축2";#N/A,#N/A,FALSE,"단축3";#N/A,#N/A,FALSE,"장축";#N/A,#N/A,FALSE,"4WD"}</definedName>
    <definedName name="ㅠ125">#REF!</definedName>
    <definedName name="ㅠ328">#REF!</definedName>
    <definedName name="ㅠ48">#REF!</definedName>
    <definedName name="ㅠㅠ">#REF!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ㄹ">#REF!</definedName>
    <definedName name="ㅠㅠㅠㅠ">#REF!</definedName>
    <definedName name="ㅠㅠㅠㅠㅠㅠㅠㅠㅠㅠㅠㅠㅠ">#REF!</definedName>
    <definedName name="ㅡ">#REF!</definedName>
    <definedName name="ㅡㅡ">#REF!</definedName>
    <definedName name="ㅡㅡㅡㅡㅡㅡㅡㅡㅡ">#REF!</definedName>
    <definedName name="ㅣ" hidden="1">{#N/A,#N/A,FALSE,"Aging Summary";#N/A,#N/A,FALSE,"Ratio Analysis";#N/A,#N/A,FALSE,"Test 120 Day Accts";#N/A,#N/A,FALSE,"Tickmarks"}</definedName>
    <definedName name="ㅣ153">#REF!</definedName>
    <definedName name="ㅣ303">#REF!</definedName>
    <definedName name="ㅣ439">#REF!</definedName>
    <definedName name="ㅣ이">#N/A</definedName>
    <definedName name="ㅣㅏ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  <definedName name="ㅣㅣㅣ">#REF!</definedName>
  </definedNames>
  <calcPr calcId="191029"/>
  <pivotCaches>
    <pivotCache cacheId="3" r:id="rId9"/>
    <pivotCache cacheId="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8" l="1"/>
  <c r="R25" i="8"/>
  <c r="N25" i="8"/>
  <c r="O25" i="8"/>
  <c r="M25" i="8"/>
  <c r="L25" i="8"/>
  <c r="K25" i="8"/>
  <c r="J25" i="8"/>
  <c r="I25" i="8"/>
  <c r="H25" i="8"/>
  <c r="G25" i="8"/>
  <c r="F25" i="8"/>
  <c r="E25" i="8"/>
  <c r="D25" i="8"/>
  <c r="E20" i="8"/>
  <c r="F20" i="8"/>
  <c r="G20" i="8"/>
  <c r="H20" i="8"/>
  <c r="I20" i="8"/>
  <c r="J20" i="8"/>
  <c r="K20" i="8"/>
  <c r="L20" i="8"/>
  <c r="M20" i="8"/>
  <c r="O20" i="8"/>
  <c r="N20" i="8"/>
  <c r="R20" i="8"/>
  <c r="Q20" i="8"/>
  <c r="E14" i="8"/>
  <c r="F14" i="8"/>
  <c r="G14" i="8"/>
  <c r="H14" i="8"/>
  <c r="I14" i="8"/>
  <c r="J14" i="8"/>
  <c r="K14" i="8"/>
  <c r="L14" i="8"/>
  <c r="M14" i="8"/>
  <c r="O14" i="8"/>
  <c r="N14" i="8"/>
  <c r="R14" i="8"/>
  <c r="Q14" i="8"/>
  <c r="E11" i="8"/>
  <c r="F11" i="8"/>
  <c r="G11" i="8"/>
  <c r="H11" i="8"/>
  <c r="I11" i="8"/>
  <c r="J11" i="8"/>
  <c r="K11" i="8"/>
  <c r="L11" i="8"/>
  <c r="M11" i="8"/>
  <c r="O11" i="8"/>
  <c r="N11" i="8"/>
  <c r="N24" i="8" s="1"/>
  <c r="R11" i="8"/>
  <c r="Q11" i="8"/>
  <c r="E7" i="8"/>
  <c r="F7" i="8"/>
  <c r="G7" i="8"/>
  <c r="H7" i="8"/>
  <c r="I7" i="8"/>
  <c r="J7" i="8"/>
  <c r="K7" i="8"/>
  <c r="L7" i="8"/>
  <c r="M7" i="8"/>
  <c r="O7" i="8"/>
  <c r="N7" i="8"/>
  <c r="R7" i="8"/>
  <c r="Q7" i="8"/>
  <c r="D24" i="8"/>
  <c r="D20" i="8"/>
  <c r="D14" i="8"/>
  <c r="D11" i="8"/>
  <c r="D7" i="8"/>
  <c r="S27" i="8"/>
  <c r="S26" i="8"/>
  <c r="S22" i="8"/>
  <c r="S21" i="8"/>
  <c r="S19" i="8"/>
  <c r="S18" i="8"/>
  <c r="S17" i="8"/>
  <c r="S16" i="8"/>
  <c r="S15" i="8"/>
  <c r="S14" i="8" s="1"/>
  <c r="S13" i="8"/>
  <c r="S12" i="8"/>
  <c r="S10" i="8"/>
  <c r="S9" i="8"/>
  <c r="S8" i="8"/>
  <c r="P27" i="8"/>
  <c r="P26" i="8"/>
  <c r="P25" i="8" s="1"/>
  <c r="P22" i="8"/>
  <c r="P21" i="8"/>
  <c r="P19" i="8"/>
  <c r="P18" i="8"/>
  <c r="P17" i="8"/>
  <c r="P16" i="8"/>
  <c r="P15" i="8"/>
  <c r="P13" i="8"/>
  <c r="P12" i="8"/>
  <c r="P10" i="8"/>
  <c r="P9" i="8"/>
  <c r="P8" i="8"/>
  <c r="Q19" i="1"/>
  <c r="P16" i="1"/>
  <c r="P24" i="1" s="1"/>
  <c r="P30" i="1" s="1"/>
  <c r="E30" i="1"/>
  <c r="F30" i="1"/>
  <c r="G30" i="1"/>
  <c r="H30" i="1"/>
  <c r="I30" i="1"/>
  <c r="J30" i="1"/>
  <c r="K30" i="1"/>
  <c r="L30" i="1"/>
  <c r="M30" i="1"/>
  <c r="N30" i="1"/>
  <c r="O30" i="1"/>
  <c r="D30" i="1"/>
  <c r="Q24" i="1"/>
  <c r="Q30" i="1" s="1"/>
  <c r="O24" i="1"/>
  <c r="N24" i="1"/>
  <c r="M24" i="1"/>
  <c r="L24" i="1"/>
  <c r="K24" i="1"/>
  <c r="J24" i="1"/>
  <c r="I24" i="1"/>
  <c r="H24" i="1"/>
  <c r="G24" i="1"/>
  <c r="F24" i="1"/>
  <c r="E24" i="1"/>
  <c r="D24" i="1"/>
  <c r="O18" i="1"/>
  <c r="Q18" i="1"/>
  <c r="P18" i="1"/>
  <c r="Q9" i="1"/>
  <c r="P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Q16" i="1"/>
  <c r="O16" i="1"/>
  <c r="N16" i="1"/>
  <c r="M16" i="1"/>
  <c r="L16" i="1"/>
  <c r="K16" i="1"/>
  <c r="J16" i="1"/>
  <c r="I16" i="1"/>
  <c r="H16" i="1"/>
  <c r="G16" i="1"/>
  <c r="F16" i="1"/>
  <c r="E16" i="1"/>
  <c r="D16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E8" i="1"/>
  <c r="F8" i="1"/>
  <c r="G8" i="1"/>
  <c r="H8" i="1"/>
  <c r="I8" i="1"/>
  <c r="J8" i="1"/>
  <c r="K8" i="1"/>
  <c r="L8" i="1"/>
  <c r="M8" i="1"/>
  <c r="N8" i="1"/>
  <c r="O8" i="1"/>
  <c r="P8" i="1"/>
  <c r="Q8" i="1"/>
  <c r="O9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D8" i="1"/>
  <c r="D12" i="1"/>
  <c r="D26" i="1"/>
  <c r="D27" i="1"/>
  <c r="D15" i="1"/>
  <c r="D17" i="1"/>
  <c r="D21" i="1"/>
  <c r="D22" i="1"/>
  <c r="P18" i="3"/>
  <c r="S32" i="2"/>
  <c r="S43" i="2"/>
  <c r="T43" i="2"/>
  <c r="U43" i="2"/>
  <c r="V43" i="2"/>
  <c r="W43" i="2"/>
  <c r="X43" i="2"/>
  <c r="Y43" i="2"/>
  <c r="Z43" i="2"/>
  <c r="AA43" i="2"/>
  <c r="AB43" i="2"/>
  <c r="AC43" i="2"/>
  <c r="U9" i="2"/>
  <c r="V9" i="2"/>
  <c r="W9" i="2"/>
  <c r="X9" i="2"/>
  <c r="Y9" i="2"/>
  <c r="Z9" i="2"/>
  <c r="AA9" i="2"/>
  <c r="AB9" i="2"/>
  <c r="AC9" i="2"/>
  <c r="S7" i="8" l="1"/>
  <c r="S20" i="8"/>
  <c r="S11" i="8"/>
  <c r="S25" i="8"/>
  <c r="L24" i="8"/>
  <c r="P20" i="8"/>
  <c r="S24" i="8"/>
  <c r="J24" i="8"/>
  <c r="M24" i="8"/>
  <c r="O24" i="8"/>
  <c r="P11" i="8"/>
  <c r="K24" i="8"/>
  <c r="R24" i="8"/>
  <c r="I24" i="8"/>
  <c r="P14" i="8"/>
  <c r="H24" i="8"/>
  <c r="G24" i="8"/>
  <c r="P7" i="8"/>
  <c r="Q24" i="8"/>
  <c r="F24" i="8"/>
  <c r="E24" i="8"/>
  <c r="E25" i="1"/>
  <c r="Q25" i="1"/>
  <c r="I25" i="1"/>
  <c r="M25" i="1"/>
  <c r="J25" i="1"/>
  <c r="N25" i="1"/>
  <c r="F25" i="1"/>
  <c r="L25" i="1"/>
  <c r="O25" i="1"/>
  <c r="G25" i="1"/>
  <c r="D25" i="1"/>
  <c r="P25" i="1"/>
  <c r="H25" i="1"/>
  <c r="K25" i="1"/>
  <c r="P24" i="8" l="1"/>
  <c r="AD74" i="2" l="1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G14" i="2"/>
  <c r="G13" i="2"/>
  <c r="G12" i="2"/>
  <c r="G11" i="2"/>
  <c r="G10" i="2"/>
  <c r="E7" i="2"/>
  <c r="G15" i="2" s="1"/>
  <c r="H15" i="2" l="1"/>
  <c r="H10" i="2"/>
  <c r="H11" i="2"/>
  <c r="H12" i="2"/>
  <c r="H13" i="2"/>
  <c r="H14" i="2"/>
  <c r="I15" i="2" l="1"/>
  <c r="I14" i="2"/>
  <c r="I13" i="2"/>
  <c r="I12" i="2"/>
  <c r="I11" i="2"/>
  <c r="I10" i="2"/>
  <c r="J15" i="2" l="1"/>
  <c r="J14" i="2"/>
  <c r="J13" i="2"/>
  <c r="J12" i="2"/>
  <c r="J11" i="2"/>
  <c r="J10" i="2"/>
  <c r="G70" i="2"/>
  <c r="H70" i="2" l="1"/>
  <c r="K14" i="2"/>
  <c r="K13" i="2"/>
  <c r="K12" i="2"/>
  <c r="K11" i="2"/>
  <c r="K10" i="2"/>
  <c r="K15" i="2"/>
  <c r="I70" i="2"/>
  <c r="L15" i="2" l="1"/>
  <c r="L14" i="2"/>
  <c r="L13" i="2"/>
  <c r="L12" i="2"/>
  <c r="L11" i="2"/>
  <c r="L10" i="2"/>
  <c r="J70" i="2" l="1"/>
  <c r="M15" i="2"/>
  <c r="M14" i="2"/>
  <c r="M13" i="2"/>
  <c r="M12" i="2"/>
  <c r="M11" i="2"/>
  <c r="M10" i="2"/>
  <c r="K70" i="2" l="1"/>
  <c r="N15" i="2"/>
  <c r="N13" i="2"/>
  <c r="N12" i="2"/>
  <c r="N11" i="2"/>
  <c r="N10" i="2"/>
  <c r="N14" i="2"/>
  <c r="O11" i="2" l="1"/>
  <c r="O15" i="2"/>
  <c r="O10" i="2"/>
  <c r="O13" i="2"/>
  <c r="O12" i="2"/>
  <c r="O14" i="2"/>
  <c r="M70" i="2" l="1"/>
  <c r="L70" i="2"/>
  <c r="P15" i="2"/>
  <c r="P13" i="2"/>
  <c r="P12" i="2"/>
  <c r="P11" i="2"/>
  <c r="P10" i="2"/>
  <c r="P14" i="2"/>
  <c r="Q15" i="2" l="1"/>
  <c r="Q14" i="2"/>
  <c r="Q13" i="2"/>
  <c r="Q12" i="2"/>
  <c r="Q11" i="2"/>
  <c r="Q10" i="2"/>
  <c r="N70" i="2" l="1"/>
  <c r="O70" i="2"/>
  <c r="R15" i="2"/>
  <c r="R13" i="2"/>
  <c r="R12" i="2"/>
  <c r="R11" i="2"/>
  <c r="R10" i="2"/>
  <c r="R14" i="2"/>
  <c r="P70" i="2" l="1"/>
  <c r="S13" i="2"/>
  <c r="S12" i="2"/>
  <c r="S11" i="2"/>
  <c r="S10" i="2"/>
  <c r="S15" i="2"/>
  <c r="S14" i="2"/>
  <c r="T15" i="2" l="1"/>
  <c r="T14" i="2"/>
  <c r="T13" i="2"/>
  <c r="T12" i="2"/>
  <c r="T11" i="2"/>
  <c r="T10" i="2"/>
  <c r="R70" i="2" l="1"/>
  <c r="Q70" i="2"/>
  <c r="U15" i="2"/>
  <c r="U14" i="2"/>
  <c r="U13" i="2"/>
  <c r="U12" i="2"/>
  <c r="U11" i="2"/>
  <c r="U10" i="2"/>
  <c r="V14" i="2" l="1"/>
  <c r="V13" i="2"/>
  <c r="V12" i="2"/>
  <c r="V11" i="2"/>
  <c r="V10" i="2"/>
  <c r="V15" i="2"/>
  <c r="W11" i="2" l="1"/>
  <c r="W13" i="2"/>
  <c r="W10" i="2"/>
  <c r="W12" i="2"/>
  <c r="W15" i="2"/>
  <c r="W14" i="2"/>
  <c r="T70" i="2"/>
  <c r="S70" i="2"/>
  <c r="U70" i="2" l="1"/>
  <c r="X15" i="2"/>
  <c r="X14" i="2"/>
  <c r="X13" i="2"/>
  <c r="X12" i="2"/>
  <c r="X11" i="2"/>
  <c r="X10" i="2"/>
  <c r="V70" i="2" l="1"/>
  <c r="Y15" i="2"/>
  <c r="Y14" i="2"/>
  <c r="Y13" i="2"/>
  <c r="Y12" i="2"/>
  <c r="Y11" i="2"/>
  <c r="Y10" i="2"/>
  <c r="Z15" i="2" l="1"/>
  <c r="Z13" i="2"/>
  <c r="Z12" i="2"/>
  <c r="Z11" i="2"/>
  <c r="Z10" i="2"/>
  <c r="Z14" i="2"/>
  <c r="W70" i="2" l="1"/>
  <c r="AA13" i="2"/>
  <c r="AA12" i="2"/>
  <c r="AA11" i="2"/>
  <c r="AA10" i="2"/>
  <c r="AA15" i="2"/>
  <c r="AA14" i="2"/>
  <c r="X70" i="2" l="1"/>
  <c r="AB15" i="2"/>
  <c r="AB14" i="2"/>
  <c r="AB13" i="2"/>
  <c r="AB12" i="2"/>
  <c r="AB11" i="2"/>
  <c r="AB10" i="2"/>
  <c r="Y70" i="2" l="1"/>
  <c r="AC15" i="2"/>
  <c r="AC14" i="2"/>
  <c r="AC13" i="2"/>
  <c r="AC12" i="2"/>
  <c r="AC11" i="2"/>
  <c r="AC10" i="2"/>
  <c r="Z70" i="2"/>
  <c r="AD15" i="2" l="1"/>
  <c r="AD14" i="2"/>
  <c r="AD13" i="2"/>
  <c r="AD12" i="2"/>
  <c r="AD11" i="2"/>
  <c r="AD10" i="2"/>
  <c r="AB70" i="2" l="1"/>
  <c r="AE11" i="2"/>
  <c r="AE13" i="2"/>
  <c r="AE15" i="2"/>
  <c r="AE14" i="2"/>
  <c r="AE10" i="2"/>
  <c r="AE12" i="2"/>
  <c r="AA70" i="2"/>
  <c r="AF15" i="2" l="1"/>
  <c r="AF14" i="2"/>
  <c r="AF13" i="2"/>
  <c r="AF12" i="2"/>
  <c r="AF11" i="2"/>
  <c r="AF10" i="2"/>
  <c r="AD70" i="2"/>
  <c r="AG15" i="2" l="1"/>
  <c r="AG14" i="2"/>
  <c r="AG13" i="2"/>
  <c r="AG12" i="2"/>
  <c r="AG11" i="2"/>
  <c r="AG10" i="2"/>
  <c r="AC70" i="2"/>
  <c r="AE70" i="2" l="1"/>
  <c r="AF70" i="2"/>
  <c r="AH15" i="2"/>
  <c r="AH14" i="2"/>
  <c r="AH13" i="2"/>
  <c r="AH12" i="2"/>
  <c r="AH11" i="2"/>
  <c r="AH10" i="2"/>
  <c r="AI13" i="2" l="1"/>
  <c r="AI12" i="2"/>
  <c r="AI11" i="2"/>
  <c r="AI10" i="2"/>
  <c r="AI15" i="2"/>
  <c r="AI14" i="2"/>
  <c r="AJ15" i="2" l="1"/>
  <c r="AJ14" i="2"/>
  <c r="AJ13" i="2"/>
  <c r="AJ12" i="2"/>
  <c r="AJ11" i="2"/>
  <c r="AJ10" i="2"/>
  <c r="AG70" i="2"/>
  <c r="AI70" i="2" l="1"/>
  <c r="AK15" i="2"/>
  <c r="AK14" i="2"/>
  <c r="AK13" i="2"/>
  <c r="AK12" i="2"/>
  <c r="AK11" i="2"/>
  <c r="AK10" i="2"/>
  <c r="AH70" i="2"/>
  <c r="AJ70" i="2" l="1"/>
  <c r="AL13" i="2"/>
  <c r="AL12" i="2"/>
  <c r="AL11" i="2"/>
  <c r="AL10" i="2"/>
  <c r="AL15" i="2"/>
  <c r="AL14" i="2"/>
  <c r="AM11" i="2" l="1"/>
  <c r="AM13" i="2"/>
  <c r="AM10" i="2"/>
  <c r="AM12" i="2"/>
  <c r="AM15" i="2"/>
  <c r="AM14" i="2"/>
  <c r="AK70" i="2"/>
  <c r="AN15" i="2" l="1"/>
  <c r="AN14" i="2"/>
  <c r="AN13" i="2"/>
  <c r="AN12" i="2"/>
  <c r="AN11" i="2"/>
  <c r="AN10" i="2"/>
  <c r="AL70" i="2"/>
  <c r="AO15" i="2" l="1"/>
  <c r="AO14" i="2"/>
  <c r="AO13" i="2"/>
  <c r="AO12" i="2"/>
  <c r="AO11" i="2"/>
  <c r="AO10" i="2"/>
  <c r="AP15" i="2" l="1"/>
  <c r="AP14" i="2"/>
  <c r="AP13" i="2"/>
  <c r="AP12" i="2"/>
  <c r="AP11" i="2"/>
  <c r="AP10" i="2"/>
  <c r="AM70" i="2"/>
  <c r="AQ13" i="2" l="1"/>
  <c r="AQ12" i="2"/>
  <c r="AQ11" i="2"/>
  <c r="AQ10" i="2"/>
  <c r="AQ15" i="2"/>
  <c r="AQ14" i="2"/>
  <c r="AN70" i="2"/>
  <c r="AO70" i="2"/>
  <c r="AR15" i="2" l="1"/>
  <c r="AR14" i="2"/>
  <c r="AR13" i="2"/>
  <c r="AR12" i="2"/>
  <c r="AR11" i="2"/>
  <c r="AR10" i="2"/>
  <c r="AP70" i="2"/>
  <c r="AS15" i="2" l="1"/>
  <c r="AS14" i="2"/>
  <c r="AS13" i="2"/>
  <c r="AS12" i="2"/>
  <c r="AS11" i="2"/>
  <c r="AS10" i="2"/>
  <c r="AT15" i="2" l="1"/>
  <c r="AT14" i="2"/>
  <c r="AT13" i="2"/>
  <c r="AT12" i="2"/>
  <c r="AT11" i="2"/>
  <c r="AT10" i="2"/>
  <c r="AU12" i="2" l="1"/>
  <c r="AU15" i="2"/>
  <c r="AU14" i="2"/>
  <c r="AU11" i="2"/>
  <c r="AU10" i="2"/>
  <c r="AU13" i="2"/>
  <c r="AV15" i="2" l="1"/>
  <c r="AV14" i="2"/>
  <c r="AV13" i="2"/>
  <c r="AV12" i="2"/>
  <c r="AV11" i="2"/>
  <c r="AV10" i="2"/>
  <c r="AW15" i="2" l="1"/>
  <c r="AW14" i="2"/>
  <c r="AW13" i="2"/>
  <c r="AW12" i="2"/>
  <c r="AW11" i="2"/>
  <c r="AW10" i="2"/>
  <c r="AX15" i="2" l="1"/>
  <c r="AX14" i="2"/>
  <c r="AX13" i="2"/>
  <c r="AX12" i="2"/>
  <c r="AX11" i="2"/>
  <c r="AX10" i="2"/>
  <c r="AY13" i="2" l="1"/>
  <c r="AY12" i="2"/>
  <c r="AY11" i="2"/>
  <c r="AY10" i="2"/>
  <c r="AY15" i="2"/>
  <c r="AY14" i="2"/>
  <c r="BA20" i="2" l="1"/>
  <c r="AZ15" i="2"/>
  <c r="AZ14" i="2"/>
  <c r="AZ13" i="2"/>
  <c r="AZ12" i="2"/>
  <c r="AZ11" i="2"/>
  <c r="AZ10" i="2"/>
  <c r="BB20" i="2" l="1"/>
  <c r="BA15" i="2"/>
  <c r="BA14" i="2"/>
  <c r="BA13" i="2"/>
  <c r="BA12" i="2"/>
  <c r="BA11" i="2"/>
  <c r="BA10" i="2"/>
  <c r="BB13" i="2" l="1"/>
  <c r="BB12" i="2"/>
  <c r="BB11" i="2"/>
  <c r="BB10" i="2"/>
  <c r="BB15" i="2"/>
  <c r="BB14" i="2"/>
</calcChain>
</file>

<file path=xl/sharedStrings.xml><?xml version="1.0" encoding="utf-8"?>
<sst xmlns="http://schemas.openxmlformats.org/spreadsheetml/2006/main" count="264" uniqueCount="126">
  <si>
    <t>구분</t>
  </si>
  <si>
    <t>운전자본</t>
  </si>
  <si>
    <t>매출채권</t>
  </si>
  <si>
    <t>재고자산</t>
  </si>
  <si>
    <t>매입채무</t>
  </si>
  <si>
    <t>현금</t>
  </si>
  <si>
    <t>차입금</t>
  </si>
  <si>
    <t>이익잉여금</t>
  </si>
  <si>
    <t>기타운전자본</t>
  </si>
  <si>
    <t>선급비용</t>
  </si>
  <si>
    <t>미지급비용</t>
  </si>
  <si>
    <t>고정자산/보증금</t>
  </si>
  <si>
    <t>미수금/미지급금</t>
  </si>
  <si>
    <t>리스자산</t>
  </si>
  <si>
    <t>리스부채</t>
  </si>
  <si>
    <t>기타자산/부채</t>
    <phoneticPr fontId="1" type="noConversion"/>
  </si>
  <si>
    <t xml:space="preserve">   매출채권</t>
    <phoneticPr fontId="1" type="noConversion"/>
  </si>
  <si>
    <t xml:space="preserve">   재고자산</t>
    <phoneticPr fontId="1" type="noConversion"/>
  </si>
  <si>
    <t xml:space="preserve">   매입채무</t>
    <phoneticPr fontId="1" type="noConversion"/>
  </si>
  <si>
    <t>현금/차입금</t>
    <phoneticPr fontId="1" type="noConversion"/>
  </si>
  <si>
    <t xml:space="preserve">   현금</t>
    <phoneticPr fontId="1" type="noConversion"/>
  </si>
  <si>
    <t xml:space="preserve">   차입금</t>
    <phoneticPr fontId="1" type="noConversion"/>
  </si>
  <si>
    <t xml:space="preserve">   선급비용</t>
    <phoneticPr fontId="1" type="noConversion"/>
  </si>
  <si>
    <t xml:space="preserve">   미지급비용</t>
    <phoneticPr fontId="1" type="noConversion"/>
  </si>
  <si>
    <t xml:space="preserve">   고정자산/보증금</t>
    <phoneticPr fontId="1" type="noConversion"/>
  </si>
  <si>
    <t>리스자산</t>
    <phoneticPr fontId="1" type="noConversion"/>
  </si>
  <si>
    <t xml:space="preserve">   계약부채</t>
    <phoneticPr fontId="1" type="noConversion"/>
  </si>
  <si>
    <t xml:space="preserve">   무형자산</t>
    <phoneticPr fontId="1" type="noConversion"/>
  </si>
  <si>
    <t xml:space="preserve">   STE투자주식</t>
    <phoneticPr fontId="1" type="noConversion"/>
  </si>
  <si>
    <t>Sergio Tacchini P&amp;L</t>
  </si>
  <si>
    <t>Monthly Balance Sheet</t>
  </si>
  <si>
    <t>Balance Sheet ($K)</t>
  </si>
  <si>
    <t>ASSETS</t>
  </si>
  <si>
    <t>Current Assets:</t>
  </si>
  <si>
    <t>Cash and Cash Equivalents</t>
    <phoneticPr fontId="6" type="noConversion"/>
  </si>
  <si>
    <t>Accounts Receivable, net</t>
  </si>
  <si>
    <t>Other Receivables</t>
  </si>
  <si>
    <t>Inventory</t>
  </si>
  <si>
    <t>Other Current Assets</t>
  </si>
  <si>
    <t>Prepaid Expenses</t>
  </si>
  <si>
    <t>Taxes receivable (current)</t>
  </si>
  <si>
    <t>Intercompany Receivables</t>
  </si>
  <si>
    <t>Total Current Assets</t>
  </si>
  <si>
    <t>Non-Current Assets</t>
  </si>
  <si>
    <t>Property, Plant and Equipment, net</t>
  </si>
  <si>
    <t>Accmulated Depreciation</t>
  </si>
  <si>
    <t>Operating lease right-of-use assets</t>
    <phoneticPr fontId="6" type="noConversion"/>
  </si>
  <si>
    <t>Accumulated Amortization</t>
  </si>
  <si>
    <t>Deposits</t>
  </si>
  <si>
    <t>Intangbiles Assets, net</t>
  </si>
  <si>
    <t>Long-term investments (eliminate on consolidation)</t>
    <phoneticPr fontId="6" type="noConversion"/>
  </si>
  <si>
    <t>Total Non-Current Assets</t>
  </si>
  <si>
    <t>Total Assets</t>
  </si>
  <si>
    <t>LIABILITIES AND STOCKHOLDERS' EQUITY</t>
    <phoneticPr fontId="6" type="noConversion"/>
  </si>
  <si>
    <t>Current Liabilities:</t>
  </si>
  <si>
    <t>Accounts Payable</t>
  </si>
  <si>
    <t>Accrued expenses and other current liabilities</t>
  </si>
  <si>
    <t>Intercompany payable (current)</t>
  </si>
  <si>
    <t>Operating lease liabilities (current)</t>
  </si>
  <si>
    <t>Total Current Liabilities</t>
  </si>
  <si>
    <t>Non-Current Liabilities:</t>
  </si>
  <si>
    <t>Short Term Debt</t>
  </si>
  <si>
    <t>Long Term Debt</t>
  </si>
  <si>
    <t>Deferred Revenue</t>
  </si>
  <si>
    <t>Operating lease liabilities (non-current)</t>
  </si>
  <si>
    <t>Total Non-Current Liabilities</t>
  </si>
  <si>
    <t>Stockholder's Equity</t>
  </si>
  <si>
    <t>Equity</t>
  </si>
  <si>
    <t>Accumulated Deficit</t>
  </si>
  <si>
    <t>Total Stockholder's Equity</t>
  </si>
  <si>
    <t>Total Liabilities</t>
  </si>
  <si>
    <t>Monthly AP from IS</t>
  </si>
  <si>
    <t>재구성</t>
  </si>
  <si>
    <t>재구성</t>
    <phoneticPr fontId="1" type="noConversion"/>
  </si>
  <si>
    <t>현금</t>
    <phoneticPr fontId="1" type="noConversion"/>
  </si>
  <si>
    <t>매출채권</t>
    <phoneticPr fontId="1" type="noConversion"/>
  </si>
  <si>
    <t>재고자산</t>
    <phoneticPr fontId="1" type="noConversion"/>
  </si>
  <si>
    <t>선급비용</t>
    <phoneticPr fontId="1" type="noConversion"/>
  </si>
  <si>
    <t>고정자산/보증금</t>
    <phoneticPr fontId="1" type="noConversion"/>
  </si>
  <si>
    <r>
      <rPr>
        <sz val="11"/>
        <color theme="1"/>
        <rFont val="맑은 고딕"/>
        <family val="3"/>
        <charset val="129"/>
      </rPr>
      <t>미수금</t>
    </r>
    <r>
      <rPr>
        <sz val="11"/>
        <color theme="1"/>
        <rFont val="Proxima Nova"/>
      </rPr>
      <t>/미지급금</t>
    </r>
    <phoneticPr fontId="1" type="noConversion"/>
  </si>
  <si>
    <t>무형자산상각비</t>
    <phoneticPr fontId="1" type="noConversion"/>
  </si>
  <si>
    <t>무형자산</t>
  </si>
  <si>
    <t>무형자산</t>
    <phoneticPr fontId="1" type="noConversion"/>
  </si>
  <si>
    <r>
      <t>STE</t>
    </r>
    <r>
      <rPr>
        <sz val="11"/>
        <color theme="1"/>
        <rFont val="맑은 고딕"/>
        <family val="3"/>
        <charset val="129"/>
      </rPr>
      <t>투자주식</t>
    </r>
    <phoneticPr fontId="1" type="noConversion"/>
  </si>
  <si>
    <t>매입채무</t>
    <phoneticPr fontId="1" type="noConversion"/>
  </si>
  <si>
    <t>미지급비용</t>
    <phoneticPr fontId="1" type="noConversion"/>
  </si>
  <si>
    <t>리스부채</t>
    <phoneticPr fontId="1" type="noConversion"/>
  </si>
  <si>
    <t>차입금</t>
    <phoneticPr fontId="1" type="noConversion"/>
  </si>
  <si>
    <t>차임급</t>
  </si>
  <si>
    <t>차임급</t>
    <phoneticPr fontId="1" type="noConversion"/>
  </si>
  <si>
    <t>계약부채</t>
  </si>
  <si>
    <t>계약부채</t>
    <phoneticPr fontId="1" type="noConversion"/>
  </si>
  <si>
    <t>자본금</t>
  </si>
  <si>
    <t>자본금</t>
    <phoneticPr fontId="1" type="noConversion"/>
  </si>
  <si>
    <t>이익잉여금</t>
    <phoneticPr fontId="1" type="noConversion"/>
  </si>
  <si>
    <t>STE투자주식</t>
  </si>
  <si>
    <t>행 레이블</t>
  </si>
  <si>
    <t>총합계</t>
  </si>
  <si>
    <t>합계 : 2025-01-01</t>
  </si>
  <si>
    <t>합계 : 2025-02-01</t>
  </si>
  <si>
    <t>합계 : 2025-03-01</t>
  </si>
  <si>
    <t>합계 : 2025-04-01</t>
  </si>
  <si>
    <t>대분류</t>
    <phoneticPr fontId="1" type="noConversion"/>
  </si>
  <si>
    <t>자산</t>
  </si>
  <si>
    <t>자산</t>
    <phoneticPr fontId="1" type="noConversion"/>
  </si>
  <si>
    <t>부채</t>
  </si>
  <si>
    <t>부채</t>
    <phoneticPr fontId="1" type="noConversion"/>
  </si>
  <si>
    <t>자본</t>
  </si>
  <si>
    <t>자본</t>
    <phoneticPr fontId="1" type="noConversion"/>
  </si>
  <si>
    <t>합계 : 2025-05-01</t>
  </si>
  <si>
    <t>합계 : 2025-06-01</t>
  </si>
  <si>
    <t>합계 : 2025-07-01</t>
  </si>
  <si>
    <t>합계 : 2025-08-01</t>
  </si>
  <si>
    <t>합계 : 2025-09-01</t>
  </si>
  <si>
    <t>합계 : 2025-10-01</t>
  </si>
  <si>
    <t>합계 : 2025-11-01</t>
  </si>
  <si>
    <t>합계 : 2024-11-01</t>
  </si>
  <si>
    <t>합계 : 2024-12-01</t>
  </si>
  <si>
    <t>미수금/미지급금</t>
    <phoneticPr fontId="1" type="noConversion"/>
  </si>
  <si>
    <t>STE투자주식</t>
    <phoneticPr fontId="1" type="noConversion"/>
  </si>
  <si>
    <t>합계 : 2025-12-01</t>
  </si>
  <si>
    <t>자산-부채</t>
    <phoneticPr fontId="1" type="noConversion"/>
  </si>
  <si>
    <t xml:space="preserve">   미수금</t>
    <phoneticPr fontId="1" type="noConversion"/>
  </si>
  <si>
    <t>기타운전자본</t>
    <phoneticPr fontId="1" type="noConversion"/>
  </si>
  <si>
    <t>YoY</t>
  </si>
  <si>
    <t>YoY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</si>
</sst>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$&quot;#,##0;\(&quot;$&quot;#,##0\);&quot;--&quot;"/>
    <numFmt numFmtId="177" formatCode="0.0%"/>
    <numFmt numFmtId="178" formatCode="&quot;$&quot;#,##0.000;\(&quot;$&quot;#,##0.000\);&quot;--&quot;"/>
    <numFmt numFmtId="179" formatCode="&quot;$&quot;#,##0.00;\(&quot;$&quot;#,##0.00\);&quot;--&quot;"/>
    <numFmt numFmtId="180" formatCode="&quot;$&quot;#,##0.00_);\(&quot;$&quot;#,##0.00\)"/>
    <numFmt numFmtId="181" formatCode="_(* #,##0.00_);_(* \(#,##0.00\);_(* &quot;-&quot;??_);_(@_)"/>
    <numFmt numFmtId="182" formatCode="mmm\-yy&quot;A&quot;"/>
    <numFmt numFmtId="183" formatCode="mmm\-yy&quot;F&quot;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Proxima Nova"/>
    </font>
    <font>
      <b/>
      <sz val="11"/>
      <color theme="1"/>
      <name val="Proxima Nova"/>
    </font>
    <font>
      <b/>
      <sz val="11"/>
      <color rgb="FF0000FF"/>
      <name val="Proxima Nova"/>
    </font>
    <font>
      <sz val="8"/>
      <name val="맑은 고딕"/>
      <family val="3"/>
      <charset val="129"/>
      <scheme val="minor"/>
    </font>
    <font>
      <u/>
      <sz val="11"/>
      <color theme="1"/>
      <name val="Proxima Nova"/>
    </font>
    <font>
      <sz val="11"/>
      <color theme="0" tint="-0.14999847407452621"/>
      <name val="맑은 고딕"/>
      <family val="2"/>
      <scheme val="minor"/>
    </font>
    <font>
      <b/>
      <sz val="11"/>
      <color rgb="FFC00000"/>
      <name val="Proxima Nova"/>
    </font>
    <font>
      <sz val="11"/>
      <color rgb="FFC00000"/>
      <name val="Proxima Nova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Proxima Nova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181" fontId="2" fillId="0" borderId="0" applyFont="0" applyFill="0" applyBorder="0" applyAlignment="0" applyProtection="0"/>
  </cellStyleXfs>
  <cellXfs count="7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3" fillId="0" borderId="0" xfId="1" applyFont="1"/>
    <xf numFmtId="176" fontId="3" fillId="0" borderId="0" xfId="1" applyNumberFormat="1" applyFont="1"/>
    <xf numFmtId="177" fontId="3" fillId="0" borderId="0" xfId="2" applyNumberFormat="1" applyFont="1"/>
    <xf numFmtId="0" fontId="2" fillId="0" borderId="0" xfId="1"/>
    <xf numFmtId="0" fontId="4" fillId="0" borderId="0" xfId="1" applyFont="1"/>
    <xf numFmtId="9" fontId="3" fillId="0" borderId="0" xfId="2" applyFont="1"/>
    <xf numFmtId="176" fontId="3" fillId="0" borderId="0" xfId="1" applyNumberFormat="1" applyFont="1" applyAlignment="1">
      <alignment horizontal="right"/>
    </xf>
    <xf numFmtId="178" fontId="3" fillId="0" borderId="0" xfId="1" applyNumberFormat="1" applyFont="1"/>
    <xf numFmtId="179" fontId="3" fillId="0" borderId="0" xfId="1" applyNumberFormat="1" applyFont="1"/>
    <xf numFmtId="14" fontId="5" fillId="2" borderId="0" xfId="1" applyNumberFormat="1" applyFont="1" applyFill="1" applyAlignment="1">
      <alignment horizontal="left"/>
    </xf>
    <xf numFmtId="178" fontId="3" fillId="0" borderId="0" xfId="2" applyNumberFormat="1" applyFont="1"/>
    <xf numFmtId="180" fontId="3" fillId="0" borderId="0" xfId="1" applyNumberFormat="1" applyFont="1"/>
    <xf numFmtId="0" fontId="3" fillId="0" borderId="0" xfId="1" applyFont="1" applyAlignment="1">
      <alignment horizontal="center"/>
    </xf>
    <xf numFmtId="181" fontId="3" fillId="0" borderId="0" xfId="3" applyFont="1"/>
    <xf numFmtId="176" fontId="3" fillId="0" borderId="0" xfId="2" applyNumberFormat="1" applyFont="1"/>
    <xf numFmtId="0" fontId="5" fillId="0" borderId="1" xfId="1" applyFont="1" applyBorder="1"/>
    <xf numFmtId="0" fontId="3" fillId="0" borderId="1" xfId="1" applyFont="1" applyBorder="1"/>
    <xf numFmtId="182" fontId="4" fillId="3" borderId="2" xfId="1" applyNumberFormat="1" applyFont="1" applyFill="1" applyBorder="1" applyAlignment="1">
      <alignment horizontal="center"/>
    </xf>
    <xf numFmtId="182" fontId="4" fillId="3" borderId="3" xfId="1" applyNumberFormat="1" applyFont="1" applyFill="1" applyBorder="1" applyAlignment="1">
      <alignment horizontal="center"/>
    </xf>
    <xf numFmtId="183" fontId="4" fillId="3" borderId="2" xfId="1" applyNumberFormat="1" applyFont="1" applyFill="1" applyBorder="1" applyAlignment="1">
      <alignment horizontal="center"/>
    </xf>
    <xf numFmtId="0" fontId="2" fillId="0" borderId="4" xfId="1" applyBorder="1"/>
    <xf numFmtId="176" fontId="3" fillId="0" borderId="5" xfId="1" applyNumberFormat="1" applyFont="1" applyBorder="1"/>
    <xf numFmtId="176" fontId="3" fillId="0" borderId="6" xfId="1" applyNumberFormat="1" applyFont="1" applyBorder="1"/>
    <xf numFmtId="0" fontId="3" fillId="4" borderId="0" xfId="1" applyFont="1" applyFill="1" applyAlignment="1">
      <alignment horizontal="left" indent="2"/>
    </xf>
    <xf numFmtId="176" fontId="3" fillId="4" borderId="0" xfId="1" applyNumberFormat="1" applyFont="1" applyFill="1"/>
    <xf numFmtId="176" fontId="3" fillId="4" borderId="5" xfId="1" applyNumberFormat="1" applyFont="1" applyFill="1" applyBorder="1"/>
    <xf numFmtId="176" fontId="3" fillId="4" borderId="6" xfId="1" applyNumberFormat="1" applyFont="1" applyFill="1" applyBorder="1"/>
    <xf numFmtId="0" fontId="3" fillId="0" borderId="0" xfId="1" applyFont="1" applyAlignment="1">
      <alignment horizontal="left" indent="2"/>
    </xf>
    <xf numFmtId="180" fontId="2" fillId="0" borderId="0" xfId="1" applyNumberFormat="1"/>
    <xf numFmtId="176" fontId="7" fillId="0" borderId="5" xfId="1" applyNumberFormat="1" applyFont="1" applyBorder="1"/>
    <xf numFmtId="176" fontId="7" fillId="0" borderId="0" xfId="1" applyNumberFormat="1" applyFont="1"/>
    <xf numFmtId="176" fontId="7" fillId="0" borderId="6" xfId="1" applyNumberFormat="1" applyFont="1" applyBorder="1"/>
    <xf numFmtId="0" fontId="4" fillId="0" borderId="0" xfId="1" applyFont="1" applyAlignment="1">
      <alignment horizontal="left" indent="1"/>
    </xf>
    <xf numFmtId="176" fontId="4" fillId="0" borderId="5" xfId="1" applyNumberFormat="1" applyFont="1" applyBorder="1"/>
    <xf numFmtId="176" fontId="4" fillId="0" borderId="0" xfId="1" applyNumberFormat="1" applyFont="1"/>
    <xf numFmtId="176" fontId="4" fillId="0" borderId="6" xfId="1" applyNumberFormat="1" applyFont="1" applyBorder="1"/>
    <xf numFmtId="0" fontId="3" fillId="0" borderId="0" xfId="1" applyFont="1" applyAlignment="1">
      <alignment horizontal="left" indent="1"/>
    </xf>
    <xf numFmtId="0" fontId="4" fillId="0" borderId="7" xfId="1" applyFont="1" applyBorder="1"/>
    <xf numFmtId="176" fontId="4" fillId="0" borderId="7" xfId="1" applyNumberFormat="1" applyFont="1" applyBorder="1"/>
    <xf numFmtId="176" fontId="4" fillId="0" borderId="8" xfId="1" applyNumberFormat="1" applyFont="1" applyBorder="1"/>
    <xf numFmtId="176" fontId="4" fillId="0" borderId="3" xfId="1" applyNumberFormat="1" applyFont="1" applyBorder="1"/>
    <xf numFmtId="176" fontId="3" fillId="0" borderId="9" xfId="1" applyNumberFormat="1" applyFont="1" applyBorder="1"/>
    <xf numFmtId="176" fontId="3" fillId="2" borderId="6" xfId="1" applyNumberFormat="1" applyFont="1" applyFill="1" applyBorder="1"/>
    <xf numFmtId="176" fontId="3" fillId="2" borderId="5" xfId="1" applyNumberFormat="1" applyFont="1" applyFill="1" applyBorder="1"/>
    <xf numFmtId="176" fontId="3" fillId="2" borderId="0" xfId="1" applyNumberFormat="1" applyFont="1" applyFill="1"/>
    <xf numFmtId="176" fontId="7" fillId="4" borderId="5" xfId="1" applyNumberFormat="1" applyFont="1" applyFill="1" applyBorder="1"/>
    <xf numFmtId="176" fontId="7" fillId="4" borderId="0" xfId="1" applyNumberFormat="1" applyFont="1" applyFill="1"/>
    <xf numFmtId="176" fontId="7" fillId="4" borderId="6" xfId="1" applyNumberFormat="1" applyFont="1" applyFill="1" applyBorder="1"/>
    <xf numFmtId="0" fontId="8" fillId="0" borderId="0" xfId="1" applyFont="1"/>
    <xf numFmtId="0" fontId="9" fillId="0" borderId="0" xfId="1" applyFont="1"/>
    <xf numFmtId="176" fontId="10" fillId="0" borderId="0" xfId="1" applyNumberFormat="1" applyFont="1"/>
    <xf numFmtId="179" fontId="10" fillId="0" borderId="0" xfId="1" applyNumberFormat="1" applyFont="1"/>
    <xf numFmtId="0" fontId="11" fillId="0" borderId="0" xfId="1" applyFont="1"/>
    <xf numFmtId="9" fontId="3" fillId="0" borderId="0" xfId="2" applyFont="1" applyAlignment="1">
      <alignment horizontal="right"/>
    </xf>
    <xf numFmtId="0" fontId="4" fillId="0" borderId="0" xfId="1" applyFont="1" applyAlignment="1">
      <alignment horizontal="center"/>
    </xf>
    <xf numFmtId="0" fontId="13" fillId="0" borderId="0" xfId="1" applyFont="1" applyAlignment="1">
      <alignment horizontal="left" indent="2"/>
    </xf>
    <xf numFmtId="3" fontId="3" fillId="0" borderId="0" xfId="3" applyNumberFormat="1" applyFont="1"/>
    <xf numFmtId="0" fontId="12" fillId="0" borderId="0" xfId="1" applyFont="1" applyAlignment="1">
      <alignment horizontal="left" indent="2"/>
    </xf>
    <xf numFmtId="3" fontId="3" fillId="0" borderId="0" xfId="2" applyNumberFormat="1" applyFont="1"/>
    <xf numFmtId="3" fontId="3" fillId="0" borderId="0" xfId="1" applyNumberFormat="1" applyFont="1"/>
    <xf numFmtId="3" fontId="3" fillId="0" borderId="6" xfId="1" applyNumberFormat="1" applyFont="1" applyBorder="1"/>
    <xf numFmtId="0" fontId="12" fillId="4" borderId="0" xfId="1" applyFont="1" applyFill="1" applyAlignment="1">
      <alignment horizontal="left" indent="2"/>
    </xf>
    <xf numFmtId="14" fontId="0" fillId="0" borderId="0" xfId="0" applyNumberFormat="1">
      <alignment vertical="center"/>
    </xf>
    <xf numFmtId="0" fontId="3" fillId="5" borderId="0" xfId="1" applyFont="1" applyFill="1" applyAlignment="1">
      <alignment horizontal="left" indent="2"/>
    </xf>
    <xf numFmtId="176" fontId="3" fillId="5" borderId="5" xfId="1" applyNumberFormat="1" applyFont="1" applyFill="1" applyBorder="1"/>
    <xf numFmtId="176" fontId="3" fillId="5" borderId="0" xfId="1" applyNumberFormat="1" applyFont="1" applyFill="1"/>
    <xf numFmtId="176" fontId="3" fillId="5" borderId="6" xfId="1" applyNumberFormat="1" applyFont="1" applyFill="1" applyBorder="1"/>
    <xf numFmtId="0" fontId="12" fillId="5" borderId="0" xfId="1" applyFont="1" applyFill="1" applyAlignment="1">
      <alignment horizontal="left" indent="2"/>
    </xf>
    <xf numFmtId="3" fontId="3" fillId="0" borderId="0" xfId="1" applyNumberFormat="1" applyFont="1" applyAlignment="1">
      <alignment horizontal="center"/>
    </xf>
    <xf numFmtId="0" fontId="0" fillId="5" borderId="0" xfId="0" applyFill="1">
      <alignment vertical="center"/>
    </xf>
    <xf numFmtId="3" fontId="0" fillId="5" borderId="0" xfId="0" applyNumberFormat="1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7" fontId="0" fillId="0" borderId="0" xfId="0" applyNumberFormat="1">
      <alignment vertical="center"/>
    </xf>
    <xf numFmtId="17" fontId="0" fillId="0" borderId="0" xfId="0" applyNumberFormat="1" applyAlignment="1">
      <alignment horizontal="center" vertical="center"/>
    </xf>
    <xf numFmtId="16" fontId="0" fillId="0" borderId="0" xfId="0" applyNumberFormat="1">
      <alignment vertical="center"/>
    </xf>
  </cellXfs>
  <cellStyles count="4">
    <cellStyle name="백분율 2" xfId="2" xr:uid="{362D1EBA-5EEC-4304-877C-E31A70B15DC2}"/>
    <cellStyle name="쉼표 2" xfId="3" xr:uid="{C8A96616-C2FD-42AC-B1D9-C59F2AD0FEFF}"/>
    <cellStyle name="표준" xfId="0" builtinId="0"/>
    <cellStyle name="표준 2" xfId="1" xr:uid="{C9348528-E659-4695-8957-AD316B14CC91}"/>
  </cellStyles>
  <dxfs count="8"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0401\Documents\&#50629;&#47924;&#51064;&#49688;&#51064;&#44228;\6.&#49892;&#51201;&#48372;&#44256;\2025&#45380;\11&#50900;\251204%20STO%20Company%20Budget%20Model_&#49688;&#51221;&#48376;.xlsx" TargetMode="External"/><Relationship Id="rId1" Type="http://schemas.openxmlformats.org/officeDocument/2006/relationships/externalLinkPath" Target="/Users/AD0401/Documents/&#50629;&#47924;&#51064;&#49688;&#51064;&#44228;/6.&#49892;&#51201;&#48372;&#44256;/2025&#45380;/11&#50900;/251204%20STO%20Company%20Budget%20Model_&#49688;&#51221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 Total"/>
      <sheetName val="26 Total"/>
      <sheetName val="보고자료"/>
      <sheetName val="TOC"/>
      <sheetName val="OUTPUT-&gt;"/>
      <sheetName val="미국실적"/>
      <sheetName val="손익_표"/>
      <sheetName val="영업비"/>
      <sheetName val="미국연간"/>
      <sheetName val="STO P&amp;L"/>
      <sheetName val="FINANCIALS-&gt;"/>
      <sheetName val="STO BS"/>
      <sheetName val="STO CF"/>
      <sheetName val="Dashboard for Yoon V3"/>
      <sheetName val="Current &amp; YTD"/>
      <sheetName val="BUDGET-&gt;"/>
      <sheetName val="미국연간 - Stretch Goal"/>
      <sheetName val="STO P&amp;L Monthly - Reforecast"/>
      <sheetName val="STO P&amp;L Monthly - Stretch Goal"/>
      <sheetName val="STO P&amp;L Monthly - KPI Tracking"/>
      <sheetName val="DATA-&gt;"/>
      <sheetName val="STO - IS"/>
      <sheetName val="STO - BS"/>
      <sheetName val="NS Vendor Details"/>
      <sheetName val="G&amp;A Vendor Analysis"/>
      <sheetName val="Direct Costs Vendor Analysis"/>
      <sheetName val="MSRP - Sales"/>
      <sheetName val="Net Sales Breakdown"/>
      <sheetName val="Inventory - MSRP"/>
      <sheetName val="G&amp;A Analysis"/>
      <sheetName val="G&amp;A Vendor x GL Analysis"/>
      <sheetName val="HQ Salaries"/>
      <sheetName val="Direct Costs Analysis"/>
      <sheetName val="STO Headcounts"/>
      <sheetName val="Number of Orders Shipped"/>
      <sheetName val="Direct Costs Breakdown - Budget"/>
      <sheetName val="Direct Costs Breakdown - Actual"/>
      <sheetName val="G&amp;A Budget Bottom-Up"/>
      <sheetName val="Ref"/>
      <sheetName val="Vendor Lookup"/>
    </sheetNames>
    <sheetDataSet>
      <sheetData sheetId="0" refreshError="1"/>
      <sheetData sheetId="1" refreshError="1"/>
      <sheetData sheetId="2" refreshError="1"/>
      <sheetData sheetId="3">
        <row r="6">
          <cell r="B6">
            <v>45962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4">
          <cell r="F54">
            <v>531051.61999999988</v>
          </cell>
          <cell r="G54">
            <v>446892.00000000006</v>
          </cell>
          <cell r="H54">
            <v>620129.81000000006</v>
          </cell>
          <cell r="I54">
            <v>617890.26</v>
          </cell>
          <cell r="J54">
            <v>680677.10000000009</v>
          </cell>
          <cell r="K54">
            <v>624330.64</v>
          </cell>
          <cell r="L54">
            <v>501355.89999999991</v>
          </cell>
          <cell r="M54">
            <v>560603.55000000005</v>
          </cell>
          <cell r="N54">
            <v>592779.26</v>
          </cell>
          <cell r="O54">
            <v>557804.6599999998</v>
          </cell>
          <cell r="P54">
            <v>567260.47</v>
          </cell>
          <cell r="Q54">
            <v>719681.6</v>
          </cell>
          <cell r="R54">
            <v>479392.35999999993</v>
          </cell>
          <cell r="S54">
            <v>441043.02999999997</v>
          </cell>
          <cell r="T54">
            <v>585419.22</v>
          </cell>
          <cell r="U54">
            <v>589693.7300000001</v>
          </cell>
          <cell r="V54">
            <v>592287.42999999993</v>
          </cell>
          <cell r="W54">
            <v>567179.78</v>
          </cell>
          <cell r="X54">
            <v>568399.57000000007</v>
          </cell>
          <cell r="Y54">
            <v>534302.65</v>
          </cell>
          <cell r="Z54">
            <v>726554.03000000014</v>
          </cell>
          <cell r="AA54">
            <v>869242.03</v>
          </cell>
          <cell r="AB54">
            <v>846639.45000000019</v>
          </cell>
          <cell r="AC54">
            <v>1159995.9870152492</v>
          </cell>
        </row>
        <row r="56">
          <cell r="F56">
            <v>381657.95</v>
          </cell>
          <cell r="G56">
            <v>311388.78000000003</v>
          </cell>
          <cell r="H56">
            <v>92703.280000000013</v>
          </cell>
          <cell r="I56">
            <v>343689.12</v>
          </cell>
          <cell r="J56">
            <v>342492.76</v>
          </cell>
          <cell r="K56">
            <v>299719.69</v>
          </cell>
          <cell r="L56">
            <v>414255.70999999996</v>
          </cell>
          <cell r="M56">
            <v>372324.82999999996</v>
          </cell>
          <cell r="N56">
            <v>433833.92</v>
          </cell>
          <cell r="O56">
            <v>422164.76</v>
          </cell>
          <cell r="P56">
            <v>429082.91000000003</v>
          </cell>
          <cell r="Q56">
            <v>276426.98999999993</v>
          </cell>
          <cell r="R56">
            <v>380784.07</v>
          </cell>
          <cell r="S56">
            <v>320839.77</v>
          </cell>
          <cell r="T56">
            <v>365453.29000000004</v>
          </cell>
          <cell r="U56">
            <v>361577.69999999995</v>
          </cell>
          <cell r="V56">
            <v>214189.44</v>
          </cell>
          <cell r="W56">
            <v>374119.41</v>
          </cell>
          <cell r="X56">
            <v>411690.08</v>
          </cell>
          <cell r="Y56">
            <v>338932.06999999995</v>
          </cell>
          <cell r="Z56">
            <v>342387.68999999994</v>
          </cell>
          <cell r="AA56">
            <v>361157.58</v>
          </cell>
          <cell r="AB56">
            <v>315403.05999999994</v>
          </cell>
          <cell r="AC56">
            <v>352835.10700000002</v>
          </cell>
        </row>
        <row r="63">
          <cell r="F63">
            <v>-15427.710000000001</v>
          </cell>
          <cell r="G63">
            <v>6973.77</v>
          </cell>
          <cell r="H63">
            <v>49370.03</v>
          </cell>
          <cell r="I63">
            <v>38324.42</v>
          </cell>
          <cell r="J63">
            <v>69395.239999999991</v>
          </cell>
          <cell r="K63">
            <v>80279.94</v>
          </cell>
          <cell r="L63">
            <v>78248.259999999995</v>
          </cell>
          <cell r="M63">
            <v>64574.020000000004</v>
          </cell>
          <cell r="N63">
            <v>49385.210000000006</v>
          </cell>
          <cell r="O63">
            <v>70844.78</v>
          </cell>
          <cell r="P63">
            <v>90302.630000000019</v>
          </cell>
          <cell r="Q63">
            <v>116206.12000000001</v>
          </cell>
          <cell r="R63">
            <v>118210.20999999999</v>
          </cell>
          <cell r="S63">
            <v>70499.5</v>
          </cell>
          <cell r="T63">
            <v>122283.39</v>
          </cell>
          <cell r="U63">
            <v>53581.1</v>
          </cell>
          <cell r="V63">
            <v>60412.22</v>
          </cell>
          <cell r="W63">
            <v>87353.459999999977</v>
          </cell>
          <cell r="X63">
            <v>78331.039999999994</v>
          </cell>
          <cell r="Y63">
            <v>87554.580000000016</v>
          </cell>
          <cell r="Z63">
            <v>77015</v>
          </cell>
          <cell r="AA63">
            <v>61633.310000000005</v>
          </cell>
          <cell r="AB63">
            <v>112652.04000000001</v>
          </cell>
          <cell r="AC63">
            <v>85661.73626286794</v>
          </cell>
        </row>
        <row r="64">
          <cell r="F64">
            <v>8476.25</v>
          </cell>
          <cell r="G64">
            <v>8270.880000000001</v>
          </cell>
          <cell r="H64">
            <v>19581.609999999997</v>
          </cell>
          <cell r="I64">
            <v>8317.4600000000028</v>
          </cell>
          <cell r="J64">
            <v>8876.4</v>
          </cell>
          <cell r="K64">
            <v>4972.4799999999987</v>
          </cell>
          <cell r="L64">
            <v>9255.73</v>
          </cell>
          <cell r="M64">
            <v>22697.039999999994</v>
          </cell>
          <cell r="N64">
            <v>4595.3800000000019</v>
          </cell>
          <cell r="O64">
            <v>3557.5900000000006</v>
          </cell>
          <cell r="P64">
            <v>23450.020000000004</v>
          </cell>
          <cell r="Q64">
            <v>14113.750000000002</v>
          </cell>
          <cell r="R64">
            <v>4954.1499999999996</v>
          </cell>
          <cell r="S64">
            <v>4505.18</v>
          </cell>
          <cell r="T64">
            <v>23731.360000000004</v>
          </cell>
          <cell r="U64">
            <v>4693.8700000000008</v>
          </cell>
          <cell r="V64">
            <v>11759.87</v>
          </cell>
          <cell r="W64">
            <v>1264.1299999999997</v>
          </cell>
          <cell r="X64">
            <v>1094.28</v>
          </cell>
          <cell r="Y64">
            <v>1279.4900000000002</v>
          </cell>
          <cell r="Z64">
            <v>856.25</v>
          </cell>
          <cell r="AA64">
            <v>2066.6999999999998</v>
          </cell>
          <cell r="AB64">
            <v>3692.86</v>
          </cell>
          <cell r="AC64">
            <v>13768.106533117239</v>
          </cell>
        </row>
        <row r="65">
          <cell r="F65">
            <v>33913.350000000006</v>
          </cell>
          <cell r="G65">
            <v>33915.440000000002</v>
          </cell>
          <cell r="H65">
            <v>33917.550000000003</v>
          </cell>
          <cell r="I65">
            <v>33919.67</v>
          </cell>
          <cell r="J65">
            <v>33921.800000000003</v>
          </cell>
          <cell r="K65">
            <v>-21937.620000000006</v>
          </cell>
          <cell r="L65">
            <v>24615.82</v>
          </cell>
          <cell r="M65">
            <v>24617.97</v>
          </cell>
          <cell r="N65">
            <v>24620.129999999997</v>
          </cell>
          <cell r="O65">
            <v>24622.300000000003</v>
          </cell>
          <cell r="P65">
            <v>24624.479999999996</v>
          </cell>
          <cell r="Q65">
            <v>24626.66</v>
          </cell>
          <cell r="R65">
            <v>24649.530000000002</v>
          </cell>
          <cell r="S65">
            <v>24651.739999999994</v>
          </cell>
          <cell r="T65">
            <v>24653.99</v>
          </cell>
          <cell r="U65">
            <v>24656.170000000002</v>
          </cell>
          <cell r="V65">
            <v>24658.390000000003</v>
          </cell>
          <cell r="W65">
            <v>24660.63</v>
          </cell>
          <cell r="X65">
            <v>24662.87</v>
          </cell>
          <cell r="Y65">
            <v>24665.13</v>
          </cell>
          <cell r="Z65">
            <v>24667.39</v>
          </cell>
          <cell r="AA65">
            <v>24669.66</v>
          </cell>
          <cell r="AB65">
            <v>24671.94</v>
          </cell>
          <cell r="AC65">
            <v>24658.39</v>
          </cell>
        </row>
        <row r="66">
          <cell r="F66">
            <v>6774.8</v>
          </cell>
          <cell r="G66">
            <v>44201.07</v>
          </cell>
          <cell r="H66">
            <v>315.84000000000003</v>
          </cell>
          <cell r="I66">
            <v>1154.31</v>
          </cell>
          <cell r="J66">
            <v>21269.01</v>
          </cell>
          <cell r="K66">
            <v>14715.689999999999</v>
          </cell>
          <cell r="L66">
            <v>5694.15</v>
          </cell>
          <cell r="M66">
            <v>31948.820000000003</v>
          </cell>
          <cell r="N66">
            <v>1398.19</v>
          </cell>
          <cell r="O66">
            <v>17417.879999999997</v>
          </cell>
          <cell r="P66">
            <v>5527.6900000000005</v>
          </cell>
          <cell r="Q66">
            <v>8297.119999999999</v>
          </cell>
          <cell r="R66">
            <v>38117.17</v>
          </cell>
          <cell r="S66">
            <v>5126.67</v>
          </cell>
          <cell r="T66">
            <v>3228.46</v>
          </cell>
          <cell r="U66">
            <v>19361.09</v>
          </cell>
          <cell r="V66">
            <v>2318.4700000000007</v>
          </cell>
          <cell r="W66">
            <v>4924.2300000000005</v>
          </cell>
          <cell r="X66">
            <v>5195.26</v>
          </cell>
          <cell r="Y66">
            <v>1935.81</v>
          </cell>
          <cell r="Z66">
            <v>9966.5299999999988</v>
          </cell>
          <cell r="AA66">
            <v>57135.339999999975</v>
          </cell>
          <cell r="AB66">
            <v>750</v>
          </cell>
          <cell r="AC66">
            <v>18900.852903540064</v>
          </cell>
        </row>
        <row r="67">
          <cell r="F67">
            <v>74248.110000000015</v>
          </cell>
          <cell r="G67">
            <v>55464.179999999993</v>
          </cell>
          <cell r="H67">
            <v>163784.20999999993</v>
          </cell>
          <cell r="I67">
            <v>75320.01999999999</v>
          </cell>
          <cell r="J67">
            <v>53595.3</v>
          </cell>
          <cell r="K67">
            <v>49319.399999999994</v>
          </cell>
          <cell r="L67">
            <v>147458.42999999996</v>
          </cell>
          <cell r="M67">
            <v>66282.749999999985</v>
          </cell>
          <cell r="N67">
            <v>51166.869999999995</v>
          </cell>
          <cell r="O67">
            <v>107995.38</v>
          </cell>
          <cell r="P67">
            <v>123364.37000000002</v>
          </cell>
          <cell r="Q67">
            <v>126695.42000000001</v>
          </cell>
          <cell r="R67">
            <v>52659.67</v>
          </cell>
          <cell r="S67">
            <v>81730.59</v>
          </cell>
          <cell r="T67">
            <v>56640.990000000005</v>
          </cell>
          <cell r="U67">
            <v>89562.290000000008</v>
          </cell>
          <cell r="V67">
            <v>218381.12000000005</v>
          </cell>
          <cell r="W67">
            <v>111685.52</v>
          </cell>
          <cell r="X67">
            <v>90051.690000000017</v>
          </cell>
          <cell r="Y67">
            <v>117665.74000000003</v>
          </cell>
          <cell r="Z67">
            <v>104901.78000000001</v>
          </cell>
          <cell r="AA67">
            <v>120868.59000000003</v>
          </cell>
          <cell r="AB67">
            <v>61717.659999999996</v>
          </cell>
          <cell r="AC67">
            <v>72632.516462696934</v>
          </cell>
        </row>
        <row r="68">
          <cell r="F68">
            <v>-3735.2399999999989</v>
          </cell>
          <cell r="G68">
            <v>10831.16</v>
          </cell>
          <cell r="H68">
            <v>-93316.11</v>
          </cell>
          <cell r="I68">
            <v>27682.059999999998</v>
          </cell>
          <cell r="J68">
            <v>38823.759999999995</v>
          </cell>
          <cell r="K68">
            <v>32346.05</v>
          </cell>
          <cell r="L68">
            <v>12592.210000000003</v>
          </cell>
          <cell r="M68">
            <v>26039.11</v>
          </cell>
          <cell r="N68">
            <v>3771.4599999999937</v>
          </cell>
          <cell r="O68">
            <v>13642.49</v>
          </cell>
          <cell r="P68">
            <v>15141.12</v>
          </cell>
          <cell r="Q68">
            <v>434382.51</v>
          </cell>
          <cell r="R68">
            <v>8123.0500000000011</v>
          </cell>
          <cell r="S68">
            <v>12141.339999999997</v>
          </cell>
          <cell r="T68">
            <v>97426.200000000012</v>
          </cell>
          <cell r="U68">
            <v>6880.8899999999994</v>
          </cell>
          <cell r="V68">
            <v>11079.789999999997</v>
          </cell>
          <cell r="W68">
            <v>24721.009999999991</v>
          </cell>
          <cell r="X68">
            <v>15393.140000000003</v>
          </cell>
          <cell r="Y68">
            <v>25767.690000000006</v>
          </cell>
          <cell r="Z68">
            <v>-30144.519999999993</v>
          </cell>
          <cell r="AA68">
            <v>11730.660000000007</v>
          </cell>
          <cell r="AB68">
            <v>15248.44</v>
          </cell>
          <cell r="AC68">
            <v>26657.736784823304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0401" refreshedDate="46003.439457060187" createdVersion="8" refreshedVersion="8" minRefreshableVersion="3" recordCount="26" xr:uid="{F1AC253E-7A60-4C06-B4DA-30B3025D7812}">
  <cacheSource type="worksheet">
    <worksheetSource ref="C3:AA29" sheet="Sheet3"/>
  </cacheSource>
  <cacheFields count="25">
    <cacheField name="재구성" numFmtId="0">
      <sharedItems count="17">
        <s v="현금"/>
        <s v="매출채권"/>
        <s v="미수금/미지급금"/>
        <s v="재고자산"/>
        <s v="선급비용"/>
        <s v="고정자산/보증금"/>
        <s v="리스자산"/>
        <s v="무형자산"/>
        <s v="STE투자주식"/>
        <s v="매입채무"/>
        <s v="미지급비용"/>
        <s v="리스부채"/>
        <s v="차입금"/>
        <s v="차임급"/>
        <s v="계약부채"/>
        <s v="자본금"/>
        <s v="이익잉여금"/>
      </sharedItems>
    </cacheField>
    <cacheField name="2024-01-01" numFmtId="3">
      <sharedItems containsSemiMixedTypes="0" containsString="0" containsNumber="1" minValue="-9500.8727900000013" maxValue="60672.168100000003"/>
    </cacheField>
    <cacheField name="2024-02-01" numFmtId="3">
      <sharedItems containsSemiMixedTypes="0" containsString="0" containsNumber="1" minValue="-9376.375469999999" maxValue="60672.168100000003"/>
    </cacheField>
    <cacheField name="2024-03-01" numFmtId="3">
      <sharedItems containsSemiMixedTypes="0" containsString="0" containsNumber="1" minValue="-9016.159599999999" maxValue="60672.168100000003"/>
    </cacheField>
    <cacheField name="2024-04-01" numFmtId="3">
      <sharedItems containsSemiMixedTypes="0" containsString="0" containsNumber="1" minValue="-8809.9936400000006" maxValue="60672.168100000003"/>
    </cacheField>
    <cacheField name="2024-05-01" numFmtId="3">
      <sharedItems containsSemiMixedTypes="0" containsString="0" containsNumber="1" minValue="-8941.6555299999964" maxValue="60672.168100000003"/>
    </cacheField>
    <cacheField name="2024-06-01" numFmtId="3">
      <sharedItems containsSemiMixedTypes="0" containsString="0" containsNumber="1" minValue="-9039.9533899999988" maxValue="60672.168100000003"/>
    </cacheField>
    <cacheField name="2024-07-01" numFmtId="3">
      <sharedItems containsSemiMixedTypes="0" containsString="0" containsNumber="1" minValue="-10973.967069999997" maxValue="60672.168100000003"/>
    </cacheField>
    <cacheField name="2024-08-01" numFmtId="3">
      <sharedItems containsSemiMixedTypes="0" containsString="0" containsNumber="1" minValue="-11185.250480000004" maxValue="60672.168100000003"/>
    </cacheField>
    <cacheField name="2024-09-01" numFmtId="3">
      <sharedItems containsSemiMixedTypes="0" containsString="0" containsNumber="1" minValue="-11164.282420000001" maxValue="60672.168100000003"/>
    </cacheField>
    <cacheField name="2024-10-01" numFmtId="3">
      <sharedItems containsSemiMixedTypes="0" containsString="0" containsNumber="1" minValue="-11714.955409999999" maxValue="60672.168100000003"/>
    </cacheField>
    <cacheField name="2024-11-01" numFmtId="3">
      <sharedItems containsSemiMixedTypes="0" containsString="0" containsNumber="1" minValue="-12116.548770000003" maxValue="60672.168100000003"/>
    </cacheField>
    <cacheField name="2024-12-01" numFmtId="3">
      <sharedItems containsString="0" containsBlank="1" containsNumber="1" minValue="-12453.393759999997" maxValue="60672.168100000003"/>
    </cacheField>
    <cacheField name="2025-01-01" numFmtId="3">
      <sharedItems containsSemiMixedTypes="0" containsString="0" containsNumber="1" minValue="-12853.484720000048" maxValue="60672.168100000003"/>
    </cacheField>
    <cacheField name="2025-02-01" numFmtId="3">
      <sharedItems containsSemiMixedTypes="0" containsString="0" containsNumber="1" minValue="-13266.536640000048" maxValue="60672.168100000003"/>
    </cacheField>
    <cacheField name="2025-03-01" numFmtId="3">
      <sharedItems containsSemiMixedTypes="0" containsString="0" containsNumber="1" minValue="-14264.493460000045" maxValue="60672.168100000003"/>
    </cacheField>
    <cacheField name="2025-04-01" numFmtId="3">
      <sharedItems containsSemiMixedTypes="0" containsString="0" containsNumber="1" minValue="-14686.886480000047" maxValue="60672.168100000003"/>
    </cacheField>
    <cacheField name="2025-05-01" numFmtId="3">
      <sharedItems containsSemiMixedTypes="0" containsString="0" containsNumber="1" minValue="-15020.400350000044" maxValue="60672.168100000003"/>
    </cacheField>
    <cacheField name="2025-06-01" numFmtId="3">
      <sharedItems containsSemiMixedTypes="0" containsString="0" containsNumber="1" minValue="-15833.784160000045" maxValue="60672.168100000003"/>
    </cacheField>
    <cacheField name="2025-07-01" numFmtId="3">
      <sharedItems containsSemiMixedTypes="0" containsString="0" containsNumber="1" minValue="-17495.328740000048" maxValue="60672.168100000003"/>
    </cacheField>
    <cacheField name="2025-08-01" numFmtId="3">
      <sharedItems containsSemiMixedTypes="0" containsString="0" containsNumber="1" minValue="-17878.444420000047" maxValue="60672.168100000003"/>
    </cacheField>
    <cacheField name="2025-09-01" numFmtId="3">
      <sharedItems containsSemiMixedTypes="0" containsString="0" containsNumber="1" minValue="-17832.909490000042" maxValue="60672.168100000003"/>
    </cacheField>
    <cacheField name="2025-10-01" numFmtId="3">
      <sharedItems containsSemiMixedTypes="0" containsString="0" containsNumber="1" minValue="-18595.148330000036" maxValue="60672.168100000003"/>
    </cacheField>
    <cacheField name="2025-11-01" numFmtId="3">
      <sharedItems containsSemiMixedTypes="0" containsString="0" containsNumber="1" minValue="-19039.879030000051" maxValue="60672.168100000003"/>
    </cacheField>
    <cacheField name="2025-12-01" numFmtId="3">
      <sharedItems containsSemiMixedTypes="0" containsString="0" containsNumber="1" minValue="-20023.49353744305" maxValue="60672.1681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0401" refreshedDate="46003.440062499998" createdVersion="8" refreshedVersion="8" minRefreshableVersion="3" recordCount="26" xr:uid="{F357D0F7-2062-44C2-AB11-CCA39E30BF2A}">
  <cacheSource type="worksheet">
    <worksheetSource ref="B3:AA29" sheet="Sheet3"/>
  </cacheSource>
  <cacheFields count="26">
    <cacheField name="대분류" numFmtId="0">
      <sharedItems count="3">
        <s v="자산"/>
        <s v="부채"/>
        <s v="자본"/>
      </sharedItems>
    </cacheField>
    <cacheField name="재구성" numFmtId="0">
      <sharedItems count="17">
        <s v="현금"/>
        <s v="매출채권"/>
        <s v="미수금/미지급금"/>
        <s v="재고자산"/>
        <s v="선급비용"/>
        <s v="고정자산/보증금"/>
        <s v="리스자산"/>
        <s v="무형자산"/>
        <s v="STE투자주식"/>
        <s v="매입채무"/>
        <s v="미지급비용"/>
        <s v="리스부채"/>
        <s v="차입금"/>
        <s v="차임급"/>
        <s v="계약부채"/>
        <s v="자본금"/>
        <s v="이익잉여금"/>
      </sharedItems>
    </cacheField>
    <cacheField name="2024-01-01" numFmtId="3">
      <sharedItems containsSemiMixedTypes="0" containsString="0" containsNumber="1" minValue="-9500.8727900000013" maxValue="60672.168100000003"/>
    </cacheField>
    <cacheField name="2024-02-01" numFmtId="3">
      <sharedItems containsSemiMixedTypes="0" containsString="0" containsNumber="1" minValue="-9376.375469999999" maxValue="60672.168100000003"/>
    </cacheField>
    <cacheField name="2024-03-01" numFmtId="3">
      <sharedItems containsSemiMixedTypes="0" containsString="0" containsNumber="1" minValue="-9016.159599999999" maxValue="60672.168100000003"/>
    </cacheField>
    <cacheField name="2024-04-01" numFmtId="3">
      <sharedItems containsSemiMixedTypes="0" containsString="0" containsNumber="1" minValue="-8809.9936400000006" maxValue="60672.168100000003"/>
    </cacheField>
    <cacheField name="2024-05-01" numFmtId="3">
      <sharedItems containsSemiMixedTypes="0" containsString="0" containsNumber="1" minValue="-8941.6555299999964" maxValue="60672.168100000003"/>
    </cacheField>
    <cacheField name="2024-06-01" numFmtId="3">
      <sharedItems containsSemiMixedTypes="0" containsString="0" containsNumber="1" minValue="-9039.9533899999988" maxValue="60672.168100000003"/>
    </cacheField>
    <cacheField name="2024-07-01" numFmtId="3">
      <sharedItems containsSemiMixedTypes="0" containsString="0" containsNumber="1" minValue="-10973.967069999997" maxValue="60672.168100000003"/>
    </cacheField>
    <cacheField name="2024-08-01" numFmtId="3">
      <sharedItems containsSemiMixedTypes="0" containsString="0" containsNumber="1" minValue="-11185.250480000004" maxValue="60672.168100000003"/>
    </cacheField>
    <cacheField name="2024-09-01" numFmtId="3">
      <sharedItems containsSemiMixedTypes="0" containsString="0" containsNumber="1" minValue="-11164.282420000001" maxValue="60672.168100000003"/>
    </cacheField>
    <cacheField name="2024-10-01" numFmtId="3">
      <sharedItems containsSemiMixedTypes="0" containsString="0" containsNumber="1" minValue="-11714.955409999999" maxValue="60672.168100000003"/>
    </cacheField>
    <cacheField name="2024-11-01" numFmtId="3">
      <sharedItems containsSemiMixedTypes="0" containsString="0" containsNumber="1" minValue="-12116.548770000003" maxValue="60672.168100000003"/>
    </cacheField>
    <cacheField name="2024-12-01" numFmtId="3">
      <sharedItems containsString="0" containsBlank="1" containsNumber="1" minValue="-12453.393759999997" maxValue="60672.168100000003"/>
    </cacheField>
    <cacheField name="2025-01-01" numFmtId="3">
      <sharedItems containsSemiMixedTypes="0" containsString="0" containsNumber="1" minValue="-12853.484720000048" maxValue="60672.168100000003"/>
    </cacheField>
    <cacheField name="2025-02-01" numFmtId="3">
      <sharedItems containsSemiMixedTypes="0" containsString="0" containsNumber="1" minValue="-13266.536640000048" maxValue="60672.168100000003"/>
    </cacheField>
    <cacheField name="2025-03-01" numFmtId="3">
      <sharedItems containsSemiMixedTypes="0" containsString="0" containsNumber="1" minValue="-14264.493460000045" maxValue="60672.168100000003"/>
    </cacheField>
    <cacheField name="2025-04-01" numFmtId="3">
      <sharedItems containsSemiMixedTypes="0" containsString="0" containsNumber="1" minValue="-14686.886480000047" maxValue="60672.168100000003"/>
    </cacheField>
    <cacheField name="2025-05-01" numFmtId="3">
      <sharedItems containsSemiMixedTypes="0" containsString="0" containsNumber="1" minValue="-15020.400350000044" maxValue="60672.168100000003"/>
    </cacheField>
    <cacheField name="2025-06-01" numFmtId="3">
      <sharedItems containsSemiMixedTypes="0" containsString="0" containsNumber="1" minValue="-15833.784160000045" maxValue="60672.168100000003"/>
    </cacheField>
    <cacheField name="2025-07-01" numFmtId="3">
      <sharedItems containsSemiMixedTypes="0" containsString="0" containsNumber="1" minValue="-17495.328740000048" maxValue="60672.168100000003"/>
    </cacheField>
    <cacheField name="2025-08-01" numFmtId="3">
      <sharedItems containsSemiMixedTypes="0" containsString="0" containsNumber="1" minValue="-17878.444420000047" maxValue="60672.168100000003"/>
    </cacheField>
    <cacheField name="2025-09-01" numFmtId="3">
      <sharedItems containsSemiMixedTypes="0" containsString="0" containsNumber="1" minValue="-17832.909490000042" maxValue="60672.168100000003"/>
    </cacheField>
    <cacheField name="2025-10-01" numFmtId="3">
      <sharedItems containsSemiMixedTypes="0" containsString="0" containsNumber="1" minValue="-18595.148330000036" maxValue="60672.168100000003"/>
    </cacheField>
    <cacheField name="2025-11-01" numFmtId="3">
      <sharedItems containsSemiMixedTypes="0" containsString="0" containsNumber="1" minValue="-19039.879030000051" maxValue="60672.168100000003"/>
    </cacheField>
    <cacheField name="2025-12-01" numFmtId="3">
      <sharedItems containsSemiMixedTypes="0" containsString="0" containsNumber="1" minValue="-20023.49353744305" maxValue="60672.1681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602.13408"/>
    <n v="1592.69145"/>
    <n v="1572.6609499999997"/>
    <n v="2113.0129999999999"/>
    <n v="2027.5831000000001"/>
    <n v="1443.32698"/>
    <n v="650.19000000000005"/>
    <n v="381.41762"/>
    <n v="280.16234000000003"/>
    <n v="162.98124000000001"/>
    <n v="293.29519999999997"/>
    <n v="3564.7747999999997"/>
    <n v="1341.9337399999999"/>
    <n v="680.17552999999998"/>
    <n v="1946.7648100000001"/>
    <n v="1279.66247"/>
    <n v="1479.2926600000001"/>
    <n v="495.41079000000002"/>
    <n v="792.46805000000006"/>
    <n v="167.06933999999998"/>
    <n v="345.78823"/>
    <n v="2842.0783799999999"/>
    <n v="3203.6335399999998"/>
    <n v="4211.4418426730281"/>
  </r>
  <r>
    <x v="1"/>
    <n v="1469.5329400000001"/>
    <n v="1367.6101699999999"/>
    <n v="1465.64237"/>
    <n v="1635.2905199999998"/>
    <n v="1780.61752"/>
    <n v="1595.93875"/>
    <n v="1786.9530500000001"/>
    <n v="1689.4682200000002"/>
    <n v="1841.7654299999997"/>
    <n v="1821.6637800000003"/>
    <n v="1986.22118"/>
    <n v="1164.9554500000002"/>
    <n v="1332.0845200000001"/>
    <n v="1420.1134399999999"/>
    <n v="854.68454000000008"/>
    <n v="990.20461"/>
    <n v="1002.7019600000001"/>
    <n v="815.38188000000002"/>
    <n v="798.32814999999994"/>
    <n v="1019.4671600000001"/>
    <n v="828.23662000000013"/>
    <n v="754.13275999999996"/>
    <n v="1765.2935500000001"/>
    <n v="1765.2935500000001"/>
  </r>
  <r>
    <x v="2"/>
    <n v="1078.0474999999999"/>
    <n v="1169.7068000000002"/>
    <n v="1169.7068000000002"/>
    <n v="1169.7068000000002"/>
    <n v="1080.3575000000001"/>
    <n v="1070.183"/>
    <n v="1078.0999999999999"/>
    <n v="1101.3785"/>
    <n v="1116.2674999999999"/>
    <n v="1082.2474999999999"/>
    <n v="1052.018"/>
    <n v="1054.7349999999999"/>
    <n v="1030.8920000000001"/>
    <n v="1033.2860000000001"/>
    <n v="1114.0815"/>
    <n v="1134.4324999999999"/>
    <n v="1132.826"/>
    <n v="1201.9175"/>
    <n v="1141.8665000000001"/>
    <n v="1168.3895"/>
    <n v="1214.9414999999999"/>
    <n v="1156.8710000000001"/>
    <n v="1169.2125000000001"/>
    <n v="1169.2125000000001"/>
  </r>
  <r>
    <x v="3"/>
    <n v="4180.4503800000002"/>
    <n v="3797.9377200000004"/>
    <n v="3306.0249399999998"/>
    <n v="2716.1780600000002"/>
    <n v="2149.8544500000003"/>
    <n v="1899.81044"/>
    <n v="3781.6543900000001"/>
    <n v="4056.9805200000001"/>
    <n v="3976.0318600000001"/>
    <n v="4357.3644000000004"/>
    <n v="3914.9519799999998"/>
    <n v="3323.02594"/>
    <n v="4466.9498800000001"/>
    <n v="6631.5120499999994"/>
    <n v="6707.7155000000002"/>
    <n v="6850.3124400000006"/>
    <n v="6367.9758899999997"/>
    <n v="6015.8587699999998"/>
    <n v="6992.1811900000002"/>
    <n v="8718.1487300000008"/>
    <n v="9215.9301699999996"/>
    <n v="8273.6734800000013"/>
    <n v="6614.6021900000005"/>
    <n v="5129.7747374093178"/>
  </r>
  <r>
    <x v="2"/>
    <n v="-79.444359999999989"/>
    <n v="-260.39737000000002"/>
    <n v="-172.22132000000002"/>
    <n v="-168.70632000000001"/>
    <n v="-127.64818000000001"/>
    <n v="1531.0489500000001"/>
    <n v="855.69866999999999"/>
    <n v="302.99826999999993"/>
    <n v="94.979500000000002"/>
    <n v="278.24743999999993"/>
    <n v="1138.3363300000001"/>
    <n v="2618.2781199999999"/>
    <n v="2499.6373099999996"/>
    <n v="713.90399000000002"/>
    <n v="198.87280000000004"/>
    <n v="243.65960000000004"/>
    <n v="396.90599000000003"/>
    <n v="902.65840000000014"/>
    <n v="1684.4611400000001"/>
    <n v="788.90768999999989"/>
    <n v="97.483999999999995"/>
    <n v="162.77649"/>
    <n v="157.81040999999996"/>
    <n v="157.81040999999996"/>
  </r>
  <r>
    <x v="4"/>
    <n v="539.91501000000005"/>
    <n v="984.5224300000001"/>
    <n v="1241.2324099999998"/>
    <n v="1442.4353999999998"/>
    <n v="1970.14903"/>
    <n v="2352.9461099999999"/>
    <n v="1116.29654"/>
    <n v="1104.1058500000001"/>
    <n v="1069.7373600000001"/>
    <n v="1022.65452"/>
    <n v="1089.6299299999998"/>
    <n v="1138.04555"/>
    <n v="1316.97045"/>
    <n v="1422.8900100000001"/>
    <n v="1477.00809"/>
    <n v="1535.0910100000001"/>
    <n v="1612.2792400000001"/>
    <n v="1561.10609"/>
    <n v="1650.83006"/>
    <n v="1672.85375"/>
    <n v="1642.8231799999999"/>
    <n v="1607.4878899999999"/>
    <n v="1580.2211299999999"/>
    <n v="1580.2211299999999"/>
  </r>
  <r>
    <x v="2"/>
    <n v="277.85557"/>
    <n v="354.47991000000002"/>
    <n v="358.14173999999997"/>
    <n v="359.43885"/>
    <n v="341.00103000000001"/>
    <n v="342.57407999999998"/>
    <n v="344.18806000000001"/>
    <n v="348.90800000000002"/>
    <n v="355.68655000000001"/>
    <n v="348.67980999999997"/>
    <n v="342.45375999999999"/>
    <n v="342.39294000000001"/>
    <n v="407.58913999999999"/>
    <n v="408.08987000000002"/>
    <n v="0"/>
    <n v="0"/>
    <n v="0"/>
    <n v="0"/>
    <n v="0"/>
    <n v="0"/>
    <n v="0"/>
    <n v="0"/>
    <n v="0"/>
    <n v="0"/>
  </r>
  <r>
    <x v="2"/>
    <n v="11152.72754"/>
    <n v="11159.30948"/>
    <n v="11165.3362"/>
    <n v="11190.684459999999"/>
    <n v="11196.723840000001"/>
    <n v="11201.353800000001"/>
    <n v="11202.799449999999"/>
    <n v="11211.71535"/>
    <n v="11226.921420000001"/>
    <n v="11217.42375"/>
    <n v="0"/>
    <n v="0"/>
    <n v="0"/>
    <n v="0"/>
    <n v="0"/>
    <n v="0"/>
    <n v="0"/>
    <n v="0"/>
    <n v="0"/>
    <n v="0"/>
    <n v="0"/>
    <n v="0"/>
    <n v="0"/>
    <n v="0"/>
  </r>
  <r>
    <x v="5"/>
    <n v="134.61816999999999"/>
    <n v="135.21697"/>
    <n v="136.29917"/>
    <n v="146.82540000000003"/>
    <n v="153.10258999999999"/>
    <n v="153.65613000000002"/>
    <n v="158.29820000000001"/>
    <n v="161.55889000000002"/>
    <n v="161.55889000000002"/>
    <n v="163.14738"/>
    <n v="167.22735999999998"/>
    <n v="167.87949"/>
    <n v="168.00466999999998"/>
    <n v="171.00995"/>
    <n v="82.026510000000016"/>
    <n v="82.026510000000016"/>
    <n v="83.827790000000007"/>
    <n v="85.84302000000001"/>
    <n v="88.582660000000004"/>
    <n v="88.582660000000004"/>
    <n v="88.582660000000004"/>
    <n v="89.282520000000005"/>
    <n v="92.720500000000001"/>
    <n v="92.720500000000001"/>
  </r>
  <r>
    <x v="5"/>
    <n v="-97.275170000000003"/>
    <n v="-98.984169999999992"/>
    <n v="-100.72149"/>
    <n v="-102.46594"/>
    <n v="-104.41037"/>
    <n v="-106.35731"/>
    <n v="-108.41611000000002"/>
    <n v="-110.59155"/>
    <n v="-112.77920999999999"/>
    <n v="-114.96687"/>
    <n v="-117.31198999999999"/>
    <n v="-119.67574999999999"/>
    <n v="-122.03249000000001"/>
    <n v="-124.39521999999999"/>
    <n v="-33.187849999999997"/>
    <n v="-36.583289999999998"/>
    <n v="-38.525529999999996"/>
    <n v="-40.52375"/>
    <n v="-42.591229999999996"/>
    <n v="-44.658710000000006"/>
    <n v="-46.726190000000003"/>
    <n v="-48.76605"/>
    <n v="-50.736870000000003"/>
    <n v="-55.619846266812196"/>
  </r>
  <r>
    <x v="6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219.02864"/>
    <n v="1219.02864"/>
    <n v="1219.02864"/>
    <n v="1219.02864"/>
    <n v="1219.02864"/>
    <n v="1219.02864"/>
    <n v="1219.02864"/>
    <n v="1219.02864"/>
    <n v="1219.02864"/>
    <n v="1219.02864"/>
  </r>
  <r>
    <x v="6"/>
    <n v="-755.68011999999999"/>
    <n v="-789.48176000000001"/>
    <n v="-823.28551000000004"/>
    <n v="-857.09137999999996"/>
    <n v="-890.89937999999995"/>
    <n v="-868.84795999999994"/>
    <n v="-893.34997999999996"/>
    <n v="-917.85415"/>
    <n v="-942.36047999999994"/>
    <n v="-966.86897999999997"/>
    <n v="-991.37966000000006"/>
    <n v="-1015.89252"/>
    <n v="-1040.4075699999999"/>
    <n v="-1064.9248300000002"/>
    <n v="-397.92667"/>
    <n v="-422.44835999999998"/>
    <n v="-446.97227000000004"/>
    <n v="-471.49842000000001"/>
    <n v="-496.02681000000001"/>
    <n v="-520.55745999999999"/>
    <n v="-545.09037000000001"/>
    <n v="-569.62555000000009"/>
    <n v="-594.16300999999999"/>
    <n v="-744.96539000000007"/>
  </r>
  <r>
    <x v="5"/>
    <n v="127.6"/>
    <n v="127.6"/>
    <n v="127.6"/>
    <n v="127.6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</r>
  <r>
    <x v="7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7975.131310000004"/>
    <n v="47975.131310000004"/>
    <n v="47975.131310000004"/>
    <n v="47975.131310000004"/>
    <n v="47975.131310000004"/>
    <n v="47975.131310000004"/>
    <n v="47975.131310000004"/>
    <n v="47975.131310000004"/>
    <n v="47975.131310000004"/>
    <n v="47975.131310000004"/>
  </r>
  <r>
    <x v="7"/>
    <n v="-1558.2308499999881"/>
    <n v="-1560.1855699999919"/>
    <n v="-1562.1402899999944"/>
    <n v="-1564.0950099999918"/>
    <n v="-1566.0497299999961"/>
    <n v="-1568.004449999994"/>
    <n v="-1569.9591700000028"/>
    <n v="-1571.9138899999971"/>
    <n v="-1573.8686100000018"/>
    <n v="-1575.8233299999999"/>
    <n v="-1577.7780500000022"/>
    <n v="-1579.7327699999937"/>
    <n v="-1581.687490000045"/>
    <n v="-1583.6422100000457"/>
    <n v="-108.67962000003098"/>
    <n v="-110.63434000003838"/>
    <n v="-112.58906000004373"/>
    <n v="-114.5437800000401"/>
    <n v="-116.49850000004216"/>
    <n v="-118.45322000004307"/>
    <n v="-120.40794000005019"/>
    <n v="-122.36266000004559"/>
    <n v="-124.31738000004748"/>
    <n v="0"/>
  </r>
  <r>
    <x v="8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</r>
  <r>
    <x v="9"/>
    <n v="1322.9978000000001"/>
    <n v="1160.0818000000002"/>
    <n v="1267.2363300000002"/>
    <n v="1200.24461"/>
    <n v="1509.6328000000001"/>
    <n v="2667.0978200000004"/>
    <n v="2754.5888000000004"/>
    <n v="2327.5504200000005"/>
    <n v="2070.0125699999999"/>
    <n v="2707.5459599999999"/>
    <n v="3780.0672500000005"/>
    <n v="4741.2406300000002"/>
    <n v="3623.62264"/>
    <n v="3821.7393900000002"/>
    <n v="2156.5549699999997"/>
    <n v="2085.8602900000001"/>
    <n v="2617.1359700000007"/>
    <n v="2694.38283"/>
    <n v="3638.8180700000003"/>
    <n v="2626.9518899999998"/>
    <n v="2670.1893799999998"/>
    <n v="1859.0732700000001"/>
    <n v="1842.58356"/>
    <n v="2392.4295862585241"/>
  </r>
  <r>
    <x v="10"/>
    <n v="926.41644999999994"/>
    <n v="884.82439999999997"/>
    <n v="367.08368999999993"/>
    <n v="431.84234999999995"/>
    <n v="229.10205999999999"/>
    <n v="253.91583"/>
    <n v="328.82836000000003"/>
    <n v="408.96533000000005"/>
    <n v="450.53290999999996"/>
    <n v="583.65678000000003"/>
    <n v="685.27139"/>
    <n v="942.64472000000001"/>
    <n v="701.60713999999996"/>
    <n v="836.46855000000005"/>
    <n v="939.30832999999996"/>
    <n v="1055.56899"/>
    <n v="813.55531000000008"/>
    <n v="549.13225"/>
    <n v="1245.6066700000001"/>
    <n v="1096.92345"/>
    <n v="801.74466999999993"/>
    <n v="691.62139999999999"/>
    <n v="822.41582999999991"/>
    <n v="822.41582999999991"/>
  </r>
  <r>
    <x v="9"/>
    <n v="11153.444149999999"/>
    <n v="11194.113170000001"/>
    <n v="11200.139889999999"/>
    <n v="11225.488149999999"/>
    <n v="11197.4419"/>
    <n v="11202.065450000002"/>
    <n v="11203.516089999999"/>
    <n v="11212.44666"/>
    <n v="11227.662119999999"/>
    <n v="11218.143"/>
    <n v="0.70019999999931315"/>
    <n v="0.68930000000000291"/>
    <n v="0.6868800000011106"/>
    <n v="0.68839000000116357"/>
    <n v="0.71600000000034925"/>
    <n v="0.75215000000025611"/>
    <n v="0.75114000000030501"/>
    <n v="0.77578999999968801"/>
    <n v="0.75684000000001106"/>
    <n v="0.77355999999963387"/>
    <n v="0.77769000000080268"/>
    <n v="0.76629999999931897"/>
    <n v="0.76778000002104818"/>
    <n v="0.76778000002104818"/>
  </r>
  <r>
    <x v="11"/>
    <n v="218.27576000000002"/>
    <n v="199.12335999999999"/>
    <n v="179.81124"/>
    <n v="160.33807999999999"/>
    <n v="140.70251999999999"/>
    <n v="120.90321"/>
    <n v="100.93879"/>
    <n v="80.80789"/>
    <n v="60.50911"/>
    <n v="40.041050000000006"/>
    <n v="19.4023"/>
    <n v="283.07646999999997"/>
    <n v="286.30716999999999"/>
    <n v="289.56466999999998"/>
    <n v="216.92142999999999"/>
    <n v="295.55263000000002"/>
    <n v="298.28122999999999"/>
    <n v="301.03519"/>
    <n v="303.81473"/>
    <n v="306.62008000000003"/>
    <n v="309.45146"/>
    <n v="312.3091"/>
    <n v="315.19322999999997"/>
    <n v="318.19322999999997"/>
  </r>
  <r>
    <x v="12"/>
    <n v="6671.5609899999999"/>
    <n v="6695.3171500000008"/>
    <n v="6720.7116599999999"/>
    <n v="6745.2870000000003"/>
    <n v="6770.6815099999994"/>
    <n v="6795.2568499999998"/>
    <n v="7821.6595800000005"/>
    <n v="7850.9609400000008"/>
    <n v="7879.3170999999993"/>
    <n v="7908.6184599999997"/>
    <n v="7936.97462"/>
    <n v="10500"/>
    <n v="11012.212960000001"/>
    <n v="11049.265009999999"/>
    <n v="13593.75267"/>
    <n v="13642.903350000001"/>
    <n v="13693.69238"/>
    <n v="13742.843060000001"/>
    <n v="15799.177300000001"/>
    <n v="17864.83756"/>
    <n v="17929.111519999999"/>
    <n v="21006.870420000003"/>
    <n v="21082.486850000001"/>
    <n v="21082.486850000001"/>
  </r>
  <r>
    <x v="13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x v="14"/>
    <n v="692.13351"/>
    <n v="635.22343000000001"/>
    <n v="578.31335000000001"/>
    <n v="669.04890999999998"/>
    <n v="613.50101000000006"/>
    <n v="557.95311000000004"/>
    <n v="677.08663999999999"/>
    <n v="573.47894999999994"/>
    <n v="481.73149000000001"/>
    <n v="565.67565000000002"/>
    <n v="504.36869999999999"/>
    <n v="443.06175000000002"/>
    <n v="873.21583999999996"/>
    <n v="826.9753199999999"/>
    <n v="840.48215000000005"/>
    <n v="895.51469999999995"/>
    <n v="844.19614999999999"/>
    <n v="792.87760000000003"/>
    <n v="822.78931999999998"/>
    <n v="770.72106999999994"/>
    <n v="718.65281999999991"/>
    <n v="772.55825000000004"/>
    <n v="720.48182999999995"/>
    <n v="668.86318499999993"/>
  </r>
  <r>
    <x v="11"/>
    <n v="1013.73252"/>
    <n v="1013.15592"/>
    <n v="1012.5771099999999"/>
    <n v="1011.99608"/>
    <n v="1011.41283"/>
    <n v="1010.8273399999999"/>
    <n v="1010.23961"/>
    <n v="1009.64962"/>
    <n v="1009.05737"/>
    <n v="1008.46285"/>
    <n v="1007.8660500000001"/>
    <n v="721.90483999999992"/>
    <n v="696.20394999999996"/>
    <n v="670.29158999999993"/>
    <n v="710.12023999999997"/>
    <n v="608.46024"/>
    <n v="582.5135600000001"/>
    <n v="556.35066000000006"/>
    <n v="529.96974"/>
    <n v="503.36896999999999"/>
    <n v="476.54653000000002"/>
    <n v="449.50056999999998"/>
    <n v="422.22922999999997"/>
    <n v="396.22922999999997"/>
  </r>
  <r>
    <x v="15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</r>
  <r>
    <x v="16"/>
    <n v="-9500.8727900000013"/>
    <n v="-9376.375469999999"/>
    <n v="-9016.159599999999"/>
    <n v="-8809.9936400000006"/>
    <n v="-8941.6555299999964"/>
    <n v="-9039.9533899999988"/>
    <n v="-10973.967069999997"/>
    <n v="-11185.250480000004"/>
    <n v="-11164.282420000001"/>
    <n v="-11714.955409999999"/>
    <n v="-12116.548770000003"/>
    <n v="-12453.393759999997"/>
    <n v="-12853.484720000048"/>
    <n v="-13266.536640000048"/>
    <n v="-14264.493460000045"/>
    <n v="-14686.886480000047"/>
    <n v="-15020.400350000044"/>
    <n v="-15833.784160000045"/>
    <n v="-17495.328740000048"/>
    <n v="-17878.444420000047"/>
    <n v="-17832.909490000042"/>
    <n v="-18595.148330000036"/>
    <n v="-19039.879030000051"/>
    <n v="-20023.493537443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n v="1602.13408"/>
    <n v="1592.69145"/>
    <n v="1572.6609499999997"/>
    <n v="2113.0129999999999"/>
    <n v="2027.5831000000001"/>
    <n v="1443.32698"/>
    <n v="650.19000000000005"/>
    <n v="381.41762"/>
    <n v="280.16234000000003"/>
    <n v="162.98124000000001"/>
    <n v="293.29519999999997"/>
    <n v="3564.7747999999997"/>
    <n v="1341.9337399999999"/>
    <n v="680.17552999999998"/>
    <n v="1946.7648100000001"/>
    <n v="1279.66247"/>
    <n v="1479.2926600000001"/>
    <n v="495.41079000000002"/>
    <n v="792.46805000000006"/>
    <n v="167.06933999999998"/>
    <n v="345.78823"/>
    <n v="2842.0783799999999"/>
    <n v="3203.6335399999998"/>
    <n v="4211.4418426730281"/>
  </r>
  <r>
    <x v="0"/>
    <x v="1"/>
    <n v="1469.5329400000001"/>
    <n v="1367.6101699999999"/>
    <n v="1465.64237"/>
    <n v="1635.2905199999998"/>
    <n v="1780.61752"/>
    <n v="1595.93875"/>
    <n v="1786.9530500000001"/>
    <n v="1689.4682200000002"/>
    <n v="1841.7654299999997"/>
    <n v="1821.6637800000003"/>
    <n v="1986.22118"/>
    <n v="1164.9554500000002"/>
    <n v="1332.0845200000001"/>
    <n v="1420.1134399999999"/>
    <n v="854.68454000000008"/>
    <n v="990.20461"/>
    <n v="1002.7019600000001"/>
    <n v="815.38188000000002"/>
    <n v="798.32814999999994"/>
    <n v="1019.4671600000001"/>
    <n v="828.23662000000013"/>
    <n v="754.13275999999996"/>
    <n v="1765.2935500000001"/>
    <n v="1765.2935500000001"/>
  </r>
  <r>
    <x v="0"/>
    <x v="2"/>
    <n v="1078.0474999999999"/>
    <n v="1169.7068000000002"/>
    <n v="1169.7068000000002"/>
    <n v="1169.7068000000002"/>
    <n v="1080.3575000000001"/>
    <n v="1070.183"/>
    <n v="1078.0999999999999"/>
    <n v="1101.3785"/>
    <n v="1116.2674999999999"/>
    <n v="1082.2474999999999"/>
    <n v="1052.018"/>
    <n v="1054.7349999999999"/>
    <n v="1030.8920000000001"/>
    <n v="1033.2860000000001"/>
    <n v="1114.0815"/>
    <n v="1134.4324999999999"/>
    <n v="1132.826"/>
    <n v="1201.9175"/>
    <n v="1141.8665000000001"/>
    <n v="1168.3895"/>
    <n v="1214.9414999999999"/>
    <n v="1156.8710000000001"/>
    <n v="1169.2125000000001"/>
    <n v="1169.2125000000001"/>
  </r>
  <r>
    <x v="0"/>
    <x v="3"/>
    <n v="4180.4503800000002"/>
    <n v="3797.9377200000004"/>
    <n v="3306.0249399999998"/>
    <n v="2716.1780600000002"/>
    <n v="2149.8544500000003"/>
    <n v="1899.81044"/>
    <n v="3781.6543900000001"/>
    <n v="4056.9805200000001"/>
    <n v="3976.0318600000001"/>
    <n v="4357.3644000000004"/>
    <n v="3914.9519799999998"/>
    <n v="3323.02594"/>
    <n v="4466.9498800000001"/>
    <n v="6631.5120499999994"/>
    <n v="6707.7155000000002"/>
    <n v="6850.3124400000006"/>
    <n v="6367.9758899999997"/>
    <n v="6015.8587699999998"/>
    <n v="6992.1811900000002"/>
    <n v="8718.1487300000008"/>
    <n v="9215.9301699999996"/>
    <n v="8273.6734800000013"/>
    <n v="6614.6021900000005"/>
    <n v="5129.7747374093178"/>
  </r>
  <r>
    <x v="0"/>
    <x v="2"/>
    <n v="-79.444359999999989"/>
    <n v="-260.39737000000002"/>
    <n v="-172.22132000000002"/>
    <n v="-168.70632000000001"/>
    <n v="-127.64818000000001"/>
    <n v="1531.0489500000001"/>
    <n v="855.69866999999999"/>
    <n v="302.99826999999993"/>
    <n v="94.979500000000002"/>
    <n v="278.24743999999993"/>
    <n v="1138.3363300000001"/>
    <n v="2618.2781199999999"/>
    <n v="2499.6373099999996"/>
    <n v="713.90399000000002"/>
    <n v="198.87280000000004"/>
    <n v="243.65960000000004"/>
    <n v="396.90599000000003"/>
    <n v="902.65840000000014"/>
    <n v="1684.4611400000001"/>
    <n v="788.90768999999989"/>
    <n v="97.483999999999995"/>
    <n v="162.77649"/>
    <n v="157.81040999999996"/>
    <n v="157.81040999999996"/>
  </r>
  <r>
    <x v="0"/>
    <x v="4"/>
    <n v="539.91501000000005"/>
    <n v="984.5224300000001"/>
    <n v="1241.2324099999998"/>
    <n v="1442.4353999999998"/>
    <n v="1970.14903"/>
    <n v="2352.9461099999999"/>
    <n v="1116.29654"/>
    <n v="1104.1058500000001"/>
    <n v="1069.7373600000001"/>
    <n v="1022.65452"/>
    <n v="1089.6299299999998"/>
    <n v="1138.04555"/>
    <n v="1316.97045"/>
    <n v="1422.8900100000001"/>
    <n v="1477.00809"/>
    <n v="1535.0910100000001"/>
    <n v="1612.2792400000001"/>
    <n v="1561.10609"/>
    <n v="1650.83006"/>
    <n v="1672.85375"/>
    <n v="1642.8231799999999"/>
    <n v="1607.4878899999999"/>
    <n v="1580.2211299999999"/>
    <n v="1580.2211299999999"/>
  </r>
  <r>
    <x v="0"/>
    <x v="2"/>
    <n v="277.85557"/>
    <n v="354.47991000000002"/>
    <n v="358.14173999999997"/>
    <n v="359.43885"/>
    <n v="341.00103000000001"/>
    <n v="342.57407999999998"/>
    <n v="344.18806000000001"/>
    <n v="348.90800000000002"/>
    <n v="355.68655000000001"/>
    <n v="348.67980999999997"/>
    <n v="342.45375999999999"/>
    <n v="342.39294000000001"/>
    <n v="407.58913999999999"/>
    <n v="408.08987000000002"/>
    <n v="0"/>
    <n v="0"/>
    <n v="0"/>
    <n v="0"/>
    <n v="0"/>
    <n v="0"/>
    <n v="0"/>
    <n v="0"/>
    <n v="0"/>
    <n v="0"/>
  </r>
  <r>
    <x v="0"/>
    <x v="2"/>
    <n v="11152.72754"/>
    <n v="11159.30948"/>
    <n v="11165.3362"/>
    <n v="11190.684459999999"/>
    <n v="11196.723840000001"/>
    <n v="11201.353800000001"/>
    <n v="11202.799449999999"/>
    <n v="11211.71535"/>
    <n v="11226.921420000001"/>
    <n v="11217.42375"/>
    <n v="0"/>
    <n v="0"/>
    <n v="0"/>
    <n v="0"/>
    <n v="0"/>
    <n v="0"/>
    <n v="0"/>
    <n v="0"/>
    <n v="0"/>
    <n v="0"/>
    <n v="0"/>
    <n v="0"/>
    <n v="0"/>
    <n v="0"/>
  </r>
  <r>
    <x v="0"/>
    <x v="5"/>
    <n v="134.61816999999999"/>
    <n v="135.21697"/>
    <n v="136.29917"/>
    <n v="146.82540000000003"/>
    <n v="153.10258999999999"/>
    <n v="153.65613000000002"/>
    <n v="158.29820000000001"/>
    <n v="161.55889000000002"/>
    <n v="161.55889000000002"/>
    <n v="163.14738"/>
    <n v="167.22735999999998"/>
    <n v="167.87949"/>
    <n v="168.00466999999998"/>
    <n v="171.00995"/>
    <n v="82.026510000000016"/>
    <n v="82.026510000000016"/>
    <n v="83.827790000000007"/>
    <n v="85.84302000000001"/>
    <n v="88.582660000000004"/>
    <n v="88.582660000000004"/>
    <n v="88.582660000000004"/>
    <n v="89.282520000000005"/>
    <n v="92.720500000000001"/>
    <n v="92.720500000000001"/>
  </r>
  <r>
    <x v="0"/>
    <x v="5"/>
    <n v="-97.275170000000003"/>
    <n v="-98.984169999999992"/>
    <n v="-100.72149"/>
    <n v="-102.46594"/>
    <n v="-104.41037"/>
    <n v="-106.35731"/>
    <n v="-108.41611000000002"/>
    <n v="-110.59155"/>
    <n v="-112.77920999999999"/>
    <n v="-114.96687"/>
    <n v="-117.31198999999999"/>
    <n v="-119.67574999999999"/>
    <n v="-122.03249000000001"/>
    <n v="-124.39521999999999"/>
    <n v="-33.187849999999997"/>
    <n v="-36.583289999999998"/>
    <n v="-38.525529999999996"/>
    <n v="-40.52375"/>
    <n v="-42.591229999999996"/>
    <n v="-44.658710000000006"/>
    <n v="-46.726190000000003"/>
    <n v="-48.76605"/>
    <n v="-50.736870000000003"/>
    <n v="-55.619846266812196"/>
  </r>
  <r>
    <x v="0"/>
    <x v="6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910.5463099999999"/>
    <n v="1219.02864"/>
    <n v="1219.02864"/>
    <n v="1219.02864"/>
    <n v="1219.02864"/>
    <n v="1219.02864"/>
    <n v="1219.02864"/>
    <n v="1219.02864"/>
    <n v="1219.02864"/>
    <n v="1219.02864"/>
    <n v="1219.02864"/>
  </r>
  <r>
    <x v="0"/>
    <x v="6"/>
    <n v="-755.68011999999999"/>
    <n v="-789.48176000000001"/>
    <n v="-823.28551000000004"/>
    <n v="-857.09137999999996"/>
    <n v="-890.89937999999995"/>
    <n v="-868.84795999999994"/>
    <n v="-893.34997999999996"/>
    <n v="-917.85415"/>
    <n v="-942.36047999999994"/>
    <n v="-966.86897999999997"/>
    <n v="-991.37966000000006"/>
    <n v="-1015.89252"/>
    <n v="-1040.4075699999999"/>
    <n v="-1064.9248300000002"/>
    <n v="-397.92667"/>
    <n v="-422.44835999999998"/>
    <n v="-446.97227000000004"/>
    <n v="-471.49842000000001"/>
    <n v="-496.02681000000001"/>
    <n v="-520.55745999999999"/>
    <n v="-545.09037000000001"/>
    <n v="-569.62555000000009"/>
    <n v="-594.16300999999999"/>
    <n v="-744.96539000000007"/>
  </r>
  <r>
    <x v="0"/>
    <x v="5"/>
    <n v="127.6"/>
    <n v="127.6"/>
    <n v="127.6"/>
    <n v="127.6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</r>
  <r>
    <x v="0"/>
    <x v="7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9452.048620000001"/>
    <n v="47975.131310000004"/>
    <n v="47975.131310000004"/>
    <n v="47975.131310000004"/>
    <n v="47975.131310000004"/>
    <n v="47975.131310000004"/>
    <n v="47975.131310000004"/>
    <n v="47975.131310000004"/>
    <n v="47975.131310000004"/>
    <n v="47975.131310000004"/>
    <n v="47975.131310000004"/>
  </r>
  <r>
    <x v="0"/>
    <x v="7"/>
    <n v="-1558.2308499999881"/>
    <n v="-1560.1855699999919"/>
    <n v="-1562.1402899999944"/>
    <n v="-1564.0950099999918"/>
    <n v="-1566.0497299999961"/>
    <n v="-1568.004449999994"/>
    <n v="-1569.9591700000028"/>
    <n v="-1571.9138899999971"/>
    <n v="-1573.8686100000018"/>
    <n v="-1575.8233299999999"/>
    <n v="-1577.7780500000022"/>
    <n v="-1579.7327699999937"/>
    <n v="-1581.687490000045"/>
    <n v="-1583.6422100000457"/>
    <n v="-108.67962000003098"/>
    <n v="-110.63434000003838"/>
    <n v="-112.58906000004373"/>
    <n v="-114.5437800000401"/>
    <n v="-116.49850000004216"/>
    <n v="-118.45322000004307"/>
    <n v="-120.40794000005019"/>
    <n v="-122.36266000004559"/>
    <n v="-124.31738000004748"/>
    <n v="0"/>
  </r>
  <r>
    <x v="0"/>
    <x v="8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  <n v="3735.0108700000001"/>
  </r>
  <r>
    <x v="1"/>
    <x v="9"/>
    <n v="1322.9978000000001"/>
    <n v="1160.0818000000002"/>
    <n v="1267.2363300000002"/>
    <n v="1200.24461"/>
    <n v="1509.6328000000001"/>
    <n v="2667.0978200000004"/>
    <n v="2754.5888000000004"/>
    <n v="2327.5504200000005"/>
    <n v="2070.0125699999999"/>
    <n v="2707.5459599999999"/>
    <n v="3780.0672500000005"/>
    <n v="4741.2406300000002"/>
    <n v="3623.62264"/>
    <n v="3821.7393900000002"/>
    <n v="2156.5549699999997"/>
    <n v="2085.8602900000001"/>
    <n v="2617.1359700000007"/>
    <n v="2694.38283"/>
    <n v="3638.8180700000003"/>
    <n v="2626.9518899999998"/>
    <n v="2670.1893799999998"/>
    <n v="1859.0732700000001"/>
    <n v="1842.58356"/>
    <n v="2392.4295862585241"/>
  </r>
  <r>
    <x v="1"/>
    <x v="10"/>
    <n v="926.41644999999994"/>
    <n v="884.82439999999997"/>
    <n v="367.08368999999993"/>
    <n v="431.84234999999995"/>
    <n v="229.10205999999999"/>
    <n v="253.91583"/>
    <n v="328.82836000000003"/>
    <n v="408.96533000000005"/>
    <n v="450.53290999999996"/>
    <n v="583.65678000000003"/>
    <n v="685.27139"/>
    <n v="942.64472000000001"/>
    <n v="701.60713999999996"/>
    <n v="836.46855000000005"/>
    <n v="939.30832999999996"/>
    <n v="1055.56899"/>
    <n v="813.55531000000008"/>
    <n v="549.13225"/>
    <n v="1245.6066700000001"/>
    <n v="1096.92345"/>
    <n v="801.74466999999993"/>
    <n v="691.62139999999999"/>
    <n v="822.41582999999991"/>
    <n v="822.41582999999991"/>
  </r>
  <r>
    <x v="1"/>
    <x v="9"/>
    <n v="11153.444149999999"/>
    <n v="11194.113170000001"/>
    <n v="11200.139889999999"/>
    <n v="11225.488149999999"/>
    <n v="11197.4419"/>
    <n v="11202.065450000002"/>
    <n v="11203.516089999999"/>
    <n v="11212.44666"/>
    <n v="11227.662119999999"/>
    <n v="11218.143"/>
    <n v="0.70019999999931315"/>
    <n v="0.68930000000000291"/>
    <n v="0.6868800000011106"/>
    <n v="0.68839000000116357"/>
    <n v="0.71600000000034925"/>
    <n v="0.75215000000025611"/>
    <n v="0.75114000000030501"/>
    <n v="0.77578999999968801"/>
    <n v="0.75684000000001106"/>
    <n v="0.77355999999963387"/>
    <n v="0.77769000000080268"/>
    <n v="0.76629999999931897"/>
    <n v="0.76778000002104818"/>
    <n v="0.76778000002104818"/>
  </r>
  <r>
    <x v="1"/>
    <x v="11"/>
    <n v="218.27576000000002"/>
    <n v="199.12335999999999"/>
    <n v="179.81124"/>
    <n v="160.33807999999999"/>
    <n v="140.70251999999999"/>
    <n v="120.90321"/>
    <n v="100.93879"/>
    <n v="80.80789"/>
    <n v="60.50911"/>
    <n v="40.041050000000006"/>
    <n v="19.4023"/>
    <n v="283.07646999999997"/>
    <n v="286.30716999999999"/>
    <n v="289.56466999999998"/>
    <n v="216.92142999999999"/>
    <n v="295.55263000000002"/>
    <n v="298.28122999999999"/>
    <n v="301.03519"/>
    <n v="303.81473"/>
    <n v="306.62008000000003"/>
    <n v="309.45146"/>
    <n v="312.3091"/>
    <n v="315.19322999999997"/>
    <n v="318.19322999999997"/>
  </r>
  <r>
    <x v="1"/>
    <x v="12"/>
    <n v="6671.5609899999999"/>
    <n v="6695.3171500000008"/>
    <n v="6720.7116599999999"/>
    <n v="6745.2870000000003"/>
    <n v="6770.6815099999994"/>
    <n v="6795.2568499999998"/>
    <n v="7821.6595800000005"/>
    <n v="7850.9609400000008"/>
    <n v="7879.3170999999993"/>
    <n v="7908.6184599999997"/>
    <n v="7936.97462"/>
    <n v="10500"/>
    <n v="11012.212960000001"/>
    <n v="11049.265009999999"/>
    <n v="13593.75267"/>
    <n v="13642.903350000001"/>
    <n v="13693.69238"/>
    <n v="13742.843060000001"/>
    <n v="15799.177300000001"/>
    <n v="17864.83756"/>
    <n v="17929.111519999999"/>
    <n v="21006.870420000003"/>
    <n v="21082.486850000001"/>
    <n v="21082.486850000001"/>
  </r>
  <r>
    <x v="1"/>
    <x v="13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x v="1"/>
    <x v="14"/>
    <n v="692.13351"/>
    <n v="635.22343000000001"/>
    <n v="578.31335000000001"/>
    <n v="669.04890999999998"/>
    <n v="613.50101000000006"/>
    <n v="557.95311000000004"/>
    <n v="677.08663999999999"/>
    <n v="573.47894999999994"/>
    <n v="481.73149000000001"/>
    <n v="565.67565000000002"/>
    <n v="504.36869999999999"/>
    <n v="443.06175000000002"/>
    <n v="873.21583999999996"/>
    <n v="826.9753199999999"/>
    <n v="840.48215000000005"/>
    <n v="895.51469999999995"/>
    <n v="844.19614999999999"/>
    <n v="792.87760000000003"/>
    <n v="822.78931999999998"/>
    <n v="770.72106999999994"/>
    <n v="718.65281999999991"/>
    <n v="772.55825000000004"/>
    <n v="720.48182999999995"/>
    <n v="668.86318499999993"/>
  </r>
  <r>
    <x v="1"/>
    <x v="11"/>
    <n v="1013.73252"/>
    <n v="1013.15592"/>
    <n v="1012.5771099999999"/>
    <n v="1011.99608"/>
    <n v="1011.41283"/>
    <n v="1010.8273399999999"/>
    <n v="1010.23961"/>
    <n v="1009.64962"/>
    <n v="1009.05737"/>
    <n v="1008.46285"/>
    <n v="1007.8660500000001"/>
    <n v="721.90483999999992"/>
    <n v="696.20394999999996"/>
    <n v="670.29158999999993"/>
    <n v="710.12023999999997"/>
    <n v="608.46024"/>
    <n v="582.5135600000001"/>
    <n v="556.35066000000006"/>
    <n v="529.96974"/>
    <n v="503.36896999999999"/>
    <n v="476.54653000000002"/>
    <n v="449.50056999999998"/>
    <n v="422.22922999999997"/>
    <n v="396.22922999999997"/>
  </r>
  <r>
    <x v="2"/>
    <x v="15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  <n v="60672.168100000003"/>
  </r>
  <r>
    <x v="2"/>
    <x v="16"/>
    <n v="-9500.8727900000013"/>
    <n v="-9376.375469999999"/>
    <n v="-9016.159599999999"/>
    <n v="-8809.9936400000006"/>
    <n v="-8941.6555299999964"/>
    <n v="-9039.9533899999988"/>
    <n v="-10973.967069999997"/>
    <n v="-11185.250480000004"/>
    <n v="-11164.282420000001"/>
    <n v="-11714.955409999999"/>
    <n v="-12116.548770000003"/>
    <n v="-12453.393759999997"/>
    <n v="-12853.484720000048"/>
    <n v="-13266.536640000048"/>
    <n v="-14264.493460000045"/>
    <n v="-14686.886480000047"/>
    <n v="-15020.400350000044"/>
    <n v="-15833.784160000045"/>
    <n v="-17495.328740000048"/>
    <n v="-17878.444420000047"/>
    <n v="-17832.909490000042"/>
    <n v="-18595.148330000036"/>
    <n v="-19039.879030000051"/>
    <n v="-20023.493537443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81F41-60B8-4274-85AE-29999AD3C066}" name="피벗 테이블1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21" firstHeaderRow="0" firstDataRow="1" firstDataCol="1"/>
  <pivotFields count="25">
    <pivotField axis="axisRow" showAll="0">
      <items count="18">
        <item x="8"/>
        <item x="14"/>
        <item x="5"/>
        <item x="11"/>
        <item x="6"/>
        <item x="9"/>
        <item x="1"/>
        <item x="7"/>
        <item x="2"/>
        <item x="10"/>
        <item x="4"/>
        <item x="16"/>
        <item x="15"/>
        <item x="3"/>
        <item x="13"/>
        <item x="12"/>
        <item x="0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2025-01-01" fld="13" baseField="0" baseItem="0" numFmtId="3"/>
    <dataField name="합계 : 2025-02-01" fld="14" baseField="0" baseItem="0" numFmtId="3"/>
    <dataField name="합계 : 2025-03-01" fld="15" baseField="0" baseItem="0" numFmtId="3"/>
    <dataField name="합계 : 2025-04-01" fld="1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F9803-81B1-47F6-85BF-C3F4BCC68927}" name="피벗 테이블2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O24" firstHeaderRow="0" firstDataRow="1" firstDataCol="1"/>
  <pivotFields count="26">
    <pivotField axis="axisRow" showAll="0">
      <items count="4">
        <item x="1"/>
        <item x="2"/>
        <item x="0"/>
        <item t="default"/>
      </items>
    </pivotField>
    <pivotField axis="axisRow" showAll="0">
      <items count="18">
        <item x="8"/>
        <item x="14"/>
        <item x="5"/>
        <item x="11"/>
        <item x="6"/>
        <item x="9"/>
        <item x="1"/>
        <item x="7"/>
        <item x="2"/>
        <item x="10"/>
        <item x="4"/>
        <item x="16"/>
        <item x="15"/>
        <item x="3"/>
        <item x="13"/>
        <item x="12"/>
        <item x="0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</pivotFields>
  <rowFields count="2">
    <field x="0"/>
    <field x="1"/>
  </rowFields>
  <rowItems count="21">
    <i>
      <x/>
    </i>
    <i r="1">
      <x v="1"/>
    </i>
    <i r="1">
      <x v="3"/>
    </i>
    <i r="1">
      <x v="5"/>
    </i>
    <i r="1">
      <x v="9"/>
    </i>
    <i r="1">
      <x v="14"/>
    </i>
    <i r="1">
      <x v="15"/>
    </i>
    <i>
      <x v="1"/>
    </i>
    <i r="1">
      <x v="11"/>
    </i>
    <i r="1">
      <x v="12"/>
    </i>
    <i>
      <x v="2"/>
    </i>
    <i r="1">
      <x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6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합계 : 2025-01-01" fld="14" baseField="0" baseItem="0" numFmtId="3"/>
    <dataField name="합계 : 2025-02-01" fld="15" baseField="0" baseItem="0" numFmtId="3"/>
    <dataField name="합계 : 2025-03-01" fld="16" baseField="0" baseItem="0" numFmtId="3"/>
    <dataField name="합계 : 2025-04-01" fld="17" baseField="0" baseItem="0" numFmtId="3"/>
    <dataField name="합계 : 2025-05-01" fld="18" baseField="0" baseItem="0" numFmtId="3"/>
    <dataField name="합계 : 2025-06-01" fld="19" baseField="0" baseItem="0" numFmtId="3"/>
    <dataField name="합계 : 2025-07-01" fld="20" baseField="0" baseItem="0" numFmtId="3"/>
    <dataField name="합계 : 2025-08-01" fld="21" baseField="0" baseItem="0" numFmtId="3"/>
    <dataField name="합계 : 2025-09-01" fld="22" baseField="0" baseItem="0" numFmtId="3"/>
    <dataField name="합계 : 2025-10-01" fld="23" baseField="0" baseItem="0" numFmtId="3"/>
    <dataField name="합계 : 2025-11-01" fld="24" baseField="0" baseItem="0" numFmtId="3"/>
    <dataField name="합계 : 2024-11-01" fld="12" baseField="0" baseItem="0" numFmtId="3"/>
    <dataField name="합계 : 2025-12-01" fld="25" baseField="0" baseItem="0" numFmtId="3"/>
    <dataField name="합계 : 2024-12-01" fld="13" baseField="0" baseItem="0" numFmtId="3"/>
  </dataFields>
  <formats count="8">
    <format dxfId="7">
      <pivotArea collapsedLevelsAreSubtotals="1" fieldPosition="0">
        <references count="3">
          <reference field="4294967294" count="1" selected="0">
            <x v="13"/>
          </reference>
          <reference field="0" count="1" selected="0">
            <x v="0"/>
          </reference>
          <reference field="1" count="1">
            <x v="15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3"/>
          </reference>
          <reference field="0" count="1">
            <x v="1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13"/>
          </reference>
          <reference field="0" count="1" selected="0">
            <x v="1"/>
          </reference>
          <reference field="1" count="2">
            <x v="11"/>
            <x v="12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13"/>
          </reference>
          <reference field="0" count="1">
            <x v="2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3"/>
          </reference>
          <reference field="0" count="1" selected="0">
            <x v="2"/>
          </reference>
          <reference field="1" count="9">
            <x v="0"/>
            <x v="2"/>
            <x v="4"/>
            <x v="6"/>
            <x v="7"/>
            <x v="8"/>
            <x v="10"/>
            <x v="13"/>
            <x v="16"/>
          </reference>
        </references>
      </pivotArea>
    </format>
    <format dxfId="2">
      <pivotArea field="0" grandRow="1" outline="0" collapsedLevelsAreSubtotals="1" axis="axisRow" fieldPosition="0">
        <references count="1">
          <reference field="4294967294" count="1" selected="0">
            <x v="13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33FE-4F01-44C7-95FF-39AE6E9D13CF}">
  <dimension ref="C4:T36"/>
  <sheetViews>
    <sheetView topLeftCell="A5" zoomScale="130" zoomScaleNormal="130" workbookViewId="0">
      <selection activeCell="M9" sqref="M9:N9"/>
    </sheetView>
    <sheetView topLeftCell="B9" zoomScale="130" zoomScaleNormal="130" workbookViewId="1">
      <selection activeCell="D24" sqref="D24:S27"/>
    </sheetView>
  </sheetViews>
  <sheetFormatPr defaultRowHeight="16.5"/>
  <cols>
    <col min="3" max="3" width="21.25" customWidth="1"/>
    <col min="4" max="4" width="9.375" bestFit="1" customWidth="1"/>
    <col min="5" max="8" width="9.125" bestFit="1" customWidth="1"/>
    <col min="9" max="10" width="9.375" bestFit="1" customWidth="1"/>
    <col min="11" max="13" width="9.125" bestFit="1" customWidth="1"/>
    <col min="14" max="14" width="9.125" customWidth="1"/>
    <col min="15" max="15" width="9.125" bestFit="1" customWidth="1"/>
    <col min="16" max="17" width="9.125" customWidth="1"/>
  </cols>
  <sheetData>
    <row r="4" spans="3:19">
      <c r="O4" s="78"/>
      <c r="R4" s="78"/>
    </row>
    <row r="6" spans="3:19">
      <c r="C6" s="1" t="s">
        <v>0</v>
      </c>
      <c r="D6" s="76">
        <v>45658</v>
      </c>
      <c r="E6" s="76">
        <v>45689</v>
      </c>
      <c r="F6" s="76">
        <v>45717</v>
      </c>
      <c r="G6" s="76">
        <v>45748</v>
      </c>
      <c r="H6" s="76">
        <v>45778</v>
      </c>
      <c r="I6" s="76">
        <v>45809</v>
      </c>
      <c r="J6" s="76">
        <v>45839</v>
      </c>
      <c r="K6" s="76">
        <v>45870</v>
      </c>
      <c r="L6" s="76">
        <v>45901</v>
      </c>
      <c r="M6" s="76">
        <v>45931</v>
      </c>
      <c r="N6" s="76">
        <v>45962</v>
      </c>
      <c r="O6" s="76">
        <v>45597</v>
      </c>
      <c r="P6" s="77" t="s">
        <v>125</v>
      </c>
      <c r="Q6" s="76">
        <v>45992</v>
      </c>
      <c r="R6" s="76">
        <v>45627</v>
      </c>
      <c r="S6" s="1" t="s">
        <v>124</v>
      </c>
    </row>
    <row r="7" spans="3:19">
      <c r="C7" s="1" t="s">
        <v>1</v>
      </c>
      <c r="D7" s="1">
        <f>+D8+D9+D10</f>
        <v>4561.9898100000064</v>
      </c>
      <c r="E7" s="1">
        <f t="shared" ref="E7:S7" si="0">+E8+E9+E10</f>
        <v>4828.8669199999986</v>
      </c>
      <c r="F7" s="1">
        <f t="shared" si="0"/>
        <v>5498.0621699999829</v>
      </c>
      <c r="G7" s="1">
        <f t="shared" si="0"/>
        <v>5890.1316199999965</v>
      </c>
      <c r="H7" s="1">
        <f t="shared" si="0"/>
        <v>5040.9583099999982</v>
      </c>
      <c r="I7" s="1">
        <f t="shared" si="0"/>
        <v>4928.8847999999944</v>
      </c>
      <c r="J7" s="1">
        <f t="shared" si="0"/>
        <v>5724.6129299999948</v>
      </c>
      <c r="K7" s="1">
        <f t="shared" si="0"/>
        <v>7787.2802599999977</v>
      </c>
      <c r="L7" s="1">
        <f t="shared" si="0"/>
        <v>7358.6240000000089</v>
      </c>
      <c r="M7" s="1">
        <f t="shared" si="0"/>
        <v>7218.3365800000147</v>
      </c>
      <c r="N7" s="1">
        <f>+N8+N9+N10</f>
        <v>6581.7979799999994</v>
      </c>
      <c r="O7" s="1">
        <f>+O8+O9+O10</f>
        <v>3258.4057100000005</v>
      </c>
      <c r="P7" s="1">
        <f t="shared" si="0"/>
        <v>3323.3922700000003</v>
      </c>
      <c r="Q7" s="1">
        <f>+Q8+Q9+Q10</f>
        <v>4501.870921150773</v>
      </c>
      <c r="R7" s="1">
        <f>+R8+R9+R10</f>
        <v>2374.0514599999997</v>
      </c>
      <c r="S7" s="1">
        <f t="shared" si="0"/>
        <v>2127.8194611507733</v>
      </c>
    </row>
    <row r="8" spans="3:19">
      <c r="C8" s="1" t="s">
        <v>16</v>
      </c>
      <c r="D8" s="1">
        <v>1332.0845200000001</v>
      </c>
      <c r="E8" s="1">
        <v>1420.1134399999999</v>
      </c>
      <c r="F8" s="1">
        <v>854.68454000000008</v>
      </c>
      <c r="G8" s="1">
        <v>990.20461</v>
      </c>
      <c r="H8" s="1">
        <v>1002.7019600000001</v>
      </c>
      <c r="I8" s="1">
        <v>815.38188000000002</v>
      </c>
      <c r="J8" s="1">
        <v>798.32814999999994</v>
      </c>
      <c r="K8" s="1">
        <v>1019.4671600000001</v>
      </c>
      <c r="L8" s="1">
        <v>828.23662000000013</v>
      </c>
      <c r="M8" s="1">
        <v>754.13275999999996</v>
      </c>
      <c r="N8" s="1">
        <v>1765.2935500000001</v>
      </c>
      <c r="O8" s="1">
        <v>1986.22118</v>
      </c>
      <c r="P8" s="1">
        <f>+N8-O8</f>
        <v>-220.92762999999991</v>
      </c>
      <c r="Q8" s="1">
        <v>1765.2935500000001</v>
      </c>
      <c r="R8" s="1">
        <v>1164.9554500000002</v>
      </c>
      <c r="S8" s="1">
        <f>+Q8-R8</f>
        <v>600.33809999999994</v>
      </c>
    </row>
    <row r="9" spans="3:19">
      <c r="C9" s="1" t="s">
        <v>17</v>
      </c>
      <c r="D9" s="1">
        <v>6854.2148100000068</v>
      </c>
      <c r="E9" s="1">
        <v>7231.1812600000003</v>
      </c>
      <c r="F9" s="1">
        <v>6800.6485999999832</v>
      </c>
      <c r="G9" s="1">
        <v>6986.5394499999966</v>
      </c>
      <c r="H9" s="1">
        <v>6656.1434599999984</v>
      </c>
      <c r="I9" s="1">
        <v>6808.6615399999946</v>
      </c>
      <c r="J9" s="1">
        <v>8565.8596899999957</v>
      </c>
      <c r="K9" s="1">
        <v>9395.5385499999975</v>
      </c>
      <c r="L9" s="1">
        <v>9201.3544500000098</v>
      </c>
      <c r="M9" s="1">
        <v>8324.0433900000135</v>
      </c>
      <c r="N9" s="1">
        <v>6659.855770000021</v>
      </c>
      <c r="O9" s="1">
        <v>5052.9519799999998</v>
      </c>
      <c r="P9" s="1">
        <f>+N9-O9</f>
        <v>1606.9037900000212</v>
      </c>
      <c r="Q9" s="1">
        <v>5129.7747374093178</v>
      </c>
      <c r="R9" s="1">
        <v>5951.0259399999995</v>
      </c>
      <c r="S9" s="1">
        <f>+Q9-R9</f>
        <v>-821.25120259068171</v>
      </c>
    </row>
    <row r="10" spans="3:19">
      <c r="C10" s="1" t="s">
        <v>18</v>
      </c>
      <c r="D10" s="1">
        <v>-3624.3095200000012</v>
      </c>
      <c r="E10" s="1">
        <v>-3822.4277800000013</v>
      </c>
      <c r="F10" s="1">
        <v>-2157.27097</v>
      </c>
      <c r="G10" s="1">
        <v>-2086.6124400000003</v>
      </c>
      <c r="H10" s="1">
        <v>-2617.887110000001</v>
      </c>
      <c r="I10" s="1">
        <v>-2695.1586199999997</v>
      </c>
      <c r="J10" s="1">
        <v>-3639.5749100000003</v>
      </c>
      <c r="K10" s="1">
        <v>-2627.7254499999995</v>
      </c>
      <c r="L10" s="1">
        <v>-2670.9670700000006</v>
      </c>
      <c r="M10" s="1">
        <v>-1859.8395699999994</v>
      </c>
      <c r="N10" s="1">
        <v>-1843.3513400000211</v>
      </c>
      <c r="O10" s="1">
        <v>-3780.7674499999998</v>
      </c>
      <c r="P10" s="1">
        <f>+N10-O10</f>
        <v>1937.4161099999787</v>
      </c>
      <c r="Q10" s="1">
        <v>-2393.1973662585451</v>
      </c>
      <c r="R10" s="1">
        <v>-4741.9299300000002</v>
      </c>
      <c r="S10" s="1">
        <f>+Q10-R10</f>
        <v>2348.7325637414551</v>
      </c>
    </row>
    <row r="11" spans="3:19">
      <c r="C11" s="1" t="s">
        <v>19</v>
      </c>
      <c r="D11" s="1">
        <f>+D12+D13</f>
        <v>-9670.2792200000004</v>
      </c>
      <c r="E11" s="1">
        <f t="shared" ref="E11:S11" si="1">+E12+E13</f>
        <v>-10369.089479999999</v>
      </c>
      <c r="F11" s="1">
        <f t="shared" si="1"/>
        <v>-11646.987859999999</v>
      </c>
      <c r="G11" s="1">
        <f t="shared" si="1"/>
        <v>-12363.240880000001</v>
      </c>
      <c r="H11" s="1">
        <f t="shared" si="1"/>
        <v>-12214.399720000001</v>
      </c>
      <c r="I11" s="1">
        <f t="shared" si="1"/>
        <v>-13247.432270000001</v>
      </c>
      <c r="J11" s="1">
        <f t="shared" si="1"/>
        <v>-15006.709250000002</v>
      </c>
      <c r="K11" s="1">
        <f t="shared" si="1"/>
        <v>-17697.768220000002</v>
      </c>
      <c r="L11" s="1">
        <f t="shared" si="1"/>
        <v>-17583.32329</v>
      </c>
      <c r="M11" s="1">
        <f t="shared" si="1"/>
        <v>-18164.792040000004</v>
      </c>
      <c r="N11" s="1">
        <f>+N12+N13</f>
        <v>-17878.853310000002</v>
      </c>
      <c r="O11" s="1">
        <f>+O12+O13</f>
        <v>-7643.6794200000004</v>
      </c>
      <c r="P11" s="1">
        <f t="shared" si="1"/>
        <v>-10235.17389</v>
      </c>
      <c r="Q11" s="1">
        <f>+Q12+Q13</f>
        <v>-16871.045007326975</v>
      </c>
      <c r="R11" s="1">
        <f>+R12+R13</f>
        <v>-6935.2252000000008</v>
      </c>
      <c r="S11" s="1">
        <f t="shared" si="1"/>
        <v>-9935.8198073269723</v>
      </c>
    </row>
    <row r="12" spans="3:19">
      <c r="C12" s="1" t="s">
        <v>20</v>
      </c>
      <c r="D12" s="1">
        <v>1341.9337399999999</v>
      </c>
      <c r="E12" s="1">
        <v>680.17552999999998</v>
      </c>
      <c r="F12" s="1">
        <v>1946.7648100000001</v>
      </c>
      <c r="G12" s="1">
        <v>1279.66247</v>
      </c>
      <c r="H12" s="1">
        <v>1479.2926600000001</v>
      </c>
      <c r="I12" s="1">
        <v>495.41079000000002</v>
      </c>
      <c r="J12" s="1">
        <v>792.46805000000006</v>
      </c>
      <c r="K12" s="1">
        <v>167.06933999999998</v>
      </c>
      <c r="L12" s="1">
        <v>345.78823</v>
      </c>
      <c r="M12" s="1">
        <v>2842.0783799999999</v>
      </c>
      <c r="N12" s="1">
        <v>3203.6335399999998</v>
      </c>
      <c r="O12" s="1">
        <v>293.29519999999997</v>
      </c>
      <c r="P12" s="1">
        <f>+N12-O12</f>
        <v>2910.3383399999998</v>
      </c>
      <c r="Q12" s="1">
        <v>4211.4418426730281</v>
      </c>
      <c r="R12" s="1">
        <v>3564.7747999999997</v>
      </c>
      <c r="S12" s="1">
        <f>+Q12-R12</f>
        <v>646.66704267302839</v>
      </c>
    </row>
    <row r="13" spans="3:19">
      <c r="C13" s="1" t="s">
        <v>21</v>
      </c>
      <c r="D13" s="1">
        <v>-11012.212960000001</v>
      </c>
      <c r="E13" s="1">
        <v>-11049.265009999999</v>
      </c>
      <c r="F13" s="1">
        <v>-13593.75267</v>
      </c>
      <c r="G13" s="1">
        <v>-13642.903350000001</v>
      </c>
      <c r="H13" s="1">
        <v>-13693.69238</v>
      </c>
      <c r="I13" s="1">
        <v>-13742.843060000001</v>
      </c>
      <c r="J13" s="1">
        <v>-15799.177300000001</v>
      </c>
      <c r="K13" s="1">
        <v>-17864.83756</v>
      </c>
      <c r="L13" s="1">
        <v>-17929.111519999999</v>
      </c>
      <c r="M13" s="1">
        <v>-21006.870420000003</v>
      </c>
      <c r="N13" s="1">
        <v>-21082.486850000001</v>
      </c>
      <c r="O13" s="1">
        <v>-7936.97462</v>
      </c>
      <c r="P13" s="1">
        <f>+N13-O13</f>
        <v>-13145.51223</v>
      </c>
      <c r="Q13" s="1">
        <v>-21082.486850000001</v>
      </c>
      <c r="R13" s="1">
        <v>-10500</v>
      </c>
      <c r="S13" s="1">
        <f>+Q13-R13</f>
        <v>-10582.486850000001</v>
      </c>
    </row>
    <row r="14" spans="3:19">
      <c r="C14" s="1" t="s">
        <v>123</v>
      </c>
      <c r="D14" s="1">
        <f>+SUM(D15:D19)</f>
        <v>1321.6007900000004</v>
      </c>
      <c r="E14" s="1">
        <f t="shared" ref="E14:S14" si="2">+SUM(E15:E19)</f>
        <v>1342.4367400000001</v>
      </c>
      <c r="F14" s="1">
        <f t="shared" si="2"/>
        <v>955.13777000000005</v>
      </c>
      <c r="G14" s="1">
        <f t="shared" si="2"/>
        <v>858.88303999999994</v>
      </c>
      <c r="H14" s="1">
        <f t="shared" si="2"/>
        <v>1227.6560399999928</v>
      </c>
      <c r="I14" s="1">
        <f t="shared" si="2"/>
        <v>1561.3330100000001</v>
      </c>
      <c r="J14" s="1">
        <f t="shared" si="2"/>
        <v>865.29200000000026</v>
      </c>
      <c r="K14" s="1">
        <f t="shared" si="2"/>
        <v>1112.5226799999996</v>
      </c>
      <c r="L14" s="1">
        <f t="shared" si="2"/>
        <v>1474.2236600000001</v>
      </c>
      <c r="M14" s="1">
        <f t="shared" si="2"/>
        <v>1435.69571</v>
      </c>
      <c r="N14" s="1">
        <f>+SUM(N15:N19)</f>
        <v>1343.5196000000003</v>
      </c>
      <c r="O14" s="1">
        <f>+SUM(O15:O19)</f>
        <v>1331.6116000000009</v>
      </c>
      <c r="P14" s="1">
        <f t="shared" si="2"/>
        <v>11.907999999999333</v>
      </c>
      <c r="Q14" s="1">
        <f>+SUM(Q15:Q19)</f>
        <v>1307.7019787332267</v>
      </c>
      <c r="R14" s="1">
        <f>+SUM(R15:R19)</f>
        <v>1172.6213600000008</v>
      </c>
      <c r="S14" s="1">
        <f t="shared" si="2"/>
        <v>135.08061873322595</v>
      </c>
    </row>
    <row r="15" spans="3:19">
      <c r="C15" s="1" t="s">
        <v>22</v>
      </c>
      <c r="D15" s="1">
        <v>1316.97045</v>
      </c>
      <c r="E15" s="1">
        <v>1422.8900100000001</v>
      </c>
      <c r="F15" s="1">
        <v>1477.00809</v>
      </c>
      <c r="G15" s="1">
        <v>1535.0910100000001</v>
      </c>
      <c r="H15" s="1">
        <v>1612.2792400000001</v>
      </c>
      <c r="I15" s="1">
        <v>1561.10609</v>
      </c>
      <c r="J15" s="1">
        <v>1650.83006</v>
      </c>
      <c r="K15" s="1">
        <v>1672.85375</v>
      </c>
      <c r="L15" s="1">
        <v>1642.8231799999999</v>
      </c>
      <c r="M15" s="1">
        <v>1607.4878899999999</v>
      </c>
      <c r="N15" s="1">
        <v>1580.2211299999999</v>
      </c>
      <c r="O15" s="1">
        <v>1089.6299299999998</v>
      </c>
      <c r="P15" s="1">
        <f>+N15-O15</f>
        <v>490.59120000000007</v>
      </c>
      <c r="Q15" s="1">
        <v>1580.2211299999999</v>
      </c>
      <c r="R15" s="1">
        <v>1138.04555</v>
      </c>
      <c r="S15" s="1">
        <f>+Q15-R15</f>
        <v>442.17557999999985</v>
      </c>
    </row>
    <row r="16" spans="3:19">
      <c r="C16" s="1" t="s">
        <v>23</v>
      </c>
      <c r="D16" s="1">
        <v>-701.60713999999996</v>
      </c>
      <c r="E16" s="1">
        <v>-836.46855000000005</v>
      </c>
      <c r="F16" s="1">
        <v>-939.30832999999996</v>
      </c>
      <c r="G16" s="1">
        <v>-1055.56899</v>
      </c>
      <c r="H16" s="1">
        <v>-813.55531000000008</v>
      </c>
      <c r="I16" s="1">
        <v>-549.13225</v>
      </c>
      <c r="J16" s="1">
        <v>-1245.6066700000001</v>
      </c>
      <c r="K16" s="1">
        <v>-1096.92345</v>
      </c>
      <c r="L16" s="1">
        <v>-801.74466999999993</v>
      </c>
      <c r="M16" s="1">
        <v>-691.62139999999999</v>
      </c>
      <c r="N16" s="1">
        <v>-822.41582999999991</v>
      </c>
      <c r="O16" s="1">
        <v>-793.37308999999902</v>
      </c>
      <c r="P16" s="1">
        <f>+N16-O16</f>
        <v>-29.04274000000089</v>
      </c>
      <c r="Q16" s="1">
        <v>-822.41582999999991</v>
      </c>
      <c r="R16" s="1">
        <v>-942.64472000000001</v>
      </c>
      <c r="S16" s="1">
        <f>+Q16-R16</f>
        <v>120.22889000000009</v>
      </c>
    </row>
    <row r="17" spans="3:20">
      <c r="C17" s="1" t="s">
        <v>24</v>
      </c>
      <c r="D17" s="1">
        <v>140.97217999999998</v>
      </c>
      <c r="E17" s="1">
        <v>141.61473000000001</v>
      </c>
      <c r="F17" s="1">
        <v>143.83866</v>
      </c>
      <c r="G17" s="1">
        <v>140.44322000000003</v>
      </c>
      <c r="H17" s="1">
        <v>140.30226000000002</v>
      </c>
      <c r="I17" s="1">
        <v>140.31927000000002</v>
      </c>
      <c r="J17" s="1">
        <v>140.99143000000001</v>
      </c>
      <c r="K17" s="1">
        <v>138.92394999999999</v>
      </c>
      <c r="L17" s="1">
        <v>136.85647</v>
      </c>
      <c r="M17" s="1">
        <v>135.51647</v>
      </c>
      <c r="N17" s="1">
        <v>136.98363000000001</v>
      </c>
      <c r="O17" s="1">
        <v>144.91537</v>
      </c>
      <c r="P17" s="1">
        <f>+N17-O17</f>
        <v>-7.9317399999999907</v>
      </c>
      <c r="Q17" s="1">
        <v>132.10065373318781</v>
      </c>
      <c r="R17" s="1">
        <v>143.20374000000001</v>
      </c>
      <c r="S17" s="1">
        <f>+Q17-R17</f>
        <v>-11.103086266812198</v>
      </c>
    </row>
    <row r="18" spans="3:20">
      <c r="C18" s="1" t="s">
        <v>122</v>
      </c>
      <c r="D18" s="1">
        <v>1438.4811400000003</v>
      </c>
      <c r="E18" s="1">
        <v>1441.3758700000001</v>
      </c>
      <c r="F18" s="1">
        <v>1114.0815</v>
      </c>
      <c r="G18" s="1">
        <v>1134.4324999999999</v>
      </c>
      <c r="H18" s="1">
        <v>1132.8259999999927</v>
      </c>
      <c r="I18" s="1">
        <v>1201.9175</v>
      </c>
      <c r="J18" s="1">
        <v>1141.8665000000003</v>
      </c>
      <c r="K18" s="1">
        <v>1168.3894999999998</v>
      </c>
      <c r="L18" s="1">
        <v>1214.9414999999999</v>
      </c>
      <c r="M18" s="1">
        <v>1156.8710000000001</v>
      </c>
      <c r="N18" s="1">
        <v>1169.2125000000001</v>
      </c>
      <c r="O18" s="1">
        <v>1394.80809</v>
      </c>
      <c r="P18" s="1">
        <f>+N18-O18</f>
        <v>-225.5955899999999</v>
      </c>
      <c r="Q18" s="1">
        <v>1086.6592100000389</v>
      </c>
      <c r="R18" s="1">
        <v>1387.4060599999998</v>
      </c>
      <c r="S18" s="1">
        <f>+Q18-R18</f>
        <v>-300.74684999996089</v>
      </c>
    </row>
    <row r="19" spans="3:20">
      <c r="C19" s="1" t="s">
        <v>26</v>
      </c>
      <c r="D19" s="1">
        <v>-873.21583999999996</v>
      </c>
      <c r="E19" s="1">
        <v>-826.9753199999999</v>
      </c>
      <c r="F19" s="1">
        <v>-840.48215000000005</v>
      </c>
      <c r="G19" s="1">
        <v>-895.51469999999995</v>
      </c>
      <c r="H19" s="1">
        <v>-844.19614999999999</v>
      </c>
      <c r="I19" s="1">
        <v>-792.87760000000003</v>
      </c>
      <c r="J19" s="1">
        <v>-822.78931999999998</v>
      </c>
      <c r="K19" s="1">
        <v>-770.72106999999994</v>
      </c>
      <c r="L19" s="1">
        <v>-718.65281999999991</v>
      </c>
      <c r="M19" s="1">
        <v>-772.55825000000004</v>
      </c>
      <c r="N19" s="1">
        <v>-720.48182999999995</v>
      </c>
      <c r="O19" s="1">
        <v>-504.36869999999999</v>
      </c>
      <c r="P19" s="1">
        <f>+N19-O19</f>
        <v>-216.11312999999996</v>
      </c>
      <c r="Q19" s="1">
        <v>-668.86318499999993</v>
      </c>
      <c r="R19" s="1">
        <v>-553.38926999999899</v>
      </c>
      <c r="S19" s="1">
        <f>+Q19-R19</f>
        <v>-115.47391500000094</v>
      </c>
    </row>
    <row r="20" spans="3:20">
      <c r="C20" s="1" t="s">
        <v>15</v>
      </c>
      <c r="D20" s="1">
        <f>+D21+D22</f>
        <v>51605.371999999952</v>
      </c>
      <c r="E20" s="1">
        <f t="shared" ref="E20:S20" si="3">+E21+E22</f>
        <v>51603.417279999951</v>
      </c>
      <c r="F20" s="1">
        <f t="shared" si="3"/>
        <v>51601.462559999971</v>
      </c>
      <c r="G20" s="1">
        <f t="shared" si="3"/>
        <v>51599.507839999962</v>
      </c>
      <c r="H20" s="1">
        <f t="shared" si="3"/>
        <v>51597.55311999996</v>
      </c>
      <c r="I20" s="1">
        <f t="shared" si="3"/>
        <v>51595.598399999959</v>
      </c>
      <c r="J20" s="1">
        <f t="shared" si="3"/>
        <v>51593.643679999957</v>
      </c>
      <c r="K20" s="1">
        <f t="shared" si="3"/>
        <v>51591.688959999956</v>
      </c>
      <c r="L20" s="1">
        <f t="shared" si="3"/>
        <v>51589.734239999954</v>
      </c>
      <c r="M20" s="1">
        <f t="shared" si="3"/>
        <v>51587.77951999996</v>
      </c>
      <c r="N20" s="1">
        <f>+N21+N22</f>
        <v>51585.824799999958</v>
      </c>
      <c r="O20" s="1">
        <f>+O21+O22</f>
        <v>51609.281439999999</v>
      </c>
      <c r="P20" s="1">
        <f t="shared" si="3"/>
        <v>-23.456640000040352</v>
      </c>
      <c r="Q20" s="1">
        <f>+Q21+Q22</f>
        <v>51710.142180000003</v>
      </c>
      <c r="R20" s="1">
        <f>+R21+R22</f>
        <v>51607.326720000005</v>
      </c>
      <c r="S20" s="1">
        <f t="shared" si="3"/>
        <v>102.81545999999798</v>
      </c>
    </row>
    <row r="21" spans="3:20">
      <c r="C21" s="1" t="s">
        <v>27</v>
      </c>
      <c r="D21" s="1">
        <v>47870.361129999954</v>
      </c>
      <c r="E21" s="1">
        <v>47868.406409999952</v>
      </c>
      <c r="F21" s="1">
        <v>47866.451689999973</v>
      </c>
      <c r="G21" s="1">
        <v>47864.496969999964</v>
      </c>
      <c r="H21" s="1">
        <v>47862.542249999962</v>
      </c>
      <c r="I21" s="1">
        <v>47860.587529999961</v>
      </c>
      <c r="J21" s="1">
        <v>47858.632809999959</v>
      </c>
      <c r="K21" s="1">
        <v>47856.678089999958</v>
      </c>
      <c r="L21" s="1">
        <v>47854.723369999956</v>
      </c>
      <c r="M21" s="1">
        <v>47852.768649999962</v>
      </c>
      <c r="N21" s="1">
        <v>47850.81392999996</v>
      </c>
      <c r="O21" s="1">
        <v>47874.270570000001</v>
      </c>
      <c r="P21" s="1">
        <f>+N21-O21</f>
        <v>-23.456640000040352</v>
      </c>
      <c r="Q21" s="1">
        <v>47975.131310000004</v>
      </c>
      <c r="R21" s="1">
        <v>47872.315850000006</v>
      </c>
      <c r="S21" s="1">
        <f>+Q21-R21</f>
        <v>102.81545999999798</v>
      </c>
    </row>
    <row r="22" spans="3:20">
      <c r="C22" s="1" t="s">
        <v>28</v>
      </c>
      <c r="D22" s="1">
        <v>3735.0108700000001</v>
      </c>
      <c r="E22" s="1">
        <v>3735.0108700000001</v>
      </c>
      <c r="F22" s="1">
        <v>3735.0108700000001</v>
      </c>
      <c r="G22" s="1">
        <v>3735.0108700000001</v>
      </c>
      <c r="H22" s="1">
        <v>3735.0108700000001</v>
      </c>
      <c r="I22" s="1">
        <v>3735.0108700000001</v>
      </c>
      <c r="J22" s="1">
        <v>3735.0108700000001</v>
      </c>
      <c r="K22" s="1">
        <v>3735.0108700000001</v>
      </c>
      <c r="L22" s="1">
        <v>3735.0108700000001</v>
      </c>
      <c r="M22" s="1">
        <v>3735.0108700000001</v>
      </c>
      <c r="N22" s="1">
        <v>3735.0108700000001</v>
      </c>
      <c r="O22" s="1">
        <v>3735.0108700000001</v>
      </c>
      <c r="P22" s="1">
        <f>+N22-O22</f>
        <v>0</v>
      </c>
      <c r="Q22" s="1">
        <v>3735.0108700000001</v>
      </c>
      <c r="R22" s="1">
        <v>3735.0108700000001</v>
      </c>
      <c r="S22" s="1">
        <f>+Q22-R22</f>
        <v>0</v>
      </c>
    </row>
    <row r="23" spans="3:20" ht="17.25" customHeight="1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3:20" ht="17.25" customHeight="1">
      <c r="C24" s="1" t="s">
        <v>121</v>
      </c>
      <c r="D24" s="1">
        <f>+D20+D14+D11+D7</f>
        <v>47818.683379999966</v>
      </c>
      <c r="E24" s="1">
        <f t="shared" ref="E24:S24" si="4">+E20+E14+E11+E7</f>
        <v>47405.631459999946</v>
      </c>
      <c r="F24" s="1">
        <f t="shared" si="4"/>
        <v>46407.674639999954</v>
      </c>
      <c r="G24" s="1">
        <f t="shared" si="4"/>
        <v>45985.281619999965</v>
      </c>
      <c r="H24" s="1">
        <f t="shared" si="4"/>
        <v>45651.767749999955</v>
      </c>
      <c r="I24" s="1">
        <f t="shared" si="4"/>
        <v>44838.383939999949</v>
      </c>
      <c r="J24" s="1">
        <f t="shared" si="4"/>
        <v>43176.839359999954</v>
      </c>
      <c r="K24" s="1">
        <f t="shared" si="4"/>
        <v>42793.723679999952</v>
      </c>
      <c r="L24" s="1">
        <f t="shared" si="4"/>
        <v>42839.258609999968</v>
      </c>
      <c r="M24" s="1">
        <f t="shared" si="4"/>
        <v>42077.01976999997</v>
      </c>
      <c r="N24" s="1">
        <f>+N20+N14+N11+N7</f>
        <v>41632.289069999955</v>
      </c>
      <c r="O24" s="1">
        <f>+O20+O14+O11+O7</f>
        <v>48555.619330000001</v>
      </c>
      <c r="P24" s="1">
        <f t="shared" si="4"/>
        <v>-6923.3302600000407</v>
      </c>
      <c r="Q24" s="1">
        <f>+Q20+Q14+Q11+Q7</f>
        <v>40648.670072557026</v>
      </c>
      <c r="R24" s="1">
        <f>+R20+R14+R11+R7</f>
        <v>48218.774340000004</v>
      </c>
      <c r="S24" s="1">
        <f t="shared" si="4"/>
        <v>-7570.1042674429755</v>
      </c>
    </row>
    <row r="25" spans="3:20">
      <c r="C25" s="1" t="s">
        <v>108</v>
      </c>
      <c r="D25" s="1">
        <f>+D26+D27</f>
        <v>47818.683379999959</v>
      </c>
      <c r="E25" s="1">
        <f t="shared" ref="E25:S25" si="5">+E26+E27</f>
        <v>47405.631459999953</v>
      </c>
      <c r="F25" s="1">
        <f t="shared" si="5"/>
        <v>46407.674639999954</v>
      </c>
      <c r="G25" s="1">
        <f t="shared" si="5"/>
        <v>45985.281619999958</v>
      </c>
      <c r="H25" s="1">
        <f t="shared" si="5"/>
        <v>45651.767749999955</v>
      </c>
      <c r="I25" s="1">
        <f t="shared" si="5"/>
        <v>44838.383939999956</v>
      </c>
      <c r="J25" s="1">
        <f t="shared" si="5"/>
        <v>43176.839359999954</v>
      </c>
      <c r="K25" s="1">
        <f t="shared" si="5"/>
        <v>42793.723679999952</v>
      </c>
      <c r="L25" s="1">
        <f t="shared" si="5"/>
        <v>42839.258609999961</v>
      </c>
      <c r="M25" s="1">
        <f t="shared" si="5"/>
        <v>42077.01976999997</v>
      </c>
      <c r="N25" s="1">
        <f>+N26+N27</f>
        <v>41632.289069999955</v>
      </c>
      <c r="O25" s="1">
        <f>+O26+O27</f>
        <v>48555.619330000001</v>
      </c>
      <c r="P25" s="1">
        <f t="shared" si="5"/>
        <v>-6923.3302600000479</v>
      </c>
      <c r="Q25" s="1">
        <f>+Q26+Q27</f>
        <v>40648.674562556953</v>
      </c>
      <c r="R25" s="1">
        <f>+R26+R27</f>
        <v>48218.774340000004</v>
      </c>
      <c r="S25" s="1">
        <f t="shared" si="5"/>
        <v>-7570.0997774430525</v>
      </c>
    </row>
    <row r="26" spans="3:20">
      <c r="C26" s="1" t="s">
        <v>93</v>
      </c>
      <c r="D26" s="1">
        <v>60672.168100000003</v>
      </c>
      <c r="E26" s="1">
        <v>60672.168100000003</v>
      </c>
      <c r="F26" s="1">
        <v>60672.168100000003</v>
      </c>
      <c r="G26" s="1">
        <v>60672.168100000003</v>
      </c>
      <c r="H26" s="1">
        <v>60672.168100000003</v>
      </c>
      <c r="I26" s="1">
        <v>60672.168100000003</v>
      </c>
      <c r="J26" s="1">
        <v>60672.168100000003</v>
      </c>
      <c r="K26" s="1">
        <v>60672.168100000003</v>
      </c>
      <c r="L26" s="1">
        <v>60672.168100000003</v>
      </c>
      <c r="M26" s="1">
        <v>60672.168100000003</v>
      </c>
      <c r="N26" s="1">
        <v>60672.168100000003</v>
      </c>
      <c r="O26" s="1">
        <v>60672.168100000003</v>
      </c>
      <c r="P26" s="1">
        <f>+N26-O26</f>
        <v>0</v>
      </c>
      <c r="Q26" s="1">
        <v>60672.168100000003</v>
      </c>
      <c r="R26" s="1">
        <v>60672.168100000003</v>
      </c>
      <c r="S26" s="1">
        <f>+Q26-R26</f>
        <v>0</v>
      </c>
    </row>
    <row r="27" spans="3:20" ht="15" customHeight="1">
      <c r="C27" s="1" t="s">
        <v>94</v>
      </c>
      <c r="D27" s="1">
        <v>-12853.484720000048</v>
      </c>
      <c r="E27" s="1">
        <v>-13266.536640000048</v>
      </c>
      <c r="F27" s="1">
        <v>-14264.493460000045</v>
      </c>
      <c r="G27" s="1">
        <v>-14686.886480000047</v>
      </c>
      <c r="H27" s="1">
        <v>-15020.400350000044</v>
      </c>
      <c r="I27" s="1">
        <v>-15833.784160000045</v>
      </c>
      <c r="J27" s="1">
        <v>-17495.328740000048</v>
      </c>
      <c r="K27" s="1">
        <v>-17878.444420000047</v>
      </c>
      <c r="L27" s="1">
        <v>-17832.909490000042</v>
      </c>
      <c r="M27" s="1">
        <v>-18595.148330000036</v>
      </c>
      <c r="N27" s="1">
        <v>-19039.879030000051</v>
      </c>
      <c r="O27" s="1">
        <v>-12116.548770000003</v>
      </c>
      <c r="P27" s="1">
        <f>+N27-O27</f>
        <v>-6923.3302600000479</v>
      </c>
      <c r="Q27" s="1">
        <v>-20023.49353744305</v>
      </c>
      <c r="R27" s="1">
        <v>-12453.393759999997</v>
      </c>
      <c r="S27" s="1">
        <f>+Q27-R27</f>
        <v>-7570.0997774430525</v>
      </c>
    </row>
    <row r="29" spans="3:20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3:20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3:20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3:20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4:17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4:17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6" spans="4:17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A2C4-58C2-4E46-A9F6-1EBCD6A90882}">
  <sheetPr>
    <tabColor theme="4" tint="0.79998168889431442"/>
  </sheetPr>
  <dimension ref="C1:BR182"/>
  <sheetViews>
    <sheetView showGridLines="0" topLeftCell="D9" zoomScale="85" zoomScaleNormal="85" workbookViewId="0">
      <pane xSplit="13" ySplit="12" topLeftCell="S21" activePane="bottomRight" state="frozen"/>
      <selection activeCell="D9" sqref="D9"/>
      <selection pane="topRight" activeCell="P9" sqref="P9"/>
      <selection pane="bottomLeft" activeCell="D21" sqref="D21"/>
      <selection pane="bottomRight" activeCell="S32" sqref="S32"/>
    </sheetView>
    <sheetView tabSelected="1" topLeftCell="E32" workbookViewId="1">
      <selection activeCell="AD50" sqref="AD50"/>
    </sheetView>
  </sheetViews>
  <sheetFormatPr defaultRowHeight="0" customHeight="1" zeroHeight="1" outlineLevelRow="1" outlineLevelCol="4"/>
  <cols>
    <col min="1" max="2" width="4.625" style="5" customWidth="1"/>
    <col min="3" max="3" width="8.5" style="50" bestFit="1" customWidth="1"/>
    <col min="4" max="4" width="14.625" style="50" bestFit="1" customWidth="1"/>
    <col min="5" max="6" width="37.875" style="2" customWidth="1"/>
    <col min="7" max="7" width="12.625" style="2" hidden="1" customWidth="1" outlineLevel="4" collapsed="1"/>
    <col min="8" max="16" width="12.625" style="2" hidden="1" customWidth="1" outlineLevel="4"/>
    <col min="17" max="18" width="12.625" style="2" hidden="1" customWidth="1" outlineLevel="1"/>
    <col min="19" max="19" width="12.625" style="2" customWidth="1" collapsed="1"/>
    <col min="20" max="30" width="12.625" style="2" customWidth="1"/>
    <col min="31" max="31" width="12.625" style="2" hidden="1" customWidth="1" outlineLevel="1" collapsed="1"/>
    <col min="32" max="42" width="12.625" style="2" hidden="1" customWidth="1" outlineLevel="1"/>
    <col min="43" max="43" width="12.625" style="2" hidden="1" customWidth="1" outlineLevel="1" collapsed="1"/>
    <col min="44" max="54" width="12.625" style="2" hidden="1" customWidth="1" outlineLevel="1"/>
    <col min="55" max="55" width="1.625" style="5" customWidth="1" collapsed="1"/>
    <col min="56" max="56" width="1.625" style="5" customWidth="1"/>
    <col min="57" max="57" width="11.375" style="5" bestFit="1" customWidth="1"/>
    <col min="58" max="16384" width="9" style="5"/>
  </cols>
  <sheetData>
    <row r="1" spans="5:56" ht="16.5">
      <c r="N1" s="3"/>
      <c r="O1" s="4"/>
      <c r="P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F1" s="5"/>
    </row>
    <row r="2" spans="5:56" ht="16.5">
      <c r="N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F2" s="6"/>
    </row>
    <row r="3" spans="5:56" ht="16.5">
      <c r="E3" s="6" t="s">
        <v>29</v>
      </c>
      <c r="F3" s="6"/>
      <c r="N3" s="3"/>
      <c r="O3" s="7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C3" s="8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 spans="5:56" ht="16.5"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C4" s="8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 spans="5:56" ht="16.5">
      <c r="G5" s="3"/>
      <c r="H5" s="3"/>
      <c r="I5" s="3"/>
      <c r="J5" s="3"/>
      <c r="K5" s="3"/>
      <c r="L5" s="3"/>
      <c r="N5" s="3"/>
      <c r="O5" s="4"/>
      <c r="P5" s="3"/>
      <c r="Q5" s="3"/>
      <c r="R5" s="3"/>
      <c r="S5" s="3"/>
      <c r="T5" s="9"/>
      <c r="U5" s="9"/>
      <c r="V5" s="9"/>
      <c r="W5" s="9"/>
      <c r="X5" s="9"/>
      <c r="Y5" s="9"/>
      <c r="Z5" s="9"/>
      <c r="AA5" s="9"/>
      <c r="AB5" s="9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 spans="5:56" ht="16.5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10"/>
      <c r="T6" s="10"/>
      <c r="U6" s="10"/>
      <c r="V6" s="10"/>
      <c r="W6" s="10"/>
      <c r="X6" s="10"/>
      <c r="Y6" s="10"/>
      <c r="Z6" s="10"/>
      <c r="AA6" s="10"/>
      <c r="AB6" s="10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5:56" ht="16.5">
      <c r="E7" s="11">
        <f>[1]TOC!$B$6</f>
        <v>45962</v>
      </c>
      <c r="F7" s="11"/>
      <c r="O7" s="7"/>
      <c r="P7" s="7"/>
      <c r="R7" s="7"/>
      <c r="S7" s="7"/>
      <c r="T7" s="7"/>
      <c r="U7" s="7"/>
      <c r="V7" s="12"/>
      <c r="W7" s="12"/>
      <c r="X7" s="12"/>
      <c r="Y7" s="12"/>
      <c r="Z7" s="12"/>
      <c r="AA7" s="12"/>
      <c r="AB7" s="12"/>
      <c r="AC7" s="7"/>
      <c r="AD7" s="7"/>
    </row>
    <row r="8" spans="5:56" ht="16.5">
      <c r="G8" s="13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13"/>
      <c r="AQ8" s="13"/>
    </row>
    <row r="9" spans="5:56" ht="16.5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61">
        <f>+U37-U16</f>
        <v>0</v>
      </c>
      <c r="V9" s="61">
        <f t="shared" ref="V9:AC9" si="0">+V37-V16</f>
        <v>0</v>
      </c>
      <c r="W9" s="61">
        <f t="shared" si="0"/>
        <v>0</v>
      </c>
      <c r="X9" s="61">
        <f t="shared" si="0"/>
        <v>0</v>
      </c>
      <c r="Y9" s="61">
        <f t="shared" si="0"/>
        <v>0</v>
      </c>
      <c r="Z9" s="61">
        <f t="shared" si="0"/>
        <v>0</v>
      </c>
      <c r="AA9" s="61">
        <f t="shared" si="0"/>
        <v>0</v>
      </c>
      <c r="AB9" s="61">
        <f t="shared" si="0"/>
        <v>0</v>
      </c>
      <c r="AC9" s="60">
        <f t="shared" si="0"/>
        <v>0</v>
      </c>
      <c r="AD9" s="7"/>
    </row>
    <row r="10" spans="5:56" ht="16.5" hidden="1" outlineLevel="1">
      <c r="G10" s="14">
        <f t="shared" ref="G10:AD10" si="1">IF(MONTH(G$20)&lt;=MONTH($E$7),1,0)</f>
        <v>1</v>
      </c>
      <c r="H10" s="14">
        <f t="shared" si="1"/>
        <v>1</v>
      </c>
      <c r="I10" s="14">
        <f t="shared" si="1"/>
        <v>1</v>
      </c>
      <c r="J10" s="14">
        <f t="shared" si="1"/>
        <v>1</v>
      </c>
      <c r="K10" s="14">
        <f t="shared" si="1"/>
        <v>1</v>
      </c>
      <c r="L10" s="14">
        <f t="shared" si="1"/>
        <v>1</v>
      </c>
      <c r="M10" s="14">
        <f t="shared" si="1"/>
        <v>1</v>
      </c>
      <c r="N10" s="14">
        <f t="shared" si="1"/>
        <v>1</v>
      </c>
      <c r="O10" s="14">
        <f t="shared" si="1"/>
        <v>1</v>
      </c>
      <c r="P10" s="14">
        <f t="shared" si="1"/>
        <v>1</v>
      </c>
      <c r="Q10" s="14">
        <f t="shared" si="1"/>
        <v>1</v>
      </c>
      <c r="R10" s="14">
        <f t="shared" si="1"/>
        <v>0</v>
      </c>
      <c r="S10" s="14">
        <f t="shared" si="1"/>
        <v>1</v>
      </c>
      <c r="T10" s="14">
        <f t="shared" si="1"/>
        <v>1</v>
      </c>
      <c r="U10" s="70">
        <f t="shared" si="1"/>
        <v>1</v>
      </c>
      <c r="V10" s="70">
        <f t="shared" si="1"/>
        <v>1</v>
      </c>
      <c r="W10" s="70">
        <f t="shared" si="1"/>
        <v>1</v>
      </c>
      <c r="X10" s="70">
        <f t="shared" si="1"/>
        <v>1</v>
      </c>
      <c r="Y10" s="70">
        <f t="shared" si="1"/>
        <v>1</v>
      </c>
      <c r="Z10" s="70">
        <f t="shared" si="1"/>
        <v>1</v>
      </c>
      <c r="AA10" s="70">
        <f t="shared" si="1"/>
        <v>1</v>
      </c>
      <c r="AB10" s="70">
        <f t="shared" si="1"/>
        <v>1</v>
      </c>
      <c r="AC10" s="70">
        <f t="shared" si="1"/>
        <v>1</v>
      </c>
      <c r="AD10" s="14">
        <f t="shared" si="1"/>
        <v>0</v>
      </c>
      <c r="AE10" s="14">
        <f>IF(MONTH(AE$20)&lt;=MONTH($E$7),1,0)</f>
        <v>1</v>
      </c>
      <c r="AF10" s="14">
        <f t="shared" ref="AF10:BB10" si="2">IF(MONTH(AF$20)&lt;=MONTH($E$7),1,0)</f>
        <v>1</v>
      </c>
      <c r="AG10" s="14">
        <f t="shared" si="2"/>
        <v>1</v>
      </c>
      <c r="AH10" s="14">
        <f t="shared" si="2"/>
        <v>1</v>
      </c>
      <c r="AI10" s="14">
        <f t="shared" si="2"/>
        <v>1</v>
      </c>
      <c r="AJ10" s="14">
        <f t="shared" si="2"/>
        <v>1</v>
      </c>
      <c r="AK10" s="14">
        <f t="shared" si="2"/>
        <v>1</v>
      </c>
      <c r="AL10" s="14">
        <f t="shared" si="2"/>
        <v>1</v>
      </c>
      <c r="AM10" s="14">
        <f t="shared" si="2"/>
        <v>1</v>
      </c>
      <c r="AN10" s="14">
        <f t="shared" si="2"/>
        <v>1</v>
      </c>
      <c r="AO10" s="14">
        <f t="shared" si="2"/>
        <v>1</v>
      </c>
      <c r="AP10" s="14">
        <f t="shared" si="2"/>
        <v>0</v>
      </c>
      <c r="AQ10" s="14">
        <f>IF(MONTH(AQ$20)&lt;=MONTH($E$7),1,0)</f>
        <v>1</v>
      </c>
      <c r="AR10" s="14">
        <f t="shared" si="2"/>
        <v>1</v>
      </c>
      <c r="AS10" s="14">
        <f t="shared" si="2"/>
        <v>1</v>
      </c>
      <c r="AT10" s="14">
        <f t="shared" si="2"/>
        <v>1</v>
      </c>
      <c r="AU10" s="14">
        <f t="shared" si="2"/>
        <v>1</v>
      </c>
      <c r="AV10" s="14">
        <f t="shared" si="2"/>
        <v>1</v>
      </c>
      <c r="AW10" s="14">
        <f t="shared" si="2"/>
        <v>1</v>
      </c>
      <c r="AX10" s="14">
        <f t="shared" si="2"/>
        <v>1</v>
      </c>
      <c r="AY10" s="14">
        <f t="shared" si="2"/>
        <v>1</v>
      </c>
      <c r="AZ10" s="14">
        <f t="shared" si="2"/>
        <v>1</v>
      </c>
      <c r="BA10" s="14">
        <f t="shared" si="2"/>
        <v>1</v>
      </c>
      <c r="BB10" s="14">
        <f t="shared" si="2"/>
        <v>0</v>
      </c>
    </row>
    <row r="11" spans="5:56" ht="16.5" hidden="1" outlineLevel="1">
      <c r="G11" s="14">
        <f t="shared" ref="G11:BB11" si="3">MONTH(G20)</f>
        <v>1</v>
      </c>
      <c r="H11" s="14">
        <f t="shared" si="3"/>
        <v>2</v>
      </c>
      <c r="I11" s="14">
        <f t="shared" si="3"/>
        <v>3</v>
      </c>
      <c r="J11" s="14">
        <f t="shared" si="3"/>
        <v>4</v>
      </c>
      <c r="K11" s="14">
        <f t="shared" si="3"/>
        <v>5</v>
      </c>
      <c r="L11" s="14">
        <f t="shared" si="3"/>
        <v>6</v>
      </c>
      <c r="M11" s="14">
        <f t="shared" si="3"/>
        <v>7</v>
      </c>
      <c r="N11" s="14">
        <f t="shared" si="3"/>
        <v>8</v>
      </c>
      <c r="O11" s="14">
        <f t="shared" si="3"/>
        <v>9</v>
      </c>
      <c r="P11" s="14">
        <f t="shared" si="3"/>
        <v>10</v>
      </c>
      <c r="Q11" s="14">
        <f t="shared" si="3"/>
        <v>11</v>
      </c>
      <c r="R11" s="14">
        <f t="shared" si="3"/>
        <v>12</v>
      </c>
      <c r="S11" s="14">
        <f t="shared" si="3"/>
        <v>1</v>
      </c>
      <c r="T11" s="14">
        <f t="shared" si="3"/>
        <v>2</v>
      </c>
      <c r="U11" s="70">
        <f t="shared" si="3"/>
        <v>3</v>
      </c>
      <c r="V11" s="70">
        <f t="shared" si="3"/>
        <v>4</v>
      </c>
      <c r="W11" s="70">
        <f t="shared" si="3"/>
        <v>5</v>
      </c>
      <c r="X11" s="70">
        <f t="shared" si="3"/>
        <v>6</v>
      </c>
      <c r="Y11" s="70">
        <f t="shared" si="3"/>
        <v>7</v>
      </c>
      <c r="Z11" s="70">
        <f t="shared" si="3"/>
        <v>8</v>
      </c>
      <c r="AA11" s="70">
        <f t="shared" si="3"/>
        <v>9</v>
      </c>
      <c r="AB11" s="70">
        <f t="shared" si="3"/>
        <v>10</v>
      </c>
      <c r="AC11" s="70">
        <f t="shared" si="3"/>
        <v>11</v>
      </c>
      <c r="AD11" s="14">
        <f t="shared" si="3"/>
        <v>12</v>
      </c>
      <c r="AE11" s="14">
        <f t="shared" si="3"/>
        <v>1</v>
      </c>
      <c r="AF11" s="14">
        <f t="shared" si="3"/>
        <v>2</v>
      </c>
      <c r="AG11" s="14">
        <f t="shared" si="3"/>
        <v>3</v>
      </c>
      <c r="AH11" s="14">
        <f t="shared" si="3"/>
        <v>4</v>
      </c>
      <c r="AI11" s="14">
        <f t="shared" si="3"/>
        <v>5</v>
      </c>
      <c r="AJ11" s="14">
        <f t="shared" si="3"/>
        <v>6</v>
      </c>
      <c r="AK11" s="14">
        <f t="shared" si="3"/>
        <v>7</v>
      </c>
      <c r="AL11" s="14">
        <f t="shared" si="3"/>
        <v>8</v>
      </c>
      <c r="AM11" s="14">
        <f t="shared" si="3"/>
        <v>9</v>
      </c>
      <c r="AN11" s="14">
        <f t="shared" si="3"/>
        <v>10</v>
      </c>
      <c r="AO11" s="14">
        <f t="shared" si="3"/>
        <v>11</v>
      </c>
      <c r="AP11" s="14">
        <f t="shared" si="3"/>
        <v>12</v>
      </c>
      <c r="AQ11" s="14">
        <f t="shared" si="3"/>
        <v>1</v>
      </c>
      <c r="AR11" s="14">
        <f t="shared" si="3"/>
        <v>2</v>
      </c>
      <c r="AS11" s="14">
        <f t="shared" si="3"/>
        <v>3</v>
      </c>
      <c r="AT11" s="14">
        <f t="shared" si="3"/>
        <v>4</v>
      </c>
      <c r="AU11" s="14">
        <f t="shared" si="3"/>
        <v>5</v>
      </c>
      <c r="AV11" s="14">
        <f t="shared" si="3"/>
        <v>6</v>
      </c>
      <c r="AW11" s="14">
        <f t="shared" si="3"/>
        <v>7</v>
      </c>
      <c r="AX11" s="14">
        <f t="shared" si="3"/>
        <v>8</v>
      </c>
      <c r="AY11" s="14">
        <f t="shared" si="3"/>
        <v>9</v>
      </c>
      <c r="AZ11" s="14">
        <f t="shared" si="3"/>
        <v>10</v>
      </c>
      <c r="BA11" s="14">
        <f t="shared" si="3"/>
        <v>11</v>
      </c>
      <c r="BB11" s="14">
        <f t="shared" si="3"/>
        <v>12</v>
      </c>
    </row>
    <row r="12" spans="5:56" ht="16.5" hidden="1" outlineLevel="1">
      <c r="G12" s="14" t="str">
        <f t="shared" ref="G12:BB12" si="4">"Q"&amp;ROUNDUP(MONTH(G20)/3,0)&amp;"'"&amp;TEXT(G20,"yy")</f>
        <v>Q1'24</v>
      </c>
      <c r="H12" s="14" t="str">
        <f t="shared" si="4"/>
        <v>Q1'24</v>
      </c>
      <c r="I12" s="14" t="str">
        <f t="shared" si="4"/>
        <v>Q1'24</v>
      </c>
      <c r="J12" s="14" t="str">
        <f t="shared" si="4"/>
        <v>Q2'24</v>
      </c>
      <c r="K12" s="14" t="str">
        <f t="shared" si="4"/>
        <v>Q2'24</v>
      </c>
      <c r="L12" s="14" t="str">
        <f t="shared" si="4"/>
        <v>Q2'24</v>
      </c>
      <c r="M12" s="14" t="str">
        <f t="shared" si="4"/>
        <v>Q3'24</v>
      </c>
      <c r="N12" s="14" t="str">
        <f t="shared" si="4"/>
        <v>Q3'24</v>
      </c>
      <c r="O12" s="14" t="str">
        <f t="shared" si="4"/>
        <v>Q3'24</v>
      </c>
      <c r="P12" s="14" t="str">
        <f t="shared" si="4"/>
        <v>Q4'24</v>
      </c>
      <c r="Q12" s="14" t="str">
        <f t="shared" si="4"/>
        <v>Q4'24</v>
      </c>
      <c r="R12" s="14" t="str">
        <f t="shared" si="4"/>
        <v>Q4'24</v>
      </c>
      <c r="S12" s="14" t="str">
        <f t="shared" si="4"/>
        <v>Q1'25</v>
      </c>
      <c r="T12" s="14" t="str">
        <f t="shared" si="4"/>
        <v>Q1'25</v>
      </c>
      <c r="U12" s="70" t="str">
        <f t="shared" si="4"/>
        <v>Q1'25</v>
      </c>
      <c r="V12" s="70" t="str">
        <f t="shared" si="4"/>
        <v>Q2'25</v>
      </c>
      <c r="W12" s="70" t="str">
        <f t="shared" si="4"/>
        <v>Q2'25</v>
      </c>
      <c r="X12" s="70" t="str">
        <f t="shared" si="4"/>
        <v>Q2'25</v>
      </c>
      <c r="Y12" s="70" t="str">
        <f t="shared" si="4"/>
        <v>Q3'25</v>
      </c>
      <c r="Z12" s="70" t="str">
        <f t="shared" si="4"/>
        <v>Q3'25</v>
      </c>
      <c r="AA12" s="70" t="str">
        <f t="shared" si="4"/>
        <v>Q3'25</v>
      </c>
      <c r="AB12" s="70" t="str">
        <f t="shared" si="4"/>
        <v>Q4'25</v>
      </c>
      <c r="AC12" s="70" t="str">
        <f t="shared" si="4"/>
        <v>Q4'25</v>
      </c>
      <c r="AD12" s="14" t="str">
        <f t="shared" si="4"/>
        <v>Q4'25</v>
      </c>
      <c r="AE12" s="14" t="str">
        <f t="shared" si="4"/>
        <v>Q1'26</v>
      </c>
      <c r="AF12" s="14" t="str">
        <f t="shared" si="4"/>
        <v>Q1'26</v>
      </c>
      <c r="AG12" s="14" t="str">
        <f t="shared" si="4"/>
        <v>Q1'26</v>
      </c>
      <c r="AH12" s="14" t="str">
        <f t="shared" si="4"/>
        <v>Q2'26</v>
      </c>
      <c r="AI12" s="14" t="str">
        <f t="shared" si="4"/>
        <v>Q2'26</v>
      </c>
      <c r="AJ12" s="14" t="str">
        <f t="shared" si="4"/>
        <v>Q2'26</v>
      </c>
      <c r="AK12" s="14" t="str">
        <f t="shared" si="4"/>
        <v>Q3'26</v>
      </c>
      <c r="AL12" s="14" t="str">
        <f t="shared" si="4"/>
        <v>Q3'26</v>
      </c>
      <c r="AM12" s="14" t="str">
        <f t="shared" si="4"/>
        <v>Q3'26</v>
      </c>
      <c r="AN12" s="14" t="str">
        <f t="shared" si="4"/>
        <v>Q4'26</v>
      </c>
      <c r="AO12" s="14" t="str">
        <f t="shared" si="4"/>
        <v>Q4'26</v>
      </c>
      <c r="AP12" s="14" t="str">
        <f t="shared" si="4"/>
        <v>Q4'26</v>
      </c>
      <c r="AQ12" s="14" t="str">
        <f t="shared" si="4"/>
        <v>Q1'27</v>
      </c>
      <c r="AR12" s="14" t="str">
        <f t="shared" si="4"/>
        <v>Q1'27</v>
      </c>
      <c r="AS12" s="14" t="str">
        <f t="shared" si="4"/>
        <v>Q1'27</v>
      </c>
      <c r="AT12" s="14" t="str">
        <f t="shared" si="4"/>
        <v>Q2'27</v>
      </c>
      <c r="AU12" s="14" t="str">
        <f t="shared" si="4"/>
        <v>Q2'27</v>
      </c>
      <c r="AV12" s="14" t="str">
        <f t="shared" si="4"/>
        <v>Q2'27</v>
      </c>
      <c r="AW12" s="14" t="str">
        <f t="shared" si="4"/>
        <v>Q3'27</v>
      </c>
      <c r="AX12" s="14" t="str">
        <f t="shared" si="4"/>
        <v>Q3'27</v>
      </c>
      <c r="AY12" s="14" t="str">
        <f t="shared" si="4"/>
        <v>Q3'27</v>
      </c>
      <c r="AZ12" s="14" t="str">
        <f t="shared" si="4"/>
        <v>Q4'27</v>
      </c>
      <c r="BA12" s="14" t="str">
        <f t="shared" si="4"/>
        <v>Q4'27</v>
      </c>
      <c r="BB12" s="14" t="str">
        <f t="shared" si="4"/>
        <v>Q4'27</v>
      </c>
    </row>
    <row r="13" spans="5:56" ht="16.5" hidden="1" outlineLevel="1">
      <c r="G13" s="14" t="str">
        <f t="shared" ref="G13:AD13" si="5">"H"&amp;ROUNDUP(MONTH(G20)/6,0)&amp;"'"&amp;TEXT(G20,"yy")</f>
        <v>H1'24</v>
      </c>
      <c r="H13" s="14" t="str">
        <f t="shared" si="5"/>
        <v>H1'24</v>
      </c>
      <c r="I13" s="14" t="str">
        <f t="shared" si="5"/>
        <v>H1'24</v>
      </c>
      <c r="J13" s="14" t="str">
        <f t="shared" si="5"/>
        <v>H1'24</v>
      </c>
      <c r="K13" s="14" t="str">
        <f t="shared" si="5"/>
        <v>H1'24</v>
      </c>
      <c r="L13" s="14" t="str">
        <f t="shared" si="5"/>
        <v>H1'24</v>
      </c>
      <c r="M13" s="14" t="str">
        <f t="shared" si="5"/>
        <v>H2'24</v>
      </c>
      <c r="N13" s="14" t="str">
        <f t="shared" si="5"/>
        <v>H2'24</v>
      </c>
      <c r="O13" s="14" t="str">
        <f t="shared" si="5"/>
        <v>H2'24</v>
      </c>
      <c r="P13" s="14" t="str">
        <f t="shared" si="5"/>
        <v>H2'24</v>
      </c>
      <c r="Q13" s="14" t="str">
        <f t="shared" si="5"/>
        <v>H2'24</v>
      </c>
      <c r="R13" s="14" t="str">
        <f t="shared" si="5"/>
        <v>H2'24</v>
      </c>
      <c r="S13" s="14" t="str">
        <f t="shared" si="5"/>
        <v>H1'25</v>
      </c>
      <c r="T13" s="14" t="str">
        <f t="shared" si="5"/>
        <v>H1'25</v>
      </c>
      <c r="U13" s="70" t="str">
        <f t="shared" si="5"/>
        <v>H1'25</v>
      </c>
      <c r="V13" s="70" t="str">
        <f t="shared" si="5"/>
        <v>H1'25</v>
      </c>
      <c r="W13" s="70" t="str">
        <f t="shared" si="5"/>
        <v>H1'25</v>
      </c>
      <c r="X13" s="70" t="str">
        <f t="shared" si="5"/>
        <v>H1'25</v>
      </c>
      <c r="Y13" s="70" t="str">
        <f t="shared" si="5"/>
        <v>H2'25</v>
      </c>
      <c r="Z13" s="70" t="str">
        <f t="shared" si="5"/>
        <v>H2'25</v>
      </c>
      <c r="AA13" s="70" t="str">
        <f t="shared" si="5"/>
        <v>H2'25</v>
      </c>
      <c r="AB13" s="70" t="str">
        <f t="shared" si="5"/>
        <v>H2'25</v>
      </c>
      <c r="AC13" s="70" t="str">
        <f t="shared" si="5"/>
        <v>H2'25</v>
      </c>
      <c r="AD13" s="14" t="str">
        <f t="shared" si="5"/>
        <v>H2'25</v>
      </c>
      <c r="AE13" s="14" t="str">
        <f>"H"&amp;ROUNDUP(MONTH(AE20)/6,0)&amp;"'"&amp;TEXT(AE20,"yy")</f>
        <v>H1'26</v>
      </c>
      <c r="AF13" s="14" t="str">
        <f t="shared" ref="AF13:AP13" si="6">"H"&amp;ROUNDUP(MONTH(AF20)/6,0)&amp;"'"&amp;TEXT(AF20,"yy")</f>
        <v>H1'26</v>
      </c>
      <c r="AG13" s="14" t="str">
        <f t="shared" si="6"/>
        <v>H1'26</v>
      </c>
      <c r="AH13" s="14" t="str">
        <f t="shared" si="6"/>
        <v>H1'26</v>
      </c>
      <c r="AI13" s="14" t="str">
        <f t="shared" si="6"/>
        <v>H1'26</v>
      </c>
      <c r="AJ13" s="14" t="str">
        <f t="shared" si="6"/>
        <v>H1'26</v>
      </c>
      <c r="AK13" s="14" t="str">
        <f t="shared" si="6"/>
        <v>H2'26</v>
      </c>
      <c r="AL13" s="14" t="str">
        <f t="shared" si="6"/>
        <v>H2'26</v>
      </c>
      <c r="AM13" s="14" t="str">
        <f t="shared" si="6"/>
        <v>H2'26</v>
      </c>
      <c r="AN13" s="14" t="str">
        <f t="shared" si="6"/>
        <v>H2'26</v>
      </c>
      <c r="AO13" s="14" t="str">
        <f t="shared" si="6"/>
        <v>H2'26</v>
      </c>
      <c r="AP13" s="14" t="str">
        <f t="shared" si="6"/>
        <v>H2'26</v>
      </c>
      <c r="AQ13" s="14" t="str">
        <f>"H"&amp;ROUNDUP(MONTH(AQ20)/6,0)&amp;"'"&amp;TEXT(AQ20,"yy")</f>
        <v>H1'27</v>
      </c>
      <c r="AR13" s="14" t="str">
        <f t="shared" ref="AR13:BB13" si="7">"H"&amp;ROUNDUP(MONTH(AR20)/6,0)&amp;"'"&amp;TEXT(AR20,"yy")</f>
        <v>H1'27</v>
      </c>
      <c r="AS13" s="14" t="str">
        <f t="shared" si="7"/>
        <v>H1'27</v>
      </c>
      <c r="AT13" s="14" t="str">
        <f t="shared" si="7"/>
        <v>H1'27</v>
      </c>
      <c r="AU13" s="14" t="str">
        <f t="shared" si="7"/>
        <v>H1'27</v>
      </c>
      <c r="AV13" s="14" t="str">
        <f t="shared" si="7"/>
        <v>H1'27</v>
      </c>
      <c r="AW13" s="14" t="str">
        <f t="shared" si="7"/>
        <v>H2'27</v>
      </c>
      <c r="AX13" s="14" t="str">
        <f t="shared" si="7"/>
        <v>H2'27</v>
      </c>
      <c r="AY13" s="14" t="str">
        <f t="shared" si="7"/>
        <v>H2'27</v>
      </c>
      <c r="AZ13" s="14" t="str">
        <f t="shared" si="7"/>
        <v>H2'27</v>
      </c>
      <c r="BA13" s="14" t="str">
        <f t="shared" si="7"/>
        <v>H2'27</v>
      </c>
      <c r="BB13" s="14" t="str">
        <f t="shared" si="7"/>
        <v>H2'27</v>
      </c>
    </row>
    <row r="14" spans="5:56" ht="16.5" hidden="1" outlineLevel="1">
      <c r="G14" s="14">
        <f t="shared" ref="G14:BB14" si="8">YEAR(G20)</f>
        <v>2024</v>
      </c>
      <c r="H14" s="14">
        <f t="shared" si="8"/>
        <v>2024</v>
      </c>
      <c r="I14" s="14">
        <f t="shared" si="8"/>
        <v>2024</v>
      </c>
      <c r="J14" s="14">
        <f t="shared" si="8"/>
        <v>2024</v>
      </c>
      <c r="K14" s="14">
        <f t="shared" si="8"/>
        <v>2024</v>
      </c>
      <c r="L14" s="14">
        <f t="shared" si="8"/>
        <v>2024</v>
      </c>
      <c r="M14" s="14">
        <f t="shared" si="8"/>
        <v>2024</v>
      </c>
      <c r="N14" s="14">
        <f t="shared" si="8"/>
        <v>2024</v>
      </c>
      <c r="O14" s="14">
        <f t="shared" si="8"/>
        <v>2024</v>
      </c>
      <c r="P14" s="14">
        <f t="shared" si="8"/>
        <v>2024</v>
      </c>
      <c r="Q14" s="14">
        <f t="shared" si="8"/>
        <v>2024</v>
      </c>
      <c r="R14" s="14">
        <f t="shared" si="8"/>
        <v>2024</v>
      </c>
      <c r="S14" s="14">
        <f t="shared" si="8"/>
        <v>2025</v>
      </c>
      <c r="T14" s="14">
        <f t="shared" si="8"/>
        <v>2025</v>
      </c>
      <c r="U14" s="70">
        <f t="shared" si="8"/>
        <v>2025</v>
      </c>
      <c r="V14" s="70">
        <f t="shared" si="8"/>
        <v>2025</v>
      </c>
      <c r="W14" s="70">
        <f t="shared" si="8"/>
        <v>2025</v>
      </c>
      <c r="X14" s="70">
        <f t="shared" si="8"/>
        <v>2025</v>
      </c>
      <c r="Y14" s="70">
        <f t="shared" si="8"/>
        <v>2025</v>
      </c>
      <c r="Z14" s="70">
        <f t="shared" si="8"/>
        <v>2025</v>
      </c>
      <c r="AA14" s="70">
        <f t="shared" si="8"/>
        <v>2025</v>
      </c>
      <c r="AB14" s="70">
        <f t="shared" si="8"/>
        <v>2025</v>
      </c>
      <c r="AC14" s="70">
        <f t="shared" si="8"/>
        <v>2025</v>
      </c>
      <c r="AD14" s="14">
        <f t="shared" si="8"/>
        <v>2025</v>
      </c>
      <c r="AE14" s="14">
        <f t="shared" si="8"/>
        <v>2026</v>
      </c>
      <c r="AF14" s="14">
        <f t="shared" si="8"/>
        <v>2026</v>
      </c>
      <c r="AG14" s="14">
        <f t="shared" si="8"/>
        <v>2026</v>
      </c>
      <c r="AH14" s="14">
        <f t="shared" si="8"/>
        <v>2026</v>
      </c>
      <c r="AI14" s="14">
        <f t="shared" si="8"/>
        <v>2026</v>
      </c>
      <c r="AJ14" s="14">
        <f t="shared" si="8"/>
        <v>2026</v>
      </c>
      <c r="AK14" s="14">
        <f t="shared" si="8"/>
        <v>2026</v>
      </c>
      <c r="AL14" s="14">
        <f t="shared" si="8"/>
        <v>2026</v>
      </c>
      <c r="AM14" s="14">
        <f t="shared" si="8"/>
        <v>2026</v>
      </c>
      <c r="AN14" s="14">
        <f t="shared" si="8"/>
        <v>2026</v>
      </c>
      <c r="AO14" s="14">
        <f t="shared" si="8"/>
        <v>2026</v>
      </c>
      <c r="AP14" s="14">
        <f t="shared" si="8"/>
        <v>2026</v>
      </c>
      <c r="AQ14" s="14">
        <f t="shared" si="8"/>
        <v>2027</v>
      </c>
      <c r="AR14" s="14">
        <f t="shared" si="8"/>
        <v>2027</v>
      </c>
      <c r="AS14" s="14">
        <f t="shared" si="8"/>
        <v>2027</v>
      </c>
      <c r="AT14" s="14">
        <f t="shared" si="8"/>
        <v>2027</v>
      </c>
      <c r="AU14" s="14">
        <f t="shared" si="8"/>
        <v>2027</v>
      </c>
      <c r="AV14" s="14">
        <f t="shared" si="8"/>
        <v>2027</v>
      </c>
      <c r="AW14" s="14">
        <f t="shared" si="8"/>
        <v>2027</v>
      </c>
      <c r="AX14" s="14">
        <f t="shared" si="8"/>
        <v>2027</v>
      </c>
      <c r="AY14" s="14">
        <f t="shared" si="8"/>
        <v>2027</v>
      </c>
      <c r="AZ14" s="14">
        <f t="shared" si="8"/>
        <v>2027</v>
      </c>
      <c r="BA14" s="14">
        <f t="shared" si="8"/>
        <v>2027</v>
      </c>
      <c r="BB14" s="14">
        <f t="shared" si="8"/>
        <v>2027</v>
      </c>
    </row>
    <row r="15" spans="5:56" ht="16.5" hidden="1" outlineLevel="1">
      <c r="G15" s="14" t="str">
        <f t="shared" ref="G15:AD15" si="9">IF(G$20&lt;=$E$7,"Actual","Forecast")</f>
        <v>Actual</v>
      </c>
      <c r="H15" s="14" t="str">
        <f t="shared" si="9"/>
        <v>Actual</v>
      </c>
      <c r="I15" s="14" t="str">
        <f t="shared" si="9"/>
        <v>Actual</v>
      </c>
      <c r="J15" s="14" t="str">
        <f t="shared" si="9"/>
        <v>Actual</v>
      </c>
      <c r="K15" s="14" t="str">
        <f t="shared" si="9"/>
        <v>Actual</v>
      </c>
      <c r="L15" s="14" t="str">
        <f t="shared" si="9"/>
        <v>Actual</v>
      </c>
      <c r="M15" s="14" t="str">
        <f t="shared" si="9"/>
        <v>Actual</v>
      </c>
      <c r="N15" s="14" t="str">
        <f t="shared" si="9"/>
        <v>Actual</v>
      </c>
      <c r="O15" s="14" t="str">
        <f t="shared" si="9"/>
        <v>Actual</v>
      </c>
      <c r="P15" s="14" t="str">
        <f t="shared" si="9"/>
        <v>Actual</v>
      </c>
      <c r="Q15" s="14" t="str">
        <f t="shared" si="9"/>
        <v>Actual</v>
      </c>
      <c r="R15" s="14" t="str">
        <f t="shared" si="9"/>
        <v>Actual</v>
      </c>
      <c r="S15" s="14" t="str">
        <f t="shared" si="9"/>
        <v>Actual</v>
      </c>
      <c r="T15" s="14" t="str">
        <f t="shared" si="9"/>
        <v>Actual</v>
      </c>
      <c r="U15" s="70" t="str">
        <f t="shared" si="9"/>
        <v>Actual</v>
      </c>
      <c r="V15" s="70" t="str">
        <f t="shared" si="9"/>
        <v>Actual</v>
      </c>
      <c r="W15" s="70" t="str">
        <f t="shared" si="9"/>
        <v>Actual</v>
      </c>
      <c r="X15" s="70" t="str">
        <f t="shared" si="9"/>
        <v>Actual</v>
      </c>
      <c r="Y15" s="70" t="str">
        <f t="shared" si="9"/>
        <v>Actual</v>
      </c>
      <c r="Z15" s="70" t="str">
        <f t="shared" si="9"/>
        <v>Actual</v>
      </c>
      <c r="AA15" s="70" t="str">
        <f t="shared" si="9"/>
        <v>Actual</v>
      </c>
      <c r="AB15" s="70" t="str">
        <f t="shared" si="9"/>
        <v>Actual</v>
      </c>
      <c r="AC15" s="70" t="str">
        <f t="shared" si="9"/>
        <v>Actual</v>
      </c>
      <c r="AD15" s="14" t="str">
        <f t="shared" si="9"/>
        <v>Forecast</v>
      </c>
      <c r="AE15" s="14" t="str">
        <f>IF(AE$20&lt;=$E$7,"Actual","Forecast")</f>
        <v>Forecast</v>
      </c>
      <c r="AF15" s="14" t="str">
        <f t="shared" ref="AF15:BB15" si="10">IF(AF$20&lt;=$E$7,"Actual","Forecast")</f>
        <v>Forecast</v>
      </c>
      <c r="AG15" s="14" t="str">
        <f t="shared" si="10"/>
        <v>Forecast</v>
      </c>
      <c r="AH15" s="14" t="str">
        <f t="shared" si="10"/>
        <v>Forecast</v>
      </c>
      <c r="AI15" s="14" t="str">
        <f t="shared" si="10"/>
        <v>Forecast</v>
      </c>
      <c r="AJ15" s="14" t="str">
        <f t="shared" si="10"/>
        <v>Forecast</v>
      </c>
      <c r="AK15" s="14" t="str">
        <f t="shared" si="10"/>
        <v>Forecast</v>
      </c>
      <c r="AL15" s="14" t="str">
        <f t="shared" si="10"/>
        <v>Forecast</v>
      </c>
      <c r="AM15" s="14" t="str">
        <f t="shared" si="10"/>
        <v>Forecast</v>
      </c>
      <c r="AN15" s="14" t="str">
        <f t="shared" si="10"/>
        <v>Forecast</v>
      </c>
      <c r="AO15" s="14" t="str">
        <f t="shared" si="10"/>
        <v>Forecast</v>
      </c>
      <c r="AP15" s="14" t="str">
        <f t="shared" si="10"/>
        <v>Forecast</v>
      </c>
      <c r="AQ15" s="14" t="str">
        <f>IF(AQ$20&lt;=$E$7,"Actual","Forecast")</f>
        <v>Forecast</v>
      </c>
      <c r="AR15" s="14" t="str">
        <f t="shared" si="10"/>
        <v>Forecast</v>
      </c>
      <c r="AS15" s="14" t="str">
        <f t="shared" si="10"/>
        <v>Forecast</v>
      </c>
      <c r="AT15" s="14" t="str">
        <f t="shared" si="10"/>
        <v>Forecast</v>
      </c>
      <c r="AU15" s="14" t="str">
        <f t="shared" si="10"/>
        <v>Forecast</v>
      </c>
      <c r="AV15" s="14" t="str">
        <f t="shared" si="10"/>
        <v>Forecast</v>
      </c>
      <c r="AW15" s="14" t="str">
        <f t="shared" si="10"/>
        <v>Forecast</v>
      </c>
      <c r="AX15" s="14" t="str">
        <f t="shared" si="10"/>
        <v>Forecast</v>
      </c>
      <c r="AY15" s="14" t="str">
        <f t="shared" si="10"/>
        <v>Forecast</v>
      </c>
      <c r="AZ15" s="14" t="str">
        <f t="shared" si="10"/>
        <v>Forecast</v>
      </c>
      <c r="BA15" s="14" t="str">
        <f t="shared" si="10"/>
        <v>Forecast</v>
      </c>
      <c r="BB15" s="14" t="str">
        <f t="shared" si="10"/>
        <v>Forecast</v>
      </c>
    </row>
    <row r="16" spans="5:56" ht="16.5" collapsed="1"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61">
        <v>-1040.4075699999999</v>
      </c>
      <c r="T16" s="61">
        <v>-1064.9248300000002</v>
      </c>
      <c r="U16" s="61">
        <v>-397.92667</v>
      </c>
      <c r="V16" s="61">
        <v>-422.44835999999998</v>
      </c>
      <c r="W16" s="61">
        <v>-446.97227000000004</v>
      </c>
      <c r="X16" s="61">
        <v>-471.49842000000001</v>
      </c>
      <c r="Y16" s="61">
        <v>-496.02681000000001</v>
      </c>
      <c r="Z16" s="61">
        <v>-520.55745999999999</v>
      </c>
      <c r="AA16" s="61">
        <v>-545.09037000000001</v>
      </c>
      <c r="AB16" s="61">
        <v>-569.62555000000009</v>
      </c>
      <c r="AC16" s="61">
        <v>-594.16300999999999</v>
      </c>
      <c r="AD16" s="15"/>
    </row>
    <row r="17" spans="5:57" ht="16.5"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</row>
    <row r="18" spans="5:57" ht="16.5">
      <c r="G18" s="17" t="s">
        <v>30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7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7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</row>
    <row r="20" spans="5:57" ht="16.5">
      <c r="E20" s="56" t="s">
        <v>31</v>
      </c>
      <c r="F20" s="56" t="s">
        <v>73</v>
      </c>
      <c r="G20" s="19">
        <v>45292</v>
      </c>
      <c r="H20" s="19">
        <v>45323</v>
      </c>
      <c r="I20" s="19">
        <v>45352</v>
      </c>
      <c r="J20" s="19">
        <v>45383</v>
      </c>
      <c r="K20" s="19">
        <v>45413</v>
      </c>
      <c r="L20" s="19">
        <v>45444</v>
      </c>
      <c r="M20" s="19">
        <v>45474</v>
      </c>
      <c r="N20" s="19">
        <v>45505</v>
      </c>
      <c r="O20" s="19">
        <v>45536</v>
      </c>
      <c r="P20" s="19">
        <v>45566</v>
      </c>
      <c r="Q20" s="19">
        <v>45597</v>
      </c>
      <c r="R20" s="19">
        <v>45627</v>
      </c>
      <c r="S20" s="20">
        <v>45658</v>
      </c>
      <c r="T20" s="19">
        <v>45689</v>
      </c>
      <c r="U20" s="19">
        <v>45717</v>
      </c>
      <c r="V20" s="19">
        <v>45748</v>
      </c>
      <c r="W20" s="19">
        <v>45778</v>
      </c>
      <c r="X20" s="19">
        <v>45809</v>
      </c>
      <c r="Y20" s="19">
        <v>45839</v>
      </c>
      <c r="Z20" s="19">
        <v>45870</v>
      </c>
      <c r="AA20" s="19">
        <v>45901</v>
      </c>
      <c r="AB20" s="19">
        <v>45931</v>
      </c>
      <c r="AC20" s="19">
        <v>45962</v>
      </c>
      <c r="AD20" s="21">
        <v>45992</v>
      </c>
      <c r="AE20" s="21">
        <v>46023</v>
      </c>
      <c r="AF20" s="21">
        <v>46054</v>
      </c>
      <c r="AG20" s="21">
        <v>46082</v>
      </c>
      <c r="AH20" s="21">
        <v>46113</v>
      </c>
      <c r="AI20" s="21">
        <v>46143</v>
      </c>
      <c r="AJ20" s="21">
        <v>46174</v>
      </c>
      <c r="AK20" s="21">
        <v>46204</v>
      </c>
      <c r="AL20" s="21">
        <v>46235</v>
      </c>
      <c r="AM20" s="21">
        <v>46266</v>
      </c>
      <c r="AN20" s="21">
        <v>46296</v>
      </c>
      <c r="AO20" s="21">
        <v>46327</v>
      </c>
      <c r="AP20" s="21">
        <v>46357</v>
      </c>
      <c r="AQ20" s="21">
        <v>46388</v>
      </c>
      <c r="AR20" s="21">
        <v>46419</v>
      </c>
      <c r="AS20" s="21">
        <v>46447</v>
      </c>
      <c r="AT20" s="21">
        <v>46478</v>
      </c>
      <c r="AU20" s="21">
        <v>46508</v>
      </c>
      <c r="AV20" s="21">
        <v>46539</v>
      </c>
      <c r="AW20" s="21">
        <v>46569</v>
      </c>
      <c r="AX20" s="21">
        <v>46600</v>
      </c>
      <c r="AY20" s="21">
        <v>46631</v>
      </c>
      <c r="AZ20" s="21">
        <v>46661</v>
      </c>
      <c r="BA20" s="21">
        <f t="shared" ref="BA20:BB20" si="11">EDATE(AZ20,1)</f>
        <v>46692</v>
      </c>
      <c r="BB20" s="21">
        <f t="shared" si="11"/>
        <v>46722</v>
      </c>
      <c r="BC20" s="22"/>
    </row>
    <row r="21" spans="5:57" ht="16.5">
      <c r="E21" s="6" t="s">
        <v>32</v>
      </c>
      <c r="F21" s="6"/>
      <c r="G21" s="23"/>
      <c r="H21" s="3"/>
      <c r="I21" s="3"/>
      <c r="J21" s="3"/>
      <c r="K21" s="3"/>
      <c r="L21" s="3"/>
      <c r="M21" s="3"/>
      <c r="N21" s="3"/>
      <c r="O21" s="3"/>
      <c r="P21" s="3"/>
      <c r="Q21" s="3"/>
      <c r="R21" s="24"/>
      <c r="S21" s="3"/>
      <c r="T21" s="3"/>
      <c r="U21" s="3"/>
      <c r="V21" s="3"/>
      <c r="W21" s="3"/>
      <c r="X21" s="3"/>
      <c r="Y21" s="3"/>
      <c r="Z21" s="3"/>
      <c r="AA21" s="3"/>
      <c r="AB21" s="3"/>
      <c r="AC21" s="24"/>
      <c r="AD21" s="24"/>
      <c r="AE21" s="2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24"/>
      <c r="AQ21" s="2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24"/>
      <c r="BC21" s="22"/>
    </row>
    <row r="22" spans="5:57" ht="16.5">
      <c r="E22" s="6" t="s">
        <v>33</v>
      </c>
      <c r="F22" s="6"/>
      <c r="G22" s="23"/>
      <c r="H22" s="3"/>
      <c r="I22" s="3"/>
      <c r="J22" s="3"/>
      <c r="K22" s="3"/>
      <c r="L22" s="3"/>
      <c r="M22" s="3"/>
      <c r="N22" s="3"/>
      <c r="O22" s="3"/>
      <c r="P22" s="3"/>
      <c r="Q22" s="3"/>
      <c r="R22" s="24"/>
      <c r="S22" s="3"/>
      <c r="T22" s="3"/>
      <c r="U22" s="3"/>
      <c r="V22" s="3"/>
      <c r="W22" s="3"/>
      <c r="X22" s="3"/>
      <c r="Y22" s="3"/>
      <c r="Z22" s="3"/>
      <c r="AA22" s="3"/>
      <c r="AB22" s="3"/>
      <c r="AC22" s="24"/>
      <c r="AD22" s="24"/>
      <c r="AE22" s="2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24"/>
      <c r="AQ22" s="2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24"/>
      <c r="BC22" s="22"/>
    </row>
    <row r="23" spans="5:57" ht="16.5">
      <c r="E23" s="25" t="s">
        <v>34</v>
      </c>
      <c r="F23" s="25" t="s">
        <v>74</v>
      </c>
      <c r="G23" s="23">
        <v>1602.13408</v>
      </c>
      <c r="H23" s="3">
        <v>1592.69145</v>
      </c>
      <c r="I23" s="3">
        <v>1572.6609499999997</v>
      </c>
      <c r="J23" s="3">
        <v>2113.0129999999999</v>
      </c>
      <c r="K23" s="3">
        <v>2027.5831000000001</v>
      </c>
      <c r="L23" s="3">
        <v>1443.32698</v>
      </c>
      <c r="M23" s="3">
        <v>650.19000000000005</v>
      </c>
      <c r="N23" s="3">
        <v>381.41762</v>
      </c>
      <c r="O23" s="3">
        <v>280.16234000000003</v>
      </c>
      <c r="P23" s="3">
        <v>162.98124000000001</v>
      </c>
      <c r="Q23" s="3">
        <v>293.29519999999997</v>
      </c>
      <c r="R23" s="24">
        <v>3564.7747999999997</v>
      </c>
      <c r="S23" s="26">
        <v>1341.9337399999999</v>
      </c>
      <c r="T23" s="3">
        <v>680.17552999999998</v>
      </c>
      <c r="U23" s="3">
        <v>1946.7648100000001</v>
      </c>
      <c r="V23" s="3">
        <v>1279.66247</v>
      </c>
      <c r="W23" s="3">
        <v>1479.2926600000001</v>
      </c>
      <c r="X23" s="3">
        <v>495.41079000000002</v>
      </c>
      <c r="Y23" s="3">
        <v>792.46805000000006</v>
      </c>
      <c r="Z23" s="3">
        <v>167.06933999999998</v>
      </c>
      <c r="AA23" s="3">
        <v>345.78823</v>
      </c>
      <c r="AB23" s="3">
        <v>2842.0783799999999</v>
      </c>
      <c r="AC23" s="24">
        <v>3203.6335399999998</v>
      </c>
      <c r="AD23" s="24">
        <v>4211.4418426730281</v>
      </c>
      <c r="AE23" s="23" t="e">
        <v>#REF!</v>
      </c>
      <c r="AF23" s="3" t="e">
        <v>#REF!</v>
      </c>
      <c r="AG23" s="3" t="e">
        <v>#REF!</v>
      </c>
      <c r="AH23" s="3" t="e">
        <v>#REF!</v>
      </c>
      <c r="AI23" s="3" t="e">
        <v>#REF!</v>
      </c>
      <c r="AJ23" s="3" t="e">
        <v>#REF!</v>
      </c>
      <c r="AK23" s="3" t="e">
        <v>#REF!</v>
      </c>
      <c r="AL23" s="3" t="e">
        <v>#REF!</v>
      </c>
      <c r="AM23" s="3" t="e">
        <v>#REF!</v>
      </c>
      <c r="AN23" s="3" t="e">
        <v>#REF!</v>
      </c>
      <c r="AO23" s="3" t="e">
        <v>#REF!</v>
      </c>
      <c r="AP23" s="24" t="e">
        <v>#REF!</v>
      </c>
      <c r="AQ23" s="2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24"/>
      <c r="BC23" s="22"/>
    </row>
    <row r="24" spans="5:57" ht="16.5">
      <c r="E24" s="25" t="s">
        <v>35</v>
      </c>
      <c r="F24" s="25" t="s">
        <v>75</v>
      </c>
      <c r="G24" s="27">
        <v>1469.5329400000001</v>
      </c>
      <c r="H24" s="26">
        <v>1367.6101699999999</v>
      </c>
      <c r="I24" s="26">
        <v>1465.64237</v>
      </c>
      <c r="J24" s="26">
        <v>1635.2905199999998</v>
      </c>
      <c r="K24" s="26">
        <v>1780.61752</v>
      </c>
      <c r="L24" s="26">
        <v>1595.93875</v>
      </c>
      <c r="M24" s="26">
        <v>1786.9530500000001</v>
      </c>
      <c r="N24" s="26">
        <v>1689.4682200000002</v>
      </c>
      <c r="O24" s="26">
        <v>1841.7654299999997</v>
      </c>
      <c r="P24" s="26">
        <v>1821.6637800000003</v>
      </c>
      <c r="Q24" s="26">
        <v>1986.22118</v>
      </c>
      <c r="R24" s="28">
        <v>1164.9554500000002</v>
      </c>
      <c r="S24" s="26">
        <v>1332.0845200000001</v>
      </c>
      <c r="T24" s="3">
        <v>1420.1134399999999</v>
      </c>
      <c r="U24" s="3">
        <v>854.68454000000008</v>
      </c>
      <c r="V24" s="3">
        <v>990.20461</v>
      </c>
      <c r="W24" s="3">
        <v>1002.7019600000001</v>
      </c>
      <c r="X24" s="3">
        <v>815.38188000000002</v>
      </c>
      <c r="Y24" s="3">
        <v>798.32814999999994</v>
      </c>
      <c r="Z24" s="3">
        <v>1019.4671600000001</v>
      </c>
      <c r="AA24" s="3">
        <v>828.23662000000013</v>
      </c>
      <c r="AB24" s="3">
        <v>754.13275999999996</v>
      </c>
      <c r="AC24" s="24">
        <v>1765.2935500000001</v>
      </c>
      <c r="AD24" s="24">
        <v>1765.2935500000001</v>
      </c>
      <c r="AE24" s="23">
        <v>1765.2935500000001</v>
      </c>
      <c r="AF24" s="3">
        <v>1765.2935500000001</v>
      </c>
      <c r="AG24" s="3">
        <v>1765.2935500000001</v>
      </c>
      <c r="AH24" s="3">
        <v>1765.2935500000001</v>
      </c>
      <c r="AI24" s="3">
        <v>1765.2935500000001</v>
      </c>
      <c r="AJ24" s="3">
        <v>1765.2935500000001</v>
      </c>
      <c r="AK24" s="3">
        <v>1765.2935500000001</v>
      </c>
      <c r="AL24" s="3">
        <v>1765.2935500000001</v>
      </c>
      <c r="AM24" s="3">
        <v>1765.2935500000001</v>
      </c>
      <c r="AN24" s="3">
        <v>1765.2935500000001</v>
      </c>
      <c r="AO24" s="3">
        <v>1765.2935500000001</v>
      </c>
      <c r="AP24" s="24">
        <v>1765.2935500000001</v>
      </c>
      <c r="AQ24" s="2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24"/>
      <c r="BC24" s="22"/>
    </row>
    <row r="25" spans="5:57" ht="16.5">
      <c r="E25" s="29" t="s">
        <v>36</v>
      </c>
      <c r="F25" s="57" t="s">
        <v>79</v>
      </c>
      <c r="G25" s="23">
        <v>1078.0474999999999</v>
      </c>
      <c r="H25" s="3">
        <v>1169.7068000000002</v>
      </c>
      <c r="I25" s="3">
        <v>1169.7068000000002</v>
      </c>
      <c r="J25" s="3">
        <v>1169.7068000000002</v>
      </c>
      <c r="K25" s="3">
        <v>1080.3575000000001</v>
      </c>
      <c r="L25" s="3">
        <v>1070.183</v>
      </c>
      <c r="M25" s="3">
        <v>1078.0999999999999</v>
      </c>
      <c r="N25" s="3">
        <v>1101.3785</v>
      </c>
      <c r="O25" s="3">
        <v>1116.2674999999999</v>
      </c>
      <c r="P25" s="3">
        <v>1082.2474999999999</v>
      </c>
      <c r="Q25" s="3">
        <v>1052.018</v>
      </c>
      <c r="R25" s="24">
        <v>1054.7349999999999</v>
      </c>
      <c r="S25" s="3">
        <v>1030.8920000000001</v>
      </c>
      <c r="T25" s="3">
        <v>1033.2860000000001</v>
      </c>
      <c r="U25" s="3">
        <v>1114.0815</v>
      </c>
      <c r="V25" s="3">
        <v>1134.4324999999999</v>
      </c>
      <c r="W25" s="3">
        <v>1132.826</v>
      </c>
      <c r="X25" s="3">
        <v>1201.9175</v>
      </c>
      <c r="Y25" s="3">
        <v>1141.8665000000001</v>
      </c>
      <c r="Z25" s="3">
        <v>1168.3895</v>
      </c>
      <c r="AA25" s="3">
        <v>1214.9414999999999</v>
      </c>
      <c r="AB25" s="3">
        <v>1156.8710000000001</v>
      </c>
      <c r="AC25" s="24">
        <v>1169.2125000000001</v>
      </c>
      <c r="AD25" s="24">
        <v>1169.2125000000001</v>
      </c>
      <c r="AE25" s="23">
        <v>1169.2125000000001</v>
      </c>
      <c r="AF25" s="3">
        <v>1169.2125000000001</v>
      </c>
      <c r="AG25" s="3">
        <v>1169.2125000000001</v>
      </c>
      <c r="AH25" s="3">
        <v>1169.2125000000001</v>
      </c>
      <c r="AI25" s="3">
        <v>1169.2125000000001</v>
      </c>
      <c r="AJ25" s="3">
        <v>1169.2125000000001</v>
      </c>
      <c r="AK25" s="3">
        <v>1169.2125000000001</v>
      </c>
      <c r="AL25" s="3">
        <v>1169.2125000000001</v>
      </c>
      <c r="AM25" s="3">
        <v>1169.2125000000001</v>
      </c>
      <c r="AN25" s="3">
        <v>1169.2125000000001</v>
      </c>
      <c r="AO25" s="3">
        <v>1169.2125000000001</v>
      </c>
      <c r="AP25" s="24">
        <v>1169.2125000000001</v>
      </c>
      <c r="AQ25" s="2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24"/>
      <c r="BC25" s="22"/>
    </row>
    <row r="26" spans="5:57" ht="16.5">
      <c r="E26" s="25" t="s">
        <v>37</v>
      </c>
      <c r="F26" s="25" t="s">
        <v>76</v>
      </c>
      <c r="G26" s="27">
        <v>4180.4503800000002</v>
      </c>
      <c r="H26" s="26">
        <v>3797.9377200000004</v>
      </c>
      <c r="I26" s="26">
        <v>3306.0249399999998</v>
      </c>
      <c r="J26" s="26">
        <v>2716.1780600000002</v>
      </c>
      <c r="K26" s="26">
        <v>2149.8544500000003</v>
      </c>
      <c r="L26" s="26">
        <v>1899.81044</v>
      </c>
      <c r="M26" s="26">
        <v>3781.6543900000001</v>
      </c>
      <c r="N26" s="26">
        <v>4056.9805200000001</v>
      </c>
      <c r="O26" s="26">
        <v>3976.0318600000001</v>
      </c>
      <c r="P26" s="26">
        <v>4357.3644000000004</v>
      </c>
      <c r="Q26" s="26">
        <v>3914.9519799999998</v>
      </c>
      <c r="R26" s="28">
        <v>3323.02594</v>
      </c>
      <c r="S26" s="26">
        <v>4466.9498800000001</v>
      </c>
      <c r="T26" s="3">
        <v>6631.5120499999994</v>
      </c>
      <c r="U26" s="3">
        <v>6707.7155000000002</v>
      </c>
      <c r="V26" s="3">
        <v>6850.3124400000006</v>
      </c>
      <c r="W26" s="3">
        <v>6367.9758899999997</v>
      </c>
      <c r="X26" s="3">
        <v>6015.8587699999998</v>
      </c>
      <c r="Y26" s="3">
        <v>6992.1811900000002</v>
      </c>
      <c r="Z26" s="3">
        <v>8718.1487300000008</v>
      </c>
      <c r="AA26" s="3">
        <v>9215.9301699999996</v>
      </c>
      <c r="AB26" s="3">
        <v>8273.6734800000013</v>
      </c>
      <c r="AC26" s="24">
        <v>6614.6021900000005</v>
      </c>
      <c r="AD26" s="24">
        <v>5129.7747374093178</v>
      </c>
      <c r="AE26" s="23" t="e">
        <v>#REF!</v>
      </c>
      <c r="AF26" s="3" t="e">
        <v>#REF!</v>
      </c>
      <c r="AG26" s="3" t="e">
        <v>#REF!</v>
      </c>
      <c r="AH26" s="3" t="e">
        <v>#REF!</v>
      </c>
      <c r="AI26" s="3" t="e">
        <v>#REF!</v>
      </c>
      <c r="AJ26" s="3" t="e">
        <v>#REF!</v>
      </c>
      <c r="AK26" s="3" t="e">
        <v>#REF!</v>
      </c>
      <c r="AL26" s="3" t="e">
        <v>#REF!</v>
      </c>
      <c r="AM26" s="3" t="e">
        <v>#REF!</v>
      </c>
      <c r="AN26" s="3" t="e">
        <v>#REF!</v>
      </c>
      <c r="AO26" s="3" t="e">
        <v>#REF!</v>
      </c>
      <c r="AP26" s="24" t="e">
        <v>#REF!</v>
      </c>
      <c r="AQ26" s="2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24"/>
      <c r="BC26" s="22"/>
      <c r="BE26" s="30"/>
    </row>
    <row r="27" spans="5:57" ht="16.5">
      <c r="E27" s="29" t="s">
        <v>38</v>
      </c>
      <c r="F27" s="57" t="s">
        <v>79</v>
      </c>
      <c r="G27" s="23">
        <v>-79.444359999999989</v>
      </c>
      <c r="H27" s="3">
        <v>-260.39737000000002</v>
      </c>
      <c r="I27" s="3">
        <v>-172.22132000000002</v>
      </c>
      <c r="J27" s="3">
        <v>-168.70632000000001</v>
      </c>
      <c r="K27" s="3">
        <v>-127.64818000000001</v>
      </c>
      <c r="L27" s="3">
        <v>1531.0489500000001</v>
      </c>
      <c r="M27" s="3">
        <v>855.69866999999999</v>
      </c>
      <c r="N27" s="3">
        <v>302.99826999999993</v>
      </c>
      <c r="O27" s="3">
        <v>94.979500000000002</v>
      </c>
      <c r="P27" s="3">
        <v>278.24743999999993</v>
      </c>
      <c r="Q27" s="3">
        <v>1138.3363300000001</v>
      </c>
      <c r="R27" s="24">
        <v>2618.2781199999999</v>
      </c>
      <c r="S27" s="3">
        <v>2499.6373099999996</v>
      </c>
      <c r="T27" s="3">
        <v>713.90399000000002</v>
      </c>
      <c r="U27" s="3">
        <v>198.87280000000004</v>
      </c>
      <c r="V27" s="3">
        <v>243.65960000000004</v>
      </c>
      <c r="W27" s="3">
        <v>396.90599000000003</v>
      </c>
      <c r="X27" s="3">
        <v>902.65840000000014</v>
      </c>
      <c r="Y27" s="3">
        <v>1684.4611400000001</v>
      </c>
      <c r="Z27" s="3">
        <v>788.90768999999989</v>
      </c>
      <c r="AA27" s="3">
        <v>97.483999999999995</v>
      </c>
      <c r="AB27" s="3">
        <v>162.77649</v>
      </c>
      <c r="AC27" s="24">
        <v>157.81040999999996</v>
      </c>
      <c r="AD27" s="24">
        <v>157.81040999999996</v>
      </c>
      <c r="AE27" s="23">
        <v>157.81040999999996</v>
      </c>
      <c r="AF27" s="3">
        <v>157.81040999999996</v>
      </c>
      <c r="AG27" s="3">
        <v>157.81040999999996</v>
      </c>
      <c r="AH27" s="3">
        <v>157.81040999999996</v>
      </c>
      <c r="AI27" s="3">
        <v>157.81040999999996</v>
      </c>
      <c r="AJ27" s="3">
        <v>157.81040999999996</v>
      </c>
      <c r="AK27" s="3">
        <v>157.81040999999996</v>
      </c>
      <c r="AL27" s="3">
        <v>157.81040999999996</v>
      </c>
      <c r="AM27" s="3">
        <v>157.81040999999996</v>
      </c>
      <c r="AN27" s="3">
        <v>157.81040999999996</v>
      </c>
      <c r="AO27" s="3">
        <v>157.81040999999996</v>
      </c>
      <c r="AP27" s="24">
        <v>157.81040999999996</v>
      </c>
      <c r="AQ27" s="2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24"/>
      <c r="BC27" s="22"/>
    </row>
    <row r="28" spans="5:57" ht="16.5">
      <c r="E28" s="25" t="s">
        <v>39</v>
      </c>
      <c r="F28" s="25" t="s">
        <v>77</v>
      </c>
      <c r="G28" s="27">
        <v>539.91501000000005</v>
      </c>
      <c r="H28" s="26">
        <v>984.5224300000001</v>
      </c>
      <c r="I28" s="26">
        <v>1241.2324099999998</v>
      </c>
      <c r="J28" s="26">
        <v>1442.4353999999998</v>
      </c>
      <c r="K28" s="26">
        <v>1970.14903</v>
      </c>
      <c r="L28" s="26">
        <v>2352.9461099999999</v>
      </c>
      <c r="M28" s="26">
        <v>1116.29654</v>
      </c>
      <c r="N28" s="26">
        <v>1104.1058500000001</v>
      </c>
      <c r="O28" s="26">
        <v>1069.7373600000001</v>
      </c>
      <c r="P28" s="26">
        <v>1022.65452</v>
      </c>
      <c r="Q28" s="26">
        <v>1089.6299299999998</v>
      </c>
      <c r="R28" s="28">
        <v>1138.04555</v>
      </c>
      <c r="S28" s="26">
        <v>1316.97045</v>
      </c>
      <c r="T28" s="3">
        <v>1422.8900100000001</v>
      </c>
      <c r="U28" s="3">
        <v>1477.00809</v>
      </c>
      <c r="V28" s="3">
        <v>1535.0910100000001</v>
      </c>
      <c r="W28" s="3">
        <v>1612.2792400000001</v>
      </c>
      <c r="X28" s="3">
        <v>1561.10609</v>
      </c>
      <c r="Y28" s="3">
        <v>1650.83006</v>
      </c>
      <c r="Z28" s="3">
        <v>1672.85375</v>
      </c>
      <c r="AA28" s="3">
        <v>1642.8231799999999</v>
      </c>
      <c r="AB28" s="3">
        <v>1607.4878899999999</v>
      </c>
      <c r="AC28" s="24">
        <v>1580.2211299999999</v>
      </c>
      <c r="AD28" s="24">
        <v>1580.2211299999999</v>
      </c>
      <c r="AE28" s="23">
        <v>1580.2211299999999</v>
      </c>
      <c r="AF28" s="3">
        <v>1580.2211299999999</v>
      </c>
      <c r="AG28" s="3">
        <v>1580.2211299999999</v>
      </c>
      <c r="AH28" s="3">
        <v>1580.2211299999999</v>
      </c>
      <c r="AI28" s="3">
        <v>1580.2211299999999</v>
      </c>
      <c r="AJ28" s="3">
        <v>1580.2211299999999</v>
      </c>
      <c r="AK28" s="3">
        <v>1580.2211299999999</v>
      </c>
      <c r="AL28" s="3">
        <v>1580.2211299999999</v>
      </c>
      <c r="AM28" s="3">
        <v>1580.2211299999999</v>
      </c>
      <c r="AN28" s="3">
        <v>1580.2211299999999</v>
      </c>
      <c r="AO28" s="3">
        <v>1580.2211299999999</v>
      </c>
      <c r="AP28" s="24">
        <v>1580.2211299999999</v>
      </c>
      <c r="AQ28" s="2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24"/>
      <c r="BC28" s="22"/>
    </row>
    <row r="29" spans="5:57" ht="16.5" outlineLevel="1">
      <c r="E29" s="29" t="s">
        <v>40</v>
      </c>
      <c r="F29" s="57" t="s">
        <v>79</v>
      </c>
      <c r="G29" s="23">
        <v>277.85557</v>
      </c>
      <c r="H29" s="3">
        <v>354.47991000000002</v>
      </c>
      <c r="I29" s="3">
        <v>358.14173999999997</v>
      </c>
      <c r="J29" s="3">
        <v>359.43885</v>
      </c>
      <c r="K29" s="3">
        <v>341.00103000000001</v>
      </c>
      <c r="L29" s="3">
        <v>342.57407999999998</v>
      </c>
      <c r="M29" s="3">
        <v>344.18806000000001</v>
      </c>
      <c r="N29" s="3">
        <v>348.90800000000002</v>
      </c>
      <c r="O29" s="3">
        <v>355.68655000000001</v>
      </c>
      <c r="P29" s="3">
        <v>348.67980999999997</v>
      </c>
      <c r="Q29" s="3">
        <v>342.45375999999999</v>
      </c>
      <c r="R29" s="24">
        <v>342.39294000000001</v>
      </c>
      <c r="S29" s="3">
        <v>407.58913999999999</v>
      </c>
      <c r="T29" s="3">
        <v>408.08987000000002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24">
        <v>0</v>
      </c>
      <c r="AD29" s="24">
        <v>0</v>
      </c>
      <c r="AE29" s="2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24">
        <v>0</v>
      </c>
      <c r="AQ29" s="2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24"/>
      <c r="BC29" s="22"/>
    </row>
    <row r="30" spans="5:57" ht="16.5" outlineLevel="1">
      <c r="E30" s="29" t="s">
        <v>41</v>
      </c>
      <c r="F30" s="57" t="s">
        <v>79</v>
      </c>
      <c r="G30" s="31">
        <v>11152.72754</v>
      </c>
      <c r="H30" s="32">
        <v>11159.30948</v>
      </c>
      <c r="I30" s="32">
        <v>11165.3362</v>
      </c>
      <c r="J30" s="32">
        <v>11190.684459999999</v>
      </c>
      <c r="K30" s="32">
        <v>11196.723840000001</v>
      </c>
      <c r="L30" s="32">
        <v>11201.353800000001</v>
      </c>
      <c r="M30" s="32">
        <v>11202.799449999999</v>
      </c>
      <c r="N30" s="32">
        <v>11211.71535</v>
      </c>
      <c r="O30" s="32">
        <v>11226.921420000001</v>
      </c>
      <c r="P30" s="32">
        <v>11217.42375</v>
      </c>
      <c r="Q30" s="32">
        <v>0</v>
      </c>
      <c r="R30" s="33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0</v>
      </c>
      <c r="AC30" s="33">
        <v>0</v>
      </c>
      <c r="AD30" s="33">
        <v>0</v>
      </c>
      <c r="AE30" s="31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3">
        <v>0</v>
      </c>
      <c r="AQ30" s="31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3"/>
      <c r="BC30" s="22"/>
    </row>
    <row r="31" spans="5:57" ht="16.5">
      <c r="E31" s="34" t="s">
        <v>42</v>
      </c>
      <c r="F31" s="57"/>
      <c r="G31" s="35">
        <v>20221.218659999999</v>
      </c>
      <c r="H31" s="36">
        <v>20165.86059</v>
      </c>
      <c r="I31" s="36">
        <v>20106.524089999999</v>
      </c>
      <c r="J31" s="36">
        <v>20458.04077</v>
      </c>
      <c r="K31" s="36">
        <v>20418.638290000003</v>
      </c>
      <c r="L31" s="36">
        <v>21437.182110000002</v>
      </c>
      <c r="M31" s="36">
        <v>20815.880160000001</v>
      </c>
      <c r="N31" s="36">
        <v>20196.972330000001</v>
      </c>
      <c r="O31" s="36">
        <v>19961.551960000001</v>
      </c>
      <c r="P31" s="36">
        <v>20291.262439999999</v>
      </c>
      <c r="Q31" s="36">
        <v>9816.9063800000004</v>
      </c>
      <c r="R31" s="37">
        <v>13206.2078</v>
      </c>
      <c r="S31" s="36">
        <v>12396.05704</v>
      </c>
      <c r="T31" s="36">
        <v>12309.970890000001</v>
      </c>
      <c r="U31" s="36">
        <v>12299.12724</v>
      </c>
      <c r="V31" s="36">
        <v>12033.362630000001</v>
      </c>
      <c r="W31" s="36">
        <v>11991.981739999999</v>
      </c>
      <c r="X31" s="36">
        <v>10992.333430000001</v>
      </c>
      <c r="Y31" s="36">
        <v>13060.13509</v>
      </c>
      <c r="Z31" s="36">
        <v>13534.83617</v>
      </c>
      <c r="AA31" s="36">
        <v>13345.2037</v>
      </c>
      <c r="AB31" s="36">
        <v>14797.020000000002</v>
      </c>
      <c r="AC31" s="37">
        <v>14490.77332</v>
      </c>
      <c r="AD31" s="37">
        <v>14013.754170082346</v>
      </c>
      <c r="AE31" s="35" t="e">
        <v>#REF!</v>
      </c>
      <c r="AF31" s="36" t="e">
        <v>#REF!</v>
      </c>
      <c r="AG31" s="36" t="e">
        <v>#REF!</v>
      </c>
      <c r="AH31" s="36" t="e">
        <v>#REF!</v>
      </c>
      <c r="AI31" s="36" t="e">
        <v>#REF!</v>
      </c>
      <c r="AJ31" s="36" t="e">
        <v>#REF!</v>
      </c>
      <c r="AK31" s="36" t="e">
        <v>#REF!</v>
      </c>
      <c r="AL31" s="36" t="e">
        <v>#REF!</v>
      </c>
      <c r="AM31" s="36" t="e">
        <v>#REF!</v>
      </c>
      <c r="AN31" s="36" t="e">
        <v>#REF!</v>
      </c>
      <c r="AO31" s="36" t="e">
        <v>#REF!</v>
      </c>
      <c r="AP31" s="37" t="e">
        <v>#REF!</v>
      </c>
      <c r="AQ31" s="2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24"/>
      <c r="BC31" s="22"/>
    </row>
    <row r="32" spans="5:57" ht="16.5">
      <c r="G32" s="23"/>
      <c r="H32" s="3"/>
      <c r="I32" s="3"/>
      <c r="J32" s="3"/>
      <c r="K32" s="3"/>
      <c r="L32" s="3"/>
      <c r="M32" s="3"/>
      <c r="N32" s="3"/>
      <c r="O32" s="3"/>
      <c r="P32" s="3"/>
      <c r="Q32" s="3"/>
      <c r="R32" s="24"/>
      <c r="S32" s="3">
        <f>+S33+S40</f>
        <v>-1063.8642099999965</v>
      </c>
      <c r="T32" s="3"/>
      <c r="U32" s="3"/>
      <c r="V32" s="3"/>
      <c r="W32" s="3"/>
      <c r="X32" s="3"/>
      <c r="Y32" s="3"/>
      <c r="Z32" s="3"/>
      <c r="AA32" s="3"/>
      <c r="AB32" s="3"/>
      <c r="AC32" s="24"/>
      <c r="AD32" s="24"/>
      <c r="AE32" s="2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24"/>
      <c r="AQ32" s="2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24"/>
      <c r="BC32" s="22"/>
    </row>
    <row r="33" spans="5:55" ht="16.5">
      <c r="E33" s="6" t="s">
        <v>43</v>
      </c>
      <c r="F33" s="6"/>
      <c r="G33" s="23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2"/>
      <c r="S33" s="61">
        <v>-23.456639999996696</v>
      </c>
      <c r="T33" s="61">
        <v>-25.41135999999824</v>
      </c>
      <c r="U33" s="61">
        <v>289.2470500000054</v>
      </c>
      <c r="V33" s="61">
        <v>311.81401999999798</v>
      </c>
      <c r="W33" s="61">
        <v>334.38320999999269</v>
      </c>
      <c r="X33" s="61">
        <v>356.95464000000356</v>
      </c>
      <c r="Y33" s="61">
        <v>379.52831000000151</v>
      </c>
      <c r="Z33" s="61">
        <v>402.10424000000057</v>
      </c>
      <c r="AA33" s="61">
        <v>424.68243000000075</v>
      </c>
      <c r="AB33" s="61">
        <v>447.26288999999815</v>
      </c>
      <c r="AC33" s="61">
        <v>469.84562999999616</v>
      </c>
      <c r="AD33" s="24"/>
      <c r="AE33" s="2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24"/>
      <c r="AQ33" s="2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24"/>
      <c r="BC33" s="22"/>
    </row>
    <row r="34" spans="5:55" ht="16.5">
      <c r="E34" s="25" t="s">
        <v>44</v>
      </c>
      <c r="F34" s="25" t="s">
        <v>78</v>
      </c>
      <c r="G34" s="23">
        <v>134.61816999999999</v>
      </c>
      <c r="H34" s="3">
        <v>135.21697</v>
      </c>
      <c r="I34" s="3">
        <v>136.29917</v>
      </c>
      <c r="J34" s="3">
        <v>146.82540000000003</v>
      </c>
      <c r="K34" s="3">
        <v>153.10258999999999</v>
      </c>
      <c r="L34" s="3">
        <v>153.65613000000002</v>
      </c>
      <c r="M34" s="26">
        <v>158.29820000000001</v>
      </c>
      <c r="N34" s="26">
        <v>161.55889000000002</v>
      </c>
      <c r="O34" s="26">
        <v>161.55889000000002</v>
      </c>
      <c r="P34" s="26">
        <v>163.14738</v>
      </c>
      <c r="Q34" s="26">
        <v>167.22735999999998</v>
      </c>
      <c r="R34" s="28">
        <v>167.87949</v>
      </c>
      <c r="S34" s="26">
        <v>168.00466999999998</v>
      </c>
      <c r="T34" s="3">
        <v>171.00995</v>
      </c>
      <c r="U34" s="3">
        <v>82.026510000000016</v>
      </c>
      <c r="V34" s="3">
        <v>82.026510000000016</v>
      </c>
      <c r="W34" s="3">
        <v>83.827790000000007</v>
      </c>
      <c r="X34" s="3">
        <v>85.84302000000001</v>
      </c>
      <c r="Y34" s="3">
        <v>88.582660000000004</v>
      </c>
      <c r="Z34" s="3">
        <v>88.582660000000004</v>
      </c>
      <c r="AA34" s="3">
        <v>88.582660000000004</v>
      </c>
      <c r="AB34" s="3">
        <v>89.282520000000005</v>
      </c>
      <c r="AC34" s="24">
        <v>92.720500000000001</v>
      </c>
      <c r="AD34" s="24">
        <v>92.720500000000001</v>
      </c>
      <c r="AE34" s="23">
        <v>92.720500000000001</v>
      </c>
      <c r="AF34" s="3">
        <v>92.720500000000001</v>
      </c>
      <c r="AG34" s="3">
        <v>92.720500000000001</v>
      </c>
      <c r="AH34" s="3">
        <v>92.720500000000001</v>
      </c>
      <c r="AI34" s="3">
        <v>92.720500000000001</v>
      </c>
      <c r="AJ34" s="3">
        <v>92.720500000000001</v>
      </c>
      <c r="AK34" s="3">
        <v>92.720500000000001</v>
      </c>
      <c r="AL34" s="3">
        <v>92.720500000000001</v>
      </c>
      <c r="AM34" s="3">
        <v>92.720500000000001</v>
      </c>
      <c r="AN34" s="3">
        <v>92.720500000000001</v>
      </c>
      <c r="AO34" s="3">
        <v>92.720500000000001</v>
      </c>
      <c r="AP34" s="24">
        <v>92.720500000000001</v>
      </c>
      <c r="AQ34" s="2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24"/>
      <c r="BC34" s="22"/>
    </row>
    <row r="35" spans="5:55" ht="16.5">
      <c r="E35" s="25" t="s">
        <v>45</v>
      </c>
      <c r="F35" s="25" t="s">
        <v>78</v>
      </c>
      <c r="G35" s="23">
        <v>-97.275170000000003</v>
      </c>
      <c r="H35" s="3">
        <v>-98.984169999999992</v>
      </c>
      <c r="I35" s="3">
        <v>-100.72149</v>
      </c>
      <c r="J35" s="3">
        <v>-102.46594</v>
      </c>
      <c r="K35" s="3">
        <v>-104.41037</v>
      </c>
      <c r="L35" s="3">
        <v>-106.35731</v>
      </c>
      <c r="M35" s="26">
        <v>-108.41611000000002</v>
      </c>
      <c r="N35" s="26">
        <v>-110.59155</v>
      </c>
      <c r="O35" s="26">
        <v>-112.77920999999999</v>
      </c>
      <c r="P35" s="26">
        <v>-114.96687</v>
      </c>
      <c r="Q35" s="26">
        <v>-117.31198999999999</v>
      </c>
      <c r="R35" s="28">
        <v>-119.67574999999999</v>
      </c>
      <c r="S35" s="26">
        <v>-122.03249000000001</v>
      </c>
      <c r="T35" s="3">
        <v>-124.39521999999999</v>
      </c>
      <c r="U35" s="3">
        <v>-33.187849999999997</v>
      </c>
      <c r="V35" s="3">
        <v>-36.583289999999998</v>
      </c>
      <c r="W35" s="3">
        <v>-38.525529999999996</v>
      </c>
      <c r="X35" s="3">
        <v>-40.52375</v>
      </c>
      <c r="Y35" s="3">
        <v>-42.591229999999996</v>
      </c>
      <c r="Z35" s="3">
        <v>-44.658710000000006</v>
      </c>
      <c r="AA35" s="3">
        <v>-46.726190000000003</v>
      </c>
      <c r="AB35" s="3">
        <v>-48.76605</v>
      </c>
      <c r="AC35" s="24">
        <v>-50.736870000000003</v>
      </c>
      <c r="AD35" s="24">
        <v>-55.619846266812196</v>
      </c>
      <c r="AE35" s="23" t="e">
        <v>#REF!</v>
      </c>
      <c r="AF35" s="3" t="e">
        <v>#REF!</v>
      </c>
      <c r="AG35" s="3" t="e">
        <v>#REF!</v>
      </c>
      <c r="AH35" s="3" t="e">
        <v>#REF!</v>
      </c>
      <c r="AI35" s="3" t="e">
        <v>#REF!</v>
      </c>
      <c r="AJ35" s="3" t="e">
        <v>#REF!</v>
      </c>
      <c r="AK35" s="3" t="e">
        <v>#REF!</v>
      </c>
      <c r="AL35" s="3" t="e">
        <v>#REF!</v>
      </c>
      <c r="AM35" s="3" t="e">
        <v>#REF!</v>
      </c>
      <c r="AN35" s="3" t="e">
        <v>#REF!</v>
      </c>
      <c r="AO35" s="3" t="e">
        <v>#REF!</v>
      </c>
      <c r="AP35" s="24" t="e">
        <v>#REF!</v>
      </c>
      <c r="AQ35" s="2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24"/>
      <c r="BC35" s="22"/>
    </row>
    <row r="36" spans="5:55" ht="16.5">
      <c r="E36" s="25" t="s">
        <v>46</v>
      </c>
      <c r="F36" s="25" t="s">
        <v>25</v>
      </c>
      <c r="G36" s="27">
        <v>1910.5463099999999</v>
      </c>
      <c r="H36" s="26">
        <v>1910.5463099999999</v>
      </c>
      <c r="I36" s="26">
        <v>1910.5463099999999</v>
      </c>
      <c r="J36" s="26">
        <v>1910.5463099999999</v>
      </c>
      <c r="K36" s="26">
        <v>1910.5463099999999</v>
      </c>
      <c r="L36" s="26">
        <v>1910.5463099999999</v>
      </c>
      <c r="M36" s="26">
        <v>1910.5463099999999</v>
      </c>
      <c r="N36" s="26">
        <v>1910.5463099999999</v>
      </c>
      <c r="O36" s="26">
        <v>1910.5463099999999</v>
      </c>
      <c r="P36" s="26">
        <v>1910.5463099999999</v>
      </c>
      <c r="Q36" s="26">
        <v>1910.5463099999999</v>
      </c>
      <c r="R36" s="28">
        <v>1910.5463099999999</v>
      </c>
      <c r="S36" s="26">
        <v>1910.5463099999999</v>
      </c>
      <c r="T36" s="3">
        <v>1910.5463099999999</v>
      </c>
      <c r="U36" s="3">
        <v>1219.02864</v>
      </c>
      <c r="V36" s="3">
        <v>1219.02864</v>
      </c>
      <c r="W36" s="3">
        <v>1219.02864</v>
      </c>
      <c r="X36" s="3">
        <v>1219.02864</v>
      </c>
      <c r="Y36" s="3">
        <v>1219.02864</v>
      </c>
      <c r="Z36" s="3">
        <v>1219.02864</v>
      </c>
      <c r="AA36" s="3">
        <v>1219.02864</v>
      </c>
      <c r="AB36" s="3">
        <v>1219.02864</v>
      </c>
      <c r="AC36" s="24">
        <v>1219.02864</v>
      </c>
      <c r="AD36" s="24">
        <v>1219.02864</v>
      </c>
      <c r="AE36" s="23">
        <v>1219.02864</v>
      </c>
      <c r="AF36" s="3">
        <v>1219.02864</v>
      </c>
      <c r="AG36" s="3">
        <v>1219.02864</v>
      </c>
      <c r="AH36" s="3">
        <v>1219.02864</v>
      </c>
      <c r="AI36" s="3">
        <v>1219.02864</v>
      </c>
      <c r="AJ36" s="3">
        <v>1219.02864</v>
      </c>
      <c r="AK36" s="3">
        <v>1219.02864</v>
      </c>
      <c r="AL36" s="3">
        <v>1219.02864</v>
      </c>
      <c r="AM36" s="3">
        <v>1219.02864</v>
      </c>
      <c r="AN36" s="3">
        <v>1219.02864</v>
      </c>
      <c r="AO36" s="3">
        <v>1219.02864</v>
      </c>
      <c r="AP36" s="24">
        <v>1219.02864</v>
      </c>
      <c r="AQ36" s="2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24"/>
      <c r="BC36" s="22"/>
    </row>
    <row r="37" spans="5:55" ht="16.5">
      <c r="E37" s="65" t="s">
        <v>47</v>
      </c>
      <c r="F37" s="65" t="s">
        <v>25</v>
      </c>
      <c r="G37" s="66">
        <v>-1558.2308500000004</v>
      </c>
      <c r="H37" s="67">
        <v>-1558.2308500000004</v>
      </c>
      <c r="I37" s="67">
        <v>-1558.2308500000004</v>
      </c>
      <c r="J37" s="67">
        <v>-1558.2308500000004</v>
      </c>
      <c r="K37" s="67">
        <v>-1558.2308500000004</v>
      </c>
      <c r="L37" s="67">
        <v>-1558.2308500000004</v>
      </c>
      <c r="M37" s="67">
        <v>-1558.2308500000004</v>
      </c>
      <c r="N37" s="67">
        <v>-1558.2308500000004</v>
      </c>
      <c r="O37" s="67">
        <v>-1558.2308500000004</v>
      </c>
      <c r="P37" s="67">
        <v>-1558.2308500000004</v>
      </c>
      <c r="Q37" s="67">
        <v>-1558.2308500000004</v>
      </c>
      <c r="R37" s="68">
        <v>-1558.2308500000004</v>
      </c>
      <c r="S37" s="67">
        <v>-1558.2308500000004</v>
      </c>
      <c r="T37" s="67">
        <v>-1558.2308500000004</v>
      </c>
      <c r="U37" s="67">
        <v>-397.92667</v>
      </c>
      <c r="V37" s="67">
        <v>-422.44835999999998</v>
      </c>
      <c r="W37" s="67">
        <v>-446.97227000000004</v>
      </c>
      <c r="X37" s="67">
        <v>-471.49842000000001</v>
      </c>
      <c r="Y37" s="67">
        <v>-496.02681000000001</v>
      </c>
      <c r="Z37" s="67">
        <v>-520.55745999999999</v>
      </c>
      <c r="AA37" s="67">
        <v>-545.09037000000001</v>
      </c>
      <c r="AB37" s="67">
        <v>-569.62555000000009</v>
      </c>
      <c r="AC37" s="68">
        <v>-594.16300999999999</v>
      </c>
      <c r="AD37" s="68">
        <v>-744.96539000000007</v>
      </c>
      <c r="AE37" s="23">
        <v>-771.45039000000008</v>
      </c>
      <c r="AF37" s="3">
        <v>-797.9353900000001</v>
      </c>
      <c r="AG37" s="3">
        <v>-824.42039000000011</v>
      </c>
      <c r="AH37" s="3">
        <v>-850.90539000000012</v>
      </c>
      <c r="AI37" s="3">
        <v>-877.39039000000014</v>
      </c>
      <c r="AJ37" s="3">
        <v>-903.87539000000015</v>
      </c>
      <c r="AK37" s="3">
        <v>-930.36039000000017</v>
      </c>
      <c r="AL37" s="3">
        <v>-956.84539000000018</v>
      </c>
      <c r="AM37" s="3">
        <v>-983.33039000000019</v>
      </c>
      <c r="AN37" s="3">
        <v>-1009.8153900000002</v>
      </c>
      <c r="AO37" s="3">
        <v>-1036.3003900000001</v>
      </c>
      <c r="AP37" s="24">
        <v>-1062.78539</v>
      </c>
      <c r="AQ37" s="2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24"/>
      <c r="BC37" s="22"/>
    </row>
    <row r="38" spans="5:55" ht="16.5">
      <c r="E38" s="25" t="s">
        <v>48</v>
      </c>
      <c r="F38" s="25" t="s">
        <v>78</v>
      </c>
      <c r="G38" s="23">
        <v>127.6</v>
      </c>
      <c r="H38" s="3">
        <v>127.6</v>
      </c>
      <c r="I38" s="3">
        <v>127.6</v>
      </c>
      <c r="J38" s="3">
        <v>127.6</v>
      </c>
      <c r="K38" s="3">
        <v>95</v>
      </c>
      <c r="L38" s="3">
        <v>95</v>
      </c>
      <c r="M38" s="3">
        <v>95</v>
      </c>
      <c r="N38" s="3">
        <v>95</v>
      </c>
      <c r="O38" s="3">
        <v>95</v>
      </c>
      <c r="P38" s="3">
        <v>95</v>
      </c>
      <c r="Q38" s="3">
        <v>95</v>
      </c>
      <c r="R38" s="24">
        <v>95</v>
      </c>
      <c r="S38" s="26">
        <v>95</v>
      </c>
      <c r="T38" s="3">
        <v>95</v>
      </c>
      <c r="U38" s="3">
        <v>95</v>
      </c>
      <c r="V38" s="3">
        <v>95</v>
      </c>
      <c r="W38" s="3">
        <v>95</v>
      </c>
      <c r="X38" s="3">
        <v>95</v>
      </c>
      <c r="Y38" s="3">
        <v>95</v>
      </c>
      <c r="Z38" s="3">
        <v>95</v>
      </c>
      <c r="AA38" s="3">
        <v>95</v>
      </c>
      <c r="AB38" s="3">
        <v>95</v>
      </c>
      <c r="AC38" s="24">
        <v>95</v>
      </c>
      <c r="AD38" s="24">
        <v>95</v>
      </c>
      <c r="AE38" s="23">
        <v>95</v>
      </c>
      <c r="AF38" s="3">
        <v>95</v>
      </c>
      <c r="AG38" s="3">
        <v>95</v>
      </c>
      <c r="AH38" s="3">
        <v>95</v>
      </c>
      <c r="AI38" s="3">
        <v>95</v>
      </c>
      <c r="AJ38" s="3">
        <v>95</v>
      </c>
      <c r="AK38" s="3">
        <v>95</v>
      </c>
      <c r="AL38" s="3">
        <v>95</v>
      </c>
      <c r="AM38" s="3">
        <v>95</v>
      </c>
      <c r="AN38" s="3">
        <v>95</v>
      </c>
      <c r="AO38" s="3">
        <v>95</v>
      </c>
      <c r="AP38" s="24">
        <v>95</v>
      </c>
      <c r="AQ38" s="2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24"/>
      <c r="BC38" s="22"/>
    </row>
    <row r="39" spans="5:55" ht="16.5">
      <c r="E39" s="29" t="s">
        <v>49</v>
      </c>
      <c r="F39" s="59" t="s">
        <v>82</v>
      </c>
      <c r="G39" s="23">
        <v>49452.048620000001</v>
      </c>
      <c r="H39" s="3">
        <v>49452.048620000001</v>
      </c>
      <c r="I39" s="3">
        <v>49452.048620000001</v>
      </c>
      <c r="J39" s="3">
        <v>49452.048620000001</v>
      </c>
      <c r="K39" s="3">
        <v>49452.048620000001</v>
      </c>
      <c r="L39" s="3">
        <v>49452.048620000001</v>
      </c>
      <c r="M39" s="3">
        <v>49452.048620000001</v>
      </c>
      <c r="N39" s="3">
        <v>49452.048620000001</v>
      </c>
      <c r="O39" s="3">
        <v>49452.048620000001</v>
      </c>
      <c r="P39" s="3">
        <v>49452.048620000001</v>
      </c>
      <c r="Q39" s="3">
        <v>49452.048620000001</v>
      </c>
      <c r="R39" s="24">
        <v>49452.048620000001</v>
      </c>
      <c r="S39" s="3">
        <v>49452.048620000001</v>
      </c>
      <c r="T39" s="3">
        <v>49452.048620000001</v>
      </c>
      <c r="U39" s="3">
        <v>47975.131310000004</v>
      </c>
      <c r="V39" s="3">
        <v>47975.131310000004</v>
      </c>
      <c r="W39" s="3">
        <v>47975.131310000004</v>
      </c>
      <c r="X39" s="3">
        <v>47975.131310000004</v>
      </c>
      <c r="Y39" s="3">
        <v>47975.131310000004</v>
      </c>
      <c r="Z39" s="3">
        <v>47975.131310000004</v>
      </c>
      <c r="AA39" s="3">
        <v>47975.131310000004</v>
      </c>
      <c r="AB39" s="3">
        <v>47975.131310000004</v>
      </c>
      <c r="AC39" s="24">
        <v>47975.131310000004</v>
      </c>
      <c r="AD39" s="24">
        <v>47975.131310000004</v>
      </c>
      <c r="AE39" s="23">
        <v>47975.131310000004</v>
      </c>
      <c r="AF39" s="3">
        <v>47975.131310000004</v>
      </c>
      <c r="AG39" s="3">
        <v>47975.131310000004</v>
      </c>
      <c r="AH39" s="3">
        <v>47975.131310000004</v>
      </c>
      <c r="AI39" s="3">
        <v>47975.131310000004</v>
      </c>
      <c r="AJ39" s="3">
        <v>47975.131310000004</v>
      </c>
      <c r="AK39" s="3">
        <v>47975.131310000004</v>
      </c>
      <c r="AL39" s="3">
        <v>47975.131310000004</v>
      </c>
      <c r="AM39" s="3">
        <v>47975.131310000004</v>
      </c>
      <c r="AN39" s="3">
        <v>47975.131310000004</v>
      </c>
      <c r="AO39" s="3">
        <v>47975.131310000004</v>
      </c>
      <c r="AP39" s="24">
        <v>47975.131310000004</v>
      </c>
      <c r="AQ39" s="2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24"/>
      <c r="BC39" s="22"/>
    </row>
    <row r="40" spans="5:55" ht="16.5">
      <c r="E40" s="65" t="s">
        <v>80</v>
      </c>
      <c r="F40" s="69" t="s">
        <v>82</v>
      </c>
      <c r="G40" s="66">
        <v>-755.68011999999999</v>
      </c>
      <c r="H40" s="67">
        <v>-789.48176000000001</v>
      </c>
      <c r="I40" s="67">
        <v>-823.28551000000004</v>
      </c>
      <c r="J40" s="67">
        <v>-857.09137999999996</v>
      </c>
      <c r="K40" s="67">
        <v>-890.89937999999995</v>
      </c>
      <c r="L40" s="67">
        <v>-868.84795999999994</v>
      </c>
      <c r="M40" s="67">
        <v>-893.34997999999996</v>
      </c>
      <c r="N40" s="67">
        <v>-917.85415</v>
      </c>
      <c r="O40" s="67">
        <v>-942.36047999999994</v>
      </c>
      <c r="P40" s="67">
        <v>-966.86897999999997</v>
      </c>
      <c r="Q40" s="67">
        <v>-991.37966000000006</v>
      </c>
      <c r="R40" s="68">
        <v>-1015.89252</v>
      </c>
      <c r="S40" s="67">
        <v>-1040.4075699999999</v>
      </c>
      <c r="T40" s="67">
        <v>-1064.9248300000002</v>
      </c>
      <c r="U40" s="67">
        <v>-397.92667</v>
      </c>
      <c r="V40" s="67">
        <v>-422.44835999999998</v>
      </c>
      <c r="W40" s="67">
        <v>-446.97227000000004</v>
      </c>
      <c r="X40" s="67">
        <v>-471.49842000000001</v>
      </c>
      <c r="Y40" s="67">
        <v>-496.02681000000001</v>
      </c>
      <c r="Z40" s="67">
        <v>-520.55745999999999</v>
      </c>
      <c r="AA40" s="67">
        <v>-545.09037000000001</v>
      </c>
      <c r="AB40" s="67">
        <v>-569.62555000000009</v>
      </c>
      <c r="AC40" s="68">
        <v>-594.16300999999999</v>
      </c>
      <c r="AD40" s="68"/>
      <c r="AE40" s="2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24"/>
      <c r="AQ40" s="2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24"/>
      <c r="BC40" s="22"/>
    </row>
    <row r="41" spans="5:55" ht="16.5">
      <c r="E41" s="29" t="s">
        <v>50</v>
      </c>
      <c r="F41" s="57" t="s">
        <v>83</v>
      </c>
      <c r="G41" s="31">
        <v>3735.0108700000001</v>
      </c>
      <c r="H41" s="32">
        <v>3735.0108700000001</v>
      </c>
      <c r="I41" s="32">
        <v>3735.0108700000001</v>
      </c>
      <c r="J41" s="32">
        <v>3735.0108700000001</v>
      </c>
      <c r="K41" s="32">
        <v>3735.0108700000001</v>
      </c>
      <c r="L41" s="32">
        <v>3735.0108700000001</v>
      </c>
      <c r="M41" s="32">
        <v>3735.0108700000001</v>
      </c>
      <c r="N41" s="32">
        <v>3735.0108700000001</v>
      </c>
      <c r="O41" s="32">
        <v>3735.0108700000001</v>
      </c>
      <c r="P41" s="32">
        <v>3735.0108700000001</v>
      </c>
      <c r="Q41" s="32">
        <v>3735.0108700000001</v>
      </c>
      <c r="R41" s="33">
        <v>3735.0108700000001</v>
      </c>
      <c r="S41" s="32">
        <v>3735.0108700000001</v>
      </c>
      <c r="T41" s="32">
        <v>3735.0108700000001</v>
      </c>
      <c r="U41" s="32">
        <v>3735.0108700000001</v>
      </c>
      <c r="V41" s="32">
        <v>3735.0108700000001</v>
      </c>
      <c r="W41" s="32">
        <v>3735.0108700000001</v>
      </c>
      <c r="X41" s="32">
        <v>3735.0108700000001</v>
      </c>
      <c r="Y41" s="32">
        <v>3735.0108700000001</v>
      </c>
      <c r="Z41" s="32">
        <v>3735.0108700000001</v>
      </c>
      <c r="AA41" s="32">
        <v>3735.0108700000001</v>
      </c>
      <c r="AB41" s="32">
        <v>3735.0108700000001</v>
      </c>
      <c r="AC41" s="33">
        <v>3735.0108700000001</v>
      </c>
      <c r="AD41" s="33">
        <v>3735.0108700000001</v>
      </c>
      <c r="AE41" s="31">
        <v>3735.0108700000001</v>
      </c>
      <c r="AF41" s="32">
        <v>3735.0108700000001</v>
      </c>
      <c r="AG41" s="32">
        <v>3735.0108700000001</v>
      </c>
      <c r="AH41" s="32">
        <v>3735.0108700000001</v>
      </c>
      <c r="AI41" s="32">
        <v>3735.0108700000001</v>
      </c>
      <c r="AJ41" s="32">
        <v>3735.0108700000001</v>
      </c>
      <c r="AK41" s="32">
        <v>3735.0108700000001</v>
      </c>
      <c r="AL41" s="32">
        <v>3735.0108700000001</v>
      </c>
      <c r="AM41" s="32">
        <v>3735.0108700000001</v>
      </c>
      <c r="AN41" s="32">
        <v>3735.0108700000001</v>
      </c>
      <c r="AO41" s="32">
        <v>3735.0108700000001</v>
      </c>
      <c r="AP41" s="33">
        <v>3735.0108700000001</v>
      </c>
      <c r="AQ41" s="2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24"/>
      <c r="BC41" s="22"/>
    </row>
    <row r="42" spans="5:55" ht="16.5">
      <c r="E42" s="34" t="s">
        <v>51</v>
      </c>
      <c r="F42" s="34"/>
      <c r="G42" s="35">
        <v>52948.63783</v>
      </c>
      <c r="H42" s="36">
        <v>52911.771269999997</v>
      </c>
      <c r="I42" s="36">
        <v>52875.357680000001</v>
      </c>
      <c r="J42" s="36">
        <v>52848.37887</v>
      </c>
      <c r="K42" s="36">
        <v>52784.348910000001</v>
      </c>
      <c r="L42" s="36">
        <v>52803.052210000002</v>
      </c>
      <c r="M42" s="36">
        <v>52779.178740000003</v>
      </c>
      <c r="N42" s="36">
        <v>52753.805099999998</v>
      </c>
      <c r="O42" s="36">
        <v>52725.156389999996</v>
      </c>
      <c r="P42" s="36">
        <v>52698.093999999997</v>
      </c>
      <c r="Q42" s="36">
        <v>52673.36346</v>
      </c>
      <c r="R42" s="37">
        <v>52645.184249999998</v>
      </c>
      <c r="S42" s="36">
        <v>52616.482920000002</v>
      </c>
      <c r="T42" s="36">
        <v>52590.653489999997</v>
      </c>
      <c r="U42" s="36">
        <v>52566.403190000005</v>
      </c>
      <c r="V42" s="36">
        <v>52536.531340000001</v>
      </c>
      <c r="W42" s="36">
        <v>52509.911749999999</v>
      </c>
      <c r="X42" s="36">
        <v>52483.447890000003</v>
      </c>
      <c r="Y42" s="36">
        <v>52457.636940000004</v>
      </c>
      <c r="Z42" s="36">
        <v>52429.084090000004</v>
      </c>
      <c r="AA42" s="36">
        <v>52400.528980000003</v>
      </c>
      <c r="AB42" s="36">
        <v>52372.699080000006</v>
      </c>
      <c r="AC42" s="37">
        <v>52347.674060000005</v>
      </c>
      <c r="AD42" s="37">
        <v>52316.306083733187</v>
      </c>
      <c r="AE42" s="35" t="e">
        <v>#REF!</v>
      </c>
      <c r="AF42" s="36" t="e">
        <v>#REF!</v>
      </c>
      <c r="AG42" s="36" t="e">
        <v>#REF!</v>
      </c>
      <c r="AH42" s="36" t="e">
        <v>#REF!</v>
      </c>
      <c r="AI42" s="36" t="e">
        <v>#REF!</v>
      </c>
      <c r="AJ42" s="36" t="e">
        <v>#REF!</v>
      </c>
      <c r="AK42" s="36" t="e">
        <v>#REF!</v>
      </c>
      <c r="AL42" s="36" t="e">
        <v>#REF!</v>
      </c>
      <c r="AM42" s="36" t="e">
        <v>#REF!</v>
      </c>
      <c r="AN42" s="36" t="e">
        <v>#REF!</v>
      </c>
      <c r="AO42" s="36" t="e">
        <v>#REF!</v>
      </c>
      <c r="AP42" s="37" t="e">
        <v>#REF!</v>
      </c>
      <c r="AQ42" s="2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24"/>
      <c r="BC42" s="22"/>
    </row>
    <row r="43" spans="5:55" ht="16.5">
      <c r="E43" s="38"/>
      <c r="F43" s="38"/>
      <c r="G43" s="23"/>
      <c r="H43" s="3"/>
      <c r="I43" s="3"/>
      <c r="J43" s="3"/>
      <c r="K43" s="3"/>
      <c r="L43" s="3"/>
      <c r="M43" s="3"/>
      <c r="N43" s="3"/>
      <c r="O43" s="3"/>
      <c r="P43" s="3"/>
      <c r="Q43" s="3"/>
      <c r="R43" s="24"/>
      <c r="S43" s="3">
        <f>+S42-SUM(S34:S41)</f>
        <v>-23.456639999996696</v>
      </c>
      <c r="T43" s="61">
        <f t="shared" ref="T43:AC43" si="12">+T42-SUM(T34:T41)</f>
        <v>-25.41135999999824</v>
      </c>
      <c r="U43" s="61">
        <f t="shared" si="12"/>
        <v>289.2470500000054</v>
      </c>
      <c r="V43" s="61">
        <f t="shared" si="12"/>
        <v>311.81401999999798</v>
      </c>
      <c r="W43" s="61">
        <f t="shared" si="12"/>
        <v>334.38320999999269</v>
      </c>
      <c r="X43" s="61">
        <f t="shared" si="12"/>
        <v>356.95464000000356</v>
      </c>
      <c r="Y43" s="61">
        <f t="shared" si="12"/>
        <v>379.52831000000151</v>
      </c>
      <c r="Z43" s="61">
        <f t="shared" si="12"/>
        <v>402.10424000000057</v>
      </c>
      <c r="AA43" s="61">
        <f t="shared" si="12"/>
        <v>424.68243000000075</v>
      </c>
      <c r="AB43" s="61">
        <f t="shared" si="12"/>
        <v>447.26288999999815</v>
      </c>
      <c r="AC43" s="62">
        <f t="shared" si="12"/>
        <v>469.84562999999616</v>
      </c>
      <c r="AD43" s="24"/>
      <c r="AE43" s="2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24"/>
      <c r="AQ43" s="2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24"/>
      <c r="BC43" s="22"/>
    </row>
    <row r="44" spans="5:55" ht="16.5">
      <c r="E44" s="39" t="s">
        <v>52</v>
      </c>
      <c r="F44" s="39"/>
      <c r="G44" s="40">
        <v>73169.856490000006</v>
      </c>
      <c r="H44" s="41">
        <v>73077.631859999994</v>
      </c>
      <c r="I44" s="41">
        <v>72981.881770000007</v>
      </c>
      <c r="J44" s="41">
        <v>73306.419640000007</v>
      </c>
      <c r="K44" s="41">
        <v>73202.987200000003</v>
      </c>
      <c r="L44" s="41">
        <v>74240.234320000003</v>
      </c>
      <c r="M44" s="41">
        <v>73595.058900000004</v>
      </c>
      <c r="N44" s="41">
        <v>72950.777430000002</v>
      </c>
      <c r="O44" s="41">
        <v>72686.708350000001</v>
      </c>
      <c r="P44" s="41">
        <v>72989.356440000003</v>
      </c>
      <c r="Q44" s="41">
        <v>62490.269840000001</v>
      </c>
      <c r="R44" s="42">
        <v>65851.392049999995</v>
      </c>
      <c r="S44" s="41">
        <v>65012.539960000002</v>
      </c>
      <c r="T44" s="41">
        <v>64900.624379999994</v>
      </c>
      <c r="U44" s="41">
        <v>64865.530430000006</v>
      </c>
      <c r="V44" s="41">
        <v>64569.893970000005</v>
      </c>
      <c r="W44" s="41">
        <v>64501.893490000002</v>
      </c>
      <c r="X44" s="41">
        <v>63475.781320000002</v>
      </c>
      <c r="Y44" s="41">
        <v>65517.772030000007</v>
      </c>
      <c r="Z44" s="41">
        <v>65963.920259999999</v>
      </c>
      <c r="AA44" s="41">
        <v>65745.732680000001</v>
      </c>
      <c r="AB44" s="41">
        <v>67169.71908000001</v>
      </c>
      <c r="AC44" s="42">
        <v>66838.447379999998</v>
      </c>
      <c r="AD44" s="42">
        <v>66330.060253815536</v>
      </c>
      <c r="AE44" s="40" t="e">
        <v>#REF!</v>
      </c>
      <c r="AF44" s="41" t="e">
        <v>#REF!</v>
      </c>
      <c r="AG44" s="41" t="e">
        <v>#REF!</v>
      </c>
      <c r="AH44" s="41" t="e">
        <v>#REF!</v>
      </c>
      <c r="AI44" s="41" t="e">
        <v>#REF!</v>
      </c>
      <c r="AJ44" s="41" t="e">
        <v>#REF!</v>
      </c>
      <c r="AK44" s="41" t="e">
        <v>#REF!</v>
      </c>
      <c r="AL44" s="41" t="e">
        <v>#REF!</v>
      </c>
      <c r="AM44" s="41" t="e">
        <v>#REF!</v>
      </c>
      <c r="AN44" s="41" t="e">
        <v>#REF!</v>
      </c>
      <c r="AO44" s="41" t="e">
        <v>#REF!</v>
      </c>
      <c r="AP44" s="42" t="e">
        <v>#REF!</v>
      </c>
      <c r="AQ44" s="40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2"/>
      <c r="BC44" s="22"/>
    </row>
    <row r="45" spans="5:55" ht="16.5" hidden="1" outlineLevel="1">
      <c r="E45" s="6"/>
      <c r="F45" s="6"/>
      <c r="G45" s="2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-11242.403469999997</v>
      </c>
      <c r="R45" s="24">
        <v>-11243.004259999987</v>
      </c>
      <c r="S45" s="3">
        <v>-11237.890089999994</v>
      </c>
      <c r="T45" s="3">
        <v>-11233.766040000002</v>
      </c>
      <c r="U45" s="3">
        <v>-6532.8303300000043</v>
      </c>
      <c r="V45" s="3">
        <v>-6508.1189499999891</v>
      </c>
      <c r="W45" s="3">
        <v>-6490.8618799999967</v>
      </c>
      <c r="X45" s="3">
        <v>-6483.3413800000053</v>
      </c>
      <c r="Y45" s="3">
        <v>-6476.0256200000003</v>
      </c>
      <c r="Z45" s="3">
        <v>-6459.307209999999</v>
      </c>
      <c r="AA45" s="3">
        <v>-6478.9277000000147</v>
      </c>
      <c r="AB45" s="3">
        <v>-6463.1516600000032</v>
      </c>
      <c r="AC45" s="43">
        <v>-6456.9119499999942</v>
      </c>
      <c r="AD45" s="37"/>
      <c r="AE45" s="35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7"/>
      <c r="AQ45" s="35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7"/>
      <c r="BC45" s="22"/>
    </row>
    <row r="46" spans="5:55" ht="16.5" hidden="1" outlineLevel="1">
      <c r="E46" s="6"/>
      <c r="F46" s="6"/>
      <c r="G46" s="35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7"/>
      <c r="S46" s="36">
        <v>11237.890089999999</v>
      </c>
      <c r="T46" s="36">
        <v>11233.766039999999</v>
      </c>
      <c r="U46" s="36">
        <v>6532.8303299999998</v>
      </c>
      <c r="V46" s="36">
        <v>6508.11895</v>
      </c>
      <c r="W46" s="36">
        <v>6490.8618799999995</v>
      </c>
      <c r="X46" s="36">
        <v>6483.3413799999998</v>
      </c>
      <c r="Y46" s="36">
        <v>6476.0256200000003</v>
      </c>
      <c r="Z46" s="36">
        <v>6459.3072099999999</v>
      </c>
      <c r="AA46" s="36">
        <v>6478.9277000000002</v>
      </c>
      <c r="AB46" s="36">
        <v>6463.1516600000004</v>
      </c>
      <c r="AC46" s="37">
        <v>6456.9119499999797</v>
      </c>
      <c r="AD46" s="37"/>
      <c r="AE46" s="35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7"/>
      <c r="AQ46" s="35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7"/>
      <c r="BC46" s="22"/>
    </row>
    <row r="47" spans="5:55" ht="16.5" collapsed="1">
      <c r="E47" s="6"/>
      <c r="F47" s="6"/>
      <c r="G47" s="35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7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7"/>
      <c r="AD47" s="37"/>
      <c r="AE47" s="35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7"/>
      <c r="AQ47" s="35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7"/>
      <c r="BC47" s="22"/>
    </row>
    <row r="48" spans="5:55" ht="16.5">
      <c r="E48" s="6" t="s">
        <v>53</v>
      </c>
      <c r="F48" s="6"/>
      <c r="G48" s="35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7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7"/>
      <c r="AD48" s="37"/>
      <c r="AE48" s="35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7"/>
      <c r="AQ48" s="35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7"/>
      <c r="BC48" s="22"/>
    </row>
    <row r="49" spans="5:55" ht="16.5">
      <c r="E49" s="6" t="s">
        <v>54</v>
      </c>
      <c r="F49" s="6"/>
      <c r="G49" s="23"/>
      <c r="H49" s="3"/>
      <c r="I49" s="3"/>
      <c r="J49" s="3"/>
      <c r="K49" s="3"/>
      <c r="L49" s="3"/>
      <c r="M49" s="3"/>
      <c r="N49" s="3"/>
      <c r="O49" s="3"/>
      <c r="P49" s="3"/>
      <c r="Q49" s="3"/>
      <c r="R49" s="24"/>
      <c r="S49" s="3"/>
      <c r="T49" s="3"/>
      <c r="U49" s="3"/>
      <c r="V49" s="3"/>
      <c r="W49" s="3"/>
      <c r="X49" s="3"/>
      <c r="Y49" s="3"/>
      <c r="Z49" s="3"/>
      <c r="AA49" s="3"/>
      <c r="AB49" s="3"/>
      <c r="AC49" s="24"/>
      <c r="AD49" s="24"/>
      <c r="AE49" s="2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24"/>
      <c r="AQ49" s="2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24"/>
      <c r="BC49" s="22"/>
    </row>
    <row r="50" spans="5:55" ht="16.5">
      <c r="E50" s="25" t="s">
        <v>55</v>
      </c>
      <c r="F50" s="25" t="s">
        <v>84</v>
      </c>
      <c r="G50" s="27">
        <v>1322.9978000000001</v>
      </c>
      <c r="H50" s="26">
        <v>1160.0818000000002</v>
      </c>
      <c r="I50" s="26">
        <v>1267.2363300000002</v>
      </c>
      <c r="J50" s="26">
        <v>1200.24461</v>
      </c>
      <c r="K50" s="26">
        <v>1509.6328000000001</v>
      </c>
      <c r="L50" s="26">
        <v>2667.0978200000004</v>
      </c>
      <c r="M50" s="26">
        <v>2754.5888000000004</v>
      </c>
      <c r="N50" s="26">
        <v>2327.5504200000005</v>
      </c>
      <c r="O50" s="26">
        <v>2070.0125699999999</v>
      </c>
      <c r="P50" s="26">
        <v>2707.5459599999999</v>
      </c>
      <c r="Q50" s="26">
        <v>3780.0672500000005</v>
      </c>
      <c r="R50" s="28">
        <v>4741.2406300000002</v>
      </c>
      <c r="S50" s="26">
        <v>3623.62264</v>
      </c>
      <c r="T50" s="3">
        <v>3821.7393900000002</v>
      </c>
      <c r="U50" s="3">
        <v>2156.5549699999997</v>
      </c>
      <c r="V50" s="3">
        <v>2085.8602900000001</v>
      </c>
      <c r="W50" s="3">
        <v>2617.1359700000007</v>
      </c>
      <c r="X50" s="3">
        <v>2694.38283</v>
      </c>
      <c r="Y50" s="3">
        <v>3638.8180700000003</v>
      </c>
      <c r="Z50" s="3">
        <v>2626.9518899999998</v>
      </c>
      <c r="AA50" s="3">
        <v>2670.1893799999998</v>
      </c>
      <c r="AB50" s="3">
        <v>1859.0732700000001</v>
      </c>
      <c r="AC50" s="24">
        <v>1842.58356</v>
      </c>
      <c r="AD50" s="24">
        <v>2392.4295862585241</v>
      </c>
      <c r="AE50" s="23">
        <v>637.31915329622962</v>
      </c>
      <c r="AF50" s="3">
        <v>637.31915329622962</v>
      </c>
      <c r="AG50" s="3">
        <v>637.31915329622962</v>
      </c>
      <c r="AH50" s="3">
        <v>637.31915329622962</v>
      </c>
      <c r="AI50" s="3">
        <v>637.31915329622962</v>
      </c>
      <c r="AJ50" s="3">
        <v>637.31915329622962</v>
      </c>
      <c r="AK50" s="3">
        <v>637.31915329622962</v>
      </c>
      <c r="AL50" s="3">
        <v>637.31915329622962</v>
      </c>
      <c r="AM50" s="3">
        <v>637.31915329622962</v>
      </c>
      <c r="AN50" s="3">
        <v>637.31915329622962</v>
      </c>
      <c r="AO50" s="3">
        <v>637.31915329622962</v>
      </c>
      <c r="AP50" s="24">
        <v>637.31915329622962</v>
      </c>
      <c r="AQ50" s="2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24"/>
      <c r="BC50" s="22"/>
    </row>
    <row r="51" spans="5:55" ht="16.5">
      <c r="E51" s="25" t="s">
        <v>56</v>
      </c>
      <c r="F51" s="25" t="s">
        <v>85</v>
      </c>
      <c r="G51" s="27">
        <v>926.41644999999994</v>
      </c>
      <c r="H51" s="26">
        <v>884.82439999999997</v>
      </c>
      <c r="I51" s="26">
        <v>367.08368999999993</v>
      </c>
      <c r="J51" s="26">
        <v>431.84234999999995</v>
      </c>
      <c r="K51" s="26">
        <v>229.10205999999999</v>
      </c>
      <c r="L51" s="26">
        <v>253.91583</v>
      </c>
      <c r="M51" s="26">
        <v>328.82836000000003</v>
      </c>
      <c r="N51" s="26">
        <v>408.96533000000005</v>
      </c>
      <c r="O51" s="26">
        <v>450.53290999999996</v>
      </c>
      <c r="P51" s="26">
        <v>583.65678000000003</v>
      </c>
      <c r="Q51" s="26">
        <v>685.27139</v>
      </c>
      <c r="R51" s="28">
        <v>942.64472000000001</v>
      </c>
      <c r="S51" s="26">
        <v>701.60713999999996</v>
      </c>
      <c r="T51" s="3">
        <v>836.46855000000005</v>
      </c>
      <c r="U51" s="3">
        <v>939.30832999999996</v>
      </c>
      <c r="V51" s="3">
        <v>1055.56899</v>
      </c>
      <c r="W51" s="3">
        <v>813.55531000000008</v>
      </c>
      <c r="X51" s="3">
        <v>549.13225</v>
      </c>
      <c r="Y51" s="3">
        <v>1245.6066700000001</v>
      </c>
      <c r="Z51" s="3">
        <v>1096.92345</v>
      </c>
      <c r="AA51" s="3">
        <v>801.74466999999993</v>
      </c>
      <c r="AB51" s="3">
        <v>691.62139999999999</v>
      </c>
      <c r="AC51" s="24">
        <v>822.41582999999991</v>
      </c>
      <c r="AD51" s="44">
        <v>822.41582999999991</v>
      </c>
      <c r="AE51" s="45">
        <v>822.41582999999991</v>
      </c>
      <c r="AF51" s="46">
        <v>822.41582999999991</v>
      </c>
      <c r="AG51" s="46">
        <v>822.41582999999991</v>
      </c>
      <c r="AH51" s="46">
        <v>822.41582999999991</v>
      </c>
      <c r="AI51" s="46">
        <v>822.41582999999991</v>
      </c>
      <c r="AJ51" s="46">
        <v>822.41582999999991</v>
      </c>
      <c r="AK51" s="46">
        <v>822.41582999999991</v>
      </c>
      <c r="AL51" s="46">
        <v>822.41582999999991</v>
      </c>
      <c r="AM51" s="46">
        <v>822.41582999999991</v>
      </c>
      <c r="AN51" s="46">
        <v>822.41582999999991</v>
      </c>
      <c r="AO51" s="46">
        <v>822.41582999999991</v>
      </c>
      <c r="AP51" s="44">
        <v>822.41582999999991</v>
      </c>
      <c r="AQ51" s="2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24"/>
      <c r="BC51" s="22"/>
    </row>
    <row r="52" spans="5:55" ht="16.5">
      <c r="E52" s="29" t="s">
        <v>57</v>
      </c>
      <c r="F52" s="29" t="s">
        <v>84</v>
      </c>
      <c r="G52" s="23">
        <v>11153.444149999999</v>
      </c>
      <c r="H52" s="3">
        <v>11194.113170000001</v>
      </c>
      <c r="I52" s="3">
        <v>11200.139889999999</v>
      </c>
      <c r="J52" s="3">
        <v>11225.488149999999</v>
      </c>
      <c r="K52" s="3">
        <v>11197.4419</v>
      </c>
      <c r="L52" s="3">
        <v>11202.065450000002</v>
      </c>
      <c r="M52" s="3">
        <v>11203.516089999999</v>
      </c>
      <c r="N52" s="3">
        <v>11212.44666</v>
      </c>
      <c r="O52" s="3">
        <v>11227.662119999999</v>
      </c>
      <c r="P52" s="3">
        <v>11218.143</v>
      </c>
      <c r="Q52" s="3">
        <v>0.70019999999931315</v>
      </c>
      <c r="R52" s="24">
        <v>0.68930000000000291</v>
      </c>
      <c r="S52" s="3">
        <v>0.6868800000011106</v>
      </c>
      <c r="T52" s="3">
        <v>0.68839000000116357</v>
      </c>
      <c r="U52" s="3">
        <v>0.71600000000034925</v>
      </c>
      <c r="V52" s="3">
        <v>0.75215000000025611</v>
      </c>
      <c r="W52" s="3">
        <v>0.75114000000030501</v>
      </c>
      <c r="X52" s="3">
        <v>0.77578999999968801</v>
      </c>
      <c r="Y52" s="3">
        <v>0.75684000000001106</v>
      </c>
      <c r="Z52" s="3">
        <v>0.77355999999963387</v>
      </c>
      <c r="AA52" s="3">
        <v>0.77769000000080268</v>
      </c>
      <c r="AB52" s="3">
        <v>0.76629999999931897</v>
      </c>
      <c r="AC52" s="24">
        <v>0.76778000002104818</v>
      </c>
      <c r="AD52" s="24">
        <v>0.76778000002104818</v>
      </c>
      <c r="AE52" s="23">
        <v>0.76778000002104818</v>
      </c>
      <c r="AF52" s="3">
        <v>0.76778000002104818</v>
      </c>
      <c r="AG52" s="3">
        <v>0.76778000002104818</v>
      </c>
      <c r="AH52" s="3">
        <v>0.76778000002104818</v>
      </c>
      <c r="AI52" s="3">
        <v>0.76778000002104818</v>
      </c>
      <c r="AJ52" s="3">
        <v>0.76778000002104818</v>
      </c>
      <c r="AK52" s="3">
        <v>0.76778000002104818</v>
      </c>
      <c r="AL52" s="3">
        <v>0.76778000002104818</v>
      </c>
      <c r="AM52" s="3">
        <v>0.76778000002104818</v>
      </c>
      <c r="AN52" s="3">
        <v>0.76778000002104818</v>
      </c>
      <c r="AO52" s="3">
        <v>0.76778000002104818</v>
      </c>
      <c r="AP52" s="24">
        <v>0.76778000002104818</v>
      </c>
      <c r="AQ52" s="2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4"/>
      <c r="BC52" s="22"/>
    </row>
    <row r="53" spans="5:55" ht="16.5">
      <c r="E53" s="25" t="s">
        <v>58</v>
      </c>
      <c r="F53" s="25" t="s">
        <v>86</v>
      </c>
      <c r="G53" s="47">
        <v>218.27576000000002</v>
      </c>
      <c r="H53" s="48">
        <v>199.12335999999999</v>
      </c>
      <c r="I53" s="48">
        <v>179.81124</v>
      </c>
      <c r="J53" s="48">
        <v>160.33807999999999</v>
      </c>
      <c r="K53" s="48">
        <v>140.70251999999999</v>
      </c>
      <c r="L53" s="48">
        <v>120.90321</v>
      </c>
      <c r="M53" s="48">
        <v>100.93879</v>
      </c>
      <c r="N53" s="48">
        <v>80.80789</v>
      </c>
      <c r="O53" s="48">
        <v>60.50911</v>
      </c>
      <c r="P53" s="48">
        <v>40.041050000000006</v>
      </c>
      <c r="Q53" s="48">
        <v>19.4023</v>
      </c>
      <c r="R53" s="49">
        <v>283.07646999999997</v>
      </c>
      <c r="S53" s="48">
        <v>286.30716999999999</v>
      </c>
      <c r="T53" s="32">
        <v>289.56466999999998</v>
      </c>
      <c r="U53" s="32">
        <v>216.92142999999999</v>
      </c>
      <c r="V53" s="32">
        <v>295.55263000000002</v>
      </c>
      <c r="W53" s="32">
        <v>298.28122999999999</v>
      </c>
      <c r="X53" s="32">
        <v>301.03519</v>
      </c>
      <c r="Y53" s="32">
        <v>303.81473</v>
      </c>
      <c r="Z53" s="32">
        <v>306.62008000000003</v>
      </c>
      <c r="AA53" s="32">
        <v>309.45146</v>
      </c>
      <c r="AB53" s="32">
        <v>312.3091</v>
      </c>
      <c r="AC53" s="33">
        <v>315.19322999999997</v>
      </c>
      <c r="AD53" s="33">
        <v>318.19322999999997</v>
      </c>
      <c r="AE53" s="31">
        <v>321.19322999999997</v>
      </c>
      <c r="AF53" s="32">
        <v>324.19322999999997</v>
      </c>
      <c r="AG53" s="32">
        <v>327.19322999999997</v>
      </c>
      <c r="AH53" s="32">
        <v>330.19322999999997</v>
      </c>
      <c r="AI53" s="32">
        <v>333.19322999999997</v>
      </c>
      <c r="AJ53" s="32">
        <v>336.19322999999997</v>
      </c>
      <c r="AK53" s="32">
        <v>339.19322999999997</v>
      </c>
      <c r="AL53" s="32">
        <v>342.19322999999997</v>
      </c>
      <c r="AM53" s="32">
        <v>345.19322999999997</v>
      </c>
      <c r="AN53" s="32">
        <v>348.19322999999997</v>
      </c>
      <c r="AO53" s="32">
        <v>351.19322999999997</v>
      </c>
      <c r="AP53" s="33">
        <v>354.19322999999997</v>
      </c>
      <c r="AQ53" s="2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24"/>
      <c r="BC53" s="22"/>
    </row>
    <row r="54" spans="5:55" ht="16.5">
      <c r="E54" s="34" t="s">
        <v>59</v>
      </c>
      <c r="F54" s="34"/>
      <c r="G54" s="35">
        <v>13621.13416</v>
      </c>
      <c r="H54" s="36">
        <v>13438.14273</v>
      </c>
      <c r="I54" s="36">
        <v>13014.271149999997</v>
      </c>
      <c r="J54" s="36">
        <v>13017.913189999999</v>
      </c>
      <c r="K54" s="36">
        <v>13076.879280000001</v>
      </c>
      <c r="L54" s="36">
        <v>14243.982310000003</v>
      </c>
      <c r="M54" s="36">
        <v>14387.87204</v>
      </c>
      <c r="N54" s="36">
        <v>14029.7703</v>
      </c>
      <c r="O54" s="36">
        <v>13808.716709999999</v>
      </c>
      <c r="P54" s="36">
        <v>14549.38679</v>
      </c>
      <c r="Q54" s="36">
        <v>4485.4411399999999</v>
      </c>
      <c r="R54" s="37">
        <v>5967.6511200000004</v>
      </c>
      <c r="S54" s="36">
        <v>4612.2238300000008</v>
      </c>
      <c r="T54" s="36">
        <v>4948.4610000000011</v>
      </c>
      <c r="U54" s="36">
        <v>3313.5007299999997</v>
      </c>
      <c r="V54" s="36">
        <v>3437.7340600000007</v>
      </c>
      <c r="W54" s="36">
        <v>3729.7236500000013</v>
      </c>
      <c r="X54" s="36">
        <v>3545.3260599999999</v>
      </c>
      <c r="Y54" s="36">
        <v>5188.9963100000004</v>
      </c>
      <c r="Z54" s="36">
        <v>4031.2689799999994</v>
      </c>
      <c r="AA54" s="36">
        <v>3782.1632000000009</v>
      </c>
      <c r="AB54" s="36">
        <v>2863.7700699999991</v>
      </c>
      <c r="AC54" s="37">
        <v>2980.9604000000209</v>
      </c>
      <c r="AD54" s="37">
        <v>3533.8064262585449</v>
      </c>
      <c r="AE54" s="35">
        <v>1781.6959932962504</v>
      </c>
      <c r="AF54" s="36">
        <v>1784.6959932962504</v>
      </c>
      <c r="AG54" s="36">
        <v>1787.6959932962504</v>
      </c>
      <c r="AH54" s="36">
        <v>1790.6959932962504</v>
      </c>
      <c r="AI54" s="36">
        <v>1793.6959932962504</v>
      </c>
      <c r="AJ54" s="36">
        <v>1796.6959932962504</v>
      </c>
      <c r="AK54" s="36">
        <v>1799.6959932962504</v>
      </c>
      <c r="AL54" s="36">
        <v>1802.6959932962504</v>
      </c>
      <c r="AM54" s="36">
        <v>1805.6959932962504</v>
      </c>
      <c r="AN54" s="36">
        <v>1808.6959932962504</v>
      </c>
      <c r="AO54" s="36">
        <v>1811.6959932962504</v>
      </c>
      <c r="AP54" s="37">
        <v>1814.6959932962504</v>
      </c>
      <c r="AQ54" s="2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24"/>
      <c r="BC54" s="22"/>
    </row>
    <row r="55" spans="5:55" ht="16.5">
      <c r="E55" s="29"/>
      <c r="F55" s="29"/>
      <c r="G55" s="23"/>
      <c r="H55" s="3"/>
      <c r="I55" s="3"/>
      <c r="J55" s="3"/>
      <c r="K55" s="3"/>
      <c r="L55" s="3"/>
      <c r="M55" s="3"/>
      <c r="N55" s="3"/>
      <c r="O55" s="3"/>
      <c r="P55" s="3"/>
      <c r="Q55" s="3"/>
      <c r="R55" s="24"/>
      <c r="S55" s="3"/>
      <c r="T55" s="3"/>
      <c r="U55" s="3"/>
      <c r="V55" s="3"/>
      <c r="W55" s="3"/>
      <c r="X55" s="3"/>
      <c r="Y55" s="3"/>
      <c r="Z55" s="3"/>
      <c r="AA55" s="3"/>
      <c r="AB55" s="3"/>
      <c r="AC55" s="24"/>
      <c r="AD55" s="24"/>
      <c r="AE55" s="2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24"/>
      <c r="AQ55" s="2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24"/>
      <c r="BC55" s="22"/>
    </row>
    <row r="56" spans="5:55" ht="16.5">
      <c r="E56" s="6" t="s">
        <v>60</v>
      </c>
      <c r="F56" s="6"/>
      <c r="G56" s="23"/>
      <c r="H56" s="3"/>
      <c r="I56" s="3"/>
      <c r="J56" s="3"/>
      <c r="K56" s="3"/>
      <c r="L56" s="3"/>
      <c r="M56" s="3"/>
      <c r="N56" s="3"/>
      <c r="O56" s="3"/>
      <c r="P56" s="3"/>
      <c r="Q56" s="3"/>
      <c r="R56" s="44"/>
      <c r="S56" s="3"/>
      <c r="T56" s="3"/>
      <c r="U56" s="3"/>
      <c r="V56" s="3"/>
      <c r="W56" s="3"/>
      <c r="X56" s="3"/>
      <c r="Y56" s="3"/>
      <c r="Z56" s="3"/>
      <c r="AA56" s="3"/>
      <c r="AB56" s="3"/>
      <c r="AC56" s="24"/>
      <c r="AD56" s="24"/>
      <c r="AE56" s="2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24"/>
      <c r="AQ56" s="2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24"/>
      <c r="BC56" s="22"/>
    </row>
    <row r="57" spans="5:55" ht="16.5">
      <c r="E57" s="25" t="s">
        <v>61</v>
      </c>
      <c r="F57" s="25" t="s">
        <v>87</v>
      </c>
      <c r="G57" s="27">
        <v>6671.5609899999999</v>
      </c>
      <c r="H57" s="26">
        <v>6695.3171500000008</v>
      </c>
      <c r="I57" s="26">
        <v>6720.7116599999999</v>
      </c>
      <c r="J57" s="26">
        <v>6745.2870000000003</v>
      </c>
      <c r="K57" s="26">
        <v>6770.6815099999994</v>
      </c>
      <c r="L57" s="26">
        <v>6795.2568499999998</v>
      </c>
      <c r="M57" s="26">
        <v>7821.6595800000005</v>
      </c>
      <c r="N57" s="26">
        <v>7850.9609400000008</v>
      </c>
      <c r="O57" s="26">
        <v>7879.3170999999993</v>
      </c>
      <c r="P57" s="26">
        <v>7908.6184599999997</v>
      </c>
      <c r="Q57" s="26">
        <v>7936.97462</v>
      </c>
      <c r="R57" s="28">
        <v>10500</v>
      </c>
      <c r="S57" s="26">
        <v>11012.212960000001</v>
      </c>
      <c r="T57" s="3">
        <v>11049.265009999999</v>
      </c>
      <c r="U57" s="3">
        <v>13593.75267</v>
      </c>
      <c r="V57" s="3">
        <v>13642.903350000001</v>
      </c>
      <c r="W57" s="3">
        <v>13693.69238</v>
      </c>
      <c r="X57" s="3">
        <v>13742.843060000001</v>
      </c>
      <c r="Y57" s="3">
        <v>15799.177300000001</v>
      </c>
      <c r="Z57" s="3">
        <v>17864.83756</v>
      </c>
      <c r="AA57" s="3">
        <v>17929.111519999999</v>
      </c>
      <c r="AB57" s="3">
        <v>21006.870420000003</v>
      </c>
      <c r="AC57" s="24">
        <v>21082.486850000001</v>
      </c>
      <c r="AD57" s="24">
        <v>21082.486850000001</v>
      </c>
      <c r="AE57" s="23">
        <v>21082.486850000001</v>
      </c>
      <c r="AF57" s="3">
        <v>21082.486850000001</v>
      </c>
      <c r="AG57" s="3">
        <v>21082.486850000001</v>
      </c>
      <c r="AH57" s="3">
        <v>21082.486850000001</v>
      </c>
      <c r="AI57" s="3">
        <v>21082.486850000001</v>
      </c>
      <c r="AJ57" s="3">
        <v>21082.486850000001</v>
      </c>
      <c r="AK57" s="3">
        <v>21082.486850000001</v>
      </c>
      <c r="AL57" s="3">
        <v>21082.486850000001</v>
      </c>
      <c r="AM57" s="3">
        <v>21082.486850000001</v>
      </c>
      <c r="AN57" s="3">
        <v>21082.486850000001</v>
      </c>
      <c r="AO57" s="3">
        <v>21082.486850000001</v>
      </c>
      <c r="AP57" s="24">
        <v>21082.486850000001</v>
      </c>
      <c r="AQ57" s="2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24"/>
      <c r="BC57" s="22"/>
    </row>
    <row r="58" spans="5:55" ht="16.5">
      <c r="E58" s="29" t="s">
        <v>62</v>
      </c>
      <c r="F58" s="29" t="s">
        <v>89</v>
      </c>
      <c r="G58" s="2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24"/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24">
        <v>0</v>
      </c>
      <c r="AD58" s="24">
        <v>0</v>
      </c>
      <c r="AE58" s="2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24">
        <v>0</v>
      </c>
      <c r="AQ58" s="2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24"/>
      <c r="BC58" s="22"/>
    </row>
    <row r="59" spans="5:55" ht="16.5">
      <c r="E59" s="29" t="s">
        <v>63</v>
      </c>
      <c r="F59" s="29" t="s">
        <v>91</v>
      </c>
      <c r="G59" s="23">
        <v>692.13351</v>
      </c>
      <c r="H59" s="3">
        <v>635.22343000000001</v>
      </c>
      <c r="I59" s="3">
        <v>578.31335000000001</v>
      </c>
      <c r="J59" s="3">
        <v>669.04890999999998</v>
      </c>
      <c r="K59" s="3">
        <v>613.50101000000006</v>
      </c>
      <c r="L59" s="3">
        <v>557.95311000000004</v>
      </c>
      <c r="M59" s="3">
        <v>677.08663999999999</v>
      </c>
      <c r="N59" s="3">
        <v>573.47894999999994</v>
      </c>
      <c r="O59" s="3">
        <v>481.73149000000001</v>
      </c>
      <c r="P59" s="3">
        <v>565.67565000000002</v>
      </c>
      <c r="Q59" s="3">
        <v>504.36869999999999</v>
      </c>
      <c r="R59" s="24">
        <v>443.06175000000002</v>
      </c>
      <c r="S59" s="3">
        <v>873.21583999999996</v>
      </c>
      <c r="T59" s="3">
        <v>826.9753199999999</v>
      </c>
      <c r="U59" s="3">
        <v>840.48215000000005</v>
      </c>
      <c r="V59" s="3">
        <v>895.51469999999995</v>
      </c>
      <c r="W59" s="3">
        <v>844.19614999999999</v>
      </c>
      <c r="X59" s="3">
        <v>792.87760000000003</v>
      </c>
      <c r="Y59" s="3">
        <v>822.78931999999998</v>
      </c>
      <c r="Z59" s="3">
        <v>770.72106999999994</v>
      </c>
      <c r="AA59" s="3">
        <v>718.65281999999991</v>
      </c>
      <c r="AB59" s="3">
        <v>772.55825000000004</v>
      </c>
      <c r="AC59" s="24">
        <v>720.48182999999995</v>
      </c>
      <c r="AD59" s="24">
        <v>668.86318499999993</v>
      </c>
      <c r="AE59" s="23">
        <v>621.86318499999993</v>
      </c>
      <c r="AF59" s="3">
        <v>574.86318499999993</v>
      </c>
      <c r="AG59" s="3">
        <v>482.86318499999993</v>
      </c>
      <c r="AH59" s="3">
        <v>435.86318499999993</v>
      </c>
      <c r="AI59" s="3">
        <v>388.86318499999993</v>
      </c>
      <c r="AJ59" s="3">
        <v>296.86318499999993</v>
      </c>
      <c r="AK59" s="3">
        <v>249.86318499999993</v>
      </c>
      <c r="AL59" s="3">
        <v>202.86318499999993</v>
      </c>
      <c r="AM59" s="3">
        <v>110.86318499999993</v>
      </c>
      <c r="AN59" s="3">
        <v>63.86318499999993</v>
      </c>
      <c r="AO59" s="3">
        <v>16.86318499999993</v>
      </c>
      <c r="AP59" s="24">
        <v>-75.13681500000007</v>
      </c>
      <c r="AQ59" s="2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24"/>
      <c r="BC59" s="22"/>
    </row>
    <row r="60" spans="5:55" ht="16.5">
      <c r="E60" s="25" t="s">
        <v>64</v>
      </c>
      <c r="F60" s="63" t="s">
        <v>86</v>
      </c>
      <c r="G60" s="47">
        <v>1013.73252</v>
      </c>
      <c r="H60" s="48">
        <v>1013.15592</v>
      </c>
      <c r="I60" s="48">
        <v>1012.5771099999999</v>
      </c>
      <c r="J60" s="48">
        <v>1011.99608</v>
      </c>
      <c r="K60" s="48">
        <v>1011.41283</v>
      </c>
      <c r="L60" s="48">
        <v>1010.8273399999999</v>
      </c>
      <c r="M60" s="48">
        <v>1010.23961</v>
      </c>
      <c r="N60" s="48">
        <v>1009.64962</v>
      </c>
      <c r="O60" s="48">
        <v>1009.05737</v>
      </c>
      <c r="P60" s="48">
        <v>1008.46285</v>
      </c>
      <c r="Q60" s="48">
        <v>1007.8660500000001</v>
      </c>
      <c r="R60" s="49">
        <v>721.90483999999992</v>
      </c>
      <c r="S60" s="48">
        <v>696.20394999999996</v>
      </c>
      <c r="T60" s="32">
        <v>670.29158999999993</v>
      </c>
      <c r="U60" s="32">
        <v>710.12023999999997</v>
      </c>
      <c r="V60" s="32">
        <v>608.46024</v>
      </c>
      <c r="W60" s="32">
        <v>582.5135600000001</v>
      </c>
      <c r="X60" s="32">
        <v>556.35066000000006</v>
      </c>
      <c r="Y60" s="32">
        <v>529.96974</v>
      </c>
      <c r="Z60" s="32">
        <v>503.36896999999999</v>
      </c>
      <c r="AA60" s="32">
        <v>476.54653000000002</v>
      </c>
      <c r="AB60" s="32">
        <v>449.50056999999998</v>
      </c>
      <c r="AC60" s="33">
        <v>422.22922999999997</v>
      </c>
      <c r="AD60" s="33">
        <v>396.22922999999997</v>
      </c>
      <c r="AE60" s="31">
        <v>370.22922999999997</v>
      </c>
      <c r="AF60" s="32">
        <v>344.22922999999997</v>
      </c>
      <c r="AG60" s="32">
        <v>318.22922999999997</v>
      </c>
      <c r="AH60" s="32">
        <v>292.22922999999997</v>
      </c>
      <c r="AI60" s="32">
        <v>266.22922999999997</v>
      </c>
      <c r="AJ60" s="32">
        <v>240.22922999999997</v>
      </c>
      <c r="AK60" s="32">
        <v>214.22922999999997</v>
      </c>
      <c r="AL60" s="32">
        <v>188.22922999999997</v>
      </c>
      <c r="AM60" s="32">
        <v>162.22922999999997</v>
      </c>
      <c r="AN60" s="32">
        <v>136.22922999999997</v>
      </c>
      <c r="AO60" s="32">
        <v>110.22922999999997</v>
      </c>
      <c r="AP60" s="33">
        <v>84.229229999999973</v>
      </c>
      <c r="AQ60" s="2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24"/>
      <c r="BC60" s="22"/>
    </row>
    <row r="61" spans="5:55" ht="16.5">
      <c r="E61" s="34" t="s">
        <v>65</v>
      </c>
      <c r="F61" s="34"/>
      <c r="G61" s="35">
        <v>8377.4270199999992</v>
      </c>
      <c r="H61" s="36">
        <v>8343.6965</v>
      </c>
      <c r="I61" s="36">
        <v>8311.6021199999996</v>
      </c>
      <c r="J61" s="36">
        <v>8426.3319900000006</v>
      </c>
      <c r="K61" s="36">
        <v>8395.5953499999996</v>
      </c>
      <c r="L61" s="36">
        <v>8364.0373</v>
      </c>
      <c r="M61" s="36">
        <v>9508.9858300000014</v>
      </c>
      <c r="N61" s="36">
        <v>9434.0895100000016</v>
      </c>
      <c r="O61" s="36">
        <v>9370.105959999999</v>
      </c>
      <c r="P61" s="36">
        <v>9482.7569599999988</v>
      </c>
      <c r="Q61" s="36">
        <v>9449.2093700000005</v>
      </c>
      <c r="R61" s="37">
        <v>11664.96659</v>
      </c>
      <c r="S61" s="36">
        <v>12581.632750000001</v>
      </c>
      <c r="T61" s="36">
        <v>12546.531919999999</v>
      </c>
      <c r="U61" s="36">
        <v>15144.35506</v>
      </c>
      <c r="V61" s="36">
        <v>15146.878290000001</v>
      </c>
      <c r="W61" s="36">
        <v>15120.40209</v>
      </c>
      <c r="X61" s="36">
        <v>15092.071320000001</v>
      </c>
      <c r="Y61" s="36">
        <v>17151.936360000003</v>
      </c>
      <c r="Z61" s="36">
        <v>19138.927599999999</v>
      </c>
      <c r="AA61" s="36">
        <v>19124.310869999998</v>
      </c>
      <c r="AB61" s="36">
        <v>22228.929240000001</v>
      </c>
      <c r="AC61" s="37">
        <v>22225.197910000003</v>
      </c>
      <c r="AD61" s="37">
        <v>22147.579265</v>
      </c>
      <c r="AE61" s="35">
        <v>22074.579265</v>
      </c>
      <c r="AF61" s="36">
        <v>22001.579265</v>
      </c>
      <c r="AG61" s="36">
        <v>21883.579265</v>
      </c>
      <c r="AH61" s="36">
        <v>21810.579265</v>
      </c>
      <c r="AI61" s="36">
        <v>21737.579265</v>
      </c>
      <c r="AJ61" s="36">
        <v>21619.579265</v>
      </c>
      <c r="AK61" s="36">
        <v>21546.579265</v>
      </c>
      <c r="AL61" s="36">
        <v>21473.579265</v>
      </c>
      <c r="AM61" s="36">
        <v>21355.579265</v>
      </c>
      <c r="AN61" s="36">
        <v>21282.579265</v>
      </c>
      <c r="AO61" s="36">
        <v>21209.579265</v>
      </c>
      <c r="AP61" s="37">
        <v>21091.579265</v>
      </c>
      <c r="AQ61" s="2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24"/>
      <c r="BC61" s="22"/>
    </row>
    <row r="62" spans="5:55" ht="16.5">
      <c r="E62" s="29"/>
      <c r="F62" s="29"/>
      <c r="G62" s="23"/>
      <c r="H62" s="3"/>
      <c r="I62" s="3"/>
      <c r="J62" s="3"/>
      <c r="K62" s="3"/>
      <c r="L62" s="3"/>
      <c r="M62" s="3"/>
      <c r="N62" s="3"/>
      <c r="O62" s="3"/>
      <c r="P62" s="3"/>
      <c r="Q62" s="3"/>
      <c r="R62" s="24"/>
      <c r="S62" s="3"/>
      <c r="T62" s="3"/>
      <c r="U62" s="3"/>
      <c r="V62" s="3"/>
      <c r="W62" s="3"/>
      <c r="X62" s="3"/>
      <c r="Y62" s="3"/>
      <c r="Z62" s="3"/>
      <c r="AA62" s="3"/>
      <c r="AB62" s="3"/>
      <c r="AC62" s="24"/>
      <c r="AD62" s="24"/>
      <c r="AE62" s="2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24"/>
      <c r="AQ62" s="2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24"/>
      <c r="BC62" s="22"/>
    </row>
    <row r="63" spans="5:55" ht="16.5">
      <c r="E63" s="6" t="s">
        <v>66</v>
      </c>
      <c r="F63" s="6"/>
      <c r="G63" s="23"/>
      <c r="H63" s="3"/>
      <c r="I63" s="3"/>
      <c r="J63" s="3"/>
      <c r="K63" s="3"/>
      <c r="L63" s="3"/>
      <c r="M63" s="3"/>
      <c r="N63" s="3"/>
      <c r="O63" s="3"/>
      <c r="P63" s="3"/>
      <c r="Q63" s="3"/>
      <c r="R63" s="24"/>
      <c r="S63" s="3"/>
      <c r="T63" s="3"/>
      <c r="U63" s="3"/>
      <c r="V63" s="3"/>
      <c r="W63" s="3"/>
      <c r="X63" s="3"/>
      <c r="Y63" s="3"/>
      <c r="Z63" s="3"/>
      <c r="AA63" s="3"/>
      <c r="AB63" s="3"/>
      <c r="AC63" s="24"/>
      <c r="AD63" s="24"/>
      <c r="AE63" s="2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24"/>
      <c r="AQ63" s="2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24"/>
      <c r="BC63" s="22"/>
    </row>
    <row r="64" spans="5:55" ht="16.5">
      <c r="E64" s="29" t="s">
        <v>67</v>
      </c>
      <c r="F64" s="29" t="s">
        <v>93</v>
      </c>
      <c r="G64" s="23">
        <v>60672.168100000003</v>
      </c>
      <c r="H64" s="3">
        <v>60672.168100000003</v>
      </c>
      <c r="I64" s="3">
        <v>60672.168100000003</v>
      </c>
      <c r="J64" s="3">
        <v>60672.168100000003</v>
      </c>
      <c r="K64" s="3">
        <v>60672.168100000003</v>
      </c>
      <c r="L64" s="3">
        <v>60672.168100000003</v>
      </c>
      <c r="M64" s="3">
        <v>60672.168100000003</v>
      </c>
      <c r="N64" s="3">
        <v>60672.168100000003</v>
      </c>
      <c r="O64" s="3">
        <v>60672.168100000003</v>
      </c>
      <c r="P64" s="3">
        <v>60672.168100000003</v>
      </c>
      <c r="Q64" s="26">
        <v>60672.168100000003</v>
      </c>
      <c r="R64" s="24">
        <v>60672.168100000003</v>
      </c>
      <c r="S64" s="3">
        <v>60672.168100000003</v>
      </c>
      <c r="T64" s="3">
        <v>60672.168100000003</v>
      </c>
      <c r="U64" s="3">
        <v>60672.168100000003</v>
      </c>
      <c r="V64" s="3">
        <v>60672.168100000003</v>
      </c>
      <c r="W64" s="3">
        <v>60672.168100000003</v>
      </c>
      <c r="X64" s="3">
        <v>60672.168100000003</v>
      </c>
      <c r="Y64" s="3">
        <v>60672.168100000003</v>
      </c>
      <c r="Z64" s="3">
        <v>60672.168100000003</v>
      </c>
      <c r="AA64" s="3">
        <v>60672.168100000003</v>
      </c>
      <c r="AB64" s="3">
        <v>60672.168100000003</v>
      </c>
      <c r="AC64" s="24">
        <v>60672.168100000003</v>
      </c>
      <c r="AD64" s="24">
        <v>60672.168100000003</v>
      </c>
      <c r="AE64" s="23">
        <v>60672.168100000003</v>
      </c>
      <c r="AF64" s="3">
        <v>60672.168100000003</v>
      </c>
      <c r="AG64" s="3">
        <v>60672.168100000003</v>
      </c>
      <c r="AH64" s="3">
        <v>60672.168100000003</v>
      </c>
      <c r="AI64" s="3">
        <v>60672.168100000003</v>
      </c>
      <c r="AJ64" s="3">
        <v>60672.168100000003</v>
      </c>
      <c r="AK64" s="3">
        <v>60672.168100000003</v>
      </c>
      <c r="AL64" s="3">
        <v>60672.168100000003</v>
      </c>
      <c r="AM64" s="3">
        <v>60672.168100000003</v>
      </c>
      <c r="AN64" s="3">
        <v>60672.168100000003</v>
      </c>
      <c r="AO64" s="3">
        <v>60672.168100000003</v>
      </c>
      <c r="AP64" s="24">
        <v>60672.168100000003</v>
      </c>
      <c r="AQ64" s="2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24"/>
      <c r="BC64" s="22"/>
    </row>
    <row r="65" spans="3:70" ht="16.5">
      <c r="E65" s="25" t="s">
        <v>68</v>
      </c>
      <c r="F65" s="63" t="s">
        <v>94</v>
      </c>
      <c r="G65" s="47">
        <v>-9500.8727900000013</v>
      </c>
      <c r="H65" s="48">
        <v>-9376.375469999999</v>
      </c>
      <c r="I65" s="48">
        <v>-9016.159599999999</v>
      </c>
      <c r="J65" s="48">
        <v>-8809.9936400000006</v>
      </c>
      <c r="K65" s="48">
        <v>-8941.6555299999964</v>
      </c>
      <c r="L65" s="48">
        <v>-9039.9533899999988</v>
      </c>
      <c r="M65" s="48">
        <v>-10973.967069999997</v>
      </c>
      <c r="N65" s="48">
        <v>-11185.250480000004</v>
      </c>
      <c r="O65" s="48">
        <v>-11164.282420000001</v>
      </c>
      <c r="P65" s="48">
        <v>-11714.955409999999</v>
      </c>
      <c r="Q65" s="48">
        <v>-12116.548770000003</v>
      </c>
      <c r="R65" s="49">
        <v>-12453.393759999997</v>
      </c>
      <c r="S65" s="48">
        <v>-12853.484720000048</v>
      </c>
      <c r="T65" s="32">
        <v>-13266.536640000048</v>
      </c>
      <c r="U65" s="32">
        <v>-14264.493460000045</v>
      </c>
      <c r="V65" s="32">
        <v>-14686.886480000047</v>
      </c>
      <c r="W65" s="32">
        <v>-15020.400350000044</v>
      </c>
      <c r="X65" s="32">
        <v>-15833.784160000045</v>
      </c>
      <c r="Y65" s="32">
        <v>-17495.328740000048</v>
      </c>
      <c r="Z65" s="32">
        <v>-17878.444420000047</v>
      </c>
      <c r="AA65" s="32">
        <v>-17832.909490000042</v>
      </c>
      <c r="AB65" s="32">
        <v>-18595.148330000036</v>
      </c>
      <c r="AC65" s="33">
        <v>-19039.879030000051</v>
      </c>
      <c r="AD65" s="33">
        <v>-20023.49353744305</v>
      </c>
      <c r="AE65" s="31" t="e">
        <v>#REF!</v>
      </c>
      <c r="AF65" s="32" t="e">
        <v>#REF!</v>
      </c>
      <c r="AG65" s="32" t="e">
        <v>#REF!</v>
      </c>
      <c r="AH65" s="32" t="e">
        <v>#REF!</v>
      </c>
      <c r="AI65" s="32" t="e">
        <v>#REF!</v>
      </c>
      <c r="AJ65" s="32" t="e">
        <v>#REF!</v>
      </c>
      <c r="AK65" s="32" t="e">
        <v>#REF!</v>
      </c>
      <c r="AL65" s="32" t="e">
        <v>#REF!</v>
      </c>
      <c r="AM65" s="32" t="e">
        <v>#REF!</v>
      </c>
      <c r="AN65" s="32" t="e">
        <v>#REF!</v>
      </c>
      <c r="AO65" s="32" t="e">
        <v>#REF!</v>
      </c>
      <c r="AP65" s="33" t="e">
        <v>#REF!</v>
      </c>
      <c r="AQ65" s="2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24"/>
      <c r="BC65" s="22"/>
    </row>
    <row r="66" spans="3:70" ht="16.5">
      <c r="E66" s="34" t="s">
        <v>69</v>
      </c>
      <c r="F66" s="34"/>
      <c r="G66" s="35">
        <v>51171.295310000001</v>
      </c>
      <c r="H66" s="36">
        <v>51295.792630000004</v>
      </c>
      <c r="I66" s="36">
        <v>51656.008500000004</v>
      </c>
      <c r="J66" s="36">
        <v>51862.174460000002</v>
      </c>
      <c r="K66" s="36">
        <v>51730.512570000006</v>
      </c>
      <c r="L66" s="36">
        <v>51632.21471</v>
      </c>
      <c r="M66" s="36">
        <v>49698.201030000004</v>
      </c>
      <c r="N66" s="36">
        <v>49486.91762</v>
      </c>
      <c r="O66" s="36">
        <v>49507.885679999999</v>
      </c>
      <c r="P66" s="36">
        <v>48957.21269</v>
      </c>
      <c r="Q66" s="36">
        <v>48555.619330000001</v>
      </c>
      <c r="R66" s="37">
        <v>48218.774340000004</v>
      </c>
      <c r="S66" s="36">
        <v>47818.683379999959</v>
      </c>
      <c r="T66" s="36">
        <v>47405.631459999953</v>
      </c>
      <c r="U66" s="36">
        <v>46407.674639999954</v>
      </c>
      <c r="V66" s="36">
        <v>45985.281619999958</v>
      </c>
      <c r="W66" s="36">
        <v>45651.767749999955</v>
      </c>
      <c r="X66" s="36">
        <v>44838.383939999956</v>
      </c>
      <c r="Y66" s="36">
        <v>43176.839359999954</v>
      </c>
      <c r="Z66" s="36">
        <v>42793.723679999952</v>
      </c>
      <c r="AA66" s="36">
        <v>42839.258609999961</v>
      </c>
      <c r="AB66" s="36">
        <v>42077.01976999997</v>
      </c>
      <c r="AC66" s="37">
        <v>41632.289069999955</v>
      </c>
      <c r="AD66" s="37">
        <v>40648.674562556953</v>
      </c>
      <c r="AE66" s="35" t="e">
        <v>#REF!</v>
      </c>
      <c r="AF66" s="36" t="e">
        <v>#REF!</v>
      </c>
      <c r="AG66" s="36" t="e">
        <v>#REF!</v>
      </c>
      <c r="AH66" s="36" t="e">
        <v>#REF!</v>
      </c>
      <c r="AI66" s="36" t="e">
        <v>#REF!</v>
      </c>
      <c r="AJ66" s="36" t="e">
        <v>#REF!</v>
      </c>
      <c r="AK66" s="36" t="e">
        <v>#REF!</v>
      </c>
      <c r="AL66" s="36" t="e">
        <v>#REF!</v>
      </c>
      <c r="AM66" s="36" t="e">
        <v>#REF!</v>
      </c>
      <c r="AN66" s="36" t="e">
        <v>#REF!</v>
      </c>
      <c r="AO66" s="36" t="e">
        <v>#REF!</v>
      </c>
      <c r="AP66" s="37" t="e">
        <v>#REF!</v>
      </c>
      <c r="AQ66" s="2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24"/>
      <c r="BC66" s="22"/>
    </row>
    <row r="67" spans="3:70" ht="16.5">
      <c r="G67" s="23"/>
      <c r="H67" s="3"/>
      <c r="I67" s="3"/>
      <c r="J67" s="3"/>
      <c r="K67" s="3"/>
      <c r="L67" s="3"/>
      <c r="M67" s="3"/>
      <c r="N67" s="3"/>
      <c r="O67" s="3"/>
      <c r="P67" s="3"/>
      <c r="Q67" s="3"/>
      <c r="R67" s="24"/>
      <c r="S67" s="3"/>
      <c r="T67" s="3"/>
      <c r="U67" s="3"/>
      <c r="V67" s="3"/>
      <c r="W67" s="3"/>
      <c r="X67" s="3"/>
      <c r="Y67" s="3"/>
      <c r="Z67" s="3"/>
      <c r="AA67" s="3"/>
      <c r="AB67" s="3"/>
      <c r="AC67" s="24"/>
      <c r="AD67" s="24"/>
      <c r="AE67" s="2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24"/>
      <c r="AQ67" s="2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24"/>
      <c r="BC67" s="22"/>
    </row>
    <row r="68" spans="3:70" ht="16.5">
      <c r="E68" s="39" t="s">
        <v>70</v>
      </c>
      <c r="F68" s="39"/>
      <c r="G68" s="40">
        <v>73169.856490000006</v>
      </c>
      <c r="H68" s="41">
        <v>73077.631859999994</v>
      </c>
      <c r="I68" s="41">
        <v>72981.881770000007</v>
      </c>
      <c r="J68" s="41">
        <v>73306.419640000007</v>
      </c>
      <c r="K68" s="41">
        <v>73202.987200000003</v>
      </c>
      <c r="L68" s="41">
        <v>74240.234320000003</v>
      </c>
      <c r="M68" s="41">
        <v>73595.058900000004</v>
      </c>
      <c r="N68" s="41">
        <v>72950.777430000002</v>
      </c>
      <c r="O68" s="41">
        <v>72686.708350000001</v>
      </c>
      <c r="P68" s="41">
        <v>72989.356440000003</v>
      </c>
      <c r="Q68" s="41">
        <v>62490.269840000001</v>
      </c>
      <c r="R68" s="42">
        <v>65851.392049999995</v>
      </c>
      <c r="S68" s="41">
        <v>65012.539959999966</v>
      </c>
      <c r="T68" s="41">
        <v>64900.624379999957</v>
      </c>
      <c r="U68" s="41">
        <v>64865.530429999955</v>
      </c>
      <c r="V68" s="41">
        <v>64569.893969999961</v>
      </c>
      <c r="W68" s="41">
        <v>64501.893489999959</v>
      </c>
      <c r="X68" s="41">
        <v>63475.781319999958</v>
      </c>
      <c r="Y68" s="41">
        <v>65517.772029999964</v>
      </c>
      <c r="Z68" s="41">
        <v>65963.920259999941</v>
      </c>
      <c r="AA68" s="41">
        <v>65745.732679999957</v>
      </c>
      <c r="AB68" s="41">
        <v>67169.719079999966</v>
      </c>
      <c r="AC68" s="42">
        <v>66838.447379999983</v>
      </c>
      <c r="AD68" s="42">
        <v>66330.060253815493</v>
      </c>
      <c r="AE68" s="40" t="e">
        <v>#REF!</v>
      </c>
      <c r="AF68" s="41" t="e">
        <v>#REF!</v>
      </c>
      <c r="AG68" s="41" t="e">
        <v>#REF!</v>
      </c>
      <c r="AH68" s="41" t="e">
        <v>#REF!</v>
      </c>
      <c r="AI68" s="41" t="e">
        <v>#REF!</v>
      </c>
      <c r="AJ68" s="41" t="e">
        <v>#REF!</v>
      </c>
      <c r="AK68" s="41" t="e">
        <v>#REF!</v>
      </c>
      <c r="AL68" s="41" t="e">
        <v>#REF!</v>
      </c>
      <c r="AM68" s="41" t="e">
        <v>#REF!</v>
      </c>
      <c r="AN68" s="41" t="e">
        <v>#REF!</v>
      </c>
      <c r="AO68" s="41" t="e">
        <v>#REF!</v>
      </c>
      <c r="AP68" s="42" t="e">
        <v>#REF!</v>
      </c>
      <c r="AQ68" s="40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2"/>
      <c r="BC68" s="22"/>
    </row>
    <row r="69" spans="3:70" ht="16.5" outlineLevel="1">
      <c r="E69" s="51"/>
      <c r="F69" s="51"/>
      <c r="G69" s="52">
        <v>82608.677760000006</v>
      </c>
      <c r="H69" s="52">
        <v>82516.453129999994</v>
      </c>
      <c r="I69" s="52">
        <v>82420.703040000008</v>
      </c>
      <c r="J69" s="52">
        <v>82745.240910000008</v>
      </c>
      <c r="K69" s="52">
        <v>82641.808470000004</v>
      </c>
      <c r="L69" s="52">
        <v>83679.055590000004</v>
      </c>
      <c r="M69" s="52">
        <v>83033.880170000004</v>
      </c>
      <c r="N69" s="52">
        <v>82389.598700000002</v>
      </c>
      <c r="O69" s="52">
        <v>82125.529620000001</v>
      </c>
      <c r="P69" s="52">
        <v>82428.177710000004</v>
      </c>
      <c r="Q69" s="52">
        <v>71929.091110000008</v>
      </c>
      <c r="R69" s="52">
        <v>75290.213319999995</v>
      </c>
      <c r="S69" s="52">
        <v>77465.933720000015</v>
      </c>
      <c r="T69" s="52">
        <v>77354.01814</v>
      </c>
      <c r="U69" s="52">
        <v>77318.924190000005</v>
      </c>
      <c r="V69" s="52">
        <v>77023.287730000011</v>
      </c>
      <c r="W69" s="52">
        <v>76955.287250000008</v>
      </c>
      <c r="X69" s="52">
        <v>75929.175080000001</v>
      </c>
      <c r="Y69" s="52">
        <v>77971.165790000014</v>
      </c>
      <c r="Z69" s="52">
        <v>78417.314019999991</v>
      </c>
      <c r="AA69" s="52">
        <v>78199.126440000007</v>
      </c>
      <c r="AB69" s="52">
        <v>79623.112840000016</v>
      </c>
      <c r="AC69" s="52">
        <v>79291.841140000033</v>
      </c>
      <c r="AD69" s="52"/>
      <c r="AE69" s="52"/>
      <c r="AF69" s="53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3"/>
      <c r="AS69" s="52"/>
      <c r="AT69" s="52"/>
      <c r="AU69" s="52"/>
      <c r="AV69" s="52"/>
      <c r="AW69" s="52"/>
      <c r="AX69" s="52"/>
      <c r="AY69" s="52"/>
      <c r="AZ69" s="52"/>
      <c r="BA69" s="52"/>
      <c r="BB69" s="52"/>
    </row>
    <row r="70" spans="3:70" ht="16.5">
      <c r="G70" s="3">
        <f t="shared" ref="G70:AP70" si="13">G68-G44</f>
        <v>0</v>
      </c>
      <c r="H70" s="3">
        <f t="shared" si="13"/>
        <v>0</v>
      </c>
      <c r="I70" s="3">
        <f t="shared" si="13"/>
        <v>0</v>
      </c>
      <c r="J70" s="3">
        <f t="shared" si="13"/>
        <v>0</v>
      </c>
      <c r="K70" s="3">
        <f t="shared" si="13"/>
        <v>0</v>
      </c>
      <c r="L70" s="3">
        <f t="shared" si="13"/>
        <v>0</v>
      </c>
      <c r="M70" s="3">
        <f t="shared" si="13"/>
        <v>0</v>
      </c>
      <c r="N70" s="3">
        <f t="shared" si="13"/>
        <v>0</v>
      </c>
      <c r="O70" s="3">
        <f t="shared" si="13"/>
        <v>0</v>
      </c>
      <c r="P70" s="3">
        <f t="shared" si="13"/>
        <v>0</v>
      </c>
      <c r="Q70" s="3">
        <f t="shared" si="13"/>
        <v>0</v>
      </c>
      <c r="R70" s="3">
        <f t="shared" si="13"/>
        <v>0</v>
      </c>
      <c r="S70" s="3">
        <f t="shared" si="13"/>
        <v>0</v>
      </c>
      <c r="T70" s="3">
        <f t="shared" si="13"/>
        <v>0</v>
      </c>
      <c r="U70" s="3">
        <f t="shared" si="13"/>
        <v>0</v>
      </c>
      <c r="V70" s="3">
        <f t="shared" si="13"/>
        <v>0</v>
      </c>
      <c r="W70" s="3">
        <f t="shared" si="13"/>
        <v>0</v>
      </c>
      <c r="X70" s="3">
        <f t="shared" si="13"/>
        <v>0</v>
      </c>
      <c r="Y70" s="3">
        <f t="shared" si="13"/>
        <v>0</v>
      </c>
      <c r="Z70" s="3">
        <f t="shared" si="13"/>
        <v>0</v>
      </c>
      <c r="AA70" s="3">
        <f t="shared" si="13"/>
        <v>0</v>
      </c>
      <c r="AB70" s="3">
        <f t="shared" si="13"/>
        <v>0</v>
      </c>
      <c r="AC70" s="3">
        <f t="shared" si="13"/>
        <v>0</v>
      </c>
      <c r="AD70" s="3">
        <f t="shared" si="13"/>
        <v>0</v>
      </c>
      <c r="AE70" s="3" t="e">
        <f t="shared" si="13"/>
        <v>#REF!</v>
      </c>
      <c r="AF70" s="3" t="e">
        <f t="shared" si="13"/>
        <v>#REF!</v>
      </c>
      <c r="AG70" s="3" t="e">
        <f t="shared" si="13"/>
        <v>#REF!</v>
      </c>
      <c r="AH70" s="3" t="e">
        <f t="shared" si="13"/>
        <v>#REF!</v>
      </c>
      <c r="AI70" s="3" t="e">
        <f t="shared" si="13"/>
        <v>#REF!</v>
      </c>
      <c r="AJ70" s="3" t="e">
        <f t="shared" si="13"/>
        <v>#REF!</v>
      </c>
      <c r="AK70" s="3" t="e">
        <f t="shared" si="13"/>
        <v>#REF!</v>
      </c>
      <c r="AL70" s="3" t="e">
        <f t="shared" si="13"/>
        <v>#REF!</v>
      </c>
      <c r="AM70" s="3" t="e">
        <f t="shared" si="13"/>
        <v>#REF!</v>
      </c>
      <c r="AN70" s="3" t="e">
        <f t="shared" si="13"/>
        <v>#REF!</v>
      </c>
      <c r="AO70" s="3" t="e">
        <f t="shared" si="13"/>
        <v>#REF!</v>
      </c>
      <c r="AP70" s="3" t="e">
        <f t="shared" si="13"/>
        <v>#REF!</v>
      </c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3:70" ht="16.5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3:70" ht="16.5">
      <c r="E72" s="38"/>
      <c r="F72" s="38"/>
      <c r="AA72" s="3"/>
      <c r="AB72" s="3"/>
    </row>
    <row r="73" spans="3:70" ht="16.5">
      <c r="E73" s="5"/>
      <c r="F73" s="5"/>
      <c r="G73" s="3"/>
      <c r="H73" s="9"/>
      <c r="I73" s="3"/>
      <c r="J73" s="3"/>
      <c r="K73" s="3"/>
      <c r="L73" s="3"/>
      <c r="M73" s="3"/>
      <c r="N73" s="3"/>
      <c r="O73" s="3"/>
      <c r="P73" s="3"/>
      <c r="Q73" s="3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3"/>
      <c r="AK73" s="3"/>
      <c r="AL73" s="3"/>
      <c r="AM73" s="3"/>
      <c r="AN73" s="3"/>
      <c r="AO73" s="3"/>
      <c r="AP73" s="3"/>
      <c r="AQ73" s="3"/>
      <c r="AR73" s="9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2"/>
      <c r="BD73" s="2"/>
    </row>
    <row r="74" spans="3:70" ht="16.5">
      <c r="E74" s="54" t="s">
        <v>71</v>
      </c>
      <c r="F74" s="54"/>
      <c r="G74" s="3">
        <f>('[1]STO P&amp;L'!F54+'[1]STO P&amp;L'!F56+'[1]STO P&amp;L'!F63+'[1]STO P&amp;L'!F64+'[1]STO P&amp;L'!F65+'[1]STO P&amp;L'!F66+'[1]STO P&amp;L'!F67+'[1]STO P&amp;L'!F68)/1000</f>
        <v>1016.9591299999998</v>
      </c>
      <c r="H74" s="3">
        <f>('[1]STO P&amp;L'!G54+'[1]STO P&amp;L'!G56+'[1]STO P&amp;L'!G63+'[1]STO P&amp;L'!G64+'[1]STO P&amp;L'!G65+'[1]STO P&amp;L'!G66+'[1]STO P&amp;L'!G67+'[1]STO P&amp;L'!G68)/1000</f>
        <v>917.9372800000001</v>
      </c>
      <c r="I74" s="3">
        <f>('[1]STO P&amp;L'!H54+'[1]STO P&amp;L'!H56+'[1]STO P&amp;L'!H63+'[1]STO P&amp;L'!H64+'[1]STO P&amp;L'!H65+'[1]STO P&amp;L'!H66+'[1]STO P&amp;L'!H67+'[1]STO P&amp;L'!H68)/1000</f>
        <v>886.48622000000012</v>
      </c>
      <c r="J74" s="3">
        <f>('[1]STO P&amp;L'!I54+'[1]STO P&amp;L'!I56+'[1]STO P&amp;L'!I63+'[1]STO P&amp;L'!I64+'[1]STO P&amp;L'!I65+'[1]STO P&amp;L'!I66+'[1]STO P&amp;L'!I67+'[1]STO P&amp;L'!I68)/1000</f>
        <v>1146.2973200000001</v>
      </c>
      <c r="K74" s="3">
        <f>('[1]STO P&amp;L'!J54+'[1]STO P&amp;L'!J56+'[1]STO P&amp;L'!J63+'[1]STO P&amp;L'!J64+'[1]STO P&amp;L'!J65+'[1]STO P&amp;L'!J66+'[1]STO P&amp;L'!J67+'[1]STO P&amp;L'!J68)/1000</f>
        <v>1249.0513700000001</v>
      </c>
      <c r="L74" s="3">
        <f>('[1]STO P&amp;L'!K54+'[1]STO P&amp;L'!K56+'[1]STO P&amp;L'!K63+'[1]STO P&amp;L'!K64+'[1]STO P&amp;L'!K65+'[1]STO P&amp;L'!K66+'[1]STO P&amp;L'!K67+'[1]STO P&amp;L'!K68)/1000</f>
        <v>1083.7462700000001</v>
      </c>
      <c r="M74" s="3">
        <f>('[1]STO P&amp;L'!L54+'[1]STO P&amp;L'!L56+'[1]STO P&amp;L'!L63+'[1]STO P&amp;L'!L64+'[1]STO P&amp;L'!L65+'[1]STO P&amp;L'!L66+'[1]STO P&amp;L'!L67+'[1]STO P&amp;L'!L68)/1000</f>
        <v>1193.4762099999998</v>
      </c>
      <c r="N74" s="3">
        <f>('[1]STO P&amp;L'!M54+'[1]STO P&amp;L'!M56+'[1]STO P&amp;L'!M63+'[1]STO P&amp;L'!M64+'[1]STO P&amp;L'!M65+'[1]STO P&amp;L'!M66+'[1]STO P&amp;L'!M67+'[1]STO P&amp;L'!M68)/1000</f>
        <v>1169.0880900000002</v>
      </c>
      <c r="O74" s="3">
        <f>('[1]STO P&amp;L'!N54+'[1]STO P&amp;L'!N56+'[1]STO P&amp;L'!N63+'[1]STO P&amp;L'!N64+'[1]STO P&amp;L'!N65+'[1]STO P&amp;L'!N66+'[1]STO P&amp;L'!N67+'[1]STO P&amp;L'!N68)/1000</f>
        <v>1161.5504199999993</v>
      </c>
      <c r="P74" s="3">
        <f>('[1]STO P&amp;L'!O54+'[1]STO P&amp;L'!O56+'[1]STO P&amp;L'!O63+'[1]STO P&amp;L'!O64+'[1]STO P&amp;L'!O65+'[1]STO P&amp;L'!O66+'[1]STO P&amp;L'!O67+'[1]STO P&amp;L'!O68)/1000</f>
        <v>1218.0498399999997</v>
      </c>
      <c r="Q74" s="3">
        <f>('[1]STO P&amp;L'!P54+'[1]STO P&amp;L'!P56+'[1]STO P&amp;L'!P63+'[1]STO P&amp;L'!P64+'[1]STO P&amp;L'!P65+'[1]STO P&amp;L'!P66+'[1]STO P&amp;L'!P67+'[1]STO P&amp;L'!P68)/1000</f>
        <v>1278.7536900000002</v>
      </c>
      <c r="R74" s="3">
        <f>('[1]STO P&amp;L'!Q54+'[1]STO P&amp;L'!Q56+'[1]STO P&amp;L'!Q63+'[1]STO P&amp;L'!Q64+'[1]STO P&amp;L'!Q65+'[1]STO P&amp;L'!Q66+'[1]STO P&amp;L'!Q67+'[1]STO P&amp;L'!Q68)/1000</f>
        <v>1720.4301699999999</v>
      </c>
      <c r="S74" s="3">
        <f>('[1]STO P&amp;L'!R54+'[1]STO P&amp;L'!R56+'[1]STO P&amp;L'!R63+'[1]STO P&amp;L'!R64+'[1]STO P&amp;L'!R65+'[1]STO P&amp;L'!R66+'[1]STO P&amp;L'!R67+'[1]STO P&amp;L'!R68)/1000</f>
        <v>1106.89021</v>
      </c>
      <c r="T74" s="3">
        <f>('[1]STO P&amp;L'!S54+'[1]STO P&amp;L'!S56+'[1]STO P&amp;L'!S63+'[1]STO P&amp;L'!S64+'[1]STO P&amp;L'!S65+'[1]STO P&amp;L'!S66+'[1]STO P&amp;L'!S67+'[1]STO P&amp;L'!S68)/1000</f>
        <v>960.53782000000001</v>
      </c>
      <c r="U74" s="3">
        <f>('[1]STO P&amp;L'!T54+'[1]STO P&amp;L'!T56+'[1]STO P&amp;L'!T63+'[1]STO P&amp;L'!T64+'[1]STO P&amp;L'!T65+'[1]STO P&amp;L'!T66+'[1]STO P&amp;L'!T67+'[1]STO P&amp;L'!T68)/1000</f>
        <v>1278.8369</v>
      </c>
      <c r="V74" s="3">
        <f>('[1]STO P&amp;L'!U54+'[1]STO P&amp;L'!U56+'[1]STO P&amp;L'!U63+'[1]STO P&amp;L'!U64+'[1]STO P&amp;L'!U65+'[1]STO P&amp;L'!U66+'[1]STO P&amp;L'!U67+'[1]STO P&amp;L'!U68)/1000</f>
        <v>1150.00684</v>
      </c>
      <c r="W74" s="3">
        <f>('[1]STO P&amp;L'!V54+'[1]STO P&amp;L'!V56+'[1]STO P&amp;L'!V63+'[1]STO P&amp;L'!V64+'[1]STO P&amp;L'!V65+'[1]STO P&amp;L'!V66+'[1]STO P&amp;L'!V67+'[1]STO P&amp;L'!V68)/1000</f>
        <v>1135.08673</v>
      </c>
      <c r="X74" s="3">
        <f>('[1]STO P&amp;L'!W54+'[1]STO P&amp;L'!W56+'[1]STO P&amp;L'!W63+'[1]STO P&amp;L'!W64+'[1]STO P&amp;L'!W65+'[1]STO P&amp;L'!W66+'[1]STO P&amp;L'!W67+'[1]STO P&amp;L'!W68)/1000</f>
        <v>1195.9081699999999</v>
      </c>
      <c r="Y74" s="3">
        <f>('[1]STO P&amp;L'!X54+'[1]STO P&amp;L'!X56+'[1]STO P&amp;L'!X63+'[1]STO P&amp;L'!X64+'[1]STO P&amp;L'!X65+'[1]STO P&amp;L'!X66+'[1]STO P&amp;L'!X67+'[1]STO P&amp;L'!X68)/1000</f>
        <v>1194.8179300000002</v>
      </c>
      <c r="Z74" s="3">
        <f>('[1]STO P&amp;L'!Y54+'[1]STO P&amp;L'!Y56+'[1]STO P&amp;L'!Y63+'[1]STO P&amp;L'!Y64+'[1]STO P&amp;L'!Y65+'[1]STO P&amp;L'!Y66+'[1]STO P&amp;L'!Y67+'[1]STO P&amp;L'!Y68)/1000</f>
        <v>1132.1031600000001</v>
      </c>
      <c r="AA74" s="3">
        <f>('[1]STO P&amp;L'!Z54+'[1]STO P&amp;L'!Z56+'[1]STO P&amp;L'!Z63+'[1]STO P&amp;L'!Z64+'[1]STO P&amp;L'!Z65+'[1]STO P&amp;L'!Z66+'[1]STO P&amp;L'!Z67+'[1]STO P&amp;L'!Z68)/1000</f>
        <v>1256.20415</v>
      </c>
      <c r="AB74" s="3">
        <f>('[1]STO P&amp;L'!AA54+'[1]STO P&amp;L'!AA56+'[1]STO P&amp;L'!AA63+'[1]STO P&amp;L'!AA64+'[1]STO P&amp;L'!AA65+'[1]STO P&amp;L'!AA66+'[1]STO P&amp;L'!AA67+'[1]STO P&amp;L'!AA68)/1000</f>
        <v>1508.50387</v>
      </c>
      <c r="AC74" s="3">
        <f>('[1]STO P&amp;L'!AB54+'[1]STO P&amp;L'!AB56+'[1]STO P&amp;L'!AB63+'[1]STO P&amp;L'!AB64+'[1]STO P&amp;L'!AB65+'[1]STO P&amp;L'!AB66+'[1]STO P&amp;L'!AB67+'[1]STO P&amp;L'!AB68)/1000</f>
        <v>1380.7754500000001</v>
      </c>
      <c r="AD74" s="3">
        <f>('[1]STO P&amp;L'!AC54+'[1]STO P&amp;L'!AC56+'[1]STO P&amp;L'!AC63+'[1]STO P&amp;L'!AC64+'[1]STO P&amp;L'!AC65+'[1]STO P&amp;L'!AC66+'[1]STO P&amp;L'!AC67+'[1]STO P&amp;L'!AC68)/1000</f>
        <v>1755.1104329622945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2"/>
      <c r="BD74" s="2"/>
    </row>
    <row r="75" spans="3:70" s="2" customFormat="1" ht="16.5">
      <c r="C75" s="50"/>
      <c r="D75" s="50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55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</row>
    <row r="76" spans="3:70" s="2" customFormat="1" ht="16.5">
      <c r="C76" s="50"/>
      <c r="D76" s="50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55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</row>
    <row r="77" spans="3:70" s="2" customFormat="1" ht="16.5">
      <c r="C77" s="50"/>
      <c r="D77" s="50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7"/>
      <c r="S77" s="7"/>
      <c r="T77" s="7"/>
      <c r="U77" s="7"/>
      <c r="V77" s="7"/>
      <c r="W77" s="7"/>
      <c r="X77" s="7"/>
      <c r="Y77" s="7"/>
      <c r="Z77" s="7"/>
      <c r="AA77" s="16"/>
      <c r="AB77" s="16"/>
      <c r="AC77" s="7"/>
      <c r="AD77" s="55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</row>
    <row r="78" spans="3:70" s="2" customFormat="1" ht="16.5">
      <c r="C78" s="50"/>
      <c r="D78" s="50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7"/>
      <c r="AD78" s="55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</row>
    <row r="79" spans="3:70" s="2" customFormat="1" ht="16.5">
      <c r="C79" s="50"/>
      <c r="D79" s="50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7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7"/>
      <c r="AD79" s="55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</row>
    <row r="80" spans="3:70" s="2" customFormat="1" ht="16.5">
      <c r="C80" s="50"/>
      <c r="D80" s="50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55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</row>
    <row r="81" spans="3:70" s="2" customFormat="1" ht="16.5">
      <c r="C81" s="50"/>
      <c r="D81" s="50"/>
      <c r="E81" s="5"/>
      <c r="F81" s="5"/>
      <c r="G81" s="3"/>
      <c r="H81" s="3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16"/>
      <c r="V81" s="7"/>
      <c r="W81" s="7"/>
      <c r="X81" s="7"/>
      <c r="Y81" s="7"/>
      <c r="Z81" s="7"/>
      <c r="AA81" s="7"/>
      <c r="AB81" s="7"/>
      <c r="AC81" s="7"/>
      <c r="AD81" s="7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7"/>
      <c r="AR81" s="3"/>
      <c r="AS81" s="7"/>
      <c r="AT81" s="7"/>
      <c r="AU81" s="7"/>
      <c r="AV81" s="7"/>
      <c r="AW81" s="7"/>
      <c r="AX81" s="7"/>
      <c r="AY81" s="7"/>
      <c r="AZ81" s="7"/>
      <c r="BA81" s="7"/>
      <c r="BB81" s="7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</row>
    <row r="82" spans="3:70" s="2" customFormat="1" ht="16.5">
      <c r="C82" s="50"/>
      <c r="D82" s="50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38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</row>
    <row r="83" spans="3:70" s="2" customFormat="1" ht="16.5">
      <c r="C83" s="50"/>
      <c r="D83" s="50"/>
      <c r="E83" s="5"/>
      <c r="F83" s="5"/>
      <c r="G83" s="3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38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</row>
    <row r="84" spans="3:70" s="2" customFormat="1" ht="16.5">
      <c r="C84" s="50"/>
      <c r="D84" s="50"/>
      <c r="E84" s="5"/>
      <c r="F84" s="5"/>
      <c r="G84" s="3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38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</row>
    <row r="85" spans="3:70" s="2" customFormat="1" ht="16.5">
      <c r="C85" s="50"/>
      <c r="D85" s="50"/>
      <c r="E85" s="5"/>
      <c r="F85" s="5"/>
      <c r="G85" s="3"/>
      <c r="U85" s="13"/>
      <c r="AD85" s="38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</row>
    <row r="86" spans="3:70" s="2" customFormat="1" ht="16.5">
      <c r="C86" s="50"/>
      <c r="D86" s="50"/>
      <c r="E86" s="5"/>
      <c r="F86" s="5"/>
      <c r="G86" s="3"/>
      <c r="U86" s="13"/>
      <c r="AD86" s="38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</row>
    <row r="87" spans="3:70" s="2" customFormat="1" ht="16.5">
      <c r="C87" s="50"/>
      <c r="D87" s="50"/>
      <c r="E87" s="5"/>
      <c r="F87" s="5"/>
      <c r="G87" s="3"/>
      <c r="U87" s="13"/>
      <c r="AD87" s="38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</row>
    <row r="88" spans="3:70" s="2" customFormat="1" ht="16.5">
      <c r="C88" s="50"/>
      <c r="D88" s="50"/>
      <c r="E88" s="5"/>
      <c r="F88" s="5"/>
      <c r="G88" s="3"/>
      <c r="U88" s="1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</row>
    <row r="89" spans="3:70" s="2" customFormat="1" ht="16.5">
      <c r="C89" s="50"/>
      <c r="D89" s="50"/>
      <c r="E89" s="5"/>
      <c r="F89" s="5"/>
      <c r="G89" s="3"/>
      <c r="U89" s="13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</row>
    <row r="90" spans="3:70" s="2" customFormat="1" ht="16.5">
      <c r="C90" s="50"/>
      <c r="D90" s="50"/>
      <c r="E90" s="5"/>
      <c r="F90" s="5"/>
      <c r="G90" s="3"/>
      <c r="U90" s="13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</row>
    <row r="91" spans="3:70" s="2" customFormat="1" ht="16.5">
      <c r="C91" s="50"/>
      <c r="D91" s="50"/>
      <c r="E91" s="5"/>
      <c r="F91" s="5"/>
      <c r="G91" s="3"/>
      <c r="U91" s="13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</row>
    <row r="92" spans="3:70" ht="16.5">
      <c r="E92" s="5"/>
      <c r="F92" s="5"/>
    </row>
    <row r="93" spans="3:70" ht="16.5">
      <c r="E93" s="5"/>
      <c r="F93" s="5"/>
    </row>
    <row r="94" spans="3:70" ht="16.5">
      <c r="E94" s="5"/>
      <c r="F94" s="5"/>
    </row>
    <row r="95" spans="3:70" ht="16.5">
      <c r="E95" s="5"/>
      <c r="F95" s="5"/>
    </row>
    <row r="96" spans="3:70" ht="16.5">
      <c r="E96" s="5"/>
      <c r="F96" s="5"/>
    </row>
    <row r="97" spans="3:70" ht="16.5">
      <c r="E97" s="5"/>
      <c r="F97" s="5"/>
    </row>
    <row r="98" spans="3:70" s="2" customFormat="1" ht="16.5">
      <c r="C98" s="50"/>
      <c r="D98" s="50"/>
      <c r="E98" s="5"/>
      <c r="F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</row>
    <row r="99" spans="3:70" s="2" customFormat="1" ht="16.5">
      <c r="C99" s="50"/>
      <c r="D99" s="50"/>
      <c r="E99" s="5"/>
      <c r="F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</row>
    <row r="100" spans="3:70" s="2" customFormat="1" ht="16.5">
      <c r="C100" s="50"/>
      <c r="D100" s="50"/>
      <c r="E100" s="5"/>
      <c r="F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</row>
    <row r="101" spans="3:70" s="2" customFormat="1" ht="16.5">
      <c r="C101" s="50"/>
      <c r="D101" s="50"/>
      <c r="E101" s="5"/>
      <c r="F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</row>
    <row r="102" spans="3:70" s="2" customFormat="1" ht="16.5">
      <c r="C102" s="50"/>
      <c r="D102" s="50"/>
      <c r="E102" s="5"/>
      <c r="F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</row>
    <row r="103" spans="3:70" s="2" customFormat="1" ht="16.5">
      <c r="C103" s="50"/>
      <c r="D103" s="50"/>
      <c r="E103" s="5"/>
      <c r="F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</row>
    <row r="104" spans="3:70" s="2" customFormat="1" ht="16.5">
      <c r="C104" s="50"/>
      <c r="D104" s="50"/>
      <c r="E104" s="5"/>
      <c r="F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</row>
    <row r="105" spans="3:70" s="2" customFormat="1" ht="16.5">
      <c r="C105" s="50"/>
      <c r="D105" s="50"/>
      <c r="E105" s="5"/>
      <c r="F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</row>
    <row r="106" spans="3:70" s="2" customFormat="1" ht="16.5">
      <c r="C106" s="50"/>
      <c r="D106" s="50"/>
      <c r="E106" s="5"/>
      <c r="F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</row>
    <row r="107" spans="3:70" s="2" customFormat="1" ht="16.5">
      <c r="C107" s="50"/>
      <c r="D107" s="50"/>
      <c r="E107" s="5"/>
      <c r="F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</row>
    <row r="108" spans="3:70" s="2" customFormat="1" ht="16.5">
      <c r="C108" s="50"/>
      <c r="D108" s="50"/>
      <c r="E108" s="5"/>
      <c r="F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</row>
    <row r="109" spans="3:70" s="2" customFormat="1" ht="16.5">
      <c r="C109" s="50"/>
      <c r="D109" s="50"/>
      <c r="E109" s="5"/>
      <c r="F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</row>
    <row r="110" spans="3:70" s="2" customFormat="1" ht="16.5">
      <c r="C110" s="50"/>
      <c r="D110" s="50"/>
      <c r="E110" s="5"/>
      <c r="F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</row>
    <row r="111" spans="3:70" s="2" customFormat="1" ht="16.5">
      <c r="C111" s="50"/>
      <c r="D111" s="50"/>
      <c r="E111" s="5"/>
      <c r="F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</row>
    <row r="112" spans="3:70" s="2" customFormat="1" ht="16.5">
      <c r="C112" s="50"/>
      <c r="D112" s="50"/>
      <c r="E112" s="5"/>
      <c r="F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</row>
    <row r="113" spans="3:70" s="2" customFormat="1" ht="16.5">
      <c r="C113" s="50"/>
      <c r="D113" s="50"/>
      <c r="E113" s="5"/>
      <c r="F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</row>
    <row r="114" spans="3:70" s="2" customFormat="1" ht="16.5">
      <c r="C114" s="50"/>
      <c r="D114" s="50"/>
      <c r="E114" s="5"/>
      <c r="F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</row>
    <row r="115" spans="3:70" s="2" customFormat="1" ht="16.5">
      <c r="C115" s="50"/>
      <c r="D115" s="50"/>
      <c r="E115" s="5"/>
      <c r="F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</row>
    <row r="116" spans="3:70" s="2" customFormat="1" ht="16.5">
      <c r="C116" s="50"/>
      <c r="D116" s="50"/>
      <c r="E116" s="5"/>
      <c r="F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</row>
    <row r="117" spans="3:70" s="2" customFormat="1" ht="16.5">
      <c r="C117" s="50"/>
      <c r="D117" s="50"/>
      <c r="E117" s="5"/>
      <c r="F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</row>
    <row r="118" spans="3:70" s="2" customFormat="1" ht="16.5">
      <c r="C118" s="50"/>
      <c r="D118" s="50"/>
      <c r="E118" s="5"/>
      <c r="F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</row>
    <row r="119" spans="3:70" s="2" customFormat="1" ht="16.5">
      <c r="C119" s="50"/>
      <c r="D119" s="50"/>
      <c r="E119" s="5"/>
      <c r="F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</row>
    <row r="120" spans="3:70" s="2" customFormat="1" ht="16.5">
      <c r="C120" s="50"/>
      <c r="D120" s="50"/>
      <c r="E120" s="5"/>
      <c r="F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</row>
    <row r="121" spans="3:70" s="2" customFormat="1" ht="16.5">
      <c r="C121" s="50"/>
      <c r="D121" s="50"/>
      <c r="E121" s="5"/>
      <c r="F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</row>
    <row r="122" spans="3:70" s="2" customFormat="1" ht="16.5">
      <c r="C122" s="50"/>
      <c r="D122" s="50"/>
      <c r="E122" s="5"/>
      <c r="F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</row>
    <row r="123" spans="3:70" s="2" customFormat="1" ht="16.5">
      <c r="C123" s="50"/>
      <c r="D123" s="50"/>
      <c r="E123" s="5"/>
      <c r="F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</row>
    <row r="124" spans="3:70" s="2" customFormat="1" ht="16.5">
      <c r="C124" s="50"/>
      <c r="D124" s="50"/>
      <c r="E124" s="5"/>
      <c r="F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</row>
    <row r="125" spans="3:70" s="2" customFormat="1" ht="16.5">
      <c r="C125" s="50"/>
      <c r="D125" s="50"/>
      <c r="E125" s="5"/>
      <c r="F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</row>
    <row r="126" spans="3:70" s="2" customFormat="1" ht="16.5">
      <c r="C126" s="50"/>
      <c r="D126" s="50"/>
      <c r="E126" s="5"/>
      <c r="F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</row>
    <row r="127" spans="3:70" s="2" customFormat="1" ht="16.5">
      <c r="C127" s="50"/>
      <c r="D127" s="50"/>
      <c r="E127" s="5"/>
      <c r="F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</row>
    <row r="128" spans="3:70" s="2" customFormat="1" ht="16.5">
      <c r="C128" s="50"/>
      <c r="D128" s="50"/>
      <c r="E128" s="5"/>
      <c r="F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</row>
    <row r="129" spans="3:70" s="2" customFormat="1" ht="16.5">
      <c r="C129" s="50"/>
      <c r="D129" s="50"/>
      <c r="E129" s="5"/>
      <c r="F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</row>
    <row r="130" spans="3:70" s="2" customFormat="1" ht="16.5">
      <c r="C130" s="50"/>
      <c r="D130" s="50"/>
      <c r="E130" s="5"/>
      <c r="F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</row>
    <row r="131" spans="3:70" s="2" customFormat="1" ht="16.5">
      <c r="C131" s="50"/>
      <c r="D131" s="50"/>
      <c r="E131" s="5"/>
      <c r="F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</row>
    <row r="132" spans="3:70" s="2" customFormat="1" ht="16.5">
      <c r="C132" s="50"/>
      <c r="D132" s="50"/>
      <c r="E132" s="5"/>
      <c r="F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</row>
    <row r="133" spans="3:70" s="2" customFormat="1" ht="16.5">
      <c r="C133" s="50"/>
      <c r="D133" s="50"/>
      <c r="E133" s="5"/>
      <c r="F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</row>
    <row r="134" spans="3:70" s="2" customFormat="1" ht="16.5">
      <c r="C134" s="50"/>
      <c r="D134" s="50"/>
      <c r="E134" s="5"/>
      <c r="F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</row>
    <row r="135" spans="3:70" s="2" customFormat="1" ht="16.5">
      <c r="C135" s="50"/>
      <c r="D135" s="50"/>
      <c r="E135" s="5"/>
      <c r="F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</row>
    <row r="136" spans="3:70" s="2" customFormat="1" ht="16.5">
      <c r="C136" s="50"/>
      <c r="D136" s="50"/>
      <c r="E136" s="5"/>
      <c r="F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</row>
    <row r="137" spans="3:70" s="2" customFormat="1" ht="16.5">
      <c r="C137" s="50"/>
      <c r="D137" s="50"/>
      <c r="E137" s="5"/>
      <c r="F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</row>
    <row r="138" spans="3:70" s="2" customFormat="1" ht="16.5">
      <c r="C138" s="50"/>
      <c r="D138" s="50"/>
      <c r="E138" s="5"/>
      <c r="F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</row>
    <row r="139" spans="3:70" s="2" customFormat="1" ht="16.5">
      <c r="C139" s="50"/>
      <c r="D139" s="50"/>
      <c r="E139" s="5"/>
      <c r="F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</row>
    <row r="140" spans="3:70" s="2" customFormat="1" ht="16.5">
      <c r="C140" s="50"/>
      <c r="D140" s="50"/>
      <c r="E140" s="5"/>
      <c r="F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</row>
    <row r="141" spans="3:70" s="2" customFormat="1" ht="16.5">
      <c r="C141" s="50"/>
      <c r="D141" s="50"/>
      <c r="E141" s="5"/>
      <c r="F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</row>
    <row r="142" spans="3:70" s="2" customFormat="1" ht="16.5">
      <c r="C142" s="50"/>
      <c r="D142" s="50"/>
      <c r="E142" s="5"/>
      <c r="F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</row>
    <row r="143" spans="3:70" s="2" customFormat="1" ht="16.5">
      <c r="C143" s="50"/>
      <c r="D143" s="50"/>
      <c r="E143" s="5"/>
      <c r="F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</row>
    <row r="144" spans="3:70" s="2" customFormat="1" ht="16.5">
      <c r="C144" s="50"/>
      <c r="D144" s="50"/>
      <c r="E144" s="5"/>
      <c r="F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</row>
    <row r="145" spans="3:70" s="2" customFormat="1" ht="16.5">
      <c r="C145" s="50"/>
      <c r="D145" s="50"/>
      <c r="E145" s="5"/>
      <c r="F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</row>
    <row r="146" spans="3:70" s="2" customFormat="1" ht="16.5">
      <c r="C146" s="50"/>
      <c r="D146" s="50"/>
      <c r="E146" s="5"/>
      <c r="F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</row>
    <row r="147" spans="3:70" s="2" customFormat="1" ht="16.5">
      <c r="C147" s="50"/>
      <c r="D147" s="50"/>
      <c r="E147" s="5"/>
      <c r="F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</row>
    <row r="148" spans="3:70" s="2" customFormat="1" ht="16.5">
      <c r="C148" s="50"/>
      <c r="D148" s="50"/>
      <c r="E148" s="5"/>
      <c r="F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</row>
    <row r="149" spans="3:70" s="2" customFormat="1" ht="16.5">
      <c r="C149" s="50"/>
      <c r="D149" s="50"/>
      <c r="E149" s="5"/>
      <c r="F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</row>
    <row r="150" spans="3:70" s="2" customFormat="1" ht="16.5">
      <c r="C150" s="50"/>
      <c r="D150" s="50"/>
      <c r="E150" s="5"/>
      <c r="F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</row>
    <row r="151" spans="3:70" s="2" customFormat="1" ht="16.5">
      <c r="C151" s="50"/>
      <c r="D151" s="50"/>
      <c r="E151" s="5"/>
      <c r="F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</row>
    <row r="152" spans="3:70" s="2" customFormat="1" ht="16.5">
      <c r="C152" s="50"/>
      <c r="D152" s="50"/>
      <c r="E152" s="5"/>
      <c r="F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</row>
    <row r="153" spans="3:70" s="2" customFormat="1" ht="16.5">
      <c r="C153" s="50"/>
      <c r="D153" s="50"/>
      <c r="E153" s="5"/>
      <c r="F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</row>
    <row r="154" spans="3:70" s="2" customFormat="1" ht="16.5">
      <c r="C154" s="50"/>
      <c r="D154" s="50"/>
      <c r="E154" s="5"/>
      <c r="F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</row>
    <row r="155" spans="3:70" s="2" customFormat="1" ht="16.5">
      <c r="C155" s="50"/>
      <c r="D155" s="50"/>
      <c r="E155" s="5"/>
      <c r="F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</row>
    <row r="156" spans="3:70" s="2" customFormat="1" ht="16.5">
      <c r="C156" s="50"/>
      <c r="D156" s="50"/>
      <c r="E156" s="5"/>
      <c r="F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</row>
    <row r="157" spans="3:70" s="2" customFormat="1" ht="16.5">
      <c r="C157" s="50"/>
      <c r="D157" s="50"/>
      <c r="E157" s="5"/>
      <c r="F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</row>
    <row r="158" spans="3:70" s="2" customFormat="1" ht="16.5">
      <c r="C158" s="50"/>
      <c r="D158" s="50"/>
      <c r="E158" s="5"/>
      <c r="F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</row>
    <row r="159" spans="3:70" s="2" customFormat="1" ht="16.5">
      <c r="C159" s="50"/>
      <c r="D159" s="50"/>
      <c r="E159" s="5"/>
      <c r="F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</row>
    <row r="160" spans="3:70" s="2" customFormat="1" ht="16.5">
      <c r="C160" s="50"/>
      <c r="D160" s="50"/>
      <c r="E160" s="5"/>
      <c r="F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</row>
    <row r="161" spans="3:70" s="2" customFormat="1" ht="16.5">
      <c r="C161" s="50"/>
      <c r="D161" s="50"/>
      <c r="E161" s="5"/>
      <c r="F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</row>
    <row r="162" spans="3:70" s="2" customFormat="1" ht="16.5">
      <c r="C162" s="50"/>
      <c r="D162" s="50"/>
      <c r="E162" s="5"/>
      <c r="F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</row>
    <row r="163" spans="3:70" s="2" customFormat="1" ht="16.5">
      <c r="C163" s="50"/>
      <c r="D163" s="50"/>
      <c r="E163" s="5"/>
      <c r="F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</row>
    <row r="164" spans="3:70" s="2" customFormat="1" ht="16.5">
      <c r="C164" s="50"/>
      <c r="D164" s="50"/>
      <c r="E164" s="5"/>
      <c r="F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</row>
    <row r="165" spans="3:70" s="2" customFormat="1" ht="16.5">
      <c r="C165" s="50"/>
      <c r="D165" s="50"/>
      <c r="E165" s="5"/>
      <c r="F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</row>
    <row r="166" spans="3:70" s="2" customFormat="1" ht="16.5">
      <c r="C166" s="50"/>
      <c r="D166" s="50"/>
      <c r="E166" s="5"/>
      <c r="F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</row>
    <row r="167" spans="3:70" s="2" customFormat="1" ht="16.5">
      <c r="C167" s="50"/>
      <c r="D167" s="50"/>
      <c r="E167" s="5"/>
      <c r="F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</row>
    <row r="168" spans="3:70" s="2" customFormat="1" ht="16.5">
      <c r="C168" s="50"/>
      <c r="D168" s="50"/>
      <c r="E168" s="5"/>
      <c r="F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</row>
    <row r="169" spans="3:70" s="2" customFormat="1" ht="16.5">
      <c r="C169" s="50"/>
      <c r="D169" s="50"/>
      <c r="E169" s="5"/>
      <c r="F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</row>
    <row r="170" spans="3:70" s="2" customFormat="1" ht="16.5">
      <c r="C170" s="50"/>
      <c r="D170" s="50"/>
      <c r="E170" s="5"/>
      <c r="F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</row>
    <row r="171" spans="3:70" s="2" customFormat="1" ht="16.5">
      <c r="C171" s="50"/>
      <c r="D171" s="50"/>
      <c r="E171" s="5"/>
      <c r="F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</row>
    <row r="172" spans="3:70" s="2" customFormat="1" ht="16.5">
      <c r="C172" s="50"/>
      <c r="D172" s="50"/>
      <c r="E172" s="5"/>
      <c r="F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</row>
    <row r="173" spans="3:70" s="2" customFormat="1" ht="16.5">
      <c r="C173" s="50"/>
      <c r="D173" s="50"/>
      <c r="E173" s="5"/>
      <c r="F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</row>
    <row r="174" spans="3:70" s="2" customFormat="1" ht="16.5">
      <c r="C174" s="50"/>
      <c r="D174" s="50"/>
      <c r="E174" s="5"/>
      <c r="F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</row>
    <row r="175" spans="3:70" s="2" customFormat="1" ht="16.5">
      <c r="C175" s="50"/>
      <c r="D175" s="50"/>
      <c r="E175" s="5"/>
      <c r="F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</row>
    <row r="176" spans="3:70" s="2" customFormat="1" ht="16.5">
      <c r="C176" s="50"/>
      <c r="D176" s="50"/>
      <c r="E176" s="5"/>
      <c r="F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</row>
    <row r="177" spans="3:70" s="2" customFormat="1" ht="16.5">
      <c r="C177" s="50"/>
      <c r="D177" s="50"/>
      <c r="E177" s="5"/>
      <c r="F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</row>
    <row r="178" spans="3:70" s="2" customFormat="1" ht="16.5">
      <c r="C178" s="50"/>
      <c r="D178" s="50"/>
      <c r="E178" s="5"/>
      <c r="F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</row>
    <row r="179" spans="3:70" s="2" customFormat="1" ht="16.5">
      <c r="C179" s="50"/>
      <c r="D179" s="50"/>
      <c r="E179" s="5"/>
      <c r="F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</row>
    <row r="180" spans="3:70" s="2" customFormat="1" ht="16.5">
      <c r="C180" s="50"/>
      <c r="D180" s="50"/>
      <c r="E180" s="5"/>
      <c r="F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</row>
    <row r="181" spans="3:70" s="2" customFormat="1" ht="16.5">
      <c r="C181" s="50"/>
      <c r="D181" s="50"/>
      <c r="E181" s="5"/>
      <c r="F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</row>
    <row r="182" spans="3:70" s="2" customFormat="1" ht="16.5">
      <c r="C182" s="50"/>
      <c r="D182" s="50"/>
      <c r="E182" s="5"/>
      <c r="F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5C95-E541-40C6-8F2E-22F6060E249B}">
  <dimension ref="A3:E21"/>
  <sheetViews>
    <sheetView workbookViewId="0">
      <selection activeCell="A3" sqref="A3"/>
    </sheetView>
    <sheetView workbookViewId="1"/>
  </sheetViews>
  <sheetFormatPr defaultRowHeight="16.5"/>
  <cols>
    <col min="1" max="1" width="16" bestFit="1" customWidth="1"/>
    <col min="2" max="5" width="18.625" bestFit="1" customWidth="1"/>
  </cols>
  <sheetData>
    <row r="3" spans="1:5">
      <c r="A3" s="73" t="s">
        <v>96</v>
      </c>
      <c r="B3" t="s">
        <v>98</v>
      </c>
      <c r="C3" t="s">
        <v>99</v>
      </c>
      <c r="D3" t="s">
        <v>100</v>
      </c>
      <c r="E3" t="s">
        <v>101</v>
      </c>
    </row>
    <row r="4" spans="1:5">
      <c r="A4" s="74" t="s">
        <v>95</v>
      </c>
      <c r="B4" s="1">
        <v>3735.0108700000001</v>
      </c>
      <c r="C4" s="1">
        <v>3735.0108700000001</v>
      </c>
      <c r="D4" s="1">
        <v>3735.0108700000001</v>
      </c>
      <c r="E4" s="1">
        <v>3735.0108700000001</v>
      </c>
    </row>
    <row r="5" spans="1:5">
      <c r="A5" s="74" t="s">
        <v>90</v>
      </c>
      <c r="B5" s="1">
        <v>873.21583999999996</v>
      </c>
      <c r="C5" s="1">
        <v>826.9753199999999</v>
      </c>
      <c r="D5" s="1">
        <v>840.48215000000005</v>
      </c>
      <c r="E5" s="1">
        <v>895.51469999999995</v>
      </c>
    </row>
    <row r="6" spans="1:5">
      <c r="A6" s="74" t="s">
        <v>11</v>
      </c>
      <c r="B6" s="1">
        <v>140.97217999999998</v>
      </c>
      <c r="C6" s="1">
        <v>141.61473000000001</v>
      </c>
      <c r="D6" s="1">
        <v>143.83866</v>
      </c>
      <c r="E6" s="1">
        <v>140.44322000000003</v>
      </c>
    </row>
    <row r="7" spans="1:5">
      <c r="A7" s="74" t="s">
        <v>14</v>
      </c>
      <c r="B7" s="1">
        <v>982.51111999999989</v>
      </c>
      <c r="C7" s="1">
        <v>959.85625999999991</v>
      </c>
      <c r="D7" s="1">
        <v>927.04166999999995</v>
      </c>
      <c r="E7" s="1">
        <v>904.01287000000002</v>
      </c>
    </row>
    <row r="8" spans="1:5">
      <c r="A8" s="74" t="s">
        <v>13</v>
      </c>
      <c r="B8" s="1">
        <v>870.1387400000001</v>
      </c>
      <c r="C8" s="1">
        <v>845.62147999999979</v>
      </c>
      <c r="D8" s="1">
        <v>821.10196999999994</v>
      </c>
      <c r="E8" s="1">
        <v>796.58028000000002</v>
      </c>
    </row>
    <row r="9" spans="1:5">
      <c r="A9" s="74" t="s">
        <v>4</v>
      </c>
      <c r="B9" s="1">
        <v>3624.3095200000012</v>
      </c>
      <c r="C9" s="1">
        <v>3822.4277800000013</v>
      </c>
      <c r="D9" s="1">
        <v>2157.27097</v>
      </c>
      <c r="E9" s="1">
        <v>2086.6124400000003</v>
      </c>
    </row>
    <row r="10" spans="1:5">
      <c r="A10" s="74" t="s">
        <v>2</v>
      </c>
      <c r="B10" s="1">
        <v>1332.0845200000001</v>
      </c>
      <c r="C10" s="1">
        <v>1420.1134399999999</v>
      </c>
      <c r="D10" s="1">
        <v>854.68454000000008</v>
      </c>
      <c r="E10" s="1">
        <v>990.20461</v>
      </c>
    </row>
    <row r="11" spans="1:5">
      <c r="A11" s="74" t="s">
        <v>81</v>
      </c>
      <c r="B11" s="1">
        <v>47870.361129999954</v>
      </c>
      <c r="C11" s="1">
        <v>47868.406409999952</v>
      </c>
      <c r="D11" s="1">
        <v>47866.451689999973</v>
      </c>
      <c r="E11" s="1">
        <v>47864.496969999964</v>
      </c>
    </row>
    <row r="12" spans="1:5">
      <c r="A12" s="74" t="s">
        <v>12</v>
      </c>
      <c r="B12" s="1">
        <v>3938.1184499999999</v>
      </c>
      <c r="C12" s="1">
        <v>2155.2798600000001</v>
      </c>
      <c r="D12" s="1">
        <v>1312.9543000000001</v>
      </c>
      <c r="E12" s="1">
        <v>1378.0920999999998</v>
      </c>
    </row>
    <row r="13" spans="1:5">
      <c r="A13" s="74" t="s">
        <v>10</v>
      </c>
      <c r="B13" s="1">
        <v>701.60713999999996</v>
      </c>
      <c r="C13" s="1">
        <v>836.46855000000005</v>
      </c>
      <c r="D13" s="1">
        <v>939.30832999999996</v>
      </c>
      <c r="E13" s="1">
        <v>1055.56899</v>
      </c>
    </row>
    <row r="14" spans="1:5">
      <c r="A14" s="74" t="s">
        <v>9</v>
      </c>
      <c r="B14" s="1">
        <v>1316.97045</v>
      </c>
      <c r="C14" s="1">
        <v>1422.8900100000001</v>
      </c>
      <c r="D14" s="1">
        <v>1477.00809</v>
      </c>
      <c r="E14" s="1">
        <v>1535.0910100000001</v>
      </c>
    </row>
    <row r="15" spans="1:5">
      <c r="A15" s="74" t="s">
        <v>7</v>
      </c>
      <c r="B15" s="1">
        <v>-12853.484720000048</v>
      </c>
      <c r="C15" s="1">
        <v>-13266.536640000048</v>
      </c>
      <c r="D15" s="1">
        <v>-14264.493460000045</v>
      </c>
      <c r="E15" s="1">
        <v>-14686.886480000047</v>
      </c>
    </row>
    <row r="16" spans="1:5">
      <c r="A16" s="74" t="s">
        <v>92</v>
      </c>
      <c r="B16" s="1">
        <v>60672.168100000003</v>
      </c>
      <c r="C16" s="1">
        <v>60672.168100000003</v>
      </c>
      <c r="D16" s="1">
        <v>60672.168100000003</v>
      </c>
      <c r="E16" s="1">
        <v>60672.168100000003</v>
      </c>
    </row>
    <row r="17" spans="1:5">
      <c r="A17" s="74" t="s">
        <v>3</v>
      </c>
      <c r="B17" s="1">
        <v>4466.9498800000001</v>
      </c>
      <c r="C17" s="1">
        <v>6631.5120499999994</v>
      </c>
      <c r="D17" s="1">
        <v>6707.7155000000002</v>
      </c>
      <c r="E17" s="1">
        <v>6850.3124400000006</v>
      </c>
    </row>
    <row r="18" spans="1:5">
      <c r="A18" s="74" t="s">
        <v>88</v>
      </c>
      <c r="B18" s="1">
        <v>0</v>
      </c>
      <c r="C18" s="1">
        <v>0</v>
      </c>
      <c r="D18" s="1">
        <v>0</v>
      </c>
      <c r="E18" s="1">
        <v>0</v>
      </c>
    </row>
    <row r="19" spans="1:5">
      <c r="A19" s="74" t="s">
        <v>6</v>
      </c>
      <c r="B19" s="1">
        <v>11012.212960000001</v>
      </c>
      <c r="C19" s="1">
        <v>11049.265009999999</v>
      </c>
      <c r="D19" s="1">
        <v>13593.75267</v>
      </c>
      <c r="E19" s="1">
        <v>13642.903350000001</v>
      </c>
    </row>
    <row r="20" spans="1:5">
      <c r="A20" s="74" t="s">
        <v>5</v>
      </c>
      <c r="B20" s="1">
        <v>1341.9337399999999</v>
      </c>
      <c r="C20" s="1">
        <v>680.17552999999998</v>
      </c>
      <c r="D20" s="1">
        <v>1946.7648100000001</v>
      </c>
      <c r="E20" s="1">
        <v>1279.66247</v>
      </c>
    </row>
    <row r="21" spans="1:5">
      <c r="A21" s="74" t="s">
        <v>97</v>
      </c>
      <c r="B21" s="1">
        <v>130025.07991999992</v>
      </c>
      <c r="C21" s="1">
        <v>129801.2487599999</v>
      </c>
      <c r="D21" s="1">
        <v>129731.06085999994</v>
      </c>
      <c r="E21" s="1">
        <v>129139.78793999991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C073-7295-4C6C-9F61-BB51FBB89F8A}">
  <dimension ref="A3:O24"/>
  <sheetViews>
    <sheetView topLeftCell="E1" zoomScale="85" zoomScaleNormal="85" workbookViewId="0">
      <selection activeCell="N3" sqref="N3:N24"/>
    </sheetView>
    <sheetView workbookViewId="1">
      <selection activeCell="B19" sqref="B19"/>
    </sheetView>
  </sheetViews>
  <sheetFormatPr defaultRowHeight="16.5"/>
  <cols>
    <col min="1" max="1" width="20.5" bestFit="1" customWidth="1"/>
    <col min="2" max="15" width="18.625" bestFit="1" customWidth="1"/>
  </cols>
  <sheetData>
    <row r="3" spans="1:15">
      <c r="A3" s="73" t="s">
        <v>96</v>
      </c>
      <c r="B3" t="s">
        <v>98</v>
      </c>
      <c r="C3" t="s">
        <v>99</v>
      </c>
      <c r="D3" t="s">
        <v>100</v>
      </c>
      <c r="E3" t="s">
        <v>101</v>
      </c>
      <c r="F3" t="s">
        <v>109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N3" t="s">
        <v>120</v>
      </c>
      <c r="O3" s="1" t="s">
        <v>117</v>
      </c>
    </row>
    <row r="4" spans="1:15">
      <c r="A4" s="74" t="s">
        <v>105</v>
      </c>
      <c r="B4" s="1">
        <v>17193.85658</v>
      </c>
      <c r="C4" s="1">
        <v>17494.992920000001</v>
      </c>
      <c r="D4" s="1">
        <v>18457.855790000001</v>
      </c>
      <c r="E4" s="1">
        <v>18584.612349999999</v>
      </c>
      <c r="F4" s="1">
        <v>18850.125740000003</v>
      </c>
      <c r="G4" s="1">
        <v>18637.397380000002</v>
      </c>
      <c r="H4" s="1">
        <v>22340.932670000002</v>
      </c>
      <c r="I4" s="1">
        <v>23170.19658</v>
      </c>
      <c r="J4" s="1">
        <v>22906.47407</v>
      </c>
      <c r="K4" s="1">
        <v>25092.699310000004</v>
      </c>
      <c r="L4" s="1">
        <v>25206.158310000021</v>
      </c>
      <c r="M4" s="1">
        <v>13934.650509999999</v>
      </c>
      <c r="N4" s="1">
        <v>25681.385691258547</v>
      </c>
      <c r="O4" s="1">
        <v>17632.617709999999</v>
      </c>
    </row>
    <row r="5" spans="1:15">
      <c r="A5" s="75" t="s">
        <v>90</v>
      </c>
      <c r="B5" s="1">
        <v>873.21583999999996</v>
      </c>
      <c r="C5" s="1">
        <v>826.9753199999999</v>
      </c>
      <c r="D5" s="1">
        <v>840.48215000000005</v>
      </c>
      <c r="E5" s="1">
        <v>895.51469999999995</v>
      </c>
      <c r="F5" s="1">
        <v>844.19614999999999</v>
      </c>
      <c r="G5" s="1">
        <v>792.87760000000003</v>
      </c>
      <c r="H5" s="1">
        <v>822.78931999999998</v>
      </c>
      <c r="I5" s="1">
        <v>770.72106999999994</v>
      </c>
      <c r="J5" s="1">
        <v>718.65281999999991</v>
      </c>
      <c r="K5" s="1">
        <v>772.55825000000004</v>
      </c>
      <c r="L5" s="1">
        <v>720.48182999999995</v>
      </c>
      <c r="M5" s="1">
        <v>504.36869999999999</v>
      </c>
      <c r="N5" s="1">
        <v>668.86318499999993</v>
      </c>
      <c r="O5" s="1">
        <v>443.06175000000002</v>
      </c>
    </row>
    <row r="6" spans="1:15">
      <c r="A6" s="75" t="s">
        <v>14</v>
      </c>
      <c r="B6" s="1">
        <v>982.51111999999989</v>
      </c>
      <c r="C6" s="1">
        <v>959.85625999999991</v>
      </c>
      <c r="D6" s="1">
        <v>927.04166999999995</v>
      </c>
      <c r="E6" s="1">
        <v>904.01287000000002</v>
      </c>
      <c r="F6" s="1">
        <v>880.79479000000015</v>
      </c>
      <c r="G6" s="1">
        <v>857.38585000000012</v>
      </c>
      <c r="H6" s="1">
        <v>833.78447000000006</v>
      </c>
      <c r="I6" s="1">
        <v>809.98905000000002</v>
      </c>
      <c r="J6" s="1">
        <v>785.99799000000007</v>
      </c>
      <c r="K6" s="1">
        <v>761.80966999999998</v>
      </c>
      <c r="L6" s="1">
        <v>737.42246</v>
      </c>
      <c r="M6" s="1">
        <v>1027.2683500000001</v>
      </c>
      <c r="N6" s="1">
        <v>714.42246</v>
      </c>
      <c r="O6" s="1">
        <v>1004.9813099999999</v>
      </c>
    </row>
    <row r="7" spans="1:15">
      <c r="A7" s="75" t="s">
        <v>4</v>
      </c>
      <c r="B7" s="1">
        <v>3624.3095200000012</v>
      </c>
      <c r="C7" s="1">
        <v>3822.4277800000013</v>
      </c>
      <c r="D7" s="1">
        <v>2157.27097</v>
      </c>
      <c r="E7" s="1">
        <v>2086.6124400000003</v>
      </c>
      <c r="F7" s="1">
        <v>2617.887110000001</v>
      </c>
      <c r="G7" s="1">
        <v>2695.1586199999997</v>
      </c>
      <c r="H7" s="1">
        <v>3639.5749100000003</v>
      </c>
      <c r="I7" s="1">
        <v>2627.7254499999995</v>
      </c>
      <c r="J7" s="1">
        <v>2670.9670700000006</v>
      </c>
      <c r="K7" s="1">
        <v>1859.8395699999994</v>
      </c>
      <c r="L7" s="1">
        <v>1843.3513400000211</v>
      </c>
      <c r="M7" s="1">
        <v>3780.7674499999998</v>
      </c>
      <c r="N7" s="1">
        <v>2393.1973662585451</v>
      </c>
      <c r="O7" s="1">
        <v>4741.9299300000002</v>
      </c>
    </row>
    <row r="8" spans="1:15">
      <c r="A8" s="75" t="s">
        <v>10</v>
      </c>
      <c r="B8" s="1">
        <v>701.60713999999996</v>
      </c>
      <c r="C8" s="1">
        <v>836.46855000000005</v>
      </c>
      <c r="D8" s="1">
        <v>939.30832999999996</v>
      </c>
      <c r="E8" s="1">
        <v>1055.56899</v>
      </c>
      <c r="F8" s="1">
        <v>813.55531000000008</v>
      </c>
      <c r="G8" s="1">
        <v>549.13225</v>
      </c>
      <c r="H8" s="1">
        <v>1245.6066700000001</v>
      </c>
      <c r="I8" s="1">
        <v>1096.92345</v>
      </c>
      <c r="J8" s="1">
        <v>801.74466999999993</v>
      </c>
      <c r="K8" s="1">
        <v>691.62139999999999</v>
      </c>
      <c r="L8" s="1">
        <v>822.41582999999991</v>
      </c>
      <c r="M8" s="1">
        <v>685.27139</v>
      </c>
      <c r="N8" s="1">
        <v>822.41582999999991</v>
      </c>
      <c r="O8" s="1">
        <v>942.64472000000001</v>
      </c>
    </row>
    <row r="9" spans="1:15">
      <c r="A9" s="75" t="s">
        <v>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/>
    </row>
    <row r="10" spans="1:15">
      <c r="A10" s="75" t="s">
        <v>6</v>
      </c>
      <c r="B10" s="1">
        <v>11012.212960000001</v>
      </c>
      <c r="C10" s="1">
        <v>11049.265009999999</v>
      </c>
      <c r="D10" s="1">
        <v>13593.75267</v>
      </c>
      <c r="E10" s="1">
        <v>13642.903350000001</v>
      </c>
      <c r="F10" s="1">
        <v>13693.69238</v>
      </c>
      <c r="G10" s="1">
        <v>13742.843060000001</v>
      </c>
      <c r="H10" s="1">
        <v>15799.177300000001</v>
      </c>
      <c r="I10" s="1">
        <v>17864.83756</v>
      </c>
      <c r="J10" s="1">
        <v>17929.111519999999</v>
      </c>
      <c r="K10" s="1">
        <v>21006.870420000003</v>
      </c>
      <c r="L10" s="1">
        <v>21082.486850000001</v>
      </c>
      <c r="M10" s="1">
        <v>7936.97462</v>
      </c>
      <c r="N10" s="1">
        <v>21082.486850000001</v>
      </c>
      <c r="O10" s="1">
        <v>10500</v>
      </c>
    </row>
    <row r="11" spans="1:15">
      <c r="A11" s="74" t="s">
        <v>107</v>
      </c>
      <c r="B11" s="1">
        <v>47818.683379999959</v>
      </c>
      <c r="C11" s="1">
        <v>47405.631459999953</v>
      </c>
      <c r="D11" s="1">
        <v>46407.674639999954</v>
      </c>
      <c r="E11" s="1">
        <v>45985.281619999958</v>
      </c>
      <c r="F11" s="1">
        <v>45651.767749999955</v>
      </c>
      <c r="G11" s="1">
        <v>44838.383939999956</v>
      </c>
      <c r="H11" s="1">
        <v>43176.839359999954</v>
      </c>
      <c r="I11" s="1">
        <v>42793.723679999952</v>
      </c>
      <c r="J11" s="1">
        <v>42839.258609999961</v>
      </c>
      <c r="K11" s="1">
        <v>42077.01976999997</v>
      </c>
      <c r="L11" s="1">
        <v>41632.289069999955</v>
      </c>
      <c r="M11" s="1">
        <v>48555.619330000001</v>
      </c>
      <c r="N11" s="1">
        <v>40648.674562556953</v>
      </c>
      <c r="O11" s="1">
        <v>48218.774340000004</v>
      </c>
    </row>
    <row r="12" spans="1:15">
      <c r="A12" s="75" t="s">
        <v>7</v>
      </c>
      <c r="B12" s="1">
        <v>-12853.484720000048</v>
      </c>
      <c r="C12" s="1">
        <v>-13266.536640000048</v>
      </c>
      <c r="D12" s="1">
        <v>-14264.493460000045</v>
      </c>
      <c r="E12" s="1">
        <v>-14686.886480000047</v>
      </c>
      <c r="F12" s="1">
        <v>-15020.400350000044</v>
      </c>
      <c r="G12" s="1">
        <v>-15833.784160000045</v>
      </c>
      <c r="H12" s="1">
        <v>-17495.328740000048</v>
      </c>
      <c r="I12" s="1">
        <v>-17878.444420000047</v>
      </c>
      <c r="J12" s="1">
        <v>-17832.909490000042</v>
      </c>
      <c r="K12" s="1">
        <v>-18595.148330000036</v>
      </c>
      <c r="L12" s="1">
        <v>-19039.879030000051</v>
      </c>
      <c r="M12" s="1">
        <v>-12116.548770000003</v>
      </c>
      <c r="N12" s="1">
        <v>-20023.49353744305</v>
      </c>
      <c r="O12" s="1">
        <v>-12453.393759999997</v>
      </c>
    </row>
    <row r="13" spans="1:15">
      <c r="A13" s="75" t="s">
        <v>92</v>
      </c>
      <c r="B13" s="1">
        <v>60672.168100000003</v>
      </c>
      <c r="C13" s="1">
        <v>60672.168100000003</v>
      </c>
      <c r="D13" s="1">
        <v>60672.168100000003</v>
      </c>
      <c r="E13" s="1">
        <v>60672.168100000003</v>
      </c>
      <c r="F13" s="1">
        <v>60672.168100000003</v>
      </c>
      <c r="G13" s="1">
        <v>60672.168100000003</v>
      </c>
      <c r="H13" s="1">
        <v>60672.168100000003</v>
      </c>
      <c r="I13" s="1">
        <v>60672.168100000003</v>
      </c>
      <c r="J13" s="1">
        <v>60672.168100000003</v>
      </c>
      <c r="K13" s="1">
        <v>60672.168100000003</v>
      </c>
      <c r="L13" s="1">
        <v>60672.168100000003</v>
      </c>
      <c r="M13" s="1">
        <v>60672.168100000003</v>
      </c>
      <c r="N13" s="1">
        <v>60672.168100000003</v>
      </c>
      <c r="O13" s="1">
        <v>60672.168100000003</v>
      </c>
    </row>
    <row r="14" spans="1:15">
      <c r="A14" s="74" t="s">
        <v>103</v>
      </c>
      <c r="B14" s="1">
        <v>65012.539959999958</v>
      </c>
      <c r="C14" s="1">
        <v>64900.624379999957</v>
      </c>
      <c r="D14" s="1">
        <v>64865.53042999997</v>
      </c>
      <c r="E14" s="1">
        <v>64569.893969999976</v>
      </c>
      <c r="F14" s="1">
        <v>64501.893489999966</v>
      </c>
      <c r="G14" s="1">
        <v>63475.781319999965</v>
      </c>
      <c r="H14" s="1">
        <v>65517.772029999971</v>
      </c>
      <c r="I14" s="1">
        <v>65963.92025999997</v>
      </c>
      <c r="J14" s="1">
        <v>65745.732679999957</v>
      </c>
      <c r="K14" s="1">
        <v>67169.719079999966</v>
      </c>
      <c r="L14" s="1">
        <v>66838.447379999954</v>
      </c>
      <c r="M14" s="1">
        <v>62490.269840000001</v>
      </c>
      <c r="N14" s="1">
        <v>66330.060253815536</v>
      </c>
      <c r="O14" s="1">
        <v>65851.392050000009</v>
      </c>
    </row>
    <row r="15" spans="1:15">
      <c r="A15" s="75" t="s">
        <v>95</v>
      </c>
      <c r="B15" s="1">
        <v>3735.0108700000001</v>
      </c>
      <c r="C15" s="1">
        <v>3735.0108700000001</v>
      </c>
      <c r="D15" s="1">
        <v>3735.0108700000001</v>
      </c>
      <c r="E15" s="1">
        <v>3735.0108700000001</v>
      </c>
      <c r="F15" s="1">
        <v>3735.0108700000001</v>
      </c>
      <c r="G15" s="1">
        <v>3735.0108700000001</v>
      </c>
      <c r="H15" s="1">
        <v>3735.0108700000001</v>
      </c>
      <c r="I15" s="1">
        <v>3735.0108700000001</v>
      </c>
      <c r="J15" s="1">
        <v>3735.0108700000001</v>
      </c>
      <c r="K15" s="1">
        <v>3735.0108700000001</v>
      </c>
      <c r="L15" s="1">
        <v>3735.0108700000001</v>
      </c>
      <c r="M15" s="1">
        <v>3735.0108700000001</v>
      </c>
      <c r="N15" s="1">
        <v>3735.0108700000001</v>
      </c>
      <c r="O15" s="1">
        <v>3735.0108700000001</v>
      </c>
    </row>
    <row r="16" spans="1:15">
      <c r="A16" s="75" t="s">
        <v>11</v>
      </c>
      <c r="B16" s="1">
        <v>140.97217999999998</v>
      </c>
      <c r="C16" s="1">
        <v>141.61473000000001</v>
      </c>
      <c r="D16" s="1">
        <v>143.83866</v>
      </c>
      <c r="E16" s="1">
        <v>140.44322000000003</v>
      </c>
      <c r="F16" s="1">
        <v>140.30226000000002</v>
      </c>
      <c r="G16" s="1">
        <v>140.31927000000002</v>
      </c>
      <c r="H16" s="1">
        <v>140.99143000000001</v>
      </c>
      <c r="I16" s="1">
        <v>138.92394999999999</v>
      </c>
      <c r="J16" s="1">
        <v>136.85647</v>
      </c>
      <c r="K16" s="1">
        <v>135.51647</v>
      </c>
      <c r="L16" s="1">
        <v>136.98363000000001</v>
      </c>
      <c r="M16" s="1">
        <v>144.91537</v>
      </c>
      <c r="N16" s="1">
        <v>132.10065373318781</v>
      </c>
      <c r="O16" s="1">
        <v>143.20374000000001</v>
      </c>
    </row>
    <row r="17" spans="1:15">
      <c r="A17" s="75" t="s">
        <v>13</v>
      </c>
      <c r="B17" s="1">
        <v>870.1387400000001</v>
      </c>
      <c r="C17" s="1">
        <v>845.62147999999979</v>
      </c>
      <c r="D17" s="1">
        <v>821.10196999999994</v>
      </c>
      <c r="E17" s="1">
        <v>796.58028000000002</v>
      </c>
      <c r="F17" s="1">
        <v>772.05637000000002</v>
      </c>
      <c r="G17" s="1">
        <v>747.53021999999999</v>
      </c>
      <c r="H17" s="1">
        <v>723.00182999999993</v>
      </c>
      <c r="I17" s="1">
        <v>698.47118</v>
      </c>
      <c r="J17" s="1">
        <v>673.93826999999999</v>
      </c>
      <c r="K17" s="1">
        <v>649.40308999999991</v>
      </c>
      <c r="L17" s="1">
        <v>624.86563000000001</v>
      </c>
      <c r="M17" s="1">
        <v>919.16664999999989</v>
      </c>
      <c r="N17" s="1">
        <v>474.06324999999993</v>
      </c>
      <c r="O17" s="1">
        <v>894.65378999999996</v>
      </c>
    </row>
    <row r="18" spans="1:15">
      <c r="A18" s="75" t="s">
        <v>2</v>
      </c>
      <c r="B18" s="1">
        <v>1332.0845200000001</v>
      </c>
      <c r="C18" s="1">
        <v>1420.1134399999999</v>
      </c>
      <c r="D18" s="1">
        <v>854.68454000000008</v>
      </c>
      <c r="E18" s="1">
        <v>990.20461</v>
      </c>
      <c r="F18" s="1">
        <v>1002.7019600000001</v>
      </c>
      <c r="G18" s="1">
        <v>815.38188000000002</v>
      </c>
      <c r="H18" s="1">
        <v>798.32814999999994</v>
      </c>
      <c r="I18" s="1">
        <v>1019.4671600000001</v>
      </c>
      <c r="J18" s="1">
        <v>828.23662000000013</v>
      </c>
      <c r="K18" s="1">
        <v>754.13275999999996</v>
      </c>
      <c r="L18" s="1">
        <v>1765.2935500000001</v>
      </c>
      <c r="M18" s="1">
        <v>1986.22118</v>
      </c>
      <c r="N18" s="1">
        <v>1765.2935500000001</v>
      </c>
      <c r="O18" s="1">
        <v>1164.9554500000002</v>
      </c>
    </row>
    <row r="19" spans="1:15">
      <c r="A19" s="75" t="s">
        <v>81</v>
      </c>
      <c r="B19" s="1">
        <v>47870.361129999954</v>
      </c>
      <c r="C19" s="1">
        <v>47868.406409999952</v>
      </c>
      <c r="D19" s="1">
        <v>47866.451689999973</v>
      </c>
      <c r="E19" s="1">
        <v>47864.496969999964</v>
      </c>
      <c r="F19" s="1">
        <v>47862.542249999962</v>
      </c>
      <c r="G19" s="1">
        <v>47860.587529999961</v>
      </c>
      <c r="H19" s="1">
        <v>47858.632809999959</v>
      </c>
      <c r="I19" s="1">
        <v>47856.678089999958</v>
      </c>
      <c r="J19" s="1">
        <v>47854.723369999956</v>
      </c>
      <c r="K19" s="1">
        <v>47852.768649999962</v>
      </c>
      <c r="L19" s="1">
        <v>47850.81392999996</v>
      </c>
      <c r="M19" s="1">
        <v>47874.270570000001</v>
      </c>
      <c r="N19" s="1">
        <v>47975.131310000004</v>
      </c>
      <c r="O19" s="1">
        <v>47872.315850000006</v>
      </c>
    </row>
    <row r="20" spans="1:15">
      <c r="A20" s="75" t="s">
        <v>12</v>
      </c>
      <c r="B20" s="1">
        <v>3938.1184499999999</v>
      </c>
      <c r="C20" s="1">
        <v>2155.2798600000001</v>
      </c>
      <c r="D20" s="1">
        <v>1312.9543000000001</v>
      </c>
      <c r="E20" s="1">
        <v>1378.0920999999998</v>
      </c>
      <c r="F20" s="1">
        <v>1529.73199</v>
      </c>
      <c r="G20" s="1">
        <v>2104.5759000000003</v>
      </c>
      <c r="H20" s="1">
        <v>2826.3276400000004</v>
      </c>
      <c r="I20" s="1">
        <v>1957.2971899999998</v>
      </c>
      <c r="J20" s="1">
        <v>1312.4254999999998</v>
      </c>
      <c r="K20" s="1">
        <v>1319.6474900000001</v>
      </c>
      <c r="L20" s="1">
        <v>1327.0229100000001</v>
      </c>
      <c r="M20" s="1">
        <v>2532.80809</v>
      </c>
      <c r="N20" s="1">
        <v>1327.0229100000001</v>
      </c>
      <c r="O20" s="1">
        <v>4015.4060599999998</v>
      </c>
    </row>
    <row r="21" spans="1:15">
      <c r="A21" s="75" t="s">
        <v>9</v>
      </c>
      <c r="B21" s="1">
        <v>1316.97045</v>
      </c>
      <c r="C21" s="1">
        <v>1422.8900100000001</v>
      </c>
      <c r="D21" s="1">
        <v>1477.00809</v>
      </c>
      <c r="E21" s="1">
        <v>1535.0910100000001</v>
      </c>
      <c r="F21" s="1">
        <v>1612.2792400000001</v>
      </c>
      <c r="G21" s="1">
        <v>1561.10609</v>
      </c>
      <c r="H21" s="1">
        <v>1650.83006</v>
      </c>
      <c r="I21" s="1">
        <v>1672.85375</v>
      </c>
      <c r="J21" s="1">
        <v>1642.8231799999999</v>
      </c>
      <c r="K21" s="1">
        <v>1607.4878899999999</v>
      </c>
      <c r="L21" s="1">
        <v>1580.2211299999999</v>
      </c>
      <c r="M21" s="1">
        <v>1089.6299299999998</v>
      </c>
      <c r="N21" s="1">
        <v>1580.2211299999999</v>
      </c>
      <c r="O21" s="1">
        <v>1138.04555</v>
      </c>
    </row>
    <row r="22" spans="1:15">
      <c r="A22" s="75" t="s">
        <v>3</v>
      </c>
      <c r="B22" s="1">
        <v>4466.9498800000001</v>
      </c>
      <c r="C22" s="1">
        <v>6631.5120499999994</v>
      </c>
      <c r="D22" s="1">
        <v>6707.7155000000002</v>
      </c>
      <c r="E22" s="1">
        <v>6850.3124400000006</v>
      </c>
      <c r="F22" s="1">
        <v>6367.9758899999997</v>
      </c>
      <c r="G22" s="1">
        <v>6015.8587699999998</v>
      </c>
      <c r="H22" s="1">
        <v>6992.1811900000002</v>
      </c>
      <c r="I22" s="1">
        <v>8718.1487300000008</v>
      </c>
      <c r="J22" s="1">
        <v>9215.9301699999996</v>
      </c>
      <c r="K22" s="1">
        <v>8273.6734800000013</v>
      </c>
      <c r="L22" s="1">
        <v>6614.6021900000005</v>
      </c>
      <c r="M22" s="1">
        <v>3914.9519799999998</v>
      </c>
      <c r="N22" s="1">
        <v>5129.7747374093178</v>
      </c>
      <c r="O22" s="1">
        <v>3323.02594</v>
      </c>
    </row>
    <row r="23" spans="1:15">
      <c r="A23" s="75" t="s">
        <v>5</v>
      </c>
      <c r="B23" s="1">
        <v>1341.9337399999999</v>
      </c>
      <c r="C23" s="1">
        <v>680.17552999999998</v>
      </c>
      <c r="D23" s="1">
        <v>1946.7648100000001</v>
      </c>
      <c r="E23" s="1">
        <v>1279.66247</v>
      </c>
      <c r="F23" s="1">
        <v>1479.2926600000001</v>
      </c>
      <c r="G23" s="1">
        <v>495.41079000000002</v>
      </c>
      <c r="H23" s="1">
        <v>792.46805000000006</v>
      </c>
      <c r="I23" s="1">
        <v>167.06933999999998</v>
      </c>
      <c r="J23" s="1">
        <v>345.78823</v>
      </c>
      <c r="K23" s="1">
        <v>2842.0783799999999</v>
      </c>
      <c r="L23" s="1">
        <v>3203.6335399999998</v>
      </c>
      <c r="M23" s="1">
        <v>293.29519999999997</v>
      </c>
      <c r="N23" s="1">
        <v>4211.4418426730281</v>
      </c>
      <c r="O23" s="1">
        <v>3564.7747999999997</v>
      </c>
    </row>
    <row r="24" spans="1:15">
      <c r="A24" s="74" t="s">
        <v>97</v>
      </c>
      <c r="B24" s="1">
        <v>130025.07991999987</v>
      </c>
      <c r="C24" s="1">
        <v>129801.24875999991</v>
      </c>
      <c r="D24" s="1">
        <v>129731.06085999993</v>
      </c>
      <c r="E24" s="1">
        <v>129139.78793999991</v>
      </c>
      <c r="F24" s="1">
        <v>129003.78697999995</v>
      </c>
      <c r="G24" s="1">
        <v>126951.56263999993</v>
      </c>
      <c r="H24" s="1">
        <v>131035.54405999991</v>
      </c>
      <c r="I24" s="1">
        <v>131927.84051999988</v>
      </c>
      <c r="J24" s="1">
        <v>131491.46535999991</v>
      </c>
      <c r="K24" s="1">
        <v>134339.43815999993</v>
      </c>
      <c r="L24" s="1">
        <v>133676.89475999994</v>
      </c>
      <c r="M24" s="1">
        <v>124980.53968</v>
      </c>
      <c r="N24" s="1">
        <v>132660.12050763104</v>
      </c>
      <c r="O24" s="1">
        <v>131702.78409999999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20B5-5E54-4B45-B85D-F36048D596FC}">
  <dimension ref="C6:Q28"/>
  <sheetViews>
    <sheetView tabSelected="1" workbookViewId="0">
      <selection activeCell="G17" sqref="G17"/>
    </sheetView>
    <sheetView workbookViewId="1">
      <selection activeCell="D17" sqref="D17"/>
    </sheetView>
  </sheetViews>
  <sheetFormatPr defaultRowHeight="16.5"/>
  <cols>
    <col min="3" max="3" width="16" bestFit="1" customWidth="1"/>
    <col min="13" max="13" width="12.875" customWidth="1"/>
    <col min="14" max="15" width="16.125" customWidth="1"/>
    <col min="16" max="17" width="17.5" customWidth="1"/>
  </cols>
  <sheetData>
    <row r="6" spans="3:17"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11</v>
      </c>
      <c r="N6">
        <v>12</v>
      </c>
      <c r="O6">
        <v>13</v>
      </c>
      <c r="P6">
        <v>14</v>
      </c>
      <c r="Q6">
        <v>15</v>
      </c>
    </row>
    <row r="7" spans="3:17">
      <c r="C7" s="1" t="s">
        <v>96</v>
      </c>
      <c r="D7" s="1" t="s">
        <v>98</v>
      </c>
      <c r="E7" s="1" t="s">
        <v>99</v>
      </c>
      <c r="F7" s="1" t="s">
        <v>100</v>
      </c>
      <c r="G7" s="1" t="s">
        <v>101</v>
      </c>
      <c r="H7" s="1" t="s">
        <v>109</v>
      </c>
      <c r="I7" s="1" t="s">
        <v>110</v>
      </c>
      <c r="J7" s="1" t="s">
        <v>111</v>
      </c>
      <c r="K7" s="1" t="s">
        <v>112</v>
      </c>
      <c r="L7" s="1" t="s">
        <v>113</v>
      </c>
      <c r="M7" s="1" t="s">
        <v>114</v>
      </c>
      <c r="N7" s="1" t="s">
        <v>115</v>
      </c>
      <c r="O7" s="1" t="s">
        <v>120</v>
      </c>
      <c r="P7" s="1" t="s">
        <v>116</v>
      </c>
      <c r="Q7" s="1" t="s">
        <v>117</v>
      </c>
    </row>
    <row r="8" spans="3:17">
      <c r="C8" s="1" t="s">
        <v>105</v>
      </c>
      <c r="D8" s="1">
        <v>17193.85658</v>
      </c>
      <c r="E8" s="1">
        <v>17494.992920000001</v>
      </c>
      <c r="F8" s="1">
        <v>18457.855790000001</v>
      </c>
      <c r="G8" s="1">
        <v>18584.612349999999</v>
      </c>
      <c r="H8" s="1">
        <v>18850.125740000003</v>
      </c>
      <c r="I8" s="1">
        <v>18637.397380000002</v>
      </c>
      <c r="J8" s="1">
        <v>22340.932670000002</v>
      </c>
      <c r="K8" s="1">
        <v>23170.19658</v>
      </c>
      <c r="L8" s="1">
        <v>22906.47407</v>
      </c>
      <c r="M8" s="1">
        <v>25092.699310000004</v>
      </c>
      <c r="N8" s="1">
        <v>25206.158310000021</v>
      </c>
      <c r="O8" s="1">
        <v>25681.385691258547</v>
      </c>
      <c r="P8" s="1">
        <v>13934.650509999999</v>
      </c>
      <c r="Q8" s="1">
        <v>17632.617709999999</v>
      </c>
    </row>
    <row r="9" spans="3:17">
      <c r="C9" s="1" t="s">
        <v>90</v>
      </c>
      <c r="D9" s="1">
        <v>873.21583999999996</v>
      </c>
      <c r="E9" s="1">
        <v>826.9753199999999</v>
      </c>
      <c r="F9" s="1">
        <v>840.48215000000005</v>
      </c>
      <c r="G9" s="1">
        <v>895.51469999999995</v>
      </c>
      <c r="H9" s="1">
        <v>844.19614999999999</v>
      </c>
      <c r="I9" s="1">
        <v>792.87760000000003</v>
      </c>
      <c r="J9" s="1">
        <v>822.78931999999998</v>
      </c>
      <c r="K9" s="1">
        <v>770.72106999999994</v>
      </c>
      <c r="L9" s="1">
        <v>718.65281999999991</v>
      </c>
      <c r="M9" s="1">
        <v>772.55825000000004</v>
      </c>
      <c r="N9" s="1">
        <v>720.48182999999995</v>
      </c>
      <c r="O9" s="1">
        <v>668.86318499999993</v>
      </c>
      <c r="P9" s="1">
        <v>504.36869999999999</v>
      </c>
      <c r="Q9" s="1">
        <v>443.06175000000002</v>
      </c>
    </row>
    <row r="10" spans="3:17">
      <c r="C10" s="1" t="s">
        <v>14</v>
      </c>
      <c r="D10" s="1">
        <v>982.51111999999989</v>
      </c>
      <c r="E10" s="1">
        <v>959.85625999999991</v>
      </c>
      <c r="F10" s="1">
        <v>927.04166999999995</v>
      </c>
      <c r="G10" s="1">
        <v>904.01287000000002</v>
      </c>
      <c r="H10" s="1">
        <v>880.79479000000015</v>
      </c>
      <c r="I10" s="1">
        <v>857.38585000000012</v>
      </c>
      <c r="J10" s="1">
        <v>833.78447000000006</v>
      </c>
      <c r="K10" s="1">
        <v>809.98905000000002</v>
      </c>
      <c r="L10" s="1">
        <v>785.99799000000007</v>
      </c>
      <c r="M10" s="1">
        <v>761.80966999999998</v>
      </c>
      <c r="N10" s="1">
        <v>737.42246</v>
      </c>
      <c r="O10" s="1">
        <v>714.42246</v>
      </c>
      <c r="P10" s="1">
        <v>1027.2683500000001</v>
      </c>
      <c r="Q10" s="1">
        <v>1004.9813099999999</v>
      </c>
    </row>
    <row r="11" spans="3:17">
      <c r="C11" s="1" t="s">
        <v>4</v>
      </c>
      <c r="D11" s="1">
        <v>3624.3095200000012</v>
      </c>
      <c r="E11" s="1">
        <v>3822.4277800000013</v>
      </c>
      <c r="F11" s="1">
        <v>2157.27097</v>
      </c>
      <c r="G11" s="1">
        <v>2086.6124400000003</v>
      </c>
      <c r="H11" s="1">
        <v>2617.887110000001</v>
      </c>
      <c r="I11" s="1">
        <v>2695.1586199999997</v>
      </c>
      <c r="J11" s="1">
        <v>3639.5749100000003</v>
      </c>
      <c r="K11" s="1">
        <v>2627.7254499999995</v>
      </c>
      <c r="L11" s="1">
        <v>2670.9670700000006</v>
      </c>
      <c r="M11" s="1">
        <v>1859.8395699999994</v>
      </c>
      <c r="N11" s="1">
        <v>1843.3513400000211</v>
      </c>
      <c r="O11" s="1">
        <v>2393.1973662585451</v>
      </c>
      <c r="P11" s="1">
        <v>3780.7674499999998</v>
      </c>
      <c r="Q11" s="1">
        <v>4741.9299300000002</v>
      </c>
    </row>
    <row r="12" spans="3:17">
      <c r="C12" s="1" t="s">
        <v>10</v>
      </c>
      <c r="D12" s="1">
        <v>701.60713999999996</v>
      </c>
      <c r="E12" s="1">
        <v>836.46855000000005</v>
      </c>
      <c r="F12" s="1">
        <v>939.30832999999996</v>
      </c>
      <c r="G12" s="1">
        <v>1055.56899</v>
      </c>
      <c r="H12" s="1">
        <v>813.55531000000008</v>
      </c>
      <c r="I12" s="1">
        <v>549.13225</v>
      </c>
      <c r="J12" s="1">
        <v>1245.6066700000001</v>
      </c>
      <c r="K12" s="1">
        <v>1096.92345</v>
      </c>
      <c r="L12" s="1">
        <v>801.74466999999993</v>
      </c>
      <c r="M12" s="1">
        <v>691.62139999999999</v>
      </c>
      <c r="N12" s="1">
        <v>822.41582999999991</v>
      </c>
      <c r="O12" s="1">
        <v>822.41582999999991</v>
      </c>
      <c r="P12" s="1">
        <v>685.27139</v>
      </c>
      <c r="Q12" s="1">
        <v>942.64472000000001</v>
      </c>
    </row>
    <row r="13" spans="3:17">
      <c r="C13" s="1" t="s">
        <v>88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/>
    </row>
    <row r="14" spans="3:17">
      <c r="C14" s="1" t="s">
        <v>6</v>
      </c>
      <c r="D14" s="1">
        <v>11012.212960000001</v>
      </c>
      <c r="E14" s="1">
        <v>11049.265009999999</v>
      </c>
      <c r="F14" s="1">
        <v>13593.75267</v>
      </c>
      <c r="G14" s="1">
        <v>13642.903350000001</v>
      </c>
      <c r="H14" s="1">
        <v>13693.69238</v>
      </c>
      <c r="I14" s="1">
        <v>13742.843060000001</v>
      </c>
      <c r="J14" s="1">
        <v>15799.177300000001</v>
      </c>
      <c r="K14" s="1">
        <v>17864.83756</v>
      </c>
      <c r="L14" s="1">
        <v>17929.111519999999</v>
      </c>
      <c r="M14" s="1">
        <v>21006.870420000003</v>
      </c>
      <c r="N14" s="1">
        <v>21082.486850000001</v>
      </c>
      <c r="O14" s="1">
        <v>21082.486850000001</v>
      </c>
      <c r="P14" s="1">
        <v>7936.97462</v>
      </c>
      <c r="Q14" s="1">
        <v>10500</v>
      </c>
    </row>
    <row r="15" spans="3:17">
      <c r="C15" s="1" t="s">
        <v>107</v>
      </c>
      <c r="D15" s="1">
        <v>47818.683379999959</v>
      </c>
      <c r="E15" s="1">
        <v>47405.631459999953</v>
      </c>
      <c r="F15" s="1">
        <v>46407.674639999954</v>
      </c>
      <c r="G15" s="1">
        <v>45985.281619999958</v>
      </c>
      <c r="H15" s="1">
        <v>45651.767749999955</v>
      </c>
      <c r="I15" s="1">
        <v>44838.383939999956</v>
      </c>
      <c r="J15" s="1">
        <v>43176.839359999954</v>
      </c>
      <c r="K15" s="1">
        <v>42793.723679999952</v>
      </c>
      <c r="L15" s="1">
        <v>42839.258609999961</v>
      </c>
      <c r="M15" s="1">
        <v>42077.01976999997</v>
      </c>
      <c r="N15" s="1">
        <v>41632.289069999955</v>
      </c>
      <c r="O15" s="1">
        <v>40648.674562556953</v>
      </c>
      <c r="P15" s="1">
        <v>48555.619330000001</v>
      </c>
      <c r="Q15" s="1">
        <v>48218.774340000004</v>
      </c>
    </row>
    <row r="16" spans="3:17">
      <c r="C16" s="1" t="s">
        <v>7</v>
      </c>
      <c r="D16" s="1">
        <v>-12853.484720000048</v>
      </c>
      <c r="E16" s="1">
        <v>-13266.536640000048</v>
      </c>
      <c r="F16" s="1">
        <v>-14264.493460000045</v>
      </c>
      <c r="G16" s="1">
        <v>-14686.886480000047</v>
      </c>
      <c r="H16" s="1">
        <v>-15020.400350000044</v>
      </c>
      <c r="I16" s="1">
        <v>-15833.784160000045</v>
      </c>
      <c r="J16" s="1">
        <v>-17495.328740000048</v>
      </c>
      <c r="K16" s="1">
        <v>-17878.444420000047</v>
      </c>
      <c r="L16" s="1">
        <v>-17832.909490000042</v>
      </c>
      <c r="M16" s="1">
        <v>-18595.148330000036</v>
      </c>
      <c r="N16" s="1">
        <v>-19039.879030000051</v>
      </c>
      <c r="O16" s="1">
        <v>-20023.49353744305</v>
      </c>
      <c r="P16" s="1">
        <v>-12116.548770000003</v>
      </c>
      <c r="Q16" s="1">
        <v>-12453.393759999997</v>
      </c>
    </row>
    <row r="17" spans="3:17">
      <c r="C17" s="1" t="s">
        <v>92</v>
      </c>
      <c r="D17" s="1">
        <v>60672.168100000003</v>
      </c>
      <c r="E17" s="1">
        <v>60672.168100000003</v>
      </c>
      <c r="F17" s="1">
        <v>60672.168100000003</v>
      </c>
      <c r="G17" s="1">
        <v>60672.168100000003</v>
      </c>
      <c r="H17" s="1">
        <v>60672.168100000003</v>
      </c>
      <c r="I17" s="1">
        <v>60672.168100000003</v>
      </c>
      <c r="J17" s="1">
        <v>60672.168100000003</v>
      </c>
      <c r="K17" s="1">
        <v>60672.168100000003</v>
      </c>
      <c r="L17" s="1">
        <v>60672.168100000003</v>
      </c>
      <c r="M17" s="1">
        <v>60672.168100000003</v>
      </c>
      <c r="N17" s="1">
        <v>60672.168100000003</v>
      </c>
      <c r="O17" s="1">
        <v>60672.168100000003</v>
      </c>
      <c r="P17" s="1">
        <v>60672.168100000003</v>
      </c>
      <c r="Q17" s="1">
        <v>60672.168100000003</v>
      </c>
    </row>
    <row r="18" spans="3:17">
      <c r="C18" s="1" t="s">
        <v>103</v>
      </c>
      <c r="D18" s="1">
        <v>65012.539959999958</v>
      </c>
      <c r="E18" s="1">
        <v>64900.624379999957</v>
      </c>
      <c r="F18" s="1">
        <v>64865.53042999997</v>
      </c>
      <c r="G18" s="1">
        <v>64569.893969999976</v>
      </c>
      <c r="H18" s="1">
        <v>64501.893489999966</v>
      </c>
      <c r="I18" s="1">
        <v>63475.781319999965</v>
      </c>
      <c r="J18" s="1">
        <v>65517.772029999971</v>
      </c>
      <c r="K18" s="1">
        <v>65963.92025999997</v>
      </c>
      <c r="L18" s="1">
        <v>65745.732679999957</v>
      </c>
      <c r="M18" s="1">
        <v>67169.719079999966</v>
      </c>
      <c r="N18" s="1">
        <v>66838.447379999954</v>
      </c>
      <c r="O18" s="1">
        <v>66330.060253815536</v>
      </c>
      <c r="P18" s="1">
        <v>62490.269840000001</v>
      </c>
      <c r="Q18" s="1">
        <v>65851.392050000009</v>
      </c>
    </row>
    <row r="19" spans="3:17">
      <c r="C19" s="1" t="s">
        <v>95</v>
      </c>
      <c r="D19" s="1">
        <v>3735.0108700000001</v>
      </c>
      <c r="E19" s="1">
        <v>3735.0108700000001</v>
      </c>
      <c r="F19" s="1">
        <v>3735.0108700000001</v>
      </c>
      <c r="G19" s="1">
        <v>3735.0108700000001</v>
      </c>
      <c r="H19" s="1">
        <v>3735.0108700000001</v>
      </c>
      <c r="I19" s="1">
        <v>3735.0108700000001</v>
      </c>
      <c r="J19" s="1">
        <v>3735.0108700000001</v>
      </c>
      <c r="K19" s="1">
        <v>3735.0108700000001</v>
      </c>
      <c r="L19" s="1">
        <v>3735.0108700000001</v>
      </c>
      <c r="M19" s="1">
        <v>3735.0108700000001</v>
      </c>
      <c r="N19" s="1">
        <v>3735.0108700000001</v>
      </c>
      <c r="O19" s="1">
        <v>3735.0108700000001</v>
      </c>
      <c r="P19" s="1">
        <v>3735.0108700000001</v>
      </c>
      <c r="Q19" s="1">
        <v>3735.0108700000001</v>
      </c>
    </row>
    <row r="20" spans="3:17">
      <c r="C20" s="1" t="s">
        <v>11</v>
      </c>
      <c r="D20" s="1">
        <v>140.97217999999998</v>
      </c>
      <c r="E20" s="1">
        <v>141.61473000000001</v>
      </c>
      <c r="F20" s="1">
        <v>143.83866</v>
      </c>
      <c r="G20" s="1">
        <v>140.44322000000003</v>
      </c>
      <c r="H20" s="1">
        <v>140.30226000000002</v>
      </c>
      <c r="I20" s="1">
        <v>140.31927000000002</v>
      </c>
      <c r="J20" s="1">
        <v>140.99143000000001</v>
      </c>
      <c r="K20" s="1">
        <v>138.92394999999999</v>
      </c>
      <c r="L20" s="1">
        <v>136.85647</v>
      </c>
      <c r="M20" s="1">
        <v>135.51647</v>
      </c>
      <c r="N20" s="1">
        <v>136.98363000000001</v>
      </c>
      <c r="O20" s="1">
        <v>132.10065373318781</v>
      </c>
      <c r="P20" s="1">
        <v>144.91537</v>
      </c>
      <c r="Q20" s="1">
        <v>143.20374000000001</v>
      </c>
    </row>
    <row r="21" spans="3:17">
      <c r="C21" s="1" t="s">
        <v>13</v>
      </c>
      <c r="D21" s="1">
        <v>870.1387400000001</v>
      </c>
      <c r="E21" s="1">
        <v>845.62147999999979</v>
      </c>
      <c r="F21" s="1">
        <v>821.10196999999994</v>
      </c>
      <c r="G21" s="1">
        <v>796.58028000000002</v>
      </c>
      <c r="H21" s="1">
        <v>772.05637000000002</v>
      </c>
      <c r="I21" s="1">
        <v>747.53021999999999</v>
      </c>
      <c r="J21" s="1">
        <v>723.00182999999993</v>
      </c>
      <c r="K21" s="1">
        <v>698.47118</v>
      </c>
      <c r="L21" s="1">
        <v>673.93826999999999</v>
      </c>
      <c r="M21" s="1">
        <v>649.40308999999991</v>
      </c>
      <c r="N21" s="1">
        <v>624.86563000000001</v>
      </c>
      <c r="O21" s="1">
        <v>474.06324999999993</v>
      </c>
      <c r="P21" s="1">
        <v>919.16664999999989</v>
      </c>
      <c r="Q21" s="1">
        <v>894.65378999999996</v>
      </c>
    </row>
    <row r="22" spans="3:17">
      <c r="C22" s="1" t="s">
        <v>2</v>
      </c>
      <c r="D22" s="1">
        <v>1332.0845200000001</v>
      </c>
      <c r="E22" s="1">
        <v>1420.1134399999999</v>
      </c>
      <c r="F22" s="1">
        <v>854.68454000000008</v>
      </c>
      <c r="G22" s="1">
        <v>990.20461</v>
      </c>
      <c r="H22" s="1">
        <v>1002.7019600000001</v>
      </c>
      <c r="I22" s="1">
        <v>815.38188000000002</v>
      </c>
      <c r="J22" s="1">
        <v>798.32814999999994</v>
      </c>
      <c r="K22" s="1">
        <v>1019.4671600000001</v>
      </c>
      <c r="L22" s="1">
        <v>828.23662000000013</v>
      </c>
      <c r="M22" s="1">
        <v>754.13275999999996</v>
      </c>
      <c r="N22" s="1">
        <v>1765.2935500000001</v>
      </c>
      <c r="O22" s="1">
        <v>1765.2935500000001</v>
      </c>
      <c r="P22" s="1">
        <v>1986.22118</v>
      </c>
      <c r="Q22" s="1">
        <v>1164.9554500000002</v>
      </c>
    </row>
    <row r="23" spans="3:17">
      <c r="C23" s="1" t="s">
        <v>81</v>
      </c>
      <c r="D23" s="1">
        <v>47870.361129999954</v>
      </c>
      <c r="E23" s="1">
        <v>47868.406409999952</v>
      </c>
      <c r="F23" s="1">
        <v>47866.451689999973</v>
      </c>
      <c r="G23" s="1">
        <v>47864.496969999964</v>
      </c>
      <c r="H23" s="1">
        <v>47862.542249999962</v>
      </c>
      <c r="I23" s="1">
        <v>47860.587529999961</v>
      </c>
      <c r="J23" s="1">
        <v>47858.632809999959</v>
      </c>
      <c r="K23" s="1">
        <v>47856.678089999958</v>
      </c>
      <c r="L23" s="1">
        <v>47854.723369999956</v>
      </c>
      <c r="M23" s="1">
        <v>47852.768649999962</v>
      </c>
      <c r="N23" s="1">
        <v>47850.81392999996</v>
      </c>
      <c r="O23" s="1">
        <v>47975.131310000004</v>
      </c>
      <c r="P23" s="1">
        <v>47874.270570000001</v>
      </c>
      <c r="Q23" s="1">
        <v>47872.315850000006</v>
      </c>
    </row>
    <row r="24" spans="3:17">
      <c r="C24" s="1" t="s">
        <v>12</v>
      </c>
      <c r="D24" s="1">
        <v>3938.1184499999999</v>
      </c>
      <c r="E24" s="1">
        <v>2155.2798600000001</v>
      </c>
      <c r="F24" s="1">
        <v>1312.9543000000001</v>
      </c>
      <c r="G24" s="1">
        <v>1378.0920999999998</v>
      </c>
      <c r="H24" s="1">
        <v>1529.73199</v>
      </c>
      <c r="I24" s="1">
        <v>2104.5759000000003</v>
      </c>
      <c r="J24" s="1">
        <v>2826.3276400000004</v>
      </c>
      <c r="K24" s="1">
        <v>1957.2971899999998</v>
      </c>
      <c r="L24" s="1">
        <v>1312.4254999999998</v>
      </c>
      <c r="M24" s="1">
        <v>1319.6474900000001</v>
      </c>
      <c r="N24" s="1">
        <v>1327.0229100000001</v>
      </c>
      <c r="O24" s="1">
        <v>1327.0229100000001</v>
      </c>
      <c r="P24" s="1">
        <v>2532.80809</v>
      </c>
      <c r="Q24" s="1">
        <v>4015.4060599999998</v>
      </c>
    </row>
    <row r="25" spans="3:17">
      <c r="C25" s="1" t="s">
        <v>9</v>
      </c>
      <c r="D25" s="1">
        <v>1316.97045</v>
      </c>
      <c r="E25" s="1">
        <v>1422.8900100000001</v>
      </c>
      <c r="F25" s="1">
        <v>1477.00809</v>
      </c>
      <c r="G25" s="1">
        <v>1535.0910100000001</v>
      </c>
      <c r="H25" s="1">
        <v>1612.2792400000001</v>
      </c>
      <c r="I25" s="1">
        <v>1561.10609</v>
      </c>
      <c r="J25" s="1">
        <v>1650.83006</v>
      </c>
      <c r="K25" s="1">
        <v>1672.85375</v>
      </c>
      <c r="L25" s="1">
        <v>1642.8231799999999</v>
      </c>
      <c r="M25" s="1">
        <v>1607.4878899999999</v>
      </c>
      <c r="N25" s="1">
        <v>1580.2211299999999</v>
      </c>
      <c r="O25" s="1">
        <v>1580.2211299999999</v>
      </c>
      <c r="P25" s="1">
        <v>1089.6299299999998</v>
      </c>
      <c r="Q25" s="1">
        <v>1138.04555</v>
      </c>
    </row>
    <row r="26" spans="3:17">
      <c r="C26" s="1" t="s">
        <v>3</v>
      </c>
      <c r="D26" s="1">
        <v>4466.9498800000001</v>
      </c>
      <c r="E26" s="1">
        <v>6631.5120499999994</v>
      </c>
      <c r="F26" s="1">
        <v>6707.7155000000002</v>
      </c>
      <c r="G26" s="1">
        <v>6850.3124400000006</v>
      </c>
      <c r="H26" s="1">
        <v>6367.9758899999997</v>
      </c>
      <c r="I26" s="1">
        <v>6015.8587699999998</v>
      </c>
      <c r="J26" s="1">
        <v>6992.1811900000002</v>
      </c>
      <c r="K26" s="1">
        <v>8718.1487300000008</v>
      </c>
      <c r="L26" s="1">
        <v>9215.9301699999996</v>
      </c>
      <c r="M26" s="1">
        <v>8273.6734800000013</v>
      </c>
      <c r="N26" s="1">
        <v>6614.6021900000005</v>
      </c>
      <c r="O26" s="1">
        <v>5129.7747374093178</v>
      </c>
      <c r="P26" s="1">
        <v>3914.9519799999998</v>
      </c>
      <c r="Q26" s="1">
        <v>3323.02594</v>
      </c>
    </row>
    <row r="27" spans="3:17">
      <c r="C27" s="1" t="s">
        <v>5</v>
      </c>
      <c r="D27" s="1">
        <v>1341.9337399999999</v>
      </c>
      <c r="E27" s="1">
        <v>680.17552999999998</v>
      </c>
      <c r="F27" s="1">
        <v>1946.7648100000001</v>
      </c>
      <c r="G27" s="1">
        <v>1279.66247</v>
      </c>
      <c r="H27" s="1">
        <v>1479.2926600000001</v>
      </c>
      <c r="I27" s="1">
        <v>495.41079000000002</v>
      </c>
      <c r="J27" s="1">
        <v>792.46805000000006</v>
      </c>
      <c r="K27" s="1">
        <v>167.06933999999998</v>
      </c>
      <c r="L27" s="1">
        <v>345.78823</v>
      </c>
      <c r="M27" s="1">
        <v>2842.0783799999999</v>
      </c>
      <c r="N27" s="1">
        <v>3203.6335399999998</v>
      </c>
      <c r="O27" s="1">
        <v>4211.4418426730281</v>
      </c>
      <c r="P27" s="1">
        <v>293.29519999999997</v>
      </c>
      <c r="Q27" s="1">
        <v>3564.7747999999997</v>
      </c>
    </row>
    <row r="28" spans="3:17">
      <c r="C28" s="1" t="s">
        <v>97</v>
      </c>
      <c r="D28" s="1">
        <v>130025.07991999987</v>
      </c>
      <c r="E28" s="1">
        <v>129801.24875999991</v>
      </c>
      <c r="F28" s="1">
        <v>129731.06085999993</v>
      </c>
      <c r="G28" s="1">
        <v>129139.78793999991</v>
      </c>
      <c r="H28" s="1">
        <v>129003.78697999995</v>
      </c>
      <c r="I28" s="1">
        <v>126951.56263999993</v>
      </c>
      <c r="J28" s="1">
        <v>131035.54405999991</v>
      </c>
      <c r="K28" s="1">
        <v>131927.84051999988</v>
      </c>
      <c r="L28" s="1">
        <v>131491.46535999991</v>
      </c>
      <c r="M28" s="1">
        <v>134339.43815999993</v>
      </c>
      <c r="N28" s="1">
        <v>133676.89475999994</v>
      </c>
      <c r="O28" s="1">
        <v>132660.12050763104</v>
      </c>
      <c r="P28" s="1">
        <v>124980.53968</v>
      </c>
      <c r="Q28" s="1">
        <v>131702.78409999999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3535-FB41-423A-B6C8-E9D944DE0E87}">
  <dimension ref="B2:AC36"/>
  <sheetViews>
    <sheetView workbookViewId="0">
      <pane xSplit="3" ySplit="3" topLeftCell="K4" activePane="bottomRight" state="frozen"/>
      <selection pane="topRight" activeCell="C1" sqref="C1"/>
      <selection pane="bottomLeft" activeCell="A4" sqref="A4"/>
      <selection pane="bottomRight" activeCell="B3" sqref="B3:AA29"/>
    </sheetView>
    <sheetView workbookViewId="1">
      <selection activeCell="D20" sqref="D20:D29"/>
    </sheetView>
  </sheetViews>
  <sheetFormatPr defaultRowHeight="16.5"/>
  <cols>
    <col min="3" max="3" width="14.75" customWidth="1"/>
    <col min="4" max="27" width="11.125" bestFit="1" customWidth="1"/>
  </cols>
  <sheetData>
    <row r="2" spans="2:27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7">
      <c r="B3" t="s">
        <v>102</v>
      </c>
      <c r="C3" t="s">
        <v>72</v>
      </c>
      <c r="D3" s="64">
        <v>45292</v>
      </c>
      <c r="E3" s="64">
        <v>45323</v>
      </c>
      <c r="F3" s="64">
        <v>45352</v>
      </c>
      <c r="G3" s="64">
        <v>45383</v>
      </c>
      <c r="H3" s="64">
        <v>45413</v>
      </c>
      <c r="I3" s="64">
        <v>45444</v>
      </c>
      <c r="J3" s="64">
        <v>45474</v>
      </c>
      <c r="K3" s="64">
        <v>45505</v>
      </c>
      <c r="L3" s="64">
        <v>45536</v>
      </c>
      <c r="M3" s="64">
        <v>45566</v>
      </c>
      <c r="N3" s="64">
        <v>45597</v>
      </c>
      <c r="O3" s="64">
        <v>45627</v>
      </c>
      <c r="P3" s="64">
        <v>45658</v>
      </c>
      <c r="Q3" s="64">
        <v>45689</v>
      </c>
      <c r="R3" s="64">
        <v>45717</v>
      </c>
      <c r="S3" s="64">
        <v>45748</v>
      </c>
      <c r="T3" s="64">
        <v>45778</v>
      </c>
      <c r="U3" s="64">
        <v>45809</v>
      </c>
      <c r="V3" s="64">
        <v>45839</v>
      </c>
      <c r="W3" s="64">
        <v>45870</v>
      </c>
      <c r="X3" s="64">
        <v>45901</v>
      </c>
      <c r="Y3" s="64">
        <v>45931</v>
      </c>
      <c r="Z3" s="64">
        <v>45962</v>
      </c>
      <c r="AA3" s="64">
        <v>45992</v>
      </c>
    </row>
    <row r="4" spans="2:27">
      <c r="B4" t="s">
        <v>104</v>
      </c>
      <c r="C4" t="s">
        <v>5</v>
      </c>
      <c r="D4" s="1">
        <v>1602.13408</v>
      </c>
      <c r="E4" s="1">
        <v>1592.69145</v>
      </c>
      <c r="F4" s="1">
        <v>1572.6609499999997</v>
      </c>
      <c r="G4" s="1">
        <v>2113.0129999999999</v>
      </c>
      <c r="H4" s="1">
        <v>2027.5831000000001</v>
      </c>
      <c r="I4" s="1">
        <v>1443.32698</v>
      </c>
      <c r="J4" s="1">
        <v>650.19000000000005</v>
      </c>
      <c r="K4" s="1">
        <v>381.41762</v>
      </c>
      <c r="L4" s="1">
        <v>280.16234000000003</v>
      </c>
      <c r="M4" s="1">
        <v>162.98124000000001</v>
      </c>
      <c r="N4" s="1">
        <v>293.29519999999997</v>
      </c>
      <c r="O4" s="1">
        <v>3564.7747999999997</v>
      </c>
      <c r="P4" s="1">
        <v>1341.9337399999999</v>
      </c>
      <c r="Q4" s="1">
        <v>680.17552999999998</v>
      </c>
      <c r="R4" s="1">
        <v>1946.7648100000001</v>
      </c>
      <c r="S4" s="1">
        <v>1279.66247</v>
      </c>
      <c r="T4" s="1">
        <v>1479.2926600000001</v>
      </c>
      <c r="U4" s="1">
        <v>495.41079000000002</v>
      </c>
      <c r="V4" s="1">
        <v>792.46805000000006</v>
      </c>
      <c r="W4" s="1">
        <v>167.06933999999998</v>
      </c>
      <c r="X4" s="1">
        <v>345.78823</v>
      </c>
      <c r="Y4" s="1">
        <v>2842.0783799999999</v>
      </c>
      <c r="Z4" s="1">
        <v>3203.6335399999998</v>
      </c>
      <c r="AA4" s="1">
        <v>4211.4418426730281</v>
      </c>
    </row>
    <row r="5" spans="2:27">
      <c r="B5" t="s">
        <v>104</v>
      </c>
      <c r="C5" t="s">
        <v>2</v>
      </c>
      <c r="D5" s="1">
        <v>1469.5329400000001</v>
      </c>
      <c r="E5" s="1">
        <v>1367.6101699999999</v>
      </c>
      <c r="F5" s="1">
        <v>1465.64237</v>
      </c>
      <c r="G5" s="1">
        <v>1635.2905199999998</v>
      </c>
      <c r="H5" s="1">
        <v>1780.61752</v>
      </c>
      <c r="I5" s="1">
        <v>1595.93875</v>
      </c>
      <c r="J5" s="1">
        <v>1786.9530500000001</v>
      </c>
      <c r="K5" s="1">
        <v>1689.4682200000002</v>
      </c>
      <c r="L5" s="1">
        <v>1841.7654299999997</v>
      </c>
      <c r="M5" s="1">
        <v>1821.6637800000003</v>
      </c>
      <c r="N5" s="1">
        <v>1986.22118</v>
      </c>
      <c r="O5" s="1">
        <v>1164.9554500000002</v>
      </c>
      <c r="P5" s="1">
        <v>1332.0845200000001</v>
      </c>
      <c r="Q5" s="1">
        <v>1420.1134399999999</v>
      </c>
      <c r="R5" s="1">
        <v>854.68454000000008</v>
      </c>
      <c r="S5" s="1">
        <v>990.20461</v>
      </c>
      <c r="T5" s="1">
        <v>1002.7019600000001</v>
      </c>
      <c r="U5" s="1">
        <v>815.38188000000002</v>
      </c>
      <c r="V5" s="1">
        <v>798.32814999999994</v>
      </c>
      <c r="W5" s="1">
        <v>1019.4671600000001</v>
      </c>
      <c r="X5" s="1">
        <v>828.23662000000013</v>
      </c>
      <c r="Y5" s="1">
        <v>754.13275999999996</v>
      </c>
      <c r="Z5" s="1">
        <v>1765.2935500000001</v>
      </c>
      <c r="AA5" s="1">
        <v>1765.2935500000001</v>
      </c>
    </row>
    <row r="6" spans="2:27">
      <c r="B6" t="s">
        <v>104</v>
      </c>
      <c r="C6" t="s">
        <v>12</v>
      </c>
      <c r="D6" s="1">
        <v>1078.0474999999999</v>
      </c>
      <c r="E6" s="1">
        <v>1169.7068000000002</v>
      </c>
      <c r="F6" s="1">
        <v>1169.7068000000002</v>
      </c>
      <c r="G6" s="1">
        <v>1169.7068000000002</v>
      </c>
      <c r="H6" s="1">
        <v>1080.3575000000001</v>
      </c>
      <c r="I6" s="1">
        <v>1070.183</v>
      </c>
      <c r="J6" s="1">
        <v>1078.0999999999999</v>
      </c>
      <c r="K6" s="1">
        <v>1101.3785</v>
      </c>
      <c r="L6" s="1">
        <v>1116.2674999999999</v>
      </c>
      <c r="M6" s="1">
        <v>1082.2474999999999</v>
      </c>
      <c r="N6" s="1">
        <v>1052.018</v>
      </c>
      <c r="O6" s="1">
        <v>1054.7349999999999</v>
      </c>
      <c r="P6" s="1">
        <v>1030.8920000000001</v>
      </c>
      <c r="Q6" s="1">
        <v>1033.2860000000001</v>
      </c>
      <c r="R6" s="1">
        <v>1114.0815</v>
      </c>
      <c r="S6" s="1">
        <v>1134.4324999999999</v>
      </c>
      <c r="T6" s="1">
        <v>1132.826</v>
      </c>
      <c r="U6" s="1">
        <v>1201.9175</v>
      </c>
      <c r="V6" s="1">
        <v>1141.8665000000001</v>
      </c>
      <c r="W6" s="1">
        <v>1168.3895</v>
      </c>
      <c r="X6" s="1">
        <v>1214.9414999999999</v>
      </c>
      <c r="Y6" s="1">
        <v>1156.8710000000001</v>
      </c>
      <c r="Z6" s="1">
        <v>1169.2125000000001</v>
      </c>
      <c r="AA6" s="1">
        <v>1169.2125000000001</v>
      </c>
    </row>
    <row r="7" spans="2:27">
      <c r="B7" t="s">
        <v>104</v>
      </c>
      <c r="C7" t="s">
        <v>3</v>
      </c>
      <c r="D7" s="1">
        <v>4180.4503800000002</v>
      </c>
      <c r="E7" s="1">
        <v>3797.9377200000004</v>
      </c>
      <c r="F7" s="1">
        <v>3306.0249399999998</v>
      </c>
      <c r="G7" s="1">
        <v>2716.1780600000002</v>
      </c>
      <c r="H7" s="1">
        <v>2149.8544500000003</v>
      </c>
      <c r="I7" s="1">
        <v>1899.81044</v>
      </c>
      <c r="J7" s="1">
        <v>3781.6543900000001</v>
      </c>
      <c r="K7" s="1">
        <v>4056.9805200000001</v>
      </c>
      <c r="L7" s="1">
        <v>3976.0318600000001</v>
      </c>
      <c r="M7" s="1">
        <v>4357.3644000000004</v>
      </c>
      <c r="N7" s="1">
        <v>3914.9519799999998</v>
      </c>
      <c r="O7" s="1">
        <v>3323.02594</v>
      </c>
      <c r="P7" s="1">
        <v>4466.9498800000001</v>
      </c>
      <c r="Q7" s="1">
        <v>6631.5120499999994</v>
      </c>
      <c r="R7" s="1">
        <v>6707.7155000000002</v>
      </c>
      <c r="S7" s="1">
        <v>6850.3124400000006</v>
      </c>
      <c r="T7" s="1">
        <v>6367.9758899999997</v>
      </c>
      <c r="U7" s="1">
        <v>6015.8587699999998</v>
      </c>
      <c r="V7" s="1">
        <v>6992.1811900000002</v>
      </c>
      <c r="W7" s="1">
        <v>8718.1487300000008</v>
      </c>
      <c r="X7" s="1">
        <v>9215.9301699999996</v>
      </c>
      <c r="Y7" s="1">
        <v>8273.6734800000013</v>
      </c>
      <c r="Z7" s="1">
        <v>6614.6021900000005</v>
      </c>
      <c r="AA7" s="1">
        <v>5129.7747374093178</v>
      </c>
    </row>
    <row r="8" spans="2:27">
      <c r="B8" t="s">
        <v>104</v>
      </c>
      <c r="C8" t="s">
        <v>12</v>
      </c>
      <c r="D8" s="1">
        <v>-79.444359999999989</v>
      </c>
      <c r="E8" s="1">
        <v>-260.39737000000002</v>
      </c>
      <c r="F8" s="1">
        <v>-172.22132000000002</v>
      </c>
      <c r="G8" s="1">
        <v>-168.70632000000001</v>
      </c>
      <c r="H8" s="1">
        <v>-127.64818000000001</v>
      </c>
      <c r="I8" s="1">
        <v>1531.0489500000001</v>
      </c>
      <c r="J8" s="1">
        <v>855.69866999999999</v>
      </c>
      <c r="K8" s="1">
        <v>302.99826999999993</v>
      </c>
      <c r="L8" s="1">
        <v>94.979500000000002</v>
      </c>
      <c r="M8" s="1">
        <v>278.24743999999993</v>
      </c>
      <c r="N8" s="1">
        <v>1138.3363300000001</v>
      </c>
      <c r="O8" s="1">
        <v>2618.2781199999999</v>
      </c>
      <c r="P8" s="1">
        <v>2499.6373099999996</v>
      </c>
      <c r="Q8" s="1">
        <v>713.90399000000002</v>
      </c>
      <c r="R8" s="1">
        <v>198.87280000000004</v>
      </c>
      <c r="S8" s="1">
        <v>243.65960000000004</v>
      </c>
      <c r="T8" s="1">
        <v>396.90599000000003</v>
      </c>
      <c r="U8" s="1">
        <v>902.65840000000014</v>
      </c>
      <c r="V8" s="1">
        <v>1684.4611400000001</v>
      </c>
      <c r="W8" s="1">
        <v>788.90768999999989</v>
      </c>
      <c r="X8" s="1">
        <v>97.483999999999995</v>
      </c>
      <c r="Y8" s="1">
        <v>162.77649</v>
      </c>
      <c r="Z8" s="1">
        <v>157.81040999999996</v>
      </c>
      <c r="AA8" s="1">
        <v>157.81040999999996</v>
      </c>
    </row>
    <row r="9" spans="2:27">
      <c r="B9" t="s">
        <v>104</v>
      </c>
      <c r="C9" t="s">
        <v>9</v>
      </c>
      <c r="D9" s="1">
        <v>539.91501000000005</v>
      </c>
      <c r="E9" s="1">
        <v>984.5224300000001</v>
      </c>
      <c r="F9" s="1">
        <v>1241.2324099999998</v>
      </c>
      <c r="G9" s="1">
        <v>1442.4353999999998</v>
      </c>
      <c r="H9" s="1">
        <v>1970.14903</v>
      </c>
      <c r="I9" s="1">
        <v>2352.9461099999999</v>
      </c>
      <c r="J9" s="1">
        <v>1116.29654</v>
      </c>
      <c r="K9" s="1">
        <v>1104.1058500000001</v>
      </c>
      <c r="L9" s="1">
        <v>1069.7373600000001</v>
      </c>
      <c r="M9" s="1">
        <v>1022.65452</v>
      </c>
      <c r="N9" s="1">
        <v>1089.6299299999998</v>
      </c>
      <c r="O9" s="1">
        <v>1138.04555</v>
      </c>
      <c r="P9" s="1">
        <v>1316.97045</v>
      </c>
      <c r="Q9" s="1">
        <v>1422.8900100000001</v>
      </c>
      <c r="R9" s="1">
        <v>1477.00809</v>
      </c>
      <c r="S9" s="1">
        <v>1535.0910100000001</v>
      </c>
      <c r="T9" s="1">
        <v>1612.2792400000001</v>
      </c>
      <c r="U9" s="1">
        <v>1561.10609</v>
      </c>
      <c r="V9" s="1">
        <v>1650.83006</v>
      </c>
      <c r="W9" s="1">
        <v>1672.85375</v>
      </c>
      <c r="X9" s="1">
        <v>1642.8231799999999</v>
      </c>
      <c r="Y9" s="1">
        <v>1607.4878899999999</v>
      </c>
      <c r="Z9" s="1">
        <v>1580.2211299999999</v>
      </c>
      <c r="AA9" s="1">
        <v>1580.2211299999999</v>
      </c>
    </row>
    <row r="10" spans="2:27">
      <c r="B10" t="s">
        <v>104</v>
      </c>
      <c r="C10" t="s">
        <v>12</v>
      </c>
      <c r="D10" s="1">
        <v>277.85557</v>
      </c>
      <c r="E10" s="1">
        <v>354.47991000000002</v>
      </c>
      <c r="F10" s="1">
        <v>358.14173999999997</v>
      </c>
      <c r="G10" s="1">
        <v>359.43885</v>
      </c>
      <c r="H10" s="1">
        <v>341.00103000000001</v>
      </c>
      <c r="I10" s="1">
        <v>342.57407999999998</v>
      </c>
      <c r="J10" s="1">
        <v>344.18806000000001</v>
      </c>
      <c r="K10" s="1">
        <v>348.90800000000002</v>
      </c>
      <c r="L10" s="1">
        <v>355.68655000000001</v>
      </c>
      <c r="M10" s="1">
        <v>348.67980999999997</v>
      </c>
      <c r="N10" s="1">
        <v>342.45375999999999</v>
      </c>
      <c r="O10" s="1">
        <v>342.39294000000001</v>
      </c>
      <c r="P10" s="1">
        <v>407.58913999999999</v>
      </c>
      <c r="Q10" s="1">
        <v>408.08987000000002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2:27">
      <c r="B11" t="s">
        <v>104</v>
      </c>
      <c r="C11" t="s">
        <v>12</v>
      </c>
      <c r="D11" s="1">
        <v>11152.72754</v>
      </c>
      <c r="E11" s="1">
        <v>11159.30948</v>
      </c>
      <c r="F11" s="1">
        <v>11165.3362</v>
      </c>
      <c r="G11" s="1">
        <v>11190.684459999999</v>
      </c>
      <c r="H11" s="1">
        <v>11196.723840000001</v>
      </c>
      <c r="I11" s="1">
        <v>11201.353800000001</v>
      </c>
      <c r="J11" s="1">
        <v>11202.799449999999</v>
      </c>
      <c r="K11" s="1">
        <v>11211.71535</v>
      </c>
      <c r="L11" s="1">
        <v>11226.921420000001</v>
      </c>
      <c r="M11" s="1">
        <v>11217.42375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2:27">
      <c r="B12" t="s">
        <v>104</v>
      </c>
      <c r="C12" t="s">
        <v>11</v>
      </c>
      <c r="D12" s="1">
        <v>134.61816999999999</v>
      </c>
      <c r="E12" s="1">
        <v>135.21697</v>
      </c>
      <c r="F12" s="1">
        <v>136.29917</v>
      </c>
      <c r="G12" s="1">
        <v>146.82540000000003</v>
      </c>
      <c r="H12" s="1">
        <v>153.10258999999999</v>
      </c>
      <c r="I12" s="1">
        <v>153.65613000000002</v>
      </c>
      <c r="J12" s="1">
        <v>158.29820000000001</v>
      </c>
      <c r="K12" s="1">
        <v>161.55889000000002</v>
      </c>
      <c r="L12" s="1">
        <v>161.55889000000002</v>
      </c>
      <c r="M12" s="1">
        <v>163.14738</v>
      </c>
      <c r="N12" s="1">
        <v>167.22735999999998</v>
      </c>
      <c r="O12" s="1">
        <v>167.87949</v>
      </c>
      <c r="P12" s="1">
        <v>168.00466999999998</v>
      </c>
      <c r="Q12" s="1">
        <v>171.00995</v>
      </c>
      <c r="R12" s="1">
        <v>82.026510000000016</v>
      </c>
      <c r="S12" s="1">
        <v>82.026510000000016</v>
      </c>
      <c r="T12" s="1">
        <v>83.827790000000007</v>
      </c>
      <c r="U12" s="1">
        <v>85.84302000000001</v>
      </c>
      <c r="V12" s="1">
        <v>88.582660000000004</v>
      </c>
      <c r="W12" s="1">
        <v>88.582660000000004</v>
      </c>
      <c r="X12" s="1">
        <v>88.582660000000004</v>
      </c>
      <c r="Y12" s="1">
        <v>89.282520000000005</v>
      </c>
      <c r="Z12" s="1">
        <v>92.720500000000001</v>
      </c>
      <c r="AA12" s="1">
        <v>92.720500000000001</v>
      </c>
    </row>
    <row r="13" spans="2:27">
      <c r="B13" t="s">
        <v>104</v>
      </c>
      <c r="C13" t="s">
        <v>11</v>
      </c>
      <c r="D13" s="1">
        <v>-97.275170000000003</v>
      </c>
      <c r="E13" s="1">
        <v>-98.984169999999992</v>
      </c>
      <c r="F13" s="1">
        <v>-100.72149</v>
      </c>
      <c r="G13" s="1">
        <v>-102.46594</v>
      </c>
      <c r="H13" s="1">
        <v>-104.41037</v>
      </c>
      <c r="I13" s="1">
        <v>-106.35731</v>
      </c>
      <c r="J13" s="1">
        <v>-108.41611000000002</v>
      </c>
      <c r="K13" s="1">
        <v>-110.59155</v>
      </c>
      <c r="L13" s="1">
        <v>-112.77920999999999</v>
      </c>
      <c r="M13" s="1">
        <v>-114.96687</v>
      </c>
      <c r="N13" s="1">
        <v>-117.31198999999999</v>
      </c>
      <c r="O13" s="1">
        <v>-119.67574999999999</v>
      </c>
      <c r="P13" s="1">
        <v>-122.03249000000001</v>
      </c>
      <c r="Q13" s="1">
        <v>-124.39521999999999</v>
      </c>
      <c r="R13" s="1">
        <v>-33.187849999999997</v>
      </c>
      <c r="S13" s="1">
        <v>-36.583289999999998</v>
      </c>
      <c r="T13" s="1">
        <v>-38.525529999999996</v>
      </c>
      <c r="U13" s="1">
        <v>-40.52375</v>
      </c>
      <c r="V13" s="1">
        <v>-42.591229999999996</v>
      </c>
      <c r="W13" s="1">
        <v>-44.658710000000006</v>
      </c>
      <c r="X13" s="1">
        <v>-46.726190000000003</v>
      </c>
      <c r="Y13" s="1">
        <v>-48.76605</v>
      </c>
      <c r="Z13" s="1">
        <v>-50.736870000000003</v>
      </c>
      <c r="AA13" s="1">
        <v>-55.619846266812196</v>
      </c>
    </row>
    <row r="14" spans="2:27">
      <c r="B14" t="s">
        <v>104</v>
      </c>
      <c r="C14" t="s">
        <v>13</v>
      </c>
      <c r="D14" s="1">
        <v>1910.5463099999999</v>
      </c>
      <c r="E14" s="1">
        <v>1910.5463099999999</v>
      </c>
      <c r="F14" s="1">
        <v>1910.5463099999999</v>
      </c>
      <c r="G14" s="1">
        <v>1910.5463099999999</v>
      </c>
      <c r="H14" s="1">
        <v>1910.5463099999999</v>
      </c>
      <c r="I14" s="1">
        <v>1910.5463099999999</v>
      </c>
      <c r="J14" s="1">
        <v>1910.5463099999999</v>
      </c>
      <c r="K14" s="1">
        <v>1910.5463099999999</v>
      </c>
      <c r="L14" s="1">
        <v>1910.5463099999999</v>
      </c>
      <c r="M14" s="1">
        <v>1910.5463099999999</v>
      </c>
      <c r="N14" s="1">
        <v>1910.5463099999999</v>
      </c>
      <c r="O14" s="1">
        <v>1910.5463099999999</v>
      </c>
      <c r="P14" s="1">
        <v>1910.5463099999999</v>
      </c>
      <c r="Q14" s="1">
        <v>1910.5463099999999</v>
      </c>
      <c r="R14" s="1">
        <v>1219.02864</v>
      </c>
      <c r="S14" s="1">
        <v>1219.02864</v>
      </c>
      <c r="T14" s="1">
        <v>1219.02864</v>
      </c>
      <c r="U14" s="1">
        <v>1219.02864</v>
      </c>
      <c r="V14" s="1">
        <v>1219.02864</v>
      </c>
      <c r="W14" s="1">
        <v>1219.02864</v>
      </c>
      <c r="X14" s="1">
        <v>1219.02864</v>
      </c>
      <c r="Y14" s="1">
        <v>1219.02864</v>
      </c>
      <c r="Z14" s="1">
        <v>1219.02864</v>
      </c>
      <c r="AA14" s="1">
        <v>1219.02864</v>
      </c>
    </row>
    <row r="15" spans="2:27" s="71" customFormat="1">
      <c r="B15" t="s">
        <v>104</v>
      </c>
      <c r="C15" s="71" t="s">
        <v>13</v>
      </c>
      <c r="D15" s="72">
        <v>-755.68011999999999</v>
      </c>
      <c r="E15" s="72">
        <v>-789.48176000000001</v>
      </c>
      <c r="F15" s="72">
        <v>-823.28551000000004</v>
      </c>
      <c r="G15" s="72">
        <v>-857.09137999999996</v>
      </c>
      <c r="H15" s="72">
        <v>-890.89937999999995</v>
      </c>
      <c r="I15" s="72">
        <v>-868.84795999999994</v>
      </c>
      <c r="J15" s="72">
        <v>-893.34997999999996</v>
      </c>
      <c r="K15" s="72">
        <v>-917.85415</v>
      </c>
      <c r="L15" s="72">
        <v>-942.36047999999994</v>
      </c>
      <c r="M15" s="72">
        <v>-966.86897999999997</v>
      </c>
      <c r="N15" s="72">
        <v>-991.37966000000006</v>
      </c>
      <c r="O15" s="72">
        <v>-1015.89252</v>
      </c>
      <c r="P15" s="72">
        <v>-1040.4075699999999</v>
      </c>
      <c r="Q15" s="72">
        <v>-1064.9248300000002</v>
      </c>
      <c r="R15" s="72">
        <v>-397.92667</v>
      </c>
      <c r="S15" s="72">
        <v>-422.44835999999998</v>
      </c>
      <c r="T15" s="72">
        <v>-446.97227000000004</v>
      </c>
      <c r="U15" s="72">
        <v>-471.49842000000001</v>
      </c>
      <c r="V15" s="72">
        <v>-496.02681000000001</v>
      </c>
      <c r="W15" s="72">
        <v>-520.55745999999999</v>
      </c>
      <c r="X15" s="72">
        <v>-545.09037000000001</v>
      </c>
      <c r="Y15" s="72">
        <v>-569.62555000000009</v>
      </c>
      <c r="Z15" s="72">
        <v>-594.16300999999999</v>
      </c>
      <c r="AA15" s="72">
        <v>-744.96539000000007</v>
      </c>
    </row>
    <row r="16" spans="2:27">
      <c r="B16" t="s">
        <v>104</v>
      </c>
      <c r="C16" t="s">
        <v>11</v>
      </c>
      <c r="D16" s="1">
        <v>127.6</v>
      </c>
      <c r="E16" s="1">
        <v>127.6</v>
      </c>
      <c r="F16" s="1">
        <v>127.6</v>
      </c>
      <c r="G16" s="1">
        <v>127.6</v>
      </c>
      <c r="H16" s="1">
        <v>95</v>
      </c>
      <c r="I16" s="1">
        <v>95</v>
      </c>
      <c r="J16" s="1">
        <v>95</v>
      </c>
      <c r="K16" s="1">
        <v>95</v>
      </c>
      <c r="L16" s="1">
        <v>95</v>
      </c>
      <c r="M16" s="1">
        <v>95</v>
      </c>
      <c r="N16" s="1">
        <v>95</v>
      </c>
      <c r="O16" s="1">
        <v>95</v>
      </c>
      <c r="P16" s="1">
        <v>95</v>
      </c>
      <c r="Q16" s="1">
        <v>95</v>
      </c>
      <c r="R16" s="1">
        <v>95</v>
      </c>
      <c r="S16" s="1">
        <v>95</v>
      </c>
      <c r="T16" s="1">
        <v>95</v>
      </c>
      <c r="U16" s="1">
        <v>95</v>
      </c>
      <c r="V16" s="1">
        <v>95</v>
      </c>
      <c r="W16" s="1">
        <v>95</v>
      </c>
      <c r="X16" s="1">
        <v>95</v>
      </c>
      <c r="Y16" s="1">
        <v>95</v>
      </c>
      <c r="Z16" s="1">
        <v>95</v>
      </c>
      <c r="AA16" s="1">
        <v>95</v>
      </c>
    </row>
    <row r="17" spans="2:29">
      <c r="B17" t="s">
        <v>104</v>
      </c>
      <c r="C17" t="s">
        <v>81</v>
      </c>
      <c r="D17" s="1">
        <v>49452.048620000001</v>
      </c>
      <c r="E17" s="1">
        <v>49452.048620000001</v>
      </c>
      <c r="F17" s="1">
        <v>49452.048620000001</v>
      </c>
      <c r="G17" s="1">
        <v>49452.048620000001</v>
      </c>
      <c r="H17" s="1">
        <v>49452.048620000001</v>
      </c>
      <c r="I17" s="1">
        <v>49452.048620000001</v>
      </c>
      <c r="J17" s="1">
        <v>49452.048620000001</v>
      </c>
      <c r="K17" s="1">
        <v>49452.048620000001</v>
      </c>
      <c r="L17" s="1">
        <v>49452.048620000001</v>
      </c>
      <c r="M17" s="1">
        <v>49452.048620000001</v>
      </c>
      <c r="N17" s="1">
        <v>49452.048620000001</v>
      </c>
      <c r="O17" s="1">
        <v>49452.048620000001</v>
      </c>
      <c r="P17" s="1">
        <v>49452.048620000001</v>
      </c>
      <c r="Q17" s="1">
        <v>49452.048620000001</v>
      </c>
      <c r="R17" s="1">
        <v>47975.131310000004</v>
      </c>
      <c r="S17" s="1">
        <v>47975.131310000004</v>
      </c>
      <c r="T17" s="1">
        <v>47975.131310000004</v>
      </c>
      <c r="U17" s="1">
        <v>47975.131310000004</v>
      </c>
      <c r="V17" s="1">
        <v>47975.131310000004</v>
      </c>
      <c r="W17" s="1">
        <v>47975.131310000004</v>
      </c>
      <c r="X17" s="1">
        <v>47975.131310000004</v>
      </c>
      <c r="Y17" s="1">
        <v>47975.131310000004</v>
      </c>
      <c r="Z17" s="1">
        <v>47975.131310000004</v>
      </c>
      <c r="AA17" s="1">
        <v>47975.131310000004</v>
      </c>
    </row>
    <row r="18" spans="2:29" s="71" customFormat="1">
      <c r="B18" t="s">
        <v>104</v>
      </c>
      <c r="C18" s="71" t="s">
        <v>81</v>
      </c>
      <c r="D18" s="72">
        <v>-1558.2308499999881</v>
      </c>
      <c r="E18" s="72">
        <v>-1560.1855699999919</v>
      </c>
      <c r="F18" s="72">
        <v>-1562.1402899999944</v>
      </c>
      <c r="G18" s="72">
        <v>-1564.0950099999918</v>
      </c>
      <c r="H18" s="72">
        <v>-1566.0497299999961</v>
      </c>
      <c r="I18" s="72">
        <v>-1568.004449999994</v>
      </c>
      <c r="J18" s="72">
        <v>-1569.9591700000028</v>
      </c>
      <c r="K18" s="72">
        <v>-1571.9138899999971</v>
      </c>
      <c r="L18" s="72">
        <v>-1573.8686100000018</v>
      </c>
      <c r="M18" s="72">
        <v>-1575.8233299999999</v>
      </c>
      <c r="N18" s="72">
        <v>-1577.7780500000022</v>
      </c>
      <c r="O18" s="72">
        <v>-1579.7327699999937</v>
      </c>
      <c r="P18" s="72">
        <f>-1040.40757-541.279920000045</f>
        <v>-1581.687490000045</v>
      </c>
      <c r="Q18" s="72">
        <v>-1583.6422100000457</v>
      </c>
      <c r="R18" s="72">
        <v>-108.67962000003098</v>
      </c>
      <c r="S18" s="72">
        <v>-110.63434000003838</v>
      </c>
      <c r="T18" s="72">
        <v>-112.58906000004373</v>
      </c>
      <c r="U18" s="72">
        <v>-114.5437800000401</v>
      </c>
      <c r="V18" s="72">
        <v>-116.49850000004216</v>
      </c>
      <c r="W18" s="72">
        <v>-118.45322000004307</v>
      </c>
      <c r="X18" s="72">
        <v>-120.40794000005019</v>
      </c>
      <c r="Y18" s="72">
        <v>-122.36266000004559</v>
      </c>
      <c r="Z18" s="72">
        <v>-124.31738000004748</v>
      </c>
      <c r="AA18" s="72">
        <v>0</v>
      </c>
    </row>
    <row r="19" spans="2:29">
      <c r="B19" t="s">
        <v>104</v>
      </c>
      <c r="C19" t="s">
        <v>95</v>
      </c>
      <c r="D19" s="1">
        <v>3735.0108700000001</v>
      </c>
      <c r="E19" s="1">
        <v>3735.0108700000001</v>
      </c>
      <c r="F19" s="1">
        <v>3735.0108700000001</v>
      </c>
      <c r="G19" s="1">
        <v>3735.0108700000001</v>
      </c>
      <c r="H19" s="1">
        <v>3735.0108700000001</v>
      </c>
      <c r="I19" s="1">
        <v>3735.0108700000001</v>
      </c>
      <c r="J19" s="1">
        <v>3735.0108700000001</v>
      </c>
      <c r="K19" s="1">
        <v>3735.0108700000001</v>
      </c>
      <c r="L19" s="1">
        <v>3735.0108700000001</v>
      </c>
      <c r="M19" s="1">
        <v>3735.0108700000001</v>
      </c>
      <c r="N19" s="1">
        <v>3735.0108700000001</v>
      </c>
      <c r="O19" s="1">
        <v>3735.0108700000001</v>
      </c>
      <c r="P19" s="1">
        <v>3735.0108700000001</v>
      </c>
      <c r="Q19" s="1">
        <v>3735.0108700000001</v>
      </c>
      <c r="R19" s="1">
        <v>3735.0108700000001</v>
      </c>
      <c r="S19" s="1">
        <v>3735.0108700000001</v>
      </c>
      <c r="T19" s="1">
        <v>3735.0108700000001</v>
      </c>
      <c r="U19" s="1">
        <v>3735.0108700000001</v>
      </c>
      <c r="V19" s="1">
        <v>3735.0108700000001</v>
      </c>
      <c r="W19" s="1">
        <v>3735.0108700000001</v>
      </c>
      <c r="X19" s="1">
        <v>3735.0108700000001</v>
      </c>
      <c r="Y19" s="1">
        <v>3735.0108700000001</v>
      </c>
      <c r="Z19" s="1">
        <v>3735.0108700000001</v>
      </c>
      <c r="AA19" s="1">
        <v>3735.0108700000001</v>
      </c>
    </row>
    <row r="20" spans="2:29">
      <c r="B20" t="s">
        <v>106</v>
      </c>
      <c r="C20" t="s">
        <v>4</v>
      </c>
      <c r="D20" s="1">
        <v>1322.9978000000001</v>
      </c>
      <c r="E20" s="1">
        <v>1160.0818000000002</v>
      </c>
      <c r="F20" s="1">
        <v>1267.2363300000002</v>
      </c>
      <c r="G20" s="1">
        <v>1200.24461</v>
      </c>
      <c r="H20" s="1">
        <v>1509.6328000000001</v>
      </c>
      <c r="I20" s="1">
        <v>2667.0978200000004</v>
      </c>
      <c r="J20" s="1">
        <v>2754.5888000000004</v>
      </c>
      <c r="K20" s="1">
        <v>2327.5504200000005</v>
      </c>
      <c r="L20" s="1">
        <v>2070.0125699999999</v>
      </c>
      <c r="M20" s="1">
        <v>2707.5459599999999</v>
      </c>
      <c r="N20" s="1">
        <v>3780.0672500000005</v>
      </c>
      <c r="O20" s="1">
        <v>4741.2406300000002</v>
      </c>
      <c r="P20" s="1">
        <v>3623.62264</v>
      </c>
      <c r="Q20" s="1">
        <v>3821.7393900000002</v>
      </c>
      <c r="R20" s="1">
        <v>2156.5549699999997</v>
      </c>
      <c r="S20" s="1">
        <v>2085.8602900000001</v>
      </c>
      <c r="T20" s="1">
        <v>2617.1359700000007</v>
      </c>
      <c r="U20" s="1">
        <v>2694.38283</v>
      </c>
      <c r="V20" s="1">
        <v>3638.8180700000003</v>
      </c>
      <c r="W20" s="1">
        <v>2626.9518899999998</v>
      </c>
      <c r="X20" s="1">
        <v>2670.1893799999998</v>
      </c>
      <c r="Y20" s="1">
        <v>1859.0732700000001</v>
      </c>
      <c r="Z20" s="1">
        <v>1842.58356</v>
      </c>
      <c r="AA20" s="1">
        <v>2392.4295862585241</v>
      </c>
    </row>
    <row r="21" spans="2:29">
      <c r="B21" t="s">
        <v>106</v>
      </c>
      <c r="C21" t="s">
        <v>10</v>
      </c>
      <c r="D21" s="1">
        <v>926.41644999999994</v>
      </c>
      <c r="E21" s="1">
        <v>884.82439999999997</v>
      </c>
      <c r="F21" s="1">
        <v>367.08368999999993</v>
      </c>
      <c r="G21" s="1">
        <v>431.84234999999995</v>
      </c>
      <c r="H21" s="1">
        <v>229.10205999999999</v>
      </c>
      <c r="I21" s="1">
        <v>253.91583</v>
      </c>
      <c r="J21" s="1">
        <v>328.82836000000003</v>
      </c>
      <c r="K21" s="1">
        <v>408.96533000000005</v>
      </c>
      <c r="L21" s="1">
        <v>450.53290999999996</v>
      </c>
      <c r="M21" s="1">
        <v>583.65678000000003</v>
      </c>
      <c r="N21" s="1">
        <v>685.27139</v>
      </c>
      <c r="O21" s="1">
        <v>942.64472000000001</v>
      </c>
      <c r="P21" s="1">
        <v>701.60713999999996</v>
      </c>
      <c r="Q21" s="1">
        <v>836.46855000000005</v>
      </c>
      <c r="R21" s="1">
        <v>939.30832999999996</v>
      </c>
      <c r="S21" s="1">
        <v>1055.56899</v>
      </c>
      <c r="T21" s="1">
        <v>813.55531000000008</v>
      </c>
      <c r="U21" s="1">
        <v>549.13225</v>
      </c>
      <c r="V21" s="1">
        <v>1245.6066700000001</v>
      </c>
      <c r="W21" s="1">
        <v>1096.92345</v>
      </c>
      <c r="X21" s="1">
        <v>801.74466999999993</v>
      </c>
      <c r="Y21" s="1">
        <v>691.62139999999999</v>
      </c>
      <c r="Z21" s="1">
        <v>822.41582999999991</v>
      </c>
      <c r="AA21" s="1">
        <v>822.41582999999991</v>
      </c>
    </row>
    <row r="22" spans="2:29">
      <c r="B22" t="s">
        <v>106</v>
      </c>
      <c r="C22" t="s">
        <v>4</v>
      </c>
      <c r="D22" s="1">
        <v>11153.444149999999</v>
      </c>
      <c r="E22" s="1">
        <v>11194.113170000001</v>
      </c>
      <c r="F22" s="1">
        <v>11200.139889999999</v>
      </c>
      <c r="G22" s="1">
        <v>11225.488149999999</v>
      </c>
      <c r="H22" s="1">
        <v>11197.4419</v>
      </c>
      <c r="I22" s="1">
        <v>11202.065450000002</v>
      </c>
      <c r="J22" s="1">
        <v>11203.516089999999</v>
      </c>
      <c r="K22" s="1">
        <v>11212.44666</v>
      </c>
      <c r="L22" s="1">
        <v>11227.662119999999</v>
      </c>
      <c r="M22" s="1">
        <v>11218.143</v>
      </c>
      <c r="N22" s="1">
        <v>0.70019999999931315</v>
      </c>
      <c r="O22" s="1">
        <v>0.68930000000000291</v>
      </c>
      <c r="P22" s="1">
        <v>0.6868800000011106</v>
      </c>
      <c r="Q22" s="1">
        <v>0.68839000000116357</v>
      </c>
      <c r="R22" s="1">
        <v>0.71600000000034925</v>
      </c>
      <c r="S22" s="1">
        <v>0.75215000000025611</v>
      </c>
      <c r="T22" s="1">
        <v>0.75114000000030501</v>
      </c>
      <c r="U22" s="1">
        <v>0.77578999999968801</v>
      </c>
      <c r="V22" s="1">
        <v>0.75684000000001106</v>
      </c>
      <c r="W22" s="1">
        <v>0.77355999999963387</v>
      </c>
      <c r="X22" s="1">
        <v>0.77769000000080268</v>
      </c>
      <c r="Y22" s="1">
        <v>0.76629999999931897</v>
      </c>
      <c r="Z22" s="1">
        <v>0.76778000002104818</v>
      </c>
      <c r="AA22" s="1">
        <v>0.76778000002104818</v>
      </c>
    </row>
    <row r="23" spans="2:29">
      <c r="B23" t="s">
        <v>106</v>
      </c>
      <c r="C23" t="s">
        <v>14</v>
      </c>
      <c r="D23" s="1">
        <v>218.27576000000002</v>
      </c>
      <c r="E23" s="1">
        <v>199.12335999999999</v>
      </c>
      <c r="F23" s="1">
        <v>179.81124</v>
      </c>
      <c r="G23" s="1">
        <v>160.33807999999999</v>
      </c>
      <c r="H23" s="1">
        <v>140.70251999999999</v>
      </c>
      <c r="I23" s="1">
        <v>120.90321</v>
      </c>
      <c r="J23" s="1">
        <v>100.93879</v>
      </c>
      <c r="K23" s="1">
        <v>80.80789</v>
      </c>
      <c r="L23" s="1">
        <v>60.50911</v>
      </c>
      <c r="M23" s="1">
        <v>40.041050000000006</v>
      </c>
      <c r="N23" s="1">
        <v>19.4023</v>
      </c>
      <c r="O23" s="1">
        <v>283.07646999999997</v>
      </c>
      <c r="P23" s="1">
        <v>286.30716999999999</v>
      </c>
      <c r="Q23" s="1">
        <v>289.56466999999998</v>
      </c>
      <c r="R23" s="1">
        <v>216.92142999999999</v>
      </c>
      <c r="S23" s="1">
        <v>295.55263000000002</v>
      </c>
      <c r="T23" s="1">
        <v>298.28122999999999</v>
      </c>
      <c r="U23" s="1">
        <v>301.03519</v>
      </c>
      <c r="V23" s="1">
        <v>303.81473</v>
      </c>
      <c r="W23" s="1">
        <v>306.62008000000003</v>
      </c>
      <c r="X23" s="1">
        <v>309.45146</v>
      </c>
      <c r="Y23" s="1">
        <v>312.3091</v>
      </c>
      <c r="Z23" s="1">
        <v>315.19322999999997</v>
      </c>
      <c r="AA23" s="1">
        <v>318.19322999999997</v>
      </c>
    </row>
    <row r="24" spans="2:29">
      <c r="B24" t="s">
        <v>106</v>
      </c>
      <c r="C24" t="s">
        <v>6</v>
      </c>
      <c r="D24" s="1">
        <v>6671.5609899999999</v>
      </c>
      <c r="E24" s="1">
        <v>6695.3171500000008</v>
      </c>
      <c r="F24" s="1">
        <v>6720.7116599999999</v>
      </c>
      <c r="G24" s="1">
        <v>6745.2870000000003</v>
      </c>
      <c r="H24" s="1">
        <v>6770.6815099999994</v>
      </c>
      <c r="I24" s="1">
        <v>6795.2568499999998</v>
      </c>
      <c r="J24" s="1">
        <v>7821.6595800000005</v>
      </c>
      <c r="K24" s="1">
        <v>7850.9609400000008</v>
      </c>
      <c r="L24" s="1">
        <v>7879.3170999999993</v>
      </c>
      <c r="M24" s="1">
        <v>7908.6184599999997</v>
      </c>
      <c r="N24" s="1">
        <v>7936.97462</v>
      </c>
      <c r="O24" s="1">
        <v>10500</v>
      </c>
      <c r="P24" s="1">
        <v>11012.212960000001</v>
      </c>
      <c r="Q24" s="1">
        <v>11049.265009999999</v>
      </c>
      <c r="R24" s="1">
        <v>13593.75267</v>
      </c>
      <c r="S24" s="1">
        <v>13642.903350000001</v>
      </c>
      <c r="T24" s="1">
        <v>13693.69238</v>
      </c>
      <c r="U24" s="1">
        <v>13742.843060000001</v>
      </c>
      <c r="V24" s="1">
        <v>15799.177300000001</v>
      </c>
      <c r="W24" s="1">
        <v>17864.83756</v>
      </c>
      <c r="X24" s="1">
        <v>17929.111519999999</v>
      </c>
      <c r="Y24" s="1">
        <v>21006.870420000003</v>
      </c>
      <c r="Z24" s="1">
        <v>21082.486850000001</v>
      </c>
      <c r="AA24" s="1">
        <v>21082.486850000001</v>
      </c>
    </row>
    <row r="25" spans="2:29">
      <c r="B25" t="s">
        <v>106</v>
      </c>
      <c r="C25" t="s">
        <v>88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  <row r="26" spans="2:29">
      <c r="B26" t="s">
        <v>106</v>
      </c>
      <c r="C26" t="s">
        <v>90</v>
      </c>
      <c r="D26" s="1">
        <v>692.13351</v>
      </c>
      <c r="E26" s="1">
        <v>635.22343000000001</v>
      </c>
      <c r="F26" s="1">
        <v>578.31335000000001</v>
      </c>
      <c r="G26" s="1">
        <v>669.04890999999998</v>
      </c>
      <c r="H26" s="1">
        <v>613.50101000000006</v>
      </c>
      <c r="I26" s="1">
        <v>557.95311000000004</v>
      </c>
      <c r="J26" s="1">
        <v>677.08663999999999</v>
      </c>
      <c r="K26" s="1">
        <v>573.47894999999994</v>
      </c>
      <c r="L26" s="1">
        <v>481.73149000000001</v>
      </c>
      <c r="M26" s="1">
        <v>565.67565000000002</v>
      </c>
      <c r="N26" s="1">
        <v>504.36869999999999</v>
      </c>
      <c r="O26" s="1">
        <v>443.06175000000002</v>
      </c>
      <c r="P26" s="1">
        <v>873.21583999999996</v>
      </c>
      <c r="Q26" s="1">
        <v>826.9753199999999</v>
      </c>
      <c r="R26" s="1">
        <v>840.48215000000005</v>
      </c>
      <c r="S26" s="1">
        <v>895.51469999999995</v>
      </c>
      <c r="T26" s="1">
        <v>844.19614999999999</v>
      </c>
      <c r="U26" s="1">
        <v>792.87760000000003</v>
      </c>
      <c r="V26" s="1">
        <v>822.78931999999998</v>
      </c>
      <c r="W26" s="1">
        <v>770.72106999999994</v>
      </c>
      <c r="X26" s="1">
        <v>718.65281999999991</v>
      </c>
      <c r="Y26" s="1">
        <v>772.55825000000004</v>
      </c>
      <c r="Z26" s="1">
        <v>720.48182999999995</v>
      </c>
      <c r="AA26" s="1">
        <v>668.86318499999993</v>
      </c>
    </row>
    <row r="27" spans="2:29">
      <c r="B27" t="s">
        <v>106</v>
      </c>
      <c r="C27" t="s">
        <v>14</v>
      </c>
      <c r="D27" s="1">
        <v>1013.73252</v>
      </c>
      <c r="E27" s="1">
        <v>1013.15592</v>
      </c>
      <c r="F27" s="1">
        <v>1012.5771099999999</v>
      </c>
      <c r="G27" s="1">
        <v>1011.99608</v>
      </c>
      <c r="H27" s="1">
        <v>1011.41283</v>
      </c>
      <c r="I27" s="1">
        <v>1010.8273399999999</v>
      </c>
      <c r="J27" s="1">
        <v>1010.23961</v>
      </c>
      <c r="K27" s="1">
        <v>1009.64962</v>
      </c>
      <c r="L27" s="1">
        <v>1009.05737</v>
      </c>
      <c r="M27" s="1">
        <v>1008.46285</v>
      </c>
      <c r="N27" s="1">
        <v>1007.8660500000001</v>
      </c>
      <c r="O27" s="1">
        <v>721.90483999999992</v>
      </c>
      <c r="P27" s="1">
        <v>696.20394999999996</v>
      </c>
      <c r="Q27" s="1">
        <v>670.29158999999993</v>
      </c>
      <c r="R27" s="1">
        <v>710.12023999999997</v>
      </c>
      <c r="S27" s="1">
        <v>608.46024</v>
      </c>
      <c r="T27" s="1">
        <v>582.5135600000001</v>
      </c>
      <c r="U27" s="1">
        <v>556.35066000000006</v>
      </c>
      <c r="V27" s="1">
        <v>529.96974</v>
      </c>
      <c r="W27" s="1">
        <v>503.36896999999999</v>
      </c>
      <c r="X27" s="1">
        <v>476.54653000000002</v>
      </c>
      <c r="Y27" s="1">
        <v>449.50056999999998</v>
      </c>
      <c r="Z27" s="1">
        <v>422.22922999999997</v>
      </c>
      <c r="AA27" s="1">
        <v>396.22922999999997</v>
      </c>
    </row>
    <row r="28" spans="2:29">
      <c r="B28" t="s">
        <v>108</v>
      </c>
      <c r="C28" t="s">
        <v>92</v>
      </c>
      <c r="D28" s="1">
        <v>60672.168100000003</v>
      </c>
      <c r="E28" s="1">
        <v>60672.168100000003</v>
      </c>
      <c r="F28" s="1">
        <v>60672.168100000003</v>
      </c>
      <c r="G28" s="1">
        <v>60672.168100000003</v>
      </c>
      <c r="H28" s="1">
        <v>60672.168100000003</v>
      </c>
      <c r="I28" s="1">
        <v>60672.168100000003</v>
      </c>
      <c r="J28" s="1">
        <v>60672.168100000003</v>
      </c>
      <c r="K28" s="1">
        <v>60672.168100000003</v>
      </c>
      <c r="L28" s="1">
        <v>60672.168100000003</v>
      </c>
      <c r="M28" s="1">
        <v>60672.168100000003</v>
      </c>
      <c r="N28" s="1">
        <v>60672.168100000003</v>
      </c>
      <c r="O28" s="1">
        <v>60672.168100000003</v>
      </c>
      <c r="P28" s="1">
        <v>60672.168100000003</v>
      </c>
      <c r="Q28" s="1">
        <v>60672.168100000003</v>
      </c>
      <c r="R28" s="1">
        <v>60672.168100000003</v>
      </c>
      <c r="S28" s="1">
        <v>60672.168100000003</v>
      </c>
      <c r="T28" s="1">
        <v>60672.168100000003</v>
      </c>
      <c r="U28" s="1">
        <v>60672.168100000003</v>
      </c>
      <c r="V28" s="1">
        <v>60672.168100000003</v>
      </c>
      <c r="W28" s="1">
        <v>60672.168100000003</v>
      </c>
      <c r="X28" s="1">
        <v>60672.168100000003</v>
      </c>
      <c r="Y28" s="1">
        <v>60672.168100000003</v>
      </c>
      <c r="Z28" s="1">
        <v>60672.168100000003</v>
      </c>
      <c r="AA28" s="1">
        <v>60672.168100000003</v>
      </c>
    </row>
    <row r="29" spans="2:29">
      <c r="B29" t="s">
        <v>108</v>
      </c>
      <c r="C29" t="s">
        <v>7</v>
      </c>
      <c r="D29" s="1">
        <v>-9500.8727900000013</v>
      </c>
      <c r="E29" s="1">
        <v>-9376.375469999999</v>
      </c>
      <c r="F29" s="1">
        <v>-9016.159599999999</v>
      </c>
      <c r="G29" s="1">
        <v>-8809.9936400000006</v>
      </c>
      <c r="H29" s="1">
        <v>-8941.6555299999964</v>
      </c>
      <c r="I29" s="1">
        <v>-9039.9533899999988</v>
      </c>
      <c r="J29" s="1">
        <v>-10973.967069999997</v>
      </c>
      <c r="K29" s="1">
        <v>-11185.250480000004</v>
      </c>
      <c r="L29" s="1">
        <v>-11164.282420000001</v>
      </c>
      <c r="M29" s="1">
        <v>-11714.955409999999</v>
      </c>
      <c r="N29" s="1">
        <v>-12116.548770000003</v>
      </c>
      <c r="O29" s="1">
        <v>-12453.393759999997</v>
      </c>
      <c r="P29" s="1">
        <v>-12853.484720000048</v>
      </c>
      <c r="Q29" s="1">
        <v>-13266.536640000048</v>
      </c>
      <c r="R29" s="1">
        <v>-14264.493460000045</v>
      </c>
      <c r="S29" s="1">
        <v>-14686.886480000047</v>
      </c>
      <c r="T29" s="1">
        <v>-15020.400350000044</v>
      </c>
      <c r="U29" s="1">
        <v>-15833.784160000045</v>
      </c>
      <c r="V29" s="1">
        <v>-17495.328740000048</v>
      </c>
      <c r="W29" s="1">
        <v>-17878.444420000047</v>
      </c>
      <c r="X29" s="1">
        <v>-17832.909490000042</v>
      </c>
      <c r="Y29" s="1">
        <v>-18595.148330000036</v>
      </c>
      <c r="Z29" s="1">
        <v>-19039.879030000051</v>
      </c>
      <c r="AA29" s="1">
        <v>-20023.49353744305</v>
      </c>
    </row>
    <row r="30" spans="2:29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2" spans="2:29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4" spans="4:27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4:27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4:27"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5877-B5C7-48C6-BA95-A0784663707B}">
  <dimension ref="C6:Q36"/>
  <sheetViews>
    <sheetView topLeftCell="A5" zoomScale="130" zoomScaleNormal="130" workbookViewId="0">
      <selection activeCell="N9" sqref="M9:N9"/>
    </sheetView>
    <sheetView topLeftCell="A10" zoomScale="115" zoomScaleNormal="115" workbookViewId="1">
      <selection activeCell="Q32" sqref="O32:Q32"/>
    </sheetView>
  </sheetViews>
  <sheetFormatPr defaultRowHeight="16.5"/>
  <cols>
    <col min="3" max="3" width="21.25" customWidth="1"/>
    <col min="4" max="4" width="9.375" bestFit="1" customWidth="1"/>
    <col min="5" max="8" width="9.125" bestFit="1" customWidth="1"/>
    <col min="9" max="10" width="9.375" bestFit="1" customWidth="1"/>
    <col min="11" max="14" width="9.125" bestFit="1" customWidth="1"/>
  </cols>
  <sheetData>
    <row r="6" spans="3:17">
      <c r="C6" s="1" t="s">
        <v>0</v>
      </c>
      <c r="D6" s="76">
        <v>45658</v>
      </c>
      <c r="E6" s="76">
        <v>45689</v>
      </c>
      <c r="F6" s="76">
        <v>45717</v>
      </c>
      <c r="G6" s="76">
        <v>45748</v>
      </c>
      <c r="H6" s="76">
        <v>45778</v>
      </c>
      <c r="I6" s="76">
        <v>45809</v>
      </c>
      <c r="J6" s="76">
        <v>45839</v>
      </c>
      <c r="K6" s="76">
        <v>45870</v>
      </c>
      <c r="L6" s="76">
        <v>45901</v>
      </c>
      <c r="M6" s="76">
        <v>45931</v>
      </c>
      <c r="N6" s="76">
        <v>45962</v>
      </c>
      <c r="O6" s="76">
        <v>45992</v>
      </c>
      <c r="P6" s="76">
        <v>45597</v>
      </c>
      <c r="Q6" s="76">
        <v>45627</v>
      </c>
    </row>
    <row r="7" spans="3:17">
      <c r="C7" s="1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3:17">
      <c r="C8" s="1" t="s">
        <v>75</v>
      </c>
      <c r="D8" s="1">
        <f>+VLOOKUP(C8,Sheet6!$C$7:$Q$28,2,0)</f>
        <v>1332.0845200000001</v>
      </c>
      <c r="E8" s="1">
        <f>+VLOOKUP(C8,Sheet6!$C$7:$Q$28,3,0)</f>
        <v>1420.1134399999999</v>
      </c>
      <c r="F8" s="1">
        <f>+VLOOKUP(C8,Sheet6!$C$7:$Q$28,4,0)</f>
        <v>854.68454000000008</v>
      </c>
      <c r="G8" s="1">
        <f>+VLOOKUP(C8,Sheet6!$C$7:$Q$28,5,0)</f>
        <v>990.20461</v>
      </c>
      <c r="H8" s="1">
        <f>+VLOOKUP(C8,Sheet6!$C$7:$Q$28,6,0)</f>
        <v>1002.7019600000001</v>
      </c>
      <c r="I8" s="1">
        <f>+VLOOKUP(C8,Sheet6!$C$7:$Q$28,7,0)</f>
        <v>815.38188000000002</v>
      </c>
      <c r="J8" s="1">
        <f>+VLOOKUP(C8,Sheet6!$C$7:$Q$28,8,0)</f>
        <v>798.32814999999994</v>
      </c>
      <c r="K8" s="1">
        <f>+VLOOKUP(C8,Sheet6!$C$7:$Q$28,9,0)</f>
        <v>1019.4671600000001</v>
      </c>
      <c r="L8" s="1">
        <f>+VLOOKUP(C8,Sheet6!$C$7:$Q$28,10,0)</f>
        <v>828.23662000000013</v>
      </c>
      <c r="M8" s="1">
        <f>+VLOOKUP(C8,Sheet6!$C$7:$Q$28,11,0)</f>
        <v>754.13275999999996</v>
      </c>
      <c r="N8" s="1">
        <f>+VLOOKUP(C8,Sheet6!$C$7:$Q$28,12,0)</f>
        <v>1765.2935500000001</v>
      </c>
      <c r="O8" s="1">
        <f>+VLOOKUP(C8,Sheet6!$C$7:$Q$28,13,0)</f>
        <v>1765.2935500000001</v>
      </c>
      <c r="P8" s="1">
        <f>+VLOOKUP(C8,Sheet6!$C$7:$Q$28,14,0)</f>
        <v>1986.22118</v>
      </c>
      <c r="Q8" s="1">
        <f>+VLOOKUP(C8,Sheet6!$C$7:$Q$28,15,0)</f>
        <v>1164.9554500000002</v>
      </c>
    </row>
    <row r="9" spans="3:17">
      <c r="C9" s="1" t="s">
        <v>76</v>
      </c>
      <c r="D9" s="1">
        <v>6854.2148100000068</v>
      </c>
      <c r="E9" s="1">
        <v>7231.1812600000003</v>
      </c>
      <c r="F9" s="1">
        <v>6800.6485999999832</v>
      </c>
      <c r="G9" s="1">
        <v>6986.5394499999966</v>
      </c>
      <c r="H9" s="1">
        <v>6656.1434599999984</v>
      </c>
      <c r="I9" s="1">
        <v>6808.6615399999946</v>
      </c>
      <c r="J9" s="1">
        <v>8565.8596899999957</v>
      </c>
      <c r="K9" s="1">
        <v>9395.5385499999975</v>
      </c>
      <c r="L9" s="1">
        <v>9201.3544500000098</v>
      </c>
      <c r="M9" s="1">
        <v>8324.0433900000135</v>
      </c>
      <c r="N9" s="1">
        <v>6659.855770000021</v>
      </c>
      <c r="O9" s="1">
        <f>+VLOOKUP(C9,Sheet6!$C$7:$Q$28,13,0)</f>
        <v>5129.7747374093178</v>
      </c>
      <c r="P9" s="1">
        <f>+VLOOKUP(C9,Sheet6!$C$7:$Q$28,14,0)+1138</f>
        <v>5052.9519799999998</v>
      </c>
      <c r="Q9" s="1">
        <f>+VLOOKUP(C9,Sheet6!$C$7:$Q$28,15,0)+2628</f>
        <v>5951.0259399999995</v>
      </c>
    </row>
    <row r="10" spans="3:17">
      <c r="C10" s="1" t="s">
        <v>84</v>
      </c>
      <c r="D10" s="1">
        <f>(+VLOOKUP(C10,Sheet6!$C$7:$Q$28,2,0))*-1</f>
        <v>-3624.3095200000012</v>
      </c>
      <c r="E10" s="1">
        <f>(+VLOOKUP(C10,Sheet6!$C$7:$Q$28,3,0))*-1</f>
        <v>-3822.4277800000013</v>
      </c>
      <c r="F10" s="1">
        <f>(+VLOOKUP(C10,Sheet6!$C$7:$Q$28,4,0))*-1</f>
        <v>-2157.27097</v>
      </c>
      <c r="G10" s="1">
        <f>(+VLOOKUP(C10,Sheet6!$C$7:$Q$28,5,0))*-1</f>
        <v>-2086.6124400000003</v>
      </c>
      <c r="H10" s="1">
        <f>(+VLOOKUP(C10,Sheet6!$C$7:$Q$28,6,0))*-1</f>
        <v>-2617.887110000001</v>
      </c>
      <c r="I10" s="1">
        <f>(+VLOOKUP(C10,Sheet6!$C$7:$Q$28,7,0))*-1</f>
        <v>-2695.1586199999997</v>
      </c>
      <c r="J10" s="1">
        <f>(+VLOOKUP(C10,Sheet6!$C$7:$Q$28,8,0))*-1</f>
        <v>-3639.5749100000003</v>
      </c>
      <c r="K10" s="1">
        <f>(+VLOOKUP(C10,Sheet6!$C$7:$Q$28,9,0))*-1</f>
        <v>-2627.7254499999995</v>
      </c>
      <c r="L10" s="1">
        <f>(+VLOOKUP(C10,Sheet6!$C$7:$Q$28,10,0))*-1</f>
        <v>-2670.9670700000006</v>
      </c>
      <c r="M10" s="1">
        <f>(+VLOOKUP(C10,Sheet6!$C$7:$Q$28,11,0))*-1</f>
        <v>-1859.8395699999994</v>
      </c>
      <c r="N10" s="1">
        <f>(+VLOOKUP(C10,Sheet6!$C$7:$Q$28,12,0))*-1</f>
        <v>-1843.3513400000211</v>
      </c>
      <c r="O10" s="1">
        <f>(+VLOOKUP(C10,Sheet6!$C$7:$Q$28,13,0))*-1</f>
        <v>-2393.1973662585451</v>
      </c>
      <c r="P10" s="1">
        <f>(+VLOOKUP(C10,Sheet6!$C$7:$Q$28,14,0))*-1</f>
        <v>-3780.7674499999998</v>
      </c>
      <c r="Q10" s="1">
        <f>(+VLOOKUP(C10,Sheet6!$C$7:$Q$28,15,0))*-1</f>
        <v>-4741.9299300000002</v>
      </c>
    </row>
    <row r="11" spans="3:17">
      <c r="C11" s="1" t="s">
        <v>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3:17">
      <c r="C12" s="1" t="s">
        <v>74</v>
      </c>
      <c r="D12" s="1">
        <f>+VLOOKUP(C12,Sheet6!$C$7:$Q$28,2,0)</f>
        <v>1341.9337399999999</v>
      </c>
      <c r="E12" s="1">
        <f>+VLOOKUP(C12,Sheet6!$C$7:$Q$28,3,0)</f>
        <v>680.17552999999998</v>
      </c>
      <c r="F12" s="1">
        <f>+VLOOKUP(C12,Sheet6!$C$7:$Q$28,4,0)</f>
        <v>1946.7648100000001</v>
      </c>
      <c r="G12" s="1">
        <f>+VLOOKUP(C12,Sheet6!$C$7:$Q$28,5,0)</f>
        <v>1279.66247</v>
      </c>
      <c r="H12" s="1">
        <f>+VLOOKUP(C12,Sheet6!$C$7:$Q$28,6,0)</f>
        <v>1479.2926600000001</v>
      </c>
      <c r="I12" s="1">
        <f>+VLOOKUP(C12,Sheet6!$C$7:$Q$28,7,0)</f>
        <v>495.41079000000002</v>
      </c>
      <c r="J12" s="1">
        <f>+VLOOKUP(C12,Sheet6!$C$7:$Q$28,8,0)</f>
        <v>792.46805000000006</v>
      </c>
      <c r="K12" s="1">
        <f>+VLOOKUP(C12,Sheet6!$C$7:$Q$28,9,0)</f>
        <v>167.06933999999998</v>
      </c>
      <c r="L12" s="1">
        <f>+VLOOKUP(C12,Sheet6!$C$7:$Q$28,10,0)</f>
        <v>345.78823</v>
      </c>
      <c r="M12" s="1">
        <f>+VLOOKUP(C12,Sheet6!$C$7:$Q$28,11,0)</f>
        <v>2842.0783799999999</v>
      </c>
      <c r="N12" s="1">
        <f>+VLOOKUP(C12,Sheet6!$C$7:$Q$28,12,0)</f>
        <v>3203.6335399999998</v>
      </c>
      <c r="O12" s="1">
        <f>+VLOOKUP(C12,Sheet6!$C$7:$Q$28,13,0)</f>
        <v>4211.4418426730281</v>
      </c>
      <c r="P12" s="1">
        <f>+VLOOKUP(C12,Sheet6!$C$7:$Q$28,14,0)</f>
        <v>293.29519999999997</v>
      </c>
      <c r="Q12" s="1">
        <f>+VLOOKUP(C12,Sheet6!$C$7:$Q$28,15,0)</f>
        <v>3564.7747999999997</v>
      </c>
    </row>
    <row r="13" spans="3:17">
      <c r="C13" s="1" t="s">
        <v>87</v>
      </c>
      <c r="D13" s="1">
        <f>(+VLOOKUP(C13,Sheet6!$C$7:$Q$28,2,0))*-1</f>
        <v>-11012.212960000001</v>
      </c>
      <c r="E13" s="1">
        <f>(+VLOOKUP(C13,Sheet6!$C$7:$Q$28,3,0))*-1</f>
        <v>-11049.265009999999</v>
      </c>
      <c r="F13" s="1">
        <f>(+VLOOKUP(C13,Sheet6!$C$7:$Q$28,4,0))*-1</f>
        <v>-13593.75267</v>
      </c>
      <c r="G13" s="1">
        <f>(+VLOOKUP(C13,Sheet6!$C$7:$Q$28,5,0))*-1</f>
        <v>-13642.903350000001</v>
      </c>
      <c r="H13" s="1">
        <f>(+VLOOKUP(C13,Sheet6!$C$7:$Q$28,6,0))*-1</f>
        <v>-13693.69238</v>
      </c>
      <c r="I13" s="1">
        <f>(+VLOOKUP(C13,Sheet6!$C$7:$Q$28,7,0))*-1</f>
        <v>-13742.843060000001</v>
      </c>
      <c r="J13" s="1">
        <f>(+VLOOKUP(C13,Sheet6!$C$7:$Q$28,8,0))*-1</f>
        <v>-15799.177300000001</v>
      </c>
      <c r="K13" s="1">
        <f>(+VLOOKUP(C13,Sheet6!$C$7:$Q$28,9,0))*-1</f>
        <v>-17864.83756</v>
      </c>
      <c r="L13" s="1">
        <f>(+VLOOKUP(C13,Sheet6!$C$7:$Q$28,10,0))*-1</f>
        <v>-17929.111519999999</v>
      </c>
      <c r="M13" s="1">
        <f>(+VLOOKUP(C13,Sheet6!$C$7:$Q$28,11,0))*-1</f>
        <v>-21006.870420000003</v>
      </c>
      <c r="N13" s="1">
        <f>(+VLOOKUP(C13,Sheet6!$C$7:$Q$28,12,0))*-1</f>
        <v>-21082.486850000001</v>
      </c>
      <c r="O13" s="1">
        <f>(+VLOOKUP(C13,Sheet6!$C$7:$Q$28,13,0))*-1</f>
        <v>-21082.486850000001</v>
      </c>
      <c r="P13" s="1">
        <f>(+VLOOKUP(C13,Sheet6!$C$7:$Q$28,14,0))*-1</f>
        <v>-7936.97462</v>
      </c>
      <c r="Q13" s="1">
        <f>(+VLOOKUP(C13,Sheet6!$C$7:$Q$28,15,0))*-1</f>
        <v>-10500</v>
      </c>
    </row>
    <row r="14" spans="3:17">
      <c r="C14" s="1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3:17">
      <c r="C15" s="1" t="s">
        <v>77</v>
      </c>
      <c r="D15" s="1">
        <f>+VLOOKUP(C15,Sheet6!$C$7:$Q$28,2,0)</f>
        <v>1316.97045</v>
      </c>
      <c r="E15" s="1">
        <f>+VLOOKUP(C15,Sheet6!$C$7:$Q$28,3,0)</f>
        <v>1422.8900100000001</v>
      </c>
      <c r="F15" s="1">
        <f>+VLOOKUP(C15,Sheet6!$C$7:$Q$28,4,0)</f>
        <v>1477.00809</v>
      </c>
      <c r="G15" s="1">
        <f>+VLOOKUP(C15,Sheet6!$C$7:$Q$28,5,0)</f>
        <v>1535.0910100000001</v>
      </c>
      <c r="H15" s="1">
        <f>+VLOOKUP(C15,Sheet6!$C$7:$Q$28,6,0)</f>
        <v>1612.2792400000001</v>
      </c>
      <c r="I15" s="1">
        <f>+VLOOKUP(C15,Sheet6!$C$7:$Q$28,7,0)</f>
        <v>1561.10609</v>
      </c>
      <c r="J15" s="1">
        <f>+VLOOKUP(C15,Sheet6!$C$7:$Q$28,8,0)</f>
        <v>1650.83006</v>
      </c>
      <c r="K15" s="1">
        <f>+VLOOKUP(C15,Sheet6!$C$7:$Q$28,9,0)</f>
        <v>1672.85375</v>
      </c>
      <c r="L15" s="1">
        <f>+VLOOKUP(C15,Sheet6!$C$7:$Q$28,10,0)</f>
        <v>1642.8231799999999</v>
      </c>
      <c r="M15" s="1">
        <f>+VLOOKUP(C15,Sheet6!$C$7:$Q$28,11,0)</f>
        <v>1607.4878899999999</v>
      </c>
      <c r="N15" s="1">
        <f>+VLOOKUP(C15,Sheet6!$C$7:$Q$28,12,0)</f>
        <v>1580.2211299999999</v>
      </c>
      <c r="O15" s="1">
        <f>+VLOOKUP(C15,Sheet6!$C$7:$Q$28,13,0)</f>
        <v>1580.2211299999999</v>
      </c>
      <c r="P15" s="1">
        <f>+VLOOKUP(C15,Sheet6!$C$7:$Q$28,14,0)</f>
        <v>1089.6299299999998</v>
      </c>
      <c r="Q15" s="1">
        <f>+VLOOKUP(C15,Sheet6!$C$7:$Q$28,15,0)</f>
        <v>1138.04555</v>
      </c>
    </row>
    <row r="16" spans="3:17">
      <c r="C16" s="1" t="s">
        <v>85</v>
      </c>
      <c r="D16" s="1">
        <f>(+VLOOKUP(C16,Sheet6!$C$7:$Q$28,2,0))*-1</f>
        <v>-701.60713999999996</v>
      </c>
      <c r="E16" s="1">
        <f>(+VLOOKUP(C16,Sheet6!$C$7:$Q$28,3,0))*-1</f>
        <v>-836.46855000000005</v>
      </c>
      <c r="F16" s="1">
        <f>(+VLOOKUP(C16,Sheet6!$C$7:$Q$28,4,0))*-1</f>
        <v>-939.30832999999996</v>
      </c>
      <c r="G16" s="1">
        <f>(+VLOOKUP(C16,Sheet6!$C$7:$Q$28,5,0))*-1</f>
        <v>-1055.56899</v>
      </c>
      <c r="H16" s="1">
        <f>(+VLOOKUP(C16,Sheet6!$C$7:$Q$28,6,0))*-1</f>
        <v>-813.55531000000008</v>
      </c>
      <c r="I16" s="1">
        <f>(+VLOOKUP(C16,Sheet6!$C$7:$Q$28,7,0))*-1</f>
        <v>-549.13225</v>
      </c>
      <c r="J16" s="1">
        <f>(+VLOOKUP(C16,Sheet6!$C$7:$Q$28,8,0))*-1</f>
        <v>-1245.6066700000001</v>
      </c>
      <c r="K16" s="1">
        <f>(+VLOOKUP(C16,Sheet6!$C$7:$Q$28,9,0))*-1</f>
        <v>-1096.92345</v>
      </c>
      <c r="L16" s="1">
        <f>(+VLOOKUP(C16,Sheet6!$C$7:$Q$28,10,0))*-1</f>
        <v>-801.74466999999993</v>
      </c>
      <c r="M16" s="1">
        <f>(+VLOOKUP(C16,Sheet6!$C$7:$Q$28,11,0))*-1</f>
        <v>-691.62139999999999</v>
      </c>
      <c r="N16" s="1">
        <f>(+VLOOKUP(C16,Sheet6!$C$7:$Q$28,12,0))*-1</f>
        <v>-822.41582999999991</v>
      </c>
      <c r="O16" s="1">
        <f>(+VLOOKUP(C16,Sheet6!$C$7:$Q$28,13,0))*-1</f>
        <v>-822.41582999999991</v>
      </c>
      <c r="P16" s="1">
        <f>(+VLOOKUP(C16,Sheet6!$C$7:$Q$28,14,0))*-1-108.101699999999</f>
        <v>-793.37308999999902</v>
      </c>
      <c r="Q16" s="1">
        <f>(+VLOOKUP(C16,Sheet6!$C$7:$Q$28,15,0))*-1</f>
        <v>-942.64472000000001</v>
      </c>
    </row>
    <row r="17" spans="3:17">
      <c r="C17" s="1" t="s">
        <v>78</v>
      </c>
      <c r="D17" s="1">
        <f>+VLOOKUP(C17,Sheet6!$C$7:$Q$28,2,0)</f>
        <v>140.97217999999998</v>
      </c>
      <c r="E17" s="1">
        <f>+VLOOKUP(C17,Sheet6!$C$7:$Q$28,3,0)</f>
        <v>141.61473000000001</v>
      </c>
      <c r="F17" s="1">
        <f>+VLOOKUP(C17,Sheet6!$C$7:$Q$28,4,0)</f>
        <v>143.83866</v>
      </c>
      <c r="G17" s="1">
        <f>+VLOOKUP(C17,Sheet6!$C$7:$Q$28,5,0)</f>
        <v>140.44322000000003</v>
      </c>
      <c r="H17" s="1">
        <f>+VLOOKUP(C17,Sheet6!$C$7:$Q$28,6,0)</f>
        <v>140.30226000000002</v>
      </c>
      <c r="I17" s="1">
        <f>+VLOOKUP(C17,Sheet6!$C$7:$Q$28,7,0)</f>
        <v>140.31927000000002</v>
      </c>
      <c r="J17" s="1">
        <f>+VLOOKUP(C17,Sheet6!$C$7:$Q$28,8,0)</f>
        <v>140.99143000000001</v>
      </c>
      <c r="K17" s="1">
        <f>+VLOOKUP(C17,Sheet6!$C$7:$Q$28,9,0)</f>
        <v>138.92394999999999</v>
      </c>
      <c r="L17" s="1">
        <f>+VLOOKUP(C17,Sheet6!$C$7:$Q$28,10,0)</f>
        <v>136.85647</v>
      </c>
      <c r="M17" s="1">
        <f>+VLOOKUP(C17,Sheet6!$C$7:$Q$28,11,0)</f>
        <v>135.51647</v>
      </c>
      <c r="N17" s="1">
        <f>+VLOOKUP(C17,Sheet6!$C$7:$Q$28,12,0)</f>
        <v>136.98363000000001</v>
      </c>
      <c r="O17" s="1">
        <f>+VLOOKUP(C17,Sheet6!$C$7:$Q$28,13,0)</f>
        <v>132.10065373318781</v>
      </c>
      <c r="P17" s="1">
        <f>+VLOOKUP(C17,Sheet6!$C$7:$Q$28,14,0)</f>
        <v>144.91537</v>
      </c>
      <c r="Q17" s="1">
        <f>+VLOOKUP(C17,Sheet6!$C$7:$Q$28,15,0)</f>
        <v>143.20374000000001</v>
      </c>
    </row>
    <row r="18" spans="3:17">
      <c r="C18" s="1" t="s">
        <v>118</v>
      </c>
      <c r="D18" s="1">
        <v>1438.4811400000003</v>
      </c>
      <c r="E18" s="1">
        <v>1441.3758700000001</v>
      </c>
      <c r="F18" s="1">
        <v>1114.0815</v>
      </c>
      <c r="G18" s="1">
        <v>1134.4324999999999</v>
      </c>
      <c r="H18" s="1">
        <v>1132.8259999999927</v>
      </c>
      <c r="I18" s="1">
        <v>1201.9175</v>
      </c>
      <c r="J18" s="1">
        <v>1141.8665000000003</v>
      </c>
      <c r="K18" s="1">
        <v>1168.3894999999998</v>
      </c>
      <c r="L18" s="1">
        <v>1214.9414999999999</v>
      </c>
      <c r="M18" s="1">
        <v>1156.8710000000001</v>
      </c>
      <c r="N18" s="1">
        <v>1169.2125000000001</v>
      </c>
      <c r="O18" s="1">
        <f>240.359210000039+846+0.3</f>
        <v>1086.6592100000389</v>
      </c>
      <c r="P18" s="1">
        <f>+VLOOKUP(C18,Sheet6!$C$7:$Q$28,14,0)-1138</f>
        <v>1394.80809</v>
      </c>
      <c r="Q18" s="1">
        <f>+VLOOKUP(C18,Sheet6!$C$7:$Q$28,15,0)-2628</f>
        <v>1387.4060599999998</v>
      </c>
    </row>
    <row r="19" spans="3:17">
      <c r="C19" s="1" t="s">
        <v>91</v>
      </c>
      <c r="D19" s="1">
        <f>(+VLOOKUP(C19,Sheet6!$C$7:$Q$28,2,0))*-1</f>
        <v>-873.21583999999996</v>
      </c>
      <c r="E19" s="1">
        <f>(+VLOOKUP(C19,Sheet6!$C$7:$Q$28,3,0))*-1</f>
        <v>-826.9753199999999</v>
      </c>
      <c r="F19" s="1">
        <f>(+VLOOKUP(C19,Sheet6!$C$7:$Q$28,4,0))*-1</f>
        <v>-840.48215000000005</v>
      </c>
      <c r="G19" s="1">
        <f>(+VLOOKUP(C19,Sheet6!$C$7:$Q$28,5,0))*-1</f>
        <v>-895.51469999999995</v>
      </c>
      <c r="H19" s="1">
        <f>(+VLOOKUP(C19,Sheet6!$C$7:$Q$28,6,0))*-1</f>
        <v>-844.19614999999999</v>
      </c>
      <c r="I19" s="1">
        <f>(+VLOOKUP(C19,Sheet6!$C$7:$Q$28,7,0))*-1</f>
        <v>-792.87760000000003</v>
      </c>
      <c r="J19" s="1">
        <f>(+VLOOKUP(C19,Sheet6!$C$7:$Q$28,8,0))*-1</f>
        <v>-822.78931999999998</v>
      </c>
      <c r="K19" s="1">
        <f>(+VLOOKUP(C19,Sheet6!$C$7:$Q$28,9,0))*-1</f>
        <v>-770.72106999999994</v>
      </c>
      <c r="L19" s="1">
        <f>(+VLOOKUP(C19,Sheet6!$C$7:$Q$28,10,0))*-1</f>
        <v>-718.65281999999991</v>
      </c>
      <c r="M19" s="1">
        <f>(+VLOOKUP(C19,Sheet6!$C$7:$Q$28,11,0))*-1</f>
        <v>-772.55825000000004</v>
      </c>
      <c r="N19" s="1">
        <f>(+VLOOKUP(C19,Sheet6!$C$7:$Q$28,12,0))*-1</f>
        <v>-720.48182999999995</v>
      </c>
      <c r="O19" s="1">
        <f>(+VLOOKUP(C19,Sheet6!$C$7:$Q$28,13,0))*-1</f>
        <v>-668.86318499999993</v>
      </c>
      <c r="P19" s="1">
        <f>(+VLOOKUP(C19,Sheet6!$C$7:$Q$28,14,0))*-1</f>
        <v>-504.36869999999999</v>
      </c>
      <c r="Q19" s="1">
        <f>(+VLOOKUP(C19,Sheet6!$C$7:$Q$28,15,0))*-1-110.327519999999</f>
        <v>-553.38926999999899</v>
      </c>
    </row>
    <row r="20" spans="3:17">
      <c r="C20" s="1" t="s">
        <v>15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3:17">
      <c r="C21" s="1" t="s">
        <v>82</v>
      </c>
      <c r="D21" s="1">
        <f>+VLOOKUP(C21,Sheet6!$C$7:$Q$28,2,0)</f>
        <v>47870.361129999954</v>
      </c>
      <c r="E21" s="1">
        <f>+VLOOKUP(C21,Sheet6!$C$7:$Q$28,3,0)</f>
        <v>47868.406409999952</v>
      </c>
      <c r="F21" s="1">
        <f>+VLOOKUP(C21,Sheet6!$C$7:$Q$28,4,0)</f>
        <v>47866.451689999973</v>
      </c>
      <c r="G21" s="1">
        <f>+VLOOKUP(C21,Sheet6!$C$7:$Q$28,5,0)</f>
        <v>47864.496969999964</v>
      </c>
      <c r="H21" s="1">
        <f>+VLOOKUP(C21,Sheet6!$C$7:$Q$28,6,0)</f>
        <v>47862.542249999962</v>
      </c>
      <c r="I21" s="1">
        <f>+VLOOKUP(C21,Sheet6!$C$7:$Q$28,7,0)</f>
        <v>47860.587529999961</v>
      </c>
      <c r="J21" s="1">
        <f>+VLOOKUP(C21,Sheet6!$C$7:$Q$28,8,0)</f>
        <v>47858.632809999959</v>
      </c>
      <c r="K21" s="1">
        <f>+VLOOKUP(C21,Sheet6!$C$7:$Q$28,9,0)</f>
        <v>47856.678089999958</v>
      </c>
      <c r="L21" s="1">
        <f>+VLOOKUP(C21,Sheet6!$C$7:$Q$28,10,0)</f>
        <v>47854.723369999956</v>
      </c>
      <c r="M21" s="1">
        <f>+VLOOKUP(C21,Sheet6!$C$7:$Q$28,11,0)</f>
        <v>47852.768649999962</v>
      </c>
      <c r="N21" s="1">
        <f>+VLOOKUP(C21,Sheet6!$C$7:$Q$28,12,0)</f>
        <v>47850.81392999996</v>
      </c>
      <c r="O21" s="1">
        <f>+VLOOKUP(C21,Sheet6!$C$7:$Q$28,13,0)</f>
        <v>47975.131310000004</v>
      </c>
      <c r="P21" s="1">
        <f>+VLOOKUP(C21,Sheet6!$C$7:$Q$28,14,0)</f>
        <v>47874.270570000001</v>
      </c>
      <c r="Q21" s="1">
        <f>+VLOOKUP(C21,Sheet6!$C$7:$Q$28,15,0)</f>
        <v>47872.315850000006</v>
      </c>
    </row>
    <row r="22" spans="3:17">
      <c r="C22" s="1" t="s">
        <v>119</v>
      </c>
      <c r="D22" s="1">
        <f>+VLOOKUP(C22,Sheet6!$C$7:$Q$28,2,0)</f>
        <v>3735.0108700000001</v>
      </c>
      <c r="E22" s="1">
        <f>+VLOOKUP(C22,Sheet6!$C$7:$Q$28,3,0)</f>
        <v>3735.0108700000001</v>
      </c>
      <c r="F22" s="1">
        <f>+VLOOKUP(C22,Sheet6!$C$7:$Q$28,4,0)</f>
        <v>3735.0108700000001</v>
      </c>
      <c r="G22" s="1">
        <f>+VLOOKUP(C22,Sheet6!$C$7:$Q$28,5,0)</f>
        <v>3735.0108700000001</v>
      </c>
      <c r="H22" s="1">
        <f>+VLOOKUP(C22,Sheet6!$C$7:$Q$28,6,0)</f>
        <v>3735.0108700000001</v>
      </c>
      <c r="I22" s="1">
        <f>+VLOOKUP(C22,Sheet6!$C$7:$Q$28,7,0)</f>
        <v>3735.0108700000001</v>
      </c>
      <c r="J22" s="1">
        <f>+VLOOKUP(C22,Sheet6!$C$7:$Q$28,8,0)</f>
        <v>3735.0108700000001</v>
      </c>
      <c r="K22" s="1">
        <f>+VLOOKUP(C22,Sheet6!$C$7:$Q$28,9,0)</f>
        <v>3735.0108700000001</v>
      </c>
      <c r="L22" s="1">
        <f>+VLOOKUP(C22,Sheet6!$C$7:$Q$28,10,0)</f>
        <v>3735.0108700000001</v>
      </c>
      <c r="M22" s="1">
        <f>+VLOOKUP(C22,Sheet6!$C$7:$Q$28,11,0)</f>
        <v>3735.0108700000001</v>
      </c>
      <c r="N22" s="1">
        <f>+VLOOKUP(C22,Sheet6!$C$7:$Q$28,12,0)</f>
        <v>3735.0108700000001</v>
      </c>
      <c r="O22" s="1">
        <f>+VLOOKUP(C22,Sheet6!$C$7:$Q$28,13,0)</f>
        <v>3735.0108700000001</v>
      </c>
      <c r="P22" s="1">
        <f>+VLOOKUP(C22,Sheet6!$C$7:$Q$28,14,0)</f>
        <v>3735.0108700000001</v>
      </c>
      <c r="Q22" s="1">
        <f>+VLOOKUP(C22,Sheet6!$C$7:$Q$28,15,0)</f>
        <v>3735.0108700000001</v>
      </c>
    </row>
    <row r="23" spans="3:17" ht="17.25" customHeight="1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3:17" ht="17.25" customHeight="1">
      <c r="C24" s="1" t="s">
        <v>121</v>
      </c>
      <c r="D24" s="1">
        <f>+SUM(D8:D22)</f>
        <v>47818.683379999959</v>
      </c>
      <c r="E24" s="1">
        <f t="shared" ref="E24:Q24" si="0">+SUM(E8:E22)</f>
        <v>47405.631459999953</v>
      </c>
      <c r="F24" s="1">
        <f t="shared" si="0"/>
        <v>46407.674639999954</v>
      </c>
      <c r="G24" s="1">
        <f t="shared" si="0"/>
        <v>45985.281619999958</v>
      </c>
      <c r="H24" s="1">
        <f t="shared" si="0"/>
        <v>45651.767749999955</v>
      </c>
      <c r="I24" s="1">
        <f t="shared" si="0"/>
        <v>44838.383939999956</v>
      </c>
      <c r="J24" s="1">
        <f t="shared" si="0"/>
        <v>43176.839359999954</v>
      </c>
      <c r="K24" s="1">
        <f t="shared" si="0"/>
        <v>42793.723679999952</v>
      </c>
      <c r="L24" s="1">
        <f t="shared" si="0"/>
        <v>42839.258609999961</v>
      </c>
      <c r="M24" s="1">
        <f t="shared" si="0"/>
        <v>42077.01976999997</v>
      </c>
      <c r="N24" s="1">
        <f t="shared" si="0"/>
        <v>41632.289069999955</v>
      </c>
      <c r="O24" s="1">
        <f t="shared" si="0"/>
        <v>40648.670072557026</v>
      </c>
      <c r="P24" s="1">
        <f t="shared" si="0"/>
        <v>48555.619330000001</v>
      </c>
      <c r="Q24" s="1">
        <f t="shared" si="0"/>
        <v>48218.774340000004</v>
      </c>
    </row>
    <row r="25" spans="3:17">
      <c r="C25" s="1" t="s">
        <v>108</v>
      </c>
      <c r="D25" s="1">
        <f>+D26+D27</f>
        <v>47818.683379999959</v>
      </c>
      <c r="E25" s="1">
        <f>+E26+E27</f>
        <v>47405.631459999953</v>
      </c>
      <c r="F25" s="1">
        <f>+F26+F27</f>
        <v>46407.674639999954</v>
      </c>
      <c r="G25" s="1">
        <f>+G26+G27</f>
        <v>45985.281619999958</v>
      </c>
      <c r="H25" s="1">
        <f>+H26+H27</f>
        <v>45651.767749999955</v>
      </c>
      <c r="I25" s="1">
        <f>+I26+I27</f>
        <v>44838.383939999956</v>
      </c>
      <c r="J25" s="1">
        <f>+J26+J27</f>
        <v>43176.839359999954</v>
      </c>
      <c r="K25" s="1">
        <f>+K26+K27</f>
        <v>42793.723679999952</v>
      </c>
      <c r="L25" s="1">
        <f>+L26+L27</f>
        <v>42839.258609999961</v>
      </c>
      <c r="M25" s="1">
        <f>+M26+M27</f>
        <v>42077.01976999997</v>
      </c>
      <c r="N25" s="1">
        <f>+N26+N27</f>
        <v>41632.289069999955</v>
      </c>
      <c r="O25" s="1">
        <f>+O26+O27</f>
        <v>40648.674562556953</v>
      </c>
      <c r="P25" s="1">
        <f>+P26+P27</f>
        <v>48555.619330000001</v>
      </c>
      <c r="Q25" s="1">
        <f>+Q26+Q27</f>
        <v>48218.774340000004</v>
      </c>
    </row>
    <row r="26" spans="3:17">
      <c r="C26" s="1" t="s">
        <v>93</v>
      </c>
      <c r="D26" s="1">
        <f>+VLOOKUP(C26,Sheet6!$C$7:$Q$28,2,0)</f>
        <v>60672.168100000003</v>
      </c>
      <c r="E26" s="1">
        <f>+VLOOKUP(C26,Sheet6!$C$7:$Q$28,3,0)</f>
        <v>60672.168100000003</v>
      </c>
      <c r="F26" s="1">
        <f>+VLOOKUP(C26,Sheet6!$C$7:$Q$28,4,0)</f>
        <v>60672.168100000003</v>
      </c>
      <c r="G26" s="1">
        <f>+VLOOKUP(C26,Sheet6!$C$7:$Q$28,5,0)</f>
        <v>60672.168100000003</v>
      </c>
      <c r="H26" s="1">
        <f>+VLOOKUP(C26,Sheet6!$C$7:$Q$28,6,0)</f>
        <v>60672.168100000003</v>
      </c>
      <c r="I26" s="1">
        <f>+VLOOKUP(C26,Sheet6!$C$7:$Q$28,7,0)</f>
        <v>60672.168100000003</v>
      </c>
      <c r="J26" s="1">
        <f>+VLOOKUP(C26,Sheet6!$C$7:$Q$28,8,0)</f>
        <v>60672.168100000003</v>
      </c>
      <c r="K26" s="1">
        <f>+VLOOKUP(C26,Sheet6!$C$7:$Q$28,9,0)</f>
        <v>60672.168100000003</v>
      </c>
      <c r="L26" s="1">
        <f>+VLOOKUP(C26,Sheet6!$C$7:$Q$28,10,0)</f>
        <v>60672.168100000003</v>
      </c>
      <c r="M26" s="1">
        <f>+VLOOKUP(C26,Sheet6!$C$7:$Q$28,11,0)</f>
        <v>60672.168100000003</v>
      </c>
      <c r="N26" s="1">
        <f>+VLOOKUP(C26,Sheet6!$C$7:$Q$28,12,0)</f>
        <v>60672.168100000003</v>
      </c>
      <c r="O26" s="1">
        <f>+VLOOKUP(C26,Sheet6!$C$7:$Q$28,13,0)</f>
        <v>60672.168100000003</v>
      </c>
      <c r="P26" s="1">
        <f>+VLOOKUP(C26,Sheet6!$C$7:$Q$28,14,0)</f>
        <v>60672.168100000003</v>
      </c>
      <c r="Q26" s="1">
        <f>+VLOOKUP(C26,Sheet6!$C$7:$Q$28,15,0)</f>
        <v>60672.168100000003</v>
      </c>
    </row>
    <row r="27" spans="3:17" ht="15" customHeight="1">
      <c r="C27" s="1" t="s">
        <v>94</v>
      </c>
      <c r="D27" s="1">
        <f>+VLOOKUP(C27,Sheet6!$C$7:$Q$28,2,0)</f>
        <v>-12853.484720000048</v>
      </c>
      <c r="E27" s="1">
        <f>+VLOOKUP(C27,Sheet6!$C$7:$Q$28,3,0)</f>
        <v>-13266.536640000048</v>
      </c>
      <c r="F27" s="1">
        <f>+VLOOKUP(C27,Sheet6!$C$7:$Q$28,4,0)</f>
        <v>-14264.493460000045</v>
      </c>
      <c r="G27" s="1">
        <f>+VLOOKUP(C27,Sheet6!$C$7:$Q$28,5,0)</f>
        <v>-14686.886480000047</v>
      </c>
      <c r="H27" s="1">
        <f>+VLOOKUP(C27,Sheet6!$C$7:$Q$28,6,0)</f>
        <v>-15020.400350000044</v>
      </c>
      <c r="I27" s="1">
        <f>+VLOOKUP(C27,Sheet6!$C$7:$Q$28,7,0)</f>
        <v>-15833.784160000045</v>
      </c>
      <c r="J27" s="1">
        <f>+VLOOKUP(C27,Sheet6!$C$7:$Q$28,8,0)</f>
        <v>-17495.328740000048</v>
      </c>
      <c r="K27" s="1">
        <f>+VLOOKUP(C27,Sheet6!$C$7:$Q$28,9,0)</f>
        <v>-17878.444420000047</v>
      </c>
      <c r="L27" s="1">
        <f>+VLOOKUP(C27,Sheet6!$C$7:$Q$28,10,0)</f>
        <v>-17832.909490000042</v>
      </c>
      <c r="M27" s="1">
        <f>+VLOOKUP(C27,Sheet6!$C$7:$Q$28,11,0)</f>
        <v>-18595.148330000036</v>
      </c>
      <c r="N27" s="1">
        <f>+VLOOKUP(C27,Sheet6!$C$7:$Q$28,12,0)</f>
        <v>-19039.879030000051</v>
      </c>
      <c r="O27" s="1">
        <f>+VLOOKUP(C27,Sheet6!$C$7:$Q$28,13,0)</f>
        <v>-20023.49353744305</v>
      </c>
      <c r="P27" s="1">
        <f>+VLOOKUP(C27,Sheet6!$C$7:$Q$28,14,0)</f>
        <v>-12116.548770000003</v>
      </c>
      <c r="Q27" s="1">
        <f>+VLOOKUP(C27,Sheet6!$C$7:$Q$28,15,0)</f>
        <v>-12453.393759999997</v>
      </c>
    </row>
    <row r="29" spans="3:17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3:17">
      <c r="D30" s="1">
        <f>+D24-D25</f>
        <v>0</v>
      </c>
      <c r="E30" s="1">
        <f t="shared" ref="E30:Q32" si="1">+E24-E25</f>
        <v>0</v>
      </c>
      <c r="F30" s="1">
        <f t="shared" si="1"/>
        <v>0</v>
      </c>
      <c r="G30" s="1">
        <f t="shared" si="1"/>
        <v>0</v>
      </c>
      <c r="H30" s="1">
        <f t="shared" si="1"/>
        <v>0</v>
      </c>
      <c r="I30" s="1">
        <f t="shared" si="1"/>
        <v>0</v>
      </c>
      <c r="J30" s="1">
        <f t="shared" si="1"/>
        <v>0</v>
      </c>
      <c r="K30" s="1">
        <f t="shared" si="1"/>
        <v>0</v>
      </c>
      <c r="L30" s="1">
        <f t="shared" si="1"/>
        <v>0</v>
      </c>
      <c r="M30" s="1">
        <f t="shared" si="1"/>
        <v>0</v>
      </c>
      <c r="N30" s="1">
        <f t="shared" si="1"/>
        <v>0</v>
      </c>
      <c r="O30" s="1">
        <f t="shared" si="1"/>
        <v>-4.4899999265908264E-3</v>
      </c>
      <c r="P30" s="1">
        <f t="shared" si="1"/>
        <v>0</v>
      </c>
      <c r="Q30" s="1">
        <f t="shared" si="1"/>
        <v>0</v>
      </c>
    </row>
    <row r="31" spans="3:17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3:17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4:14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4:14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6" spans="4:14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최종값</vt:lpstr>
      <vt:lpstr>STO BS</vt:lpstr>
      <vt:lpstr>Sheet4</vt:lpstr>
      <vt:lpstr>Sheet5</vt:lpstr>
      <vt:lpstr>Sheet6</vt:lpstr>
      <vt:lpstr>Sheet3</vt:lpstr>
      <vt:lpstr>최종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kspark(박경수) F/KR/MGT/FPA</dc:creator>
  <cp:lastModifiedBy>kspark(박경수) F/KR/MGT/FPA</cp:lastModifiedBy>
  <dcterms:created xsi:type="dcterms:W3CDTF">2025-12-12T01:02:10Z</dcterms:created>
  <dcterms:modified xsi:type="dcterms:W3CDTF">2025-12-12T02:36:48Z</dcterms:modified>
</cp:coreProperties>
</file>